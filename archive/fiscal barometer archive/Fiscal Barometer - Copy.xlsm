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chuele\The Brookings Institution\Hutchins Center Team - Documents\Projects\Fiscal Impact\fiscal barometer archive\"/>
    </mc:Choice>
  </mc:AlternateContent>
  <xr:revisionPtr revIDLastSave="1420" documentId="11_17BD4EE46A8EC9341FC472249D2B18DD19DA1AD7" xr6:coauthVersionLast="36" xr6:coauthVersionMax="36" xr10:uidLastSave="{450D74E4-02AF-400C-A089-1295F9984A95}"/>
  <bookViews>
    <workbookView xWindow="-210" yWindow="-45" windowWidth="18720" windowHeight="11670" tabRatio="717" activeTab="1" xr2:uid="{00000000-000D-0000-FFFF-FFFF00000000}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Sheet1" sheetId="45" r:id="rId6"/>
    <sheet name="Real Structures" sheetId="15" r:id="rId7"/>
    <sheet name="State and Local Taxes" sheetId="4" r:id="rId8"/>
    <sheet name="Revenues &amp; Outlays in GDP" sheetId="8" r:id="rId9"/>
    <sheet name="Deficit to GDP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Final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definedNames>
    <definedName name="_DLX1.USE" localSheetId="11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39" i="3" l="1"/>
  <c r="O140" i="3"/>
  <c r="O141" i="3"/>
  <c r="L139" i="3"/>
  <c r="M139" i="3" s="1"/>
  <c r="L140" i="3"/>
  <c r="M141" i="3" s="1"/>
  <c r="L141" i="3"/>
  <c r="I139" i="3"/>
  <c r="J139" i="3" s="1"/>
  <c r="I140" i="3"/>
  <c r="J141" i="3" s="1"/>
  <c r="I141" i="3"/>
  <c r="M140" i="3" l="1"/>
  <c r="J140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I138" i="3"/>
  <c r="I134" i="3"/>
  <c r="L134" i="3"/>
  <c r="I135" i="3"/>
  <c r="J136" i="3" s="1"/>
  <c r="L135" i="3"/>
  <c r="I136" i="3"/>
  <c r="J137" i="3" s="1"/>
  <c r="L136" i="3"/>
  <c r="I137" i="3"/>
  <c r="L137" i="3"/>
  <c r="L138" i="3"/>
  <c r="M137" i="3" l="1"/>
  <c r="M136" i="3"/>
  <c r="J138" i="3"/>
  <c r="M138" i="3"/>
  <c r="E1" i="9"/>
  <c r="E53" i="9" s="1"/>
  <c r="C49" i="24" s="1"/>
  <c r="E1" i="7"/>
  <c r="F54" i="7" s="1"/>
  <c r="C49" i="39" s="1"/>
  <c r="D1" i="8"/>
  <c r="D57" i="8" s="1"/>
  <c r="E51" i="22" s="1"/>
  <c r="E45" i="7"/>
  <c r="E46" i="7"/>
  <c r="B41" i="39" s="1"/>
  <c r="E47" i="7"/>
  <c r="E48" i="7"/>
  <c r="B43" i="39" s="1"/>
  <c r="E49" i="7"/>
  <c r="B44" i="39" s="1"/>
  <c r="E50" i="7"/>
  <c r="E51" i="7"/>
  <c r="E52" i="7"/>
  <c r="E53" i="7"/>
  <c r="E54" i="7"/>
  <c r="B49" i="39" s="1"/>
  <c r="E55" i="7"/>
  <c r="E56" i="7"/>
  <c r="B51" i="39" s="1"/>
  <c r="E7" i="7"/>
  <c r="B2" i="39" s="1"/>
  <c r="E8" i="7"/>
  <c r="E9" i="7"/>
  <c r="E10" i="7"/>
  <c r="E11" i="7"/>
  <c r="E12" i="7"/>
  <c r="B7" i="39" s="1"/>
  <c r="E13" i="7"/>
  <c r="E14" i="7"/>
  <c r="B9" i="39" s="1"/>
  <c r="E15" i="7"/>
  <c r="B10" i="39" s="1"/>
  <c r="E16" i="7"/>
  <c r="E17" i="7"/>
  <c r="E18" i="7"/>
  <c r="E19" i="7"/>
  <c r="E20" i="7"/>
  <c r="B15" i="39" s="1"/>
  <c r="E21" i="7"/>
  <c r="E22" i="7"/>
  <c r="B17" i="39" s="1"/>
  <c r="E23" i="7"/>
  <c r="B18" i="39" s="1"/>
  <c r="E24" i="7"/>
  <c r="E25" i="7"/>
  <c r="E26" i="7"/>
  <c r="E27" i="7"/>
  <c r="E28" i="7"/>
  <c r="B23" i="39" s="1"/>
  <c r="E29" i="7"/>
  <c r="E30" i="7"/>
  <c r="B25" i="39" s="1"/>
  <c r="E31" i="7"/>
  <c r="B26" i="39" s="1"/>
  <c r="E32" i="7"/>
  <c r="E33" i="7"/>
  <c r="E34" i="7"/>
  <c r="E35" i="7"/>
  <c r="E36" i="7"/>
  <c r="B31" i="39" s="1"/>
  <c r="E37" i="7"/>
  <c r="E38" i="7"/>
  <c r="B33" i="39" s="1"/>
  <c r="E39" i="7"/>
  <c r="B34" i="39" s="1"/>
  <c r="E40" i="7"/>
  <c r="E41" i="7"/>
  <c r="E42" i="7"/>
  <c r="E43" i="7"/>
  <c r="E44" i="7"/>
  <c r="B39" i="39" s="1"/>
  <c r="D45" i="9"/>
  <c r="D46" i="9"/>
  <c r="B42" i="24" s="1"/>
  <c r="D47" i="9"/>
  <c r="B43" i="24" s="1"/>
  <c r="D48" i="9"/>
  <c r="D49" i="9"/>
  <c r="D50" i="9"/>
  <c r="D51" i="9"/>
  <c r="D52" i="9"/>
  <c r="D53" i="9"/>
  <c r="D54" i="9"/>
  <c r="B50" i="24" s="1"/>
  <c r="D55" i="9"/>
  <c r="B51" i="24" s="1"/>
  <c r="D6" i="9"/>
  <c r="D7" i="9"/>
  <c r="D8" i="9"/>
  <c r="D9" i="9"/>
  <c r="D10" i="9"/>
  <c r="D11" i="9"/>
  <c r="D12" i="9"/>
  <c r="B8" i="24" s="1"/>
  <c r="D13" i="9"/>
  <c r="B9" i="24" s="1"/>
  <c r="D14" i="9"/>
  <c r="D15" i="9"/>
  <c r="D16" i="9"/>
  <c r="D17" i="9"/>
  <c r="D18" i="9"/>
  <c r="D19" i="9"/>
  <c r="D20" i="9"/>
  <c r="B16" i="24" s="1"/>
  <c r="D21" i="9"/>
  <c r="B17" i="24" s="1"/>
  <c r="D22" i="9"/>
  <c r="D23" i="9"/>
  <c r="D24" i="9"/>
  <c r="D25" i="9"/>
  <c r="D26" i="9"/>
  <c r="D27" i="9"/>
  <c r="D28" i="9"/>
  <c r="B24" i="24" s="1"/>
  <c r="D29" i="9"/>
  <c r="B25" i="24" s="1"/>
  <c r="D30" i="9"/>
  <c r="D31" i="9"/>
  <c r="D32" i="9"/>
  <c r="D33" i="9"/>
  <c r="D34" i="9"/>
  <c r="D35" i="9"/>
  <c r="D36" i="9"/>
  <c r="B32" i="24" s="1"/>
  <c r="D37" i="9"/>
  <c r="B33" i="24" s="1"/>
  <c r="D38" i="9"/>
  <c r="D39" i="9"/>
  <c r="D40" i="9"/>
  <c r="D41" i="9"/>
  <c r="D42" i="9"/>
  <c r="D43" i="9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J18" i="4"/>
  <c r="C5" i="21" s="1"/>
  <c r="J19" i="4"/>
  <c r="J20" i="4"/>
  <c r="J21" i="4"/>
  <c r="J22" i="4"/>
  <c r="C9" i="21" s="1"/>
  <c r="J23" i="4"/>
  <c r="C10" i="21" s="1"/>
  <c r="J24" i="4"/>
  <c r="J25" i="4"/>
  <c r="J26" i="4"/>
  <c r="C13" i="21" s="1"/>
  <c r="J27" i="4"/>
  <c r="J28" i="4"/>
  <c r="J29" i="4"/>
  <c r="J30" i="4"/>
  <c r="C17" i="21" s="1"/>
  <c r="J31" i="4"/>
  <c r="C18" i="21" s="1"/>
  <c r="J32" i="4"/>
  <c r="J33" i="4"/>
  <c r="J34" i="4"/>
  <c r="C21" i="21" s="1"/>
  <c r="J35" i="4"/>
  <c r="J36" i="4"/>
  <c r="J37" i="4"/>
  <c r="J38" i="4"/>
  <c r="C25" i="21" s="1"/>
  <c r="J39" i="4"/>
  <c r="C26" i="21" s="1"/>
  <c r="J40" i="4"/>
  <c r="J41" i="4"/>
  <c r="J42" i="4"/>
  <c r="C29" i="21" s="1"/>
  <c r="J43" i="4"/>
  <c r="J44" i="4"/>
  <c r="J45" i="4"/>
  <c r="J46" i="4"/>
  <c r="C33" i="21" s="1"/>
  <c r="J47" i="4"/>
  <c r="C34" i="21" s="1"/>
  <c r="J48" i="4"/>
  <c r="J49" i="4"/>
  <c r="J50" i="4"/>
  <c r="C37" i="21" s="1"/>
  <c r="J51" i="4"/>
  <c r="J52" i="4"/>
  <c r="J53" i="4"/>
  <c r="J54" i="4"/>
  <c r="C41" i="21" s="1"/>
  <c r="J55" i="4"/>
  <c r="C42" i="21" s="1"/>
  <c r="J56" i="4"/>
  <c r="J57" i="4"/>
  <c r="J58" i="4"/>
  <c r="C45" i="21" s="1"/>
  <c r="J59" i="4"/>
  <c r="J60" i="4"/>
  <c r="J61" i="4"/>
  <c r="J62" i="4"/>
  <c r="C49" i="21" s="1"/>
  <c r="J63" i="4"/>
  <c r="C50" i="21" s="1"/>
  <c r="J64" i="4"/>
  <c r="J65" i="4"/>
  <c r="C52" i="21" s="1"/>
  <c r="J66" i="4"/>
  <c r="C53" i="21" s="1"/>
  <c r="J67" i="4"/>
  <c r="J68" i="4"/>
  <c r="J69" i="4"/>
  <c r="J70" i="4"/>
  <c r="C57" i="21" s="1"/>
  <c r="J71" i="4"/>
  <c r="C58" i="21" s="1"/>
  <c r="J72" i="4"/>
  <c r="J73" i="4"/>
  <c r="C60" i="21" s="1"/>
  <c r="J74" i="4"/>
  <c r="C61" i="21" s="1"/>
  <c r="J75" i="4"/>
  <c r="J76" i="4"/>
  <c r="J77" i="4"/>
  <c r="J78" i="4"/>
  <c r="C65" i="21" s="1"/>
  <c r="J79" i="4"/>
  <c r="C66" i="21" s="1"/>
  <c r="J80" i="4"/>
  <c r="J81" i="4"/>
  <c r="C68" i="21" s="1"/>
  <c r="J82" i="4"/>
  <c r="C69" i="21" s="1"/>
  <c r="J83" i="4"/>
  <c r="J84" i="4"/>
  <c r="J8" i="4"/>
  <c r="C47" i="21"/>
  <c r="C46" i="21"/>
  <c r="H113" i="4"/>
  <c r="H107" i="4"/>
  <c r="H81" i="4"/>
  <c r="G65" i="4"/>
  <c r="G126" i="4"/>
  <c r="H126" i="4" s="1"/>
  <c r="G125" i="4"/>
  <c r="H125" i="4" s="1"/>
  <c r="G124" i="4"/>
  <c r="H124" i="4" s="1"/>
  <c r="G123" i="4"/>
  <c r="H123" i="4" s="1"/>
  <c r="G122" i="4"/>
  <c r="H122" i="4" s="1"/>
  <c r="G121" i="4"/>
  <c r="G120" i="4"/>
  <c r="H120" i="4" s="1"/>
  <c r="I123" i="4" s="1"/>
  <c r="B110" i="21" s="1"/>
  <c r="G119" i="4"/>
  <c r="H119" i="4" s="1"/>
  <c r="I122" i="4" s="1"/>
  <c r="B109" i="21" s="1"/>
  <c r="G118" i="4"/>
  <c r="H118" i="4" s="1"/>
  <c r="G117" i="4"/>
  <c r="H121" i="4" s="1"/>
  <c r="G116" i="4"/>
  <c r="H116" i="4"/>
  <c r="G115" i="4"/>
  <c r="H115" i="4" s="1"/>
  <c r="G114" i="4"/>
  <c r="H114" i="4"/>
  <c r="G113" i="4"/>
  <c r="G112" i="4"/>
  <c r="H112" i="4" s="1"/>
  <c r="I115" i="4" s="1"/>
  <c r="B102" i="21" s="1"/>
  <c r="G111" i="4"/>
  <c r="H111" i="4" s="1"/>
  <c r="I114" i="4" s="1"/>
  <c r="B101" i="21" s="1"/>
  <c r="G110" i="4"/>
  <c r="H110" i="4" s="1"/>
  <c r="I113" i="4" s="1"/>
  <c r="B100" i="21" s="1"/>
  <c r="G109" i="4"/>
  <c r="G108" i="4"/>
  <c r="H108" i="4"/>
  <c r="G107" i="4"/>
  <c r="G106" i="4"/>
  <c r="H106" i="4" s="1"/>
  <c r="I109" i="4" s="1"/>
  <c r="B96" i="21" s="1"/>
  <c r="G105" i="4"/>
  <c r="H109" i="4" s="1"/>
  <c r="G104" i="4"/>
  <c r="H104" i="4" s="1"/>
  <c r="G103" i="4"/>
  <c r="H103" i="4" s="1"/>
  <c r="G102" i="4"/>
  <c r="H102" i="4"/>
  <c r="G101" i="4"/>
  <c r="H101" i="4" s="1"/>
  <c r="G100" i="4"/>
  <c r="H100" i="4" s="1"/>
  <c r="G99" i="4"/>
  <c r="H99" i="4" s="1"/>
  <c r="I102" i="4" s="1"/>
  <c r="B89" i="21" s="1"/>
  <c r="G98" i="4"/>
  <c r="H98" i="4" s="1"/>
  <c r="G97" i="4"/>
  <c r="G96" i="4"/>
  <c r="H96" i="4"/>
  <c r="G95" i="4"/>
  <c r="G94" i="4"/>
  <c r="H94" i="4"/>
  <c r="G93" i="4"/>
  <c r="H93" i="4" s="1"/>
  <c r="G92" i="4"/>
  <c r="H92" i="4" s="1"/>
  <c r="G91" i="4"/>
  <c r="H91" i="4" s="1"/>
  <c r="G90" i="4"/>
  <c r="H90" i="4" s="1"/>
  <c r="G89" i="4"/>
  <c r="G88" i="4"/>
  <c r="H88" i="4" s="1"/>
  <c r="G87" i="4"/>
  <c r="H87" i="4" s="1"/>
  <c r="G86" i="4"/>
  <c r="H86" i="4" s="1"/>
  <c r="G85" i="4"/>
  <c r="H89" i="4" s="1"/>
  <c r="I92" i="4" s="1"/>
  <c r="B79" i="21" s="1"/>
  <c r="G84" i="4"/>
  <c r="H84" i="4"/>
  <c r="G83" i="4"/>
  <c r="H83" i="4" s="1"/>
  <c r="G82" i="4"/>
  <c r="H82" i="4"/>
  <c r="G81" i="4"/>
  <c r="G80" i="4"/>
  <c r="G79" i="4"/>
  <c r="G78" i="4"/>
  <c r="G77" i="4"/>
  <c r="G76" i="4"/>
  <c r="G75" i="4"/>
  <c r="G74" i="4"/>
  <c r="G73" i="4"/>
  <c r="H77" i="4" s="1"/>
  <c r="G72" i="4"/>
  <c r="G71" i="4"/>
  <c r="G70" i="4"/>
  <c r="G69" i="4"/>
  <c r="G68" i="4"/>
  <c r="G67" i="4"/>
  <c r="G66" i="4"/>
  <c r="G64" i="4"/>
  <c r="G63" i="4"/>
  <c r="G62" i="4"/>
  <c r="G61" i="4"/>
  <c r="G60" i="4"/>
  <c r="G59" i="4"/>
  <c r="G58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7" i="21"/>
  <c r="C64" i="21"/>
  <c r="C63" i="21"/>
  <c r="C62" i="21"/>
  <c r="C59" i="21"/>
  <c r="C56" i="21"/>
  <c r="C55" i="21"/>
  <c r="C54" i="21"/>
  <c r="C51" i="21"/>
  <c r="C48" i="21"/>
  <c r="C43" i="21"/>
  <c r="C40" i="21"/>
  <c r="C39" i="21"/>
  <c r="C38" i="21"/>
  <c r="C36" i="21"/>
  <c r="C35" i="21"/>
  <c r="C32" i="21"/>
  <c r="C31" i="21"/>
  <c r="C30" i="21"/>
  <c r="C28" i="21"/>
  <c r="C27" i="21"/>
  <c r="C24" i="21"/>
  <c r="C23" i="21"/>
  <c r="C22" i="21"/>
  <c r="C20" i="21"/>
  <c r="C19" i="21"/>
  <c r="C16" i="21"/>
  <c r="C15" i="21"/>
  <c r="C14" i="21"/>
  <c r="C12" i="21"/>
  <c r="C11" i="21"/>
  <c r="C8" i="21"/>
  <c r="C7" i="21"/>
  <c r="C6" i="21"/>
  <c r="C4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H54" i="4" s="1"/>
  <c r="G55" i="4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L79" i="3"/>
  <c r="M79" i="3" s="1"/>
  <c r="C72" i="18" s="1"/>
  <c r="L78" i="3"/>
  <c r="B71" i="18" s="1"/>
  <c r="L77" i="3"/>
  <c r="B70" i="18" s="1"/>
  <c r="L76" i="3"/>
  <c r="B69" i="18" s="1"/>
  <c r="L75" i="3"/>
  <c r="L74" i="3"/>
  <c r="L73" i="3"/>
  <c r="L72" i="3"/>
  <c r="B65" i="18" s="1"/>
  <c r="L71" i="3"/>
  <c r="L70" i="3"/>
  <c r="L69" i="3"/>
  <c r="L68" i="3"/>
  <c r="B61" i="18" s="1"/>
  <c r="L67" i="3"/>
  <c r="L66" i="3"/>
  <c r="L65" i="3"/>
  <c r="L64" i="3"/>
  <c r="L63" i="3"/>
  <c r="B56" i="18" s="1"/>
  <c r="L62" i="3"/>
  <c r="L61" i="3"/>
  <c r="B54" i="18" s="1"/>
  <c r="L60" i="3"/>
  <c r="L59" i="3"/>
  <c r="B52" i="18" s="1"/>
  <c r="L58" i="3"/>
  <c r="B51" i="18" s="1"/>
  <c r="L57" i="3"/>
  <c r="L56" i="3"/>
  <c r="B49" i="18" s="1"/>
  <c r="L55" i="3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B40" i="18" s="1"/>
  <c r="L46" i="3"/>
  <c r="B39" i="18" s="1"/>
  <c r="L45" i="3"/>
  <c r="L44" i="3"/>
  <c r="B37" i="18" s="1"/>
  <c r="L43" i="3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B23" i="18" s="1"/>
  <c r="L29" i="3"/>
  <c r="B22" i="18" s="1"/>
  <c r="L28" i="3"/>
  <c r="B21" i="18" s="1"/>
  <c r="L27" i="3"/>
  <c r="L26" i="3"/>
  <c r="L25" i="3"/>
  <c r="L24" i="3"/>
  <c r="L23" i="3"/>
  <c r="B16" i="18" s="1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I79" i="3"/>
  <c r="B72" i="17" s="1"/>
  <c r="I78" i="3"/>
  <c r="I77" i="3"/>
  <c r="B70" i="17" s="1"/>
  <c r="I76" i="3"/>
  <c r="I75" i="3"/>
  <c r="I74" i="3"/>
  <c r="B67" i="17" s="1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B53" i="17" s="1"/>
  <c r="I59" i="3"/>
  <c r="I58" i="3"/>
  <c r="I57" i="3"/>
  <c r="B50" i="17" s="1"/>
  <c r="I56" i="3"/>
  <c r="B49" i="17" s="1"/>
  <c r="I55" i="3"/>
  <c r="I54" i="3"/>
  <c r="I53" i="3"/>
  <c r="B46" i="17" s="1"/>
  <c r="I52" i="3"/>
  <c r="I51" i="3"/>
  <c r="B44" i="17" s="1"/>
  <c r="I50" i="3"/>
  <c r="I49" i="3"/>
  <c r="I48" i="3"/>
  <c r="B41" i="17" s="1"/>
  <c r="I47" i="3"/>
  <c r="B40" i="17" s="1"/>
  <c r="I46" i="3"/>
  <c r="I45" i="3"/>
  <c r="B38" i="17" s="1"/>
  <c r="I44" i="3"/>
  <c r="B37" i="17" s="1"/>
  <c r="I43" i="3"/>
  <c r="I42" i="3"/>
  <c r="B35" i="17" s="1"/>
  <c r="I41" i="3"/>
  <c r="B34" i="17" s="1"/>
  <c r="I40" i="3"/>
  <c r="B33" i="17" s="1"/>
  <c r="I39" i="3"/>
  <c r="B32" i="17" s="1"/>
  <c r="I38" i="3"/>
  <c r="I37" i="3"/>
  <c r="B30" i="17" s="1"/>
  <c r="I36" i="3"/>
  <c r="B29" i="17" s="1"/>
  <c r="I35" i="3"/>
  <c r="I34" i="3"/>
  <c r="I33" i="3"/>
  <c r="I32" i="3"/>
  <c r="B25" i="17" s="1"/>
  <c r="I31" i="3"/>
  <c r="B24" i="17" s="1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B13" i="17" s="1"/>
  <c r="I19" i="3"/>
  <c r="I18" i="3"/>
  <c r="I17" i="3"/>
  <c r="B10" i="17" s="1"/>
  <c r="I16" i="3"/>
  <c r="I15" i="3"/>
  <c r="I14" i="3"/>
  <c r="B7" i="17" s="1"/>
  <c r="I13" i="3"/>
  <c r="I12" i="3"/>
  <c r="B5" i="17" s="1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 s="1"/>
  <c r="L132" i="3"/>
  <c r="B125" i="18" s="1"/>
  <c r="L131" i="3"/>
  <c r="L130" i="3"/>
  <c r="B123" i="18" s="1"/>
  <c r="L129" i="3"/>
  <c r="B122" i="18" s="1"/>
  <c r="L128" i="3"/>
  <c r="B121" i="18" s="1"/>
  <c r="L127" i="3"/>
  <c r="B120" i="18" s="1"/>
  <c r="L126" i="3"/>
  <c r="L125" i="3"/>
  <c r="L124" i="3"/>
  <c r="L123" i="3"/>
  <c r="B116" i="18" s="1"/>
  <c r="L122" i="3"/>
  <c r="B115" i="18" s="1"/>
  <c r="L121" i="3"/>
  <c r="B114" i="18" s="1"/>
  <c r="L120" i="3"/>
  <c r="B113" i="18" s="1"/>
  <c r="L119" i="3"/>
  <c r="L118" i="3"/>
  <c r="B111" i="18" s="1"/>
  <c r="L117" i="3"/>
  <c r="L116" i="3"/>
  <c r="B109" i="18" s="1"/>
  <c r="L115" i="3"/>
  <c r="L114" i="3"/>
  <c r="B107" i="18" s="1"/>
  <c r="L113" i="3"/>
  <c r="B106" i="18" s="1"/>
  <c r="L112" i="3"/>
  <c r="B105" i="18" s="1"/>
  <c r="L111" i="3"/>
  <c r="L110" i="3"/>
  <c r="B103" i="18" s="1"/>
  <c r="L109" i="3"/>
  <c r="B102" i="18" s="1"/>
  <c r="L108" i="3"/>
  <c r="B101" i="18" s="1"/>
  <c r="L107" i="3"/>
  <c r="B100" i="18" s="1"/>
  <c r="L106" i="3"/>
  <c r="B99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B88" i="18" s="1"/>
  <c r="L94" i="3"/>
  <c r="L92" i="3"/>
  <c r="L91" i="3"/>
  <c r="B84" i="18" s="1"/>
  <c r="L90" i="3"/>
  <c r="L89" i="3"/>
  <c r="L88" i="3"/>
  <c r="B81" i="18" s="1"/>
  <c r="L87" i="3"/>
  <c r="B80" i="18" s="1"/>
  <c r="L86" i="3"/>
  <c r="L85" i="3"/>
  <c r="B78" i="18" s="1"/>
  <c r="L84" i="3"/>
  <c r="B77" i="18" s="1"/>
  <c r="L83" i="3"/>
  <c r="L82" i="3"/>
  <c r="L81" i="3"/>
  <c r="L80" i="3"/>
  <c r="B73" i="18" s="1"/>
  <c r="J7" i="3"/>
  <c r="I7" i="3"/>
  <c r="J8" i="3" s="1"/>
  <c r="I133" i="3"/>
  <c r="B126" i="17" s="1"/>
  <c r="I132" i="3"/>
  <c r="B125" i="17" s="1"/>
  <c r="I131" i="3"/>
  <c r="B124" i="17" s="1"/>
  <c r="I130" i="3"/>
  <c r="B123" i="17" s="1"/>
  <c r="I129" i="3"/>
  <c r="I128" i="3"/>
  <c r="B121" i="17" s="1"/>
  <c r="I127" i="3"/>
  <c r="B120" i="17" s="1"/>
  <c r="I126" i="3"/>
  <c r="B119" i="17" s="1"/>
  <c r="I125" i="3"/>
  <c r="B118" i="17" s="1"/>
  <c r="I124" i="3"/>
  <c r="B117" i="17" s="1"/>
  <c r="I123" i="3"/>
  <c r="I122" i="3"/>
  <c r="B115" i="17" s="1"/>
  <c r="I121" i="3"/>
  <c r="I120" i="3"/>
  <c r="I119" i="3"/>
  <c r="B112" i="17" s="1"/>
  <c r="I118" i="3"/>
  <c r="B111" i="17" s="1"/>
  <c r="I117" i="3"/>
  <c r="B110" i="17" s="1"/>
  <c r="I116" i="3"/>
  <c r="I115" i="3"/>
  <c r="I114" i="3"/>
  <c r="B107" i="17" s="1"/>
  <c r="I113" i="3"/>
  <c r="B106" i="17" s="1"/>
  <c r="I112" i="3"/>
  <c r="B105" i="17" s="1"/>
  <c r="I111" i="3"/>
  <c r="I110" i="3"/>
  <c r="B103" i="17" s="1"/>
  <c r="I109" i="3"/>
  <c r="B102" i="17" s="1"/>
  <c r="I108" i="3"/>
  <c r="B101" i="17" s="1"/>
  <c r="I107" i="3"/>
  <c r="B100" i="17" s="1"/>
  <c r="I106" i="3"/>
  <c r="I105" i="3"/>
  <c r="I104" i="3"/>
  <c r="I103" i="3"/>
  <c r="B96" i="17" s="1"/>
  <c r="I102" i="3"/>
  <c r="B95" i="17" s="1"/>
  <c r="I101" i="3"/>
  <c r="B94" i="17" s="1"/>
  <c r="I100" i="3"/>
  <c r="I99" i="3"/>
  <c r="I98" i="3"/>
  <c r="B91" i="17" s="1"/>
  <c r="I97" i="3"/>
  <c r="B90" i="17" s="1"/>
  <c r="I96" i="3"/>
  <c r="B89" i="17" s="1"/>
  <c r="I95" i="3"/>
  <c r="I94" i="3"/>
  <c r="B87" i="17" s="1"/>
  <c r="I92" i="3"/>
  <c r="I91" i="3"/>
  <c r="B84" i="17" s="1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B73" i="17" s="1"/>
  <c r="A1" i="3"/>
  <c r="G48" i="4"/>
  <c r="G47" i="4"/>
  <c r="H51" i="4" s="1"/>
  <c r="G46" i="4"/>
  <c r="G45" i="4"/>
  <c r="G44" i="4"/>
  <c r="G43" i="4"/>
  <c r="G42" i="4"/>
  <c r="G41" i="4"/>
  <c r="G40" i="4"/>
  <c r="H40" i="4" s="1"/>
  <c r="G39" i="4"/>
  <c r="G38" i="4"/>
  <c r="H38" i="4" s="1"/>
  <c r="B49" i="24"/>
  <c r="B48" i="24"/>
  <c r="B47" i="24"/>
  <c r="B46" i="24"/>
  <c r="B45" i="24"/>
  <c r="B44" i="24"/>
  <c r="B41" i="24"/>
  <c r="B39" i="24"/>
  <c r="B38" i="24"/>
  <c r="B37" i="24"/>
  <c r="B36" i="24"/>
  <c r="B35" i="24"/>
  <c r="B34" i="24"/>
  <c r="B31" i="24"/>
  <c r="B30" i="24"/>
  <c r="B29" i="24"/>
  <c r="B28" i="24"/>
  <c r="B27" i="24"/>
  <c r="B26" i="24"/>
  <c r="B23" i="24"/>
  <c r="B22" i="24"/>
  <c r="B21" i="24"/>
  <c r="B20" i="24"/>
  <c r="B19" i="24"/>
  <c r="B18" i="24"/>
  <c r="B15" i="24"/>
  <c r="B14" i="24"/>
  <c r="B13" i="24"/>
  <c r="B12" i="24"/>
  <c r="B11" i="24"/>
  <c r="B10" i="24"/>
  <c r="B7" i="24"/>
  <c r="B6" i="24"/>
  <c r="B5" i="24"/>
  <c r="B4" i="24"/>
  <c r="B3" i="24"/>
  <c r="B2" i="24"/>
  <c r="B50" i="39"/>
  <c r="B48" i="39"/>
  <c r="B47" i="39"/>
  <c r="B46" i="39"/>
  <c r="B45" i="39"/>
  <c r="B42" i="39"/>
  <c r="B40" i="39"/>
  <c r="B38" i="39"/>
  <c r="B37" i="39"/>
  <c r="B36" i="39"/>
  <c r="B35" i="39"/>
  <c r="B32" i="39"/>
  <c r="B30" i="39"/>
  <c r="B29" i="39"/>
  <c r="B28" i="39"/>
  <c r="B27" i="39"/>
  <c r="B24" i="39"/>
  <c r="B22" i="39"/>
  <c r="B21" i="39"/>
  <c r="B20" i="39"/>
  <c r="B19" i="39"/>
  <c r="B16" i="39"/>
  <c r="B14" i="39"/>
  <c r="B13" i="39"/>
  <c r="B12" i="39"/>
  <c r="B11" i="39"/>
  <c r="B8" i="39"/>
  <c r="B6" i="39"/>
  <c r="B5" i="39"/>
  <c r="B4" i="39"/>
  <c r="B3" i="39"/>
  <c r="B114" i="17"/>
  <c r="B98" i="17"/>
  <c r="B110" i="18"/>
  <c r="B104" i="18"/>
  <c r="B108" i="17"/>
  <c r="B86" i="18"/>
  <c r="B87" i="18"/>
  <c r="J90" i="3"/>
  <c r="C83" i="17" s="1"/>
  <c r="H29" i="4"/>
  <c r="H41" i="4"/>
  <c r="H44" i="4"/>
  <c r="H59" i="4"/>
  <c r="H25" i="4"/>
  <c r="H33" i="4"/>
  <c r="H53" i="4"/>
  <c r="M42" i="3"/>
  <c r="C35" i="18" s="1"/>
  <c r="B68" i="17"/>
  <c r="J36" i="3"/>
  <c r="C29" i="17" s="1"/>
  <c r="B28" i="17"/>
  <c r="B36" i="17"/>
  <c r="B67" i="18"/>
  <c r="B28" i="18"/>
  <c r="B63" i="18"/>
  <c r="J68" i="3"/>
  <c r="C61" i="17" s="1"/>
  <c r="B20" i="17"/>
  <c r="B57" i="18"/>
  <c r="B12" i="17"/>
  <c r="B8" i="17"/>
  <c r="J29" i="3"/>
  <c r="C22" i="17" s="1"/>
  <c r="B58" i="18"/>
  <c r="B14" i="17"/>
  <c r="B3" i="17"/>
  <c r="B11" i="17"/>
  <c r="J19" i="3"/>
  <c r="C12" i="17" s="1"/>
  <c r="B27" i="17"/>
  <c r="B43" i="17"/>
  <c r="B51" i="17"/>
  <c r="B18" i="18"/>
  <c r="B66" i="18"/>
  <c r="B12" i="18"/>
  <c r="B20" i="18"/>
  <c r="B16" i="17"/>
  <c r="B48" i="17"/>
  <c r="B71" i="17"/>
  <c r="B47" i="18"/>
  <c r="B15" i="18"/>
  <c r="B31" i="18"/>
  <c r="J15" i="3"/>
  <c r="C8" i="17" s="1"/>
  <c r="M58" i="3"/>
  <c r="C51" i="18" s="1"/>
  <c r="B50" i="18"/>
  <c r="B55" i="18"/>
  <c r="B60" i="18"/>
  <c r="M33" i="3" l="1"/>
  <c r="C26" i="18" s="1"/>
  <c r="M64" i="3"/>
  <c r="C57" i="18" s="1"/>
  <c r="M48" i="3"/>
  <c r="C41" i="18" s="1"/>
  <c r="J62" i="3"/>
  <c r="C55" i="17" s="1"/>
  <c r="H39" i="4"/>
  <c r="M66" i="3"/>
  <c r="C59" i="18" s="1"/>
  <c r="M74" i="3"/>
  <c r="C67" i="18" s="1"/>
  <c r="H67" i="4"/>
  <c r="J28" i="3"/>
  <c r="C21" i="17" s="1"/>
  <c r="B72" i="18"/>
  <c r="J16" i="3"/>
  <c r="C9" i="17" s="1"/>
  <c r="H63" i="4"/>
  <c r="H72" i="4"/>
  <c r="H76" i="4"/>
  <c r="H28" i="4"/>
  <c r="H36" i="4"/>
  <c r="M41" i="3"/>
  <c r="C34" i="18" s="1"/>
  <c r="M65" i="3"/>
  <c r="C58" i="18" s="1"/>
  <c r="J58" i="3"/>
  <c r="C51" i="17" s="1"/>
  <c r="J80" i="3"/>
  <c r="C73" i="17" s="1"/>
  <c r="M34" i="3"/>
  <c r="C27" i="18" s="1"/>
  <c r="M10" i="3"/>
  <c r="C3" i="18" s="1"/>
  <c r="J81" i="3"/>
  <c r="C74" i="17" s="1"/>
  <c r="M67" i="3"/>
  <c r="C60" i="18" s="1"/>
  <c r="B59" i="18"/>
  <c r="M88" i="3"/>
  <c r="C81" i="18" s="1"/>
  <c r="J57" i="3"/>
  <c r="C50" i="17" s="1"/>
  <c r="M59" i="3"/>
  <c r="C52" i="18" s="1"/>
  <c r="H48" i="4"/>
  <c r="M60" i="3"/>
  <c r="C53" i="18" s="1"/>
  <c r="H18" i="4"/>
  <c r="M135" i="3"/>
  <c r="C128" i="18" s="1"/>
  <c r="J79" i="3"/>
  <c r="C72" i="17" s="1"/>
  <c r="M15" i="3"/>
  <c r="C8" i="18" s="1"/>
  <c r="J135" i="3"/>
  <c r="C128" i="17" s="1"/>
  <c r="H27" i="4"/>
  <c r="H35" i="4"/>
  <c r="J134" i="3"/>
  <c r="C127" i="17" s="1"/>
  <c r="J11" i="3"/>
  <c r="C4" i="17" s="1"/>
  <c r="M134" i="3"/>
  <c r="C127" i="18" s="1"/>
  <c r="M132" i="3"/>
  <c r="C125" i="18" s="1"/>
  <c r="J96" i="3"/>
  <c r="C89" i="17" s="1"/>
  <c r="J41" i="3"/>
  <c r="C34" i="17" s="1"/>
  <c r="M80" i="3"/>
  <c r="C73" i="18" s="1"/>
  <c r="J97" i="3"/>
  <c r="C90" i="17" s="1"/>
  <c r="M94" i="3"/>
  <c r="C87" i="18" s="1"/>
  <c r="M54" i="3"/>
  <c r="C47" i="18" s="1"/>
  <c r="M107" i="3"/>
  <c r="C100" i="18" s="1"/>
  <c r="H31" i="4"/>
  <c r="J132" i="3"/>
  <c r="C125" i="17" s="1"/>
  <c r="J71" i="3"/>
  <c r="C64" i="17" s="1"/>
  <c r="M29" i="3"/>
  <c r="C22" i="18" s="1"/>
  <c r="J25" i="3"/>
  <c r="C18" i="17" s="1"/>
  <c r="M78" i="3"/>
  <c r="C71" i="18" s="1"/>
  <c r="H23" i="4"/>
  <c r="J122" i="3"/>
  <c r="C115" i="17" s="1"/>
  <c r="J42" i="3"/>
  <c r="C35" i="17" s="1"/>
  <c r="H47" i="4"/>
  <c r="J115" i="3"/>
  <c r="C108" i="17" s="1"/>
  <c r="J31" i="3"/>
  <c r="C24" i="17" s="1"/>
  <c r="M20" i="3"/>
  <c r="C13" i="18" s="1"/>
  <c r="H50" i="4"/>
  <c r="J123" i="3"/>
  <c r="C116" i="17" s="1"/>
  <c r="M126" i="3"/>
  <c r="C119" i="18" s="1"/>
  <c r="J130" i="3"/>
  <c r="C123" i="17" s="1"/>
  <c r="M95" i="3"/>
  <c r="C88" i="18" s="1"/>
  <c r="M22" i="3"/>
  <c r="C15" i="18" s="1"/>
  <c r="J117" i="3"/>
  <c r="C110" i="17" s="1"/>
  <c r="M120" i="3"/>
  <c r="C113" i="18" s="1"/>
  <c r="H12" i="4"/>
  <c r="H79" i="4"/>
  <c r="I82" i="4" s="1"/>
  <c r="B69" i="21" s="1"/>
  <c r="J119" i="3"/>
  <c r="C112" i="17" s="1"/>
  <c r="M93" i="3"/>
  <c r="C86" i="18" s="1"/>
  <c r="H26" i="4"/>
  <c r="J40" i="3"/>
  <c r="C33" i="17" s="1"/>
  <c r="J120" i="3"/>
  <c r="C113" i="17" s="1"/>
  <c r="M21" i="3"/>
  <c r="C14" i="18" s="1"/>
  <c r="H74" i="4"/>
  <c r="B88" i="17"/>
  <c r="M114" i="3"/>
  <c r="C107" i="18" s="1"/>
  <c r="H45" i="4"/>
  <c r="B116" i="17"/>
  <c r="M125" i="3"/>
  <c r="C118" i="18" s="1"/>
  <c r="J45" i="3"/>
  <c r="C38" i="17" s="1"/>
  <c r="J52" i="3"/>
  <c r="C45" i="17" s="1"/>
  <c r="J59" i="3"/>
  <c r="C52" i="17" s="1"/>
  <c r="H52" i="4"/>
  <c r="I53" i="4" s="1"/>
  <c r="B40" i="21" s="1"/>
  <c r="B122" i="17"/>
  <c r="M129" i="3"/>
  <c r="C122" i="18" s="1"/>
  <c r="J92" i="3"/>
  <c r="C85" i="17" s="1"/>
  <c r="J131" i="3"/>
  <c r="C124" i="17" s="1"/>
  <c r="M127" i="3"/>
  <c r="C120" i="18" s="1"/>
  <c r="J56" i="3"/>
  <c r="C49" i="17" s="1"/>
  <c r="M75" i="3"/>
  <c r="C68" i="18" s="1"/>
  <c r="H70" i="4"/>
  <c r="H78" i="4"/>
  <c r="I81" i="4" s="1"/>
  <c r="B112" i="18"/>
  <c r="J129" i="3"/>
  <c r="C122" i="17" s="1"/>
  <c r="J116" i="3"/>
  <c r="C109" i="17" s="1"/>
  <c r="J121" i="3"/>
  <c r="C114" i="17" s="1"/>
  <c r="M116" i="3"/>
  <c r="C109" i="18" s="1"/>
  <c r="M128" i="3"/>
  <c r="C121" i="18" s="1"/>
  <c r="J27" i="3"/>
  <c r="C20" i="17" s="1"/>
  <c r="M11" i="3"/>
  <c r="C4" i="18" s="1"/>
  <c r="H80" i="4"/>
  <c r="J91" i="3"/>
  <c r="C84" i="17" s="1"/>
  <c r="J124" i="3"/>
  <c r="C117" i="17" s="1"/>
  <c r="B118" i="18"/>
  <c r="J105" i="3"/>
  <c r="C98" i="17" s="1"/>
  <c r="J118" i="3"/>
  <c r="C111" i="17" s="1"/>
  <c r="J128" i="3"/>
  <c r="C121" i="17" s="1"/>
  <c r="M118" i="3"/>
  <c r="C111" i="18" s="1"/>
  <c r="M124" i="3"/>
  <c r="C117" i="18" s="1"/>
  <c r="J50" i="3"/>
  <c r="C43" i="17" s="1"/>
  <c r="M56" i="3"/>
  <c r="C49" i="18" s="1"/>
  <c r="H73" i="4"/>
  <c r="M123" i="3"/>
  <c r="C116" i="18" s="1"/>
  <c r="H43" i="4"/>
  <c r="M96" i="3"/>
  <c r="C89" i="18" s="1"/>
  <c r="J13" i="3"/>
  <c r="C6" i="17" s="1"/>
  <c r="M73" i="3"/>
  <c r="C66" i="18" s="1"/>
  <c r="M115" i="3"/>
  <c r="C108" i="18" s="1"/>
  <c r="M119" i="3"/>
  <c r="C112" i="18" s="1"/>
  <c r="J113" i="3"/>
  <c r="C106" i="17" s="1"/>
  <c r="B117" i="18"/>
  <c r="M44" i="3"/>
  <c r="C37" i="18" s="1"/>
  <c r="H61" i="4"/>
  <c r="H71" i="4"/>
  <c r="H75" i="4"/>
  <c r="I78" i="4" s="1"/>
  <c r="B65" i="21" s="1"/>
  <c r="I93" i="4"/>
  <c r="B80" i="21" s="1"/>
  <c r="I94" i="4"/>
  <c r="B81" i="21" s="1"/>
  <c r="I124" i="4"/>
  <c r="B111" i="21" s="1"/>
  <c r="I79" i="4"/>
  <c r="B66" i="21" s="1"/>
  <c r="I80" i="4"/>
  <c r="B67" i="21" s="1"/>
  <c r="I101" i="4"/>
  <c r="B88" i="21" s="1"/>
  <c r="I112" i="4"/>
  <c r="B99" i="21" s="1"/>
  <c r="I110" i="4"/>
  <c r="B97" i="21" s="1"/>
  <c r="I111" i="4"/>
  <c r="B98" i="21" s="1"/>
  <c r="I121" i="4"/>
  <c r="B108" i="21" s="1"/>
  <c r="I83" i="4"/>
  <c r="B70" i="21" s="1"/>
  <c r="I89" i="4"/>
  <c r="B76" i="21" s="1"/>
  <c r="I103" i="4"/>
  <c r="B90" i="21" s="1"/>
  <c r="I117" i="4"/>
  <c r="B104" i="21" s="1"/>
  <c r="I76" i="4"/>
  <c r="B63" i="21" s="1"/>
  <c r="I90" i="4"/>
  <c r="B77" i="21" s="1"/>
  <c r="I104" i="4"/>
  <c r="B91" i="21" s="1"/>
  <c r="I84" i="4"/>
  <c r="B71" i="21" s="1"/>
  <c r="I91" i="4"/>
  <c r="B78" i="21" s="1"/>
  <c r="I125" i="4"/>
  <c r="B112" i="21" s="1"/>
  <c r="I126" i="4"/>
  <c r="B113" i="21" s="1"/>
  <c r="I116" i="4"/>
  <c r="B103" i="21" s="1"/>
  <c r="B36" i="18"/>
  <c r="B19" i="17"/>
  <c r="M63" i="3"/>
  <c r="C56" i="18" s="1"/>
  <c r="J74" i="3"/>
  <c r="C67" i="17" s="1"/>
  <c r="J38" i="3"/>
  <c r="C31" i="17" s="1"/>
  <c r="M57" i="3"/>
  <c r="C50" i="18" s="1"/>
  <c r="J21" i="3"/>
  <c r="C14" i="17" s="1"/>
  <c r="M55" i="3"/>
  <c r="C48" i="18" s="1"/>
  <c r="M43" i="3"/>
  <c r="C36" i="18" s="1"/>
  <c r="H57" i="4"/>
  <c r="J103" i="3"/>
  <c r="C96" i="17" s="1"/>
  <c r="M122" i="3"/>
  <c r="C115" i="18" s="1"/>
  <c r="B85" i="17"/>
  <c r="J127" i="3"/>
  <c r="C120" i="17" s="1"/>
  <c r="J98" i="3"/>
  <c r="C91" i="17" s="1"/>
  <c r="J114" i="3"/>
  <c r="C107" i="17" s="1"/>
  <c r="B109" i="17"/>
  <c r="J133" i="3"/>
  <c r="C126" i="17" s="1"/>
  <c r="M99" i="3"/>
  <c r="C92" i="18" s="1"/>
  <c r="B108" i="18"/>
  <c r="B124" i="18"/>
  <c r="H21" i="4"/>
  <c r="H37" i="4"/>
  <c r="I40" i="4" s="1"/>
  <c r="B27" i="21" s="1"/>
  <c r="B6" i="17"/>
  <c r="B31" i="17"/>
  <c r="B42" i="17"/>
  <c r="B47" i="17"/>
  <c r="B52" i="17"/>
  <c r="B48" i="18"/>
  <c r="B68" i="18"/>
  <c r="H95" i="4"/>
  <c r="H97" i="4"/>
  <c r="M23" i="3"/>
  <c r="C16" i="18" s="1"/>
  <c r="J51" i="3"/>
  <c r="C44" i="17" s="1"/>
  <c r="J14" i="3"/>
  <c r="C7" i="17" s="1"/>
  <c r="M32" i="3"/>
  <c r="C25" i="18" s="1"/>
  <c r="J20" i="3"/>
  <c r="C13" i="17" s="1"/>
  <c r="J89" i="3"/>
  <c r="C82" i="17" s="1"/>
  <c r="M131" i="3"/>
  <c r="C124" i="18" s="1"/>
  <c r="J126" i="3"/>
  <c r="C119" i="17" s="1"/>
  <c r="B113" i="17"/>
  <c r="M113" i="3"/>
  <c r="C106" i="18" s="1"/>
  <c r="H15" i="4"/>
  <c r="J55" i="3"/>
  <c r="C48" i="17" s="1"/>
  <c r="M61" i="3"/>
  <c r="C54" i="18" s="1"/>
  <c r="M108" i="3"/>
  <c r="C101" i="18" s="1"/>
  <c r="M117" i="3"/>
  <c r="C110" i="18" s="1"/>
  <c r="M133" i="3"/>
  <c r="C126" i="18" s="1"/>
  <c r="J9" i="3"/>
  <c r="B4" i="18"/>
  <c r="H68" i="4"/>
  <c r="H85" i="4"/>
  <c r="I88" i="4" s="1"/>
  <c r="B75" i="21" s="1"/>
  <c r="H117" i="4"/>
  <c r="I120" i="4" s="1"/>
  <c r="B107" i="21" s="1"/>
  <c r="M49" i="3"/>
  <c r="C42" i="18" s="1"/>
  <c r="J60" i="3"/>
  <c r="C53" i="17" s="1"/>
  <c r="J125" i="3"/>
  <c r="C118" i="17" s="1"/>
  <c r="B119" i="18"/>
  <c r="M130" i="3"/>
  <c r="C123" i="18" s="1"/>
  <c r="B9" i="17"/>
  <c r="H55" i="4"/>
  <c r="H14" i="4"/>
  <c r="H66" i="4"/>
  <c r="H69" i="4"/>
  <c r="M76" i="3"/>
  <c r="C69" i="18" s="1"/>
  <c r="J26" i="3"/>
  <c r="C19" i="17" s="1"/>
  <c r="M85" i="3"/>
  <c r="C78" i="18" s="1"/>
  <c r="H22" i="4"/>
  <c r="H30" i="4"/>
  <c r="I31" i="4" s="1"/>
  <c r="B18" i="21" s="1"/>
  <c r="H34" i="4"/>
  <c r="I36" i="4" s="1"/>
  <c r="B23" i="21" s="1"/>
  <c r="M27" i="3"/>
  <c r="C20" i="18" s="1"/>
  <c r="H64" i="4"/>
  <c r="H105" i="4"/>
  <c r="I108" i="4" s="1"/>
  <c r="B95" i="21" s="1"/>
  <c r="M50" i="3"/>
  <c r="C43" i="18" s="1"/>
  <c r="J75" i="3"/>
  <c r="C68" i="17" s="1"/>
  <c r="M31" i="3"/>
  <c r="C24" i="18" s="1"/>
  <c r="M98" i="3"/>
  <c r="C91" i="18" s="1"/>
  <c r="M121" i="3"/>
  <c r="C114" i="18" s="1"/>
  <c r="J12" i="3"/>
  <c r="C5" i="17" s="1"/>
  <c r="J61" i="3"/>
  <c r="C54" i="17" s="1"/>
  <c r="M77" i="3"/>
  <c r="C70" i="18" s="1"/>
  <c r="M68" i="3"/>
  <c r="C61" i="18" s="1"/>
  <c r="J39" i="3"/>
  <c r="C32" i="17" s="1"/>
  <c r="M69" i="3"/>
  <c r="C62" i="18" s="1"/>
  <c r="J70" i="3"/>
  <c r="C63" i="17" s="1"/>
  <c r="M16" i="3"/>
  <c r="C9" i="18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55" i="4"/>
  <c r="B42" i="21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I38" i="4"/>
  <c r="B25" i="21" s="1"/>
  <c r="H46" i="4"/>
  <c r="H42" i="4"/>
  <c r="I45" i="4" s="1"/>
  <c r="B32" i="21" s="1"/>
  <c r="J102" i="3"/>
  <c r="C95" i="17" s="1"/>
  <c r="M105" i="3"/>
  <c r="C98" i="18" s="1"/>
  <c r="M104" i="3"/>
  <c r="C97" i="18" s="1"/>
  <c r="M106" i="3"/>
  <c r="C99" i="18" s="1"/>
  <c r="I69" i="4"/>
  <c r="B56" i="21" s="1"/>
  <c r="M12" i="3"/>
  <c r="C5" i="18" s="1"/>
  <c r="J24" i="3"/>
  <c r="C17" i="17" s="1"/>
  <c r="I28" i="4"/>
  <c r="B15" i="21" s="1"/>
  <c r="I43" i="4"/>
  <c r="B30" i="21" s="1"/>
  <c r="H16" i="4"/>
  <c r="H20" i="4"/>
  <c r="J34" i="3"/>
  <c r="C27" i="17" s="1"/>
  <c r="H32" i="4"/>
  <c r="I32" i="4" s="1"/>
  <c r="B19" i="21" s="1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I41" i="4"/>
  <c r="B28" i="21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I56" i="4" s="1"/>
  <c r="B43" i="21" s="1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77" i="4" l="1"/>
  <c r="B64" i="21" s="1"/>
  <c r="I30" i="4"/>
  <c r="B17" i="21" s="1"/>
  <c r="I54" i="4"/>
  <c r="B41" i="21" s="1"/>
  <c r="I16" i="4"/>
  <c r="B3" i="21" s="1"/>
  <c r="I72" i="4"/>
  <c r="B59" i="21" s="1"/>
  <c r="I37" i="4"/>
  <c r="B24" i="21" s="1"/>
  <c r="I75" i="4"/>
  <c r="B62" i="21" s="1"/>
  <c r="I22" i="4"/>
  <c r="B9" i="21" s="1"/>
  <c r="I39" i="4"/>
  <c r="B26" i="21" s="1"/>
  <c r="I74" i="4"/>
  <c r="B61" i="21" s="1"/>
  <c r="I71" i="4"/>
  <c r="B58" i="21" s="1"/>
  <c r="I73" i="4"/>
  <c r="B60" i="21" s="1"/>
  <c r="I118" i="4"/>
  <c r="B105" i="21" s="1"/>
  <c r="I105" i="4"/>
  <c r="B92" i="21" s="1"/>
  <c r="I107" i="4"/>
  <c r="B94" i="21" s="1"/>
  <c r="I99" i="4"/>
  <c r="B86" i="21" s="1"/>
  <c r="I100" i="4"/>
  <c r="B87" i="21" s="1"/>
  <c r="I85" i="4"/>
  <c r="B72" i="21" s="1"/>
  <c r="I87" i="4"/>
  <c r="B74" i="21" s="1"/>
  <c r="I98" i="4"/>
  <c r="B85" i="21" s="1"/>
  <c r="I97" i="4"/>
  <c r="B84" i="21" s="1"/>
  <c r="I95" i="4"/>
  <c r="B82" i="21" s="1"/>
  <c r="I106" i="4"/>
  <c r="B93" i="21" s="1"/>
  <c r="I119" i="4"/>
  <c r="B106" i="21" s="1"/>
  <c r="I96" i="4"/>
  <c r="B83" i="21" s="1"/>
  <c r="B68" i="21"/>
  <c r="K59" i="4"/>
  <c r="I86" i="4"/>
  <c r="B7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<sst xmlns="http://schemas.openxmlformats.org/spreadsheetml/2006/main" count="885" uniqueCount="527">
  <si>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</si>
  <si>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</si>
  <si>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</si>
  <si>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</si>
  <si>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</si>
  <si>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</si>
  <si>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</si>
  <si>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</si>
  <si>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</si>
  <si>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</si>
  <si>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</si>
  <si>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</si>
  <si>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</si>
  <si>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</si>
  <si>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</si>
  <si>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</si>
  <si>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</si>
  <si>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</si>
  <si>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</si>
  <si>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</si>
  <si>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</si>
  <si>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</si>
  <si>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</si>
  <si>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</si>
  <si>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</si>
  <si>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</si>
  <si>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</si>
  <si>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</si>
  <si>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</si>
  <si>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</si>
  <si>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</si>
  <si>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</si>
  <si>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</si>
  <si>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</si>
  <si>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</si>
  <si>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</si>
  <si>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</si>
  <si>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</si>
  <si>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</si>
  <si>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</si>
  <si>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</si>
  <si>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</si>
  <si>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</si>
  <si>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</si>
  <si>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</si>
  <si>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</si>
  <si>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</si>
  <si>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</si>
  <si>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</si>
  <si>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</si>
  <si>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</si>
  <si>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</si>
  <si>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</si>
  <si>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</si>
  <si>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</si>
  <si>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</si>
  <si>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</si>
  <si>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</si>
  <si>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</si>
  <si>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</si>
  <si>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</si>
  <si>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</si>
  <si>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</si>
  <si>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</si>
  <si>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</si>
  <si>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</si>
  <si>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</si>
  <si>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</si>
  <si>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</si>
  <si>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</si>
  <si>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</si>
  <si>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</si>
  <si>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</si>
  <si>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</si>
  <si>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</si>
  <si>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</si>
  <si>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</si>
  <si>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</si>
  <si>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</si>
  <si>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</si>
  <si>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</si>
  <si>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</si>
  <si>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</si>
  <si>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</si>
  <si>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</si>
  <si>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</si>
  <si>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</si>
  <si>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</si>
  <si>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</si>
  <si>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</si>
  <si>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</si>
  <si>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</si>
  <si>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</si>
  <si>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</si>
  <si>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</si>
  <si>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</si>
  <si>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</si>
  <si>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</si>
  <si>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</si>
  <si>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</si>
  <si>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</si>
  <si>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</si>
  <si>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</si>
  <si>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</si>
  <si>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</si>
  <si>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</si>
  <si>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</si>
  <si>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</si>
  <si>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</si>
  <si>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</si>
  <si>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</si>
  <si>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</si>
  <si>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</si>
  <si>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</si>
  <si>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</si>
  <si>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</si>
  <si>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</si>
  <si>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</si>
  <si>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</si>
  <si>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</si>
  <si>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</si>
  <si>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</si>
  <si>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</si>
  <si>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</si>
  <si>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</si>
  <si>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</si>
  <si>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</si>
  <si>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</si>
  <si>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</si>
  <si>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</si>
  <si>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</si>
  <si>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</si>
  <si>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</si>
  <si>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</si>
  <si>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</si>
  <si>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</si>
  <si>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</si>
  <si>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</si>
  <si>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</si>
  <si>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</si>
  <si>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</si>
  <si>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</si>
  <si>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</si>
  <si>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</si>
  <si>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</si>
  <si>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</si>
  <si>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</si>
  <si>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</si>
  <si>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</si>
  <si>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</si>
  <si>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</si>
  <si>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</si>
  <si>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</si>
  <si>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</si>
  <si>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</si>
  <si>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</si>
  <si>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</si>
  <si>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</si>
  <si>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</si>
  <si>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</si>
  <si>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</si>
  <si>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</si>
  <si>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</si>
  <si>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</si>
  <si>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</si>
  <si>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</si>
  <si>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</si>
  <si>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</si>
  <si>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</si>
  <si>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</si>
  <si>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</si>
  <si>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</si>
  <si>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</si>
  <si>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</si>
  <si>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</si>
  <si>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</si>
  <si>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</si>
  <si>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</si>
  <si>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</si>
  <si>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</si>
  <si>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</si>
  <si>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</si>
  <si>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</si>
  <si>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</si>
  <si>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</si>
  <si>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</si>
  <si>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</si>
  <si>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</si>
  <si>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</si>
  <si>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</si>
  <si>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</si>
  <si>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</si>
  <si>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</si>
  <si>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</si>
  <si>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</si>
  <si>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</si>
  <si>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</si>
  <si>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</si>
  <si>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</si>
  <si>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</si>
  <si>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</si>
  <si>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</si>
  <si>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</si>
  <si>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</si>
  <si>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</si>
  <si>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</si>
  <si>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</si>
  <si>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</si>
  <si>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</si>
  <si>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</si>
  <si>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</si>
  <si>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</si>
  <si>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</si>
  <si>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</si>
  <si>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</si>
  <si>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</si>
  <si>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</si>
  <si>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</si>
  <si>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</si>
  <si>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</si>
  <si>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</si>
  <si>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</si>
  <si>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</si>
  <si>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</si>
  <si>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</si>
  <si>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</si>
  <si>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</si>
  <si>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</si>
  <si>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</si>
  <si>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</si>
  <si>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</si>
  <si>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</si>
  <si>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</si>
  <si>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</si>
  <si>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</si>
  <si>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</si>
  <si>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</si>
  <si>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</si>
  <si>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</si>
  <si>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</si>
  <si>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</si>
  <si>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</si>
  <si>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</si>
  <si>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</si>
  <si>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</si>
  <si>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</si>
  <si>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</si>
  <si>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</si>
  <si>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</si>
  <si>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</si>
  <si>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</si>
  <si>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</si>
  <si>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</si>
  <si>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</si>
  <si>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</si>
  <si>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</si>
  <si>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</si>
  <si>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</si>
  <si>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</si>
  <si>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</si>
  <si>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</si>
  <si>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</si>
  <si>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</si>
  <si>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</si>
  <si>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</si>
  <si>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</si>
  <si>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</si>
  <si>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</si>
  <si>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</si>
  <si>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</si>
  <si>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</si>
  <si>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</si>
  <si>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</si>
  <si>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</si>
  <si>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</si>
  <si>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</si>
  <si>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</si>
  <si>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</si>
  <si>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</si>
  <si>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</si>
  <si>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</si>
  <si>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</si>
  <si>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</si>
  <si>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</si>
  <si>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</si>
  <si>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</si>
  <si>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</si>
  <si>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</si>
  <si>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</si>
  <si>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</si>
  <si>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</si>
  <si>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</si>
  <si>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</si>
  <si>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</si>
  <si>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</si>
  <si>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</si>
  <si>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</si>
  <si>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</si>
  <si>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</si>
  <si>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</si>
  <si>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</si>
  <si>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</si>
  <si>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</si>
  <si>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</si>
  <si>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</si>
  <si>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</si>
  <si>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</si>
  <si>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</si>
  <si>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</si>
  <si>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</si>
  <si>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</si>
  <si>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</si>
  <si>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</si>
  <si>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</si>
  <si>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</si>
  <si>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</si>
  <si>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</si>
  <si>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</si>
  <si>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</si>
  <si>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</si>
  <si>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</si>
  <si>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</si>
  <si>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</si>
  <si>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</si>
  <si>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</si>
  <si>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</si>
  <si>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</si>
  <si>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</si>
  <si>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</si>
  <si>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</si>
  <si>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</si>
  <si>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</si>
  <si>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</si>
  <si>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</si>
  <si>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</si>
  <si>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</si>
  <si>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</si>
  <si>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</si>
  <si>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</si>
  <si>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</si>
  <si>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</si>
  <si>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</si>
  <si>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</si>
  <si>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</si>
  <si>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</si>
  <si>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</si>
  <si>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</si>
  <si>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</si>
  <si>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</si>
  <si>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</si>
  <si>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</si>
  <si>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</si>
  <si>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</si>
  <si>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</si>
  <si>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</si>
  <si>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</si>
  <si>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</si>
  <si>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</si>
  <si>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</si>
  <si>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</si>
  <si>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</si>
  <si>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</si>
  <si>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</si>
  <si>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</si>
  <si>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</si>
  <si>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</si>
  <si>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</si>
  <si>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</si>
  <si>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</si>
  <si>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</si>
  <si>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</si>
  <si>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</si>
  <si>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</si>
  <si>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</si>
  <si>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</si>
  <si>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</si>
  <si>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</si>
  <si>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</si>
  <si>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</si>
  <si>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</si>
  <si>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</si>
  <si>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</si>
  <si>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</si>
  <si>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</si>
  <si>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</si>
  <si>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</si>
  <si>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</si>
  <si>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</si>
  <si>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</si>
  <si>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</si>
  <si>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</si>
  <si>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HJBDEMMP: CBO: Federal Mandatory Outlays as a Percentage of GDP: Medicare (Fiscal Year, %) HJBDEMDP: CBO: Federal Mandatory Outlays as a Percentage of GDP: Medicaid (Fiscal Year, %)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</si>
  <si>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</si>
  <si>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</si>
  <si>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</si>
  <si>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CBO Baseline as % of GDP: Revenues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</si>
  <si>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</si>
  <si>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</si>
  <si>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</si>
  <si>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</si>
  <si>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</si>
  <si>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</si>
  <si>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</si>
  <si>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</si>
  <si>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</si>
  <si>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</si>
  <si>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</si>
  <si>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</si>
  <si>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</si>
  <si>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</si>
  <si>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</si>
  <si>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</si>
  <si>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</si>
  <si>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</si>
  <si>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</si>
  <si>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</si>
  <si>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</si>
  <si>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</si>
  <si>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</si>
  <si>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</si>
  <si>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</si>
  <si>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</si>
  <si>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</si>
  <si>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</si>
  <si>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</si>
  <si>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</si>
  <si>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</si>
  <si>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</si>
  <si>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</si>
  <si>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</si>
  <si>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</si>
  <si>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-1.0</t>
  </si>
  <si>
    <t>1.6</t>
  </si>
  <si>
    <t>-11.4</t>
  </si>
  <si>
    <t>3.3</t>
  </si>
  <si>
    <t>-0.2</t>
  </si>
  <si>
    <t>2.8</t>
  </si>
  <si>
    <t>5.6</t>
  </si>
  <si>
    <t>4.5</t>
  </si>
  <si>
    <t>12.9</t>
  </si>
  <si>
    <t>1.8</t>
  </si>
  <si>
    <t>Q1-2017</t>
  </si>
  <si>
    <t>201701</t>
  </si>
  <si>
    <t>201702</t>
  </si>
  <si>
    <t>201703</t>
  </si>
  <si>
    <t>201704</t>
  </si>
  <si>
    <t>201705</t>
  </si>
  <si>
    <t>201706</t>
  </si>
  <si>
    <t>2017-Q1</t>
  </si>
  <si>
    <t>2017-Q2</t>
  </si>
  <si>
    <t>Q2-2017</t>
  </si>
  <si>
    <t>Q2-2019</t>
  </si>
  <si>
    <t>Q3-2017</t>
  </si>
  <si>
    <t>Q4-2017</t>
  </si>
  <si>
    <t>Q1-2018</t>
  </si>
  <si>
    <t>Q2-2018</t>
  </si>
  <si>
    <t>Q3-2018</t>
  </si>
  <si>
    <t>Q4-2018</t>
  </si>
  <si>
    <t>Q1-2019</t>
  </si>
  <si>
    <t>Monthly NBER Recession/Expansion: Trough Method (+1 or 0)</t>
  </si>
  <si>
    <t>201707</t>
  </si>
  <si>
    <t>201708</t>
  </si>
  <si>
    <t>201709</t>
  </si>
  <si>
    <t>201710</t>
  </si>
  <si>
    <t>201711</t>
  </si>
  <si>
    <t>201712</t>
  </si>
  <si>
    <t>201801</t>
  </si>
  <si>
    <t>201802</t>
  </si>
  <si>
    <t>201803</t>
  </si>
  <si>
    <t>201804</t>
  </si>
  <si>
    <t>201805</t>
  </si>
  <si>
    <t>201806</t>
  </si>
  <si>
    <t>201807</t>
  </si>
  <si>
    <t>201808</t>
  </si>
  <si>
    <t>201809</t>
  </si>
  <si>
    <t>201810</t>
  </si>
  <si>
    <t>201811</t>
  </si>
  <si>
    <t>201812</t>
  </si>
  <si>
    <t>201901</t>
  </si>
  <si>
    <t>201902</t>
  </si>
  <si>
    <t>201903</t>
  </si>
  <si>
    <t>201904</t>
  </si>
  <si>
    <t>201905</t>
  </si>
  <si>
    <t>201906</t>
  </si>
  <si>
    <t>201907</t>
  </si>
  <si>
    <t>201908</t>
  </si>
  <si>
    <t>FJBLMDP: Jun-25-2019 10:57 FJBLMCP: Jun-25-2019 10:57</t>
  </si>
  <si>
    <t>RESULT: 2049 FJBLMDP: 2049 FJBLMCP: 2049</t>
  </si>
  <si>
    <t>RESULT: 2017 FJBLMDP: 2017 FJBLMCP: 2017</t>
  </si>
  <si>
    <t>Jun-25-2019 10:57</t>
  </si>
  <si>
    <t>2049</t>
  </si>
  <si>
    <t>HJBUDEP: CBO: Federal Outlays as a Percentage of GDP (Fiscal Year, %) HJBDEIP: CBO: Federal Outlays as a Percentage of GDP: Net Interest (Fiscal Year, %) HJBDEMSP: CBO: Fed Mandatory Outlays as Percent of GDP: Social Security(Fiscal Year, .</t>
  </si>
  <si>
    <t>1920 _x001B_ Q1-1920</t>
  </si>
  <si>
    <t>Quarterly NBER Recession/Expansion: Trough Method (+1 or 0)</t>
  </si>
  <si>
    <t>CBO Baseline Projections as % of GDP: Outlays (Fiscal Yr, %)</t>
  </si>
  <si>
    <t>2017-Q3</t>
  </si>
  <si>
    <t>2017-Q4</t>
  </si>
  <si>
    <t>2018-Q1</t>
  </si>
  <si>
    <t>2018-Q2</t>
  </si>
  <si>
    <t>2018-Q3</t>
  </si>
  <si>
    <t>2018-Q4</t>
  </si>
  <si>
    <t>2019-Q1</t>
  </si>
  <si>
    <t>2019-Q2</t>
  </si>
  <si>
    <t>Real State &amp; Local Gross Investment: Structures (SAAR, Bil.Ch.2012$)</t>
  </si>
  <si>
    <t>201909</t>
  </si>
  <si>
    <t>2019-Q3</t>
  </si>
  <si>
    <t>Q3-2019</t>
  </si>
  <si>
    <t>FTOM@GOVFIN</t>
  </si>
  <si>
    <t>201910</t>
  </si>
  <si>
    <t>201911</t>
  </si>
  <si>
    <t>Jan-10-2020 08:31</t>
  </si>
  <si>
    <t>Jan-10-2020 11:29</t>
  </si>
  <si>
    <t>Jan-02-2020 08:31</t>
  </si>
  <si>
    <t>201912</t>
  </si>
  <si>
    <t>Dec-17-2019 15:08</t>
  </si>
  <si>
    <t>HJBDEMMP: Jan-28-2020 15:02 HJBDEMDP: Jan-28-2020 15:02</t>
  </si>
  <si>
    <t>RESULT: 2019 HJBDEMMP: 2019 HJBDEMDP: 2019</t>
  </si>
  <si>
    <t>RESULT: 1965 HJBDEMMP: 1965 HJBDEMDP: 1962</t>
  </si>
  <si>
    <t>Jan-28-2020 15:02</t>
  </si>
  <si>
    <t>1962</t>
  </si>
  <si>
    <t>HJBUDEP: Jan-28-2020 15:02 HJBDEIP: Jan-28-2020 15:02 HJBDEMSP: Jan-28-2020 15:02 HJBDEMMP: Jan-28-2020 15:02 HJBDEMDP: Jan-28-2020 15:02</t>
  </si>
  <si>
    <t>RESULT: 2019 HJBUDEP: 2019 HJBDEIP: 2019 HJBDEMSP: 2019 HJBDEMMP: 2019 HJBDEMDP: 2019</t>
  </si>
  <si>
    <t>RESULT: 1965 HJBUDEP: 1962 HJBDEIP: 1962 HJBDEMSP: 1962 HJBDEMMP: 1965 HJBDEMDP: 1962</t>
  </si>
  <si>
    <t>2019 _x001B_ Q4-2019</t>
  </si>
  <si>
    <t>Jan-28-2020 14:28</t>
  </si>
  <si>
    <t>2019-Q4</t>
  </si>
  <si>
    <t>Q4-2019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</si>
</sst>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0" fillId="0" borderId="0" xfId="0"/>
  </cellXfs>
  <cellStyles count="6">
    <cellStyle name="Hyperlink" xfId="1" builtinId="8"/>
    <cellStyle name="Normal" xfId="0" builtinId="0"/>
    <cellStyle name="Normal 2" xfId="4" xr:uid="{00000000-0005-0000-0000-000002000000}"/>
    <cellStyle name="Normal 3" xfId="2" xr:uid="{00000000-0005-0000-0000-000003000000}"/>
    <cellStyle name="Normal 4" xfId="3" xr:uid="{00000000-0005-0000-0000-000004000000}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-18000</c:v>
                </c:pt>
                <c:pt idx="52">
                  <c:v>12000</c:v>
                </c:pt>
                <c:pt idx="53">
                  <c:v>1000</c:v>
                </c:pt>
                <c:pt idx="54">
                  <c:v>-1000</c:v>
                </c:pt>
                <c:pt idx="55">
                  <c:v>14000</c:v>
                </c:pt>
                <c:pt idx="56">
                  <c:v>-20000</c:v>
                </c:pt>
                <c:pt idx="57">
                  <c:v>-15000</c:v>
                </c:pt>
                <c:pt idx="58">
                  <c:v>23000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-18000</c:v>
                </c:pt>
                <c:pt idx="63">
                  <c:v>-1000</c:v>
                </c:pt>
                <c:pt idx="64">
                  <c:v>16000</c:v>
                </c:pt>
                <c:pt idx="65">
                  <c:v>11000</c:v>
                </c:pt>
                <c:pt idx="66">
                  <c:v>20000</c:v>
                </c:pt>
                <c:pt idx="67">
                  <c:v>-21000</c:v>
                </c:pt>
                <c:pt idx="68">
                  <c:v>62000</c:v>
                </c:pt>
                <c:pt idx="69">
                  <c:v>4000</c:v>
                </c:pt>
                <c:pt idx="70">
                  <c:v>-50000</c:v>
                </c:pt>
                <c:pt idx="71">
                  <c:v>42000</c:v>
                </c:pt>
                <c:pt idx="72">
                  <c:v>20000</c:v>
                </c:pt>
                <c:pt idx="73">
                  <c:v>10000</c:v>
                </c:pt>
                <c:pt idx="74">
                  <c:v>12000</c:v>
                </c:pt>
                <c:pt idx="75">
                  <c:v>11000</c:v>
                </c:pt>
                <c:pt idx="76">
                  <c:v>17000</c:v>
                </c:pt>
                <c:pt idx="77">
                  <c:v>-10000</c:v>
                </c:pt>
                <c:pt idx="78">
                  <c:v>24000</c:v>
                </c:pt>
                <c:pt idx="79">
                  <c:v>15000</c:v>
                </c:pt>
                <c:pt idx="80">
                  <c:v>-3000</c:v>
                </c:pt>
                <c:pt idx="81">
                  <c:v>37000</c:v>
                </c:pt>
                <c:pt idx="82">
                  <c:v>7000</c:v>
                </c:pt>
                <c:pt idx="83">
                  <c:v>-19000</c:v>
                </c:pt>
                <c:pt idx="84">
                  <c:v>18000</c:v>
                </c:pt>
                <c:pt idx="85">
                  <c:v>11000</c:v>
                </c:pt>
                <c:pt idx="86">
                  <c:v>13000</c:v>
                </c:pt>
                <c:pt idx="87">
                  <c:v>25000</c:v>
                </c:pt>
                <c:pt idx="88">
                  <c:v>15000</c:v>
                </c:pt>
                <c:pt idx="89">
                  <c:v>35000</c:v>
                </c:pt>
                <c:pt idx="90">
                  <c:v>6000</c:v>
                </c:pt>
                <c:pt idx="91">
                  <c:v>-2000</c:v>
                </c:pt>
                <c:pt idx="92">
                  <c:v>1000</c:v>
                </c:pt>
                <c:pt idx="93">
                  <c:v>92000</c:v>
                </c:pt>
                <c:pt idx="94">
                  <c:v>-29000</c:v>
                </c:pt>
                <c:pt idx="95">
                  <c:v>22000</c:v>
                </c:pt>
                <c:pt idx="96">
                  <c:v>-2000</c:v>
                </c:pt>
                <c:pt idx="97">
                  <c:v>-7000</c:v>
                </c:pt>
                <c:pt idx="98">
                  <c:v>6000</c:v>
                </c:pt>
                <c:pt idx="99">
                  <c:v>13000</c:v>
                </c:pt>
                <c:pt idx="100">
                  <c:v>8000</c:v>
                </c:pt>
                <c:pt idx="101">
                  <c:v>11000</c:v>
                </c:pt>
                <c:pt idx="102">
                  <c:v>13000</c:v>
                </c:pt>
                <c:pt idx="103">
                  <c:v>-9000</c:v>
                </c:pt>
                <c:pt idx="104">
                  <c:v>26000</c:v>
                </c:pt>
                <c:pt idx="105">
                  <c:v>12000</c:v>
                </c:pt>
                <c:pt idx="106">
                  <c:v>-2000</c:v>
                </c:pt>
                <c:pt idx="107">
                  <c:v>3000</c:v>
                </c:pt>
                <c:pt idx="108">
                  <c:v>8000</c:v>
                </c:pt>
                <c:pt idx="109">
                  <c:v>15000</c:v>
                </c:pt>
                <c:pt idx="110">
                  <c:v>9000</c:v>
                </c:pt>
                <c:pt idx="111">
                  <c:v>-15000</c:v>
                </c:pt>
                <c:pt idx="112">
                  <c:v>29000</c:v>
                </c:pt>
                <c:pt idx="113">
                  <c:v>9000</c:v>
                </c:pt>
                <c:pt idx="114">
                  <c:v>11000</c:v>
                </c:pt>
                <c:pt idx="115">
                  <c:v>6000</c:v>
                </c:pt>
                <c:pt idx="116">
                  <c:v>24000</c:v>
                </c:pt>
                <c:pt idx="117">
                  <c:v>4000</c:v>
                </c:pt>
                <c:pt idx="118">
                  <c:v>36000</c:v>
                </c:pt>
                <c:pt idx="119">
                  <c:v>-1000</c:v>
                </c:pt>
                <c:pt idx="120">
                  <c:v>-9000</c:v>
                </c:pt>
                <c:pt idx="121">
                  <c:v>-10000</c:v>
                </c:pt>
                <c:pt idx="122">
                  <c:v>9000</c:v>
                </c:pt>
                <c:pt idx="123">
                  <c:v>16000</c:v>
                </c:pt>
                <c:pt idx="124">
                  <c:v>3000</c:v>
                </c:pt>
                <c:pt idx="125">
                  <c:v>1000</c:v>
                </c:pt>
                <c:pt idx="126">
                  <c:v>14000</c:v>
                </c:pt>
                <c:pt idx="127">
                  <c:v>-24000</c:v>
                </c:pt>
                <c:pt idx="128">
                  <c:v>15000</c:v>
                </c:pt>
                <c:pt idx="129">
                  <c:v>44000</c:v>
                </c:pt>
                <c:pt idx="130">
                  <c:v>29000</c:v>
                </c:pt>
                <c:pt idx="131">
                  <c:v>8000</c:v>
                </c:pt>
                <c:pt idx="132">
                  <c:v>6000</c:v>
                </c:pt>
                <c:pt idx="133">
                  <c:v>15000</c:v>
                </c:pt>
                <c:pt idx="134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-5333.333333333333</c:v>
                </c:pt>
                <c:pt idx="52">
                  <c:v>333.33333333333331</c:v>
                </c:pt>
                <c:pt idx="53">
                  <c:v>-1666.6666666666667</c:v>
                </c:pt>
                <c:pt idx="54">
                  <c:v>4000</c:v>
                </c:pt>
                <c:pt idx="55">
                  <c:v>4666.666666666667</c:v>
                </c:pt>
                <c:pt idx="56">
                  <c:v>-2333.3333333333335</c:v>
                </c:pt>
                <c:pt idx="57">
                  <c:v>-7000</c:v>
                </c:pt>
                <c:pt idx="58">
                  <c:v>-4000</c:v>
                </c:pt>
                <c:pt idx="59">
                  <c:v>4333.333333333333</c:v>
                </c:pt>
                <c:pt idx="60">
                  <c:v>12333.333333333334</c:v>
                </c:pt>
                <c:pt idx="61">
                  <c:v>6666.666666666667</c:v>
                </c:pt>
                <c:pt idx="62">
                  <c:v>-1000</c:v>
                </c:pt>
                <c:pt idx="63">
                  <c:v>-4333.333333333333</c:v>
                </c:pt>
                <c:pt idx="64">
                  <c:v>-1000</c:v>
                </c:pt>
                <c:pt idx="65">
                  <c:v>8666.6666666666661</c:v>
                </c:pt>
                <c:pt idx="66">
                  <c:v>15666.666666666666</c:v>
                </c:pt>
                <c:pt idx="67">
                  <c:v>3333.3333333333335</c:v>
                </c:pt>
                <c:pt idx="68">
                  <c:v>20333.333333333332</c:v>
                </c:pt>
                <c:pt idx="69">
                  <c:v>15000</c:v>
                </c:pt>
                <c:pt idx="70">
                  <c:v>5333.333333333333</c:v>
                </c:pt>
                <c:pt idx="71">
                  <c:v>-1333.3333333333333</c:v>
                </c:pt>
                <c:pt idx="72">
                  <c:v>4000</c:v>
                </c:pt>
                <c:pt idx="73">
                  <c:v>24000</c:v>
                </c:pt>
                <c:pt idx="74">
                  <c:v>14000</c:v>
                </c:pt>
                <c:pt idx="75">
                  <c:v>11000</c:v>
                </c:pt>
                <c:pt idx="76">
                  <c:v>13333.333333333334</c:v>
                </c:pt>
                <c:pt idx="77">
                  <c:v>6000</c:v>
                </c:pt>
                <c:pt idx="78">
                  <c:v>10333.333333333334</c:v>
                </c:pt>
                <c:pt idx="79">
                  <c:v>9666.6666666666661</c:v>
                </c:pt>
                <c:pt idx="80">
                  <c:v>12000</c:v>
                </c:pt>
                <c:pt idx="81">
                  <c:v>16333.333333333334</c:v>
                </c:pt>
                <c:pt idx="82">
                  <c:v>13666.666666666666</c:v>
                </c:pt>
                <c:pt idx="83">
                  <c:v>8333.3333333333339</c:v>
                </c:pt>
                <c:pt idx="84">
                  <c:v>2000</c:v>
                </c:pt>
                <c:pt idx="85">
                  <c:v>3333.3333333333335</c:v>
                </c:pt>
                <c:pt idx="86">
                  <c:v>14000</c:v>
                </c:pt>
                <c:pt idx="87">
                  <c:v>16333.333333333334</c:v>
                </c:pt>
                <c:pt idx="88">
                  <c:v>17666.666666666668</c:v>
                </c:pt>
                <c:pt idx="89">
                  <c:v>25000</c:v>
                </c:pt>
                <c:pt idx="90">
                  <c:v>18666.666666666668</c:v>
                </c:pt>
                <c:pt idx="91">
                  <c:v>13000</c:v>
                </c:pt>
                <c:pt idx="92">
                  <c:v>1666.6666666666667</c:v>
                </c:pt>
                <c:pt idx="93">
                  <c:v>30333.333333333332</c:v>
                </c:pt>
                <c:pt idx="94">
                  <c:v>21333.333333333332</c:v>
                </c:pt>
                <c:pt idx="95">
                  <c:v>28333.333333333332</c:v>
                </c:pt>
                <c:pt idx="96">
                  <c:v>-3000</c:v>
                </c:pt>
                <c:pt idx="97">
                  <c:v>4333.333333333333</c:v>
                </c:pt>
                <c:pt idx="98">
                  <c:v>-1000</c:v>
                </c:pt>
                <c:pt idx="99">
                  <c:v>4000</c:v>
                </c:pt>
                <c:pt idx="100">
                  <c:v>9000</c:v>
                </c:pt>
                <c:pt idx="101">
                  <c:v>10666.666666666666</c:v>
                </c:pt>
                <c:pt idx="102">
                  <c:v>10666.666666666666</c:v>
                </c:pt>
                <c:pt idx="103">
                  <c:v>5000</c:v>
                </c:pt>
                <c:pt idx="104">
                  <c:v>10000</c:v>
                </c:pt>
                <c:pt idx="105">
                  <c:v>9666.6666666666661</c:v>
                </c:pt>
                <c:pt idx="106">
                  <c:v>12000</c:v>
                </c:pt>
                <c:pt idx="107">
                  <c:v>4333.333333333333</c:v>
                </c:pt>
                <c:pt idx="108">
                  <c:v>3000</c:v>
                </c:pt>
                <c:pt idx="109">
                  <c:v>8666.6666666666661</c:v>
                </c:pt>
                <c:pt idx="110">
                  <c:v>10666.666666666666</c:v>
                </c:pt>
                <c:pt idx="111">
                  <c:v>3000</c:v>
                </c:pt>
                <c:pt idx="112">
                  <c:v>7666.666666666667</c:v>
                </c:pt>
                <c:pt idx="113">
                  <c:v>7666.666666666667</c:v>
                </c:pt>
                <c:pt idx="114">
                  <c:v>16333.333333333334</c:v>
                </c:pt>
                <c:pt idx="115">
                  <c:v>8666.6666666666661</c:v>
                </c:pt>
                <c:pt idx="116">
                  <c:v>13666.666666666666</c:v>
                </c:pt>
                <c:pt idx="117">
                  <c:v>11333.333333333334</c:v>
                </c:pt>
                <c:pt idx="118">
                  <c:v>21333.333333333332</c:v>
                </c:pt>
                <c:pt idx="119">
                  <c:v>13000</c:v>
                </c:pt>
                <c:pt idx="120">
                  <c:v>8666.6666666666661</c:v>
                </c:pt>
                <c:pt idx="121">
                  <c:v>-6666.666666666667</c:v>
                </c:pt>
                <c:pt idx="122">
                  <c:v>-3333.3333333333335</c:v>
                </c:pt>
                <c:pt idx="123">
                  <c:v>5000</c:v>
                </c:pt>
                <c:pt idx="124">
                  <c:v>9333.3333333333339</c:v>
                </c:pt>
                <c:pt idx="125">
                  <c:v>6666.666666666667</c:v>
                </c:pt>
                <c:pt idx="126">
                  <c:v>6000</c:v>
                </c:pt>
                <c:pt idx="127">
                  <c:v>-3000</c:v>
                </c:pt>
                <c:pt idx="128">
                  <c:v>1666.6666666666667</c:v>
                </c:pt>
                <c:pt idx="129">
                  <c:v>11666.666666666666</c:v>
                </c:pt>
                <c:pt idx="130">
                  <c:v>29333.333333333332</c:v>
                </c:pt>
                <c:pt idx="131">
                  <c:v>27000</c:v>
                </c:pt>
                <c:pt idx="132">
                  <c:v>14333.333333333334</c:v>
                </c:pt>
                <c:pt idx="133">
                  <c:v>9666.6666666666661</c:v>
                </c:pt>
                <c:pt idx="134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-4300.0000000001819</c:v>
                </c:pt>
                <c:pt idx="52">
                  <c:v>-199.9999999998181</c:v>
                </c:pt>
                <c:pt idx="53">
                  <c:v>-1599.9999999999091</c:v>
                </c:pt>
                <c:pt idx="54">
                  <c:v>-9200.0000000002728</c:v>
                </c:pt>
                <c:pt idx="55">
                  <c:v>-7900.0000000000909</c:v>
                </c:pt>
                <c:pt idx="56">
                  <c:v>-6799.9999999997272</c:v>
                </c:pt>
                <c:pt idx="57">
                  <c:v>-9000</c:v>
                </c:pt>
                <c:pt idx="58">
                  <c:v>-6900.0000000000909</c:v>
                </c:pt>
                <c:pt idx="59">
                  <c:v>-2300.0000000001819</c:v>
                </c:pt>
                <c:pt idx="60">
                  <c:v>-10899.999999999636</c:v>
                </c:pt>
                <c:pt idx="61">
                  <c:v>2799.9999999997272</c:v>
                </c:pt>
                <c:pt idx="62">
                  <c:v>-4400.0000000000909</c:v>
                </c:pt>
                <c:pt idx="63">
                  <c:v>-3399.9999999996362</c:v>
                </c:pt>
                <c:pt idx="64">
                  <c:v>-3900.0000000000909</c:v>
                </c:pt>
                <c:pt idx="65">
                  <c:v>-2000</c:v>
                </c:pt>
                <c:pt idx="66">
                  <c:v>-2400.0000000000909</c:v>
                </c:pt>
                <c:pt idx="67">
                  <c:v>699.9999999998181</c:v>
                </c:pt>
                <c:pt idx="68">
                  <c:v>200.00000000027285</c:v>
                </c:pt>
                <c:pt idx="69">
                  <c:v>2599.9999999999091</c:v>
                </c:pt>
                <c:pt idx="70">
                  <c:v>3599.9999999999091</c:v>
                </c:pt>
                <c:pt idx="71">
                  <c:v>-1400.0000000000909</c:v>
                </c:pt>
                <c:pt idx="72">
                  <c:v>100.0000000003638</c:v>
                </c:pt>
                <c:pt idx="73">
                  <c:v>3699.9999999998181</c:v>
                </c:pt>
                <c:pt idx="74">
                  <c:v>1699.9999999998181</c:v>
                </c:pt>
                <c:pt idx="75">
                  <c:v>3000</c:v>
                </c:pt>
                <c:pt idx="76">
                  <c:v>1800.0000000001819</c:v>
                </c:pt>
                <c:pt idx="77">
                  <c:v>2199.9999999998181</c:v>
                </c:pt>
                <c:pt idx="78">
                  <c:v>1600.0000000003638</c:v>
                </c:pt>
                <c:pt idx="79">
                  <c:v>2899.9999999996362</c:v>
                </c:pt>
                <c:pt idx="80">
                  <c:v>-199.9999999998181</c:v>
                </c:pt>
                <c:pt idx="81">
                  <c:v>3699.9999999998181</c:v>
                </c:pt>
                <c:pt idx="82">
                  <c:v>1400.0000000000909</c:v>
                </c:pt>
                <c:pt idx="83">
                  <c:v>99.999999999909051</c:v>
                </c:pt>
                <c:pt idx="84">
                  <c:v>-3799.9999999997272</c:v>
                </c:pt>
                <c:pt idx="85">
                  <c:v>6199.9999999998181</c:v>
                </c:pt>
                <c:pt idx="86">
                  <c:v>6000</c:v>
                </c:pt>
                <c:pt idx="87">
                  <c:v>-199.9999999998181</c:v>
                </c:pt>
                <c:pt idx="88">
                  <c:v>1799.9999999997272</c:v>
                </c:pt>
                <c:pt idx="89">
                  <c:v>3300.0000000001819</c:v>
                </c:pt>
                <c:pt idx="90">
                  <c:v>2599.9999999999091</c:v>
                </c:pt>
                <c:pt idx="91">
                  <c:v>4099.9999999999091</c:v>
                </c:pt>
                <c:pt idx="92">
                  <c:v>4900.0000000000909</c:v>
                </c:pt>
                <c:pt idx="93">
                  <c:v>3900.0000000000909</c:v>
                </c:pt>
                <c:pt idx="94">
                  <c:v>-2099.9999999999091</c:v>
                </c:pt>
                <c:pt idx="95">
                  <c:v>3099.9999999999091</c:v>
                </c:pt>
                <c:pt idx="96">
                  <c:v>1300.0000000001819</c:v>
                </c:pt>
                <c:pt idx="97">
                  <c:v>-7100.0000000003638</c:v>
                </c:pt>
                <c:pt idx="98">
                  <c:v>12000</c:v>
                </c:pt>
                <c:pt idx="99">
                  <c:v>-299.99999999972715</c:v>
                </c:pt>
                <c:pt idx="100">
                  <c:v>-1599.9999999999091</c:v>
                </c:pt>
                <c:pt idx="101">
                  <c:v>-4000</c:v>
                </c:pt>
                <c:pt idx="102">
                  <c:v>-4900.0000000000909</c:v>
                </c:pt>
                <c:pt idx="103">
                  <c:v>2900.0000000000909</c:v>
                </c:pt>
                <c:pt idx="104">
                  <c:v>-2000</c:v>
                </c:pt>
                <c:pt idx="105">
                  <c:v>-1600.0000000003638</c:v>
                </c:pt>
                <c:pt idx="106">
                  <c:v>-199.9999999998181</c:v>
                </c:pt>
                <c:pt idx="107">
                  <c:v>-699.9999999998181</c:v>
                </c:pt>
                <c:pt idx="108">
                  <c:v>1199.9999999998181</c:v>
                </c:pt>
                <c:pt idx="109">
                  <c:v>-3199.9999999998181</c:v>
                </c:pt>
                <c:pt idx="110">
                  <c:v>-2000</c:v>
                </c:pt>
                <c:pt idx="111">
                  <c:v>699.9999999998181</c:v>
                </c:pt>
                <c:pt idx="112">
                  <c:v>400.00000000009095</c:v>
                </c:pt>
                <c:pt idx="113">
                  <c:v>900.00000000009095</c:v>
                </c:pt>
                <c:pt idx="114">
                  <c:v>1500</c:v>
                </c:pt>
                <c:pt idx="115">
                  <c:v>-300.0000000001819</c:v>
                </c:pt>
                <c:pt idx="116">
                  <c:v>1800.0000000001819</c:v>
                </c:pt>
                <c:pt idx="117">
                  <c:v>1799.9999999997272</c:v>
                </c:pt>
                <c:pt idx="118">
                  <c:v>500</c:v>
                </c:pt>
                <c:pt idx="119">
                  <c:v>800.0000000001819</c:v>
                </c:pt>
                <c:pt idx="120">
                  <c:v>2400.0000000000909</c:v>
                </c:pt>
                <c:pt idx="121">
                  <c:v>-300.0000000001819</c:v>
                </c:pt>
                <c:pt idx="122">
                  <c:v>-1099.9999999999091</c:v>
                </c:pt>
                <c:pt idx="123">
                  <c:v>-500</c:v>
                </c:pt>
                <c:pt idx="124">
                  <c:v>5299.9999999997272</c:v>
                </c:pt>
                <c:pt idx="125">
                  <c:v>-1500</c:v>
                </c:pt>
                <c:pt idx="126">
                  <c:v>6500</c:v>
                </c:pt>
                <c:pt idx="127">
                  <c:v>2000</c:v>
                </c:pt>
                <c:pt idx="128">
                  <c:v>2600.0000000003638</c:v>
                </c:pt>
                <c:pt idx="129">
                  <c:v>1500</c:v>
                </c:pt>
                <c:pt idx="130">
                  <c:v>2099.9999999999091</c:v>
                </c:pt>
                <c:pt idx="131">
                  <c:v>599.99999999990905</c:v>
                </c:pt>
                <c:pt idx="132">
                  <c:v>1800.0000000001819</c:v>
                </c:pt>
                <c:pt idx="133">
                  <c:v>3000</c:v>
                </c:pt>
                <c:pt idx="134">
                  <c:v>-1200.0000000002728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-3333.3333333333335</c:v>
                </c:pt>
                <c:pt idx="52" formatCode="0.00">
                  <c:v>-1899.9999999999393</c:v>
                </c:pt>
                <c:pt idx="53" formatCode="0.00">
                  <c:v>-2033.333333333303</c:v>
                </c:pt>
                <c:pt idx="54" formatCode="0.00">
                  <c:v>-3666.6666666666665</c:v>
                </c:pt>
                <c:pt idx="55" formatCode="0.00">
                  <c:v>-6233.333333333424</c:v>
                </c:pt>
                <c:pt idx="56" formatCode="0.00">
                  <c:v>-7966.666666666697</c:v>
                </c:pt>
                <c:pt idx="57" formatCode="0.00">
                  <c:v>-7899.9999999999391</c:v>
                </c:pt>
                <c:pt idx="58" formatCode="0.00">
                  <c:v>-7566.666666666606</c:v>
                </c:pt>
                <c:pt idx="59" formatCode="0.00">
                  <c:v>-6066.6666666667579</c:v>
                </c:pt>
                <c:pt idx="60" formatCode="0.00">
                  <c:v>-6699.99999999997</c:v>
                </c:pt>
                <c:pt idx="61" formatCode="0.00">
                  <c:v>-3466.666666666697</c:v>
                </c:pt>
                <c:pt idx="62" formatCode="0.00">
                  <c:v>-4166.666666666667</c:v>
                </c:pt>
                <c:pt idx="63" formatCode="0.00">
                  <c:v>-1666.6666666666667</c:v>
                </c:pt>
                <c:pt idx="64" formatCode="0.00">
                  <c:v>-3899.9999999999395</c:v>
                </c:pt>
                <c:pt idx="65" formatCode="0.00">
                  <c:v>-3099.9999999999091</c:v>
                </c:pt>
                <c:pt idx="66" formatCode="0.00">
                  <c:v>-2766.6666666667275</c:v>
                </c:pt>
                <c:pt idx="67" formatCode="0.00">
                  <c:v>-1233.3333333334242</c:v>
                </c:pt>
                <c:pt idx="68" formatCode="0.00">
                  <c:v>-500</c:v>
                </c:pt>
                <c:pt idx="69" formatCode="0.00">
                  <c:v>1166.6666666666667</c:v>
                </c:pt>
                <c:pt idx="70" formatCode="0.00">
                  <c:v>2133.3333333333635</c:v>
                </c:pt>
                <c:pt idx="71" formatCode="0.00">
                  <c:v>1599.9999999999091</c:v>
                </c:pt>
                <c:pt idx="72" formatCode="0.00">
                  <c:v>766.66666666672734</c:v>
                </c:pt>
                <c:pt idx="73" formatCode="0.00">
                  <c:v>800.00000000003035</c:v>
                </c:pt>
                <c:pt idx="74" formatCode="0.00">
                  <c:v>1833.3333333333333</c:v>
                </c:pt>
                <c:pt idx="75" formatCode="0.00">
                  <c:v>2799.9999999998786</c:v>
                </c:pt>
                <c:pt idx="76" formatCode="0.00">
                  <c:v>2166.6666666666665</c:v>
                </c:pt>
                <c:pt idx="77" formatCode="0.00">
                  <c:v>2333.3333333333335</c:v>
                </c:pt>
                <c:pt idx="78" formatCode="0.00">
                  <c:v>1866.6666666667879</c:v>
                </c:pt>
                <c:pt idx="79" formatCode="0.00">
                  <c:v>2233.3333333332725</c:v>
                </c:pt>
                <c:pt idx="80" formatCode="0.00">
                  <c:v>1433.333333333394</c:v>
                </c:pt>
                <c:pt idx="81" formatCode="0.00">
                  <c:v>2133.3333333332121</c:v>
                </c:pt>
                <c:pt idx="82" formatCode="0.00">
                  <c:v>1633.3333333333637</c:v>
                </c:pt>
                <c:pt idx="83" formatCode="0.00">
                  <c:v>1733.3333333332728</c:v>
                </c:pt>
                <c:pt idx="84" formatCode="0.00">
                  <c:v>-766.66666666657568</c:v>
                </c:pt>
                <c:pt idx="85" formatCode="0.00">
                  <c:v>833.33333333333337</c:v>
                </c:pt>
                <c:pt idx="86" formatCode="0.00">
                  <c:v>2800.0000000000305</c:v>
                </c:pt>
                <c:pt idx="87" formatCode="0.00">
                  <c:v>4000</c:v>
                </c:pt>
                <c:pt idx="88" formatCode="0.00">
                  <c:v>2533.333333333303</c:v>
                </c:pt>
                <c:pt idx="89" formatCode="0.00">
                  <c:v>1633.3333333333637</c:v>
                </c:pt>
                <c:pt idx="90" formatCode="0.00">
                  <c:v>2566.666666666606</c:v>
                </c:pt>
                <c:pt idx="91" formatCode="0.00">
                  <c:v>3333.3333333333335</c:v>
                </c:pt>
                <c:pt idx="92" formatCode="0.00">
                  <c:v>3866.6666666666365</c:v>
                </c:pt>
                <c:pt idx="93" formatCode="0.00">
                  <c:v>4300.00000000003</c:v>
                </c:pt>
                <c:pt idx="94" formatCode="0.00">
                  <c:v>2233.3333333334244</c:v>
                </c:pt>
                <c:pt idx="95" formatCode="0.00">
                  <c:v>1633.3333333333637</c:v>
                </c:pt>
                <c:pt idx="96" formatCode="0.00">
                  <c:v>766.66666666672734</c:v>
                </c:pt>
                <c:pt idx="97" formatCode="0.00">
                  <c:v>-900.00000000009095</c:v>
                </c:pt>
                <c:pt idx="98" formatCode="0.00">
                  <c:v>2066.666666666606</c:v>
                </c:pt>
                <c:pt idx="99" formatCode="0.00">
                  <c:v>1533.333333333303</c:v>
                </c:pt>
                <c:pt idx="100" formatCode="0.00">
                  <c:v>3366.6666666667879</c:v>
                </c:pt>
                <c:pt idx="101" formatCode="0.00">
                  <c:v>-1966.6666666665453</c:v>
                </c:pt>
                <c:pt idx="102" formatCode="0.00">
                  <c:v>-3500</c:v>
                </c:pt>
                <c:pt idx="103" formatCode="0.00">
                  <c:v>-2000</c:v>
                </c:pt>
                <c:pt idx="104" formatCode="0.00">
                  <c:v>-1333.3333333333333</c:v>
                </c:pt>
                <c:pt idx="105" formatCode="0.00">
                  <c:v>-233.33333333342429</c:v>
                </c:pt>
                <c:pt idx="106" formatCode="0.00">
                  <c:v>-1266.6666666667272</c:v>
                </c:pt>
                <c:pt idx="107" formatCode="0.00">
                  <c:v>-833.33333333333337</c:v>
                </c:pt>
                <c:pt idx="108" formatCode="0.00">
                  <c:v>100.00000000006064</c:v>
                </c:pt>
                <c:pt idx="109" formatCode="0.00">
                  <c:v>-899.9999999999394</c:v>
                </c:pt>
                <c:pt idx="110" formatCode="0.00">
                  <c:v>-1333.3333333333333</c:v>
                </c:pt>
                <c:pt idx="111" formatCode="0.00">
                  <c:v>-1500</c:v>
                </c:pt>
                <c:pt idx="112" formatCode="0.00">
                  <c:v>-300.0000000000303</c:v>
                </c:pt>
                <c:pt idx="113" formatCode="0.00">
                  <c:v>666.66666666666663</c:v>
                </c:pt>
                <c:pt idx="114" formatCode="0.00">
                  <c:v>933.33333333339397</c:v>
                </c:pt>
                <c:pt idx="115" formatCode="0.00">
                  <c:v>699.99999999996965</c:v>
                </c:pt>
                <c:pt idx="116" formatCode="0.00">
                  <c:v>1000</c:v>
                </c:pt>
                <c:pt idx="117" formatCode="0.00">
                  <c:v>1099.9999999999091</c:v>
                </c:pt>
                <c:pt idx="118" formatCode="0.00">
                  <c:v>1366.6666666666363</c:v>
                </c:pt>
                <c:pt idx="119" formatCode="0.00">
                  <c:v>1033.333333333303</c:v>
                </c:pt>
                <c:pt idx="120" formatCode="0.00">
                  <c:v>1233.3333333334242</c:v>
                </c:pt>
                <c:pt idx="121" formatCode="0.00">
                  <c:v>966.66666666669698</c:v>
                </c:pt>
                <c:pt idx="122" formatCode="0.00">
                  <c:v>333.33333333333331</c:v>
                </c:pt>
                <c:pt idx="123" formatCode="0.00">
                  <c:v>-633.33333333336361</c:v>
                </c:pt>
                <c:pt idx="124" formatCode="0.00">
                  <c:v>1233.3333333332728</c:v>
                </c:pt>
                <c:pt idx="125" formatCode="0.00">
                  <c:v>1099.9999999999091</c:v>
                </c:pt>
                <c:pt idx="126" formatCode="0.00">
                  <c:v>3433.3333333332425</c:v>
                </c:pt>
                <c:pt idx="127" formatCode="0.00">
                  <c:v>2333.3333333333335</c:v>
                </c:pt>
                <c:pt idx="128" formatCode="0.00">
                  <c:v>3700.0000000001214</c:v>
                </c:pt>
                <c:pt idx="129" formatCode="0.00">
                  <c:v>2033.3333333334547</c:v>
                </c:pt>
                <c:pt idx="130" formatCode="0.00">
                  <c:v>2066.6666666667575</c:v>
                </c:pt>
                <c:pt idx="131" formatCode="0.00">
                  <c:v>1399.9999999999393</c:v>
                </c:pt>
                <c:pt idx="132" formatCode="0.00">
                  <c:v>1500</c:v>
                </c:pt>
                <c:pt idx="133" formatCode="0.00">
                  <c:v>1800.0000000000302</c:v>
                </c:pt>
                <c:pt idx="134" formatCode="0.00">
                  <c:v>1199.9999999999698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  <c:pt idx="41">
                  <c:v>43556</c:v>
                </c:pt>
                <c:pt idx="42">
                  <c:v>43647</c:v>
                </c:pt>
                <c:pt idx="43">
                  <c:v>43739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310.5</c:v>
                </c:pt>
                <c:pt idx="1">
                  <c:v>315.8</c:v>
                </c:pt>
                <c:pt idx="2">
                  <c:v>314.2</c:v>
                </c:pt>
                <c:pt idx="3">
                  <c:v>304.60000000000002</c:v>
                </c:pt>
                <c:pt idx="4">
                  <c:v>293.8</c:v>
                </c:pt>
                <c:pt idx="5">
                  <c:v>303.5</c:v>
                </c:pt>
                <c:pt idx="6">
                  <c:v>305.89999999999998</c:v>
                </c:pt>
                <c:pt idx="7">
                  <c:v>299</c:v>
                </c:pt>
                <c:pt idx="8">
                  <c:v>290.39999999999998</c:v>
                </c:pt>
                <c:pt idx="9">
                  <c:v>283.39999999999998</c:v>
                </c:pt>
                <c:pt idx="10">
                  <c:v>279.8</c:v>
                </c:pt>
                <c:pt idx="11">
                  <c:v>281.60000000000002</c:v>
                </c:pt>
                <c:pt idx="12">
                  <c:v>273.3</c:v>
                </c:pt>
                <c:pt idx="13">
                  <c:v>268.8</c:v>
                </c:pt>
                <c:pt idx="14">
                  <c:v>261.8</c:v>
                </c:pt>
                <c:pt idx="15">
                  <c:v>255.9</c:v>
                </c:pt>
                <c:pt idx="16">
                  <c:v>252.1</c:v>
                </c:pt>
                <c:pt idx="17">
                  <c:v>254.3</c:v>
                </c:pt>
                <c:pt idx="18">
                  <c:v>255.3</c:v>
                </c:pt>
                <c:pt idx="19">
                  <c:v>252.6</c:v>
                </c:pt>
                <c:pt idx="20">
                  <c:v>247</c:v>
                </c:pt>
                <c:pt idx="21">
                  <c:v>253.8</c:v>
                </c:pt>
                <c:pt idx="22">
                  <c:v>256.2</c:v>
                </c:pt>
                <c:pt idx="23">
                  <c:v>258.39999999999998</c:v>
                </c:pt>
                <c:pt idx="24">
                  <c:v>255.7</c:v>
                </c:pt>
                <c:pt idx="25">
                  <c:v>269.10000000000002</c:v>
                </c:pt>
                <c:pt idx="26">
                  <c:v>270.7</c:v>
                </c:pt>
                <c:pt idx="27">
                  <c:v>260.2</c:v>
                </c:pt>
                <c:pt idx="28">
                  <c:v>274.8</c:v>
                </c:pt>
                <c:pt idx="29">
                  <c:v>269.2</c:v>
                </c:pt>
                <c:pt idx="30">
                  <c:v>267.10000000000002</c:v>
                </c:pt>
                <c:pt idx="31">
                  <c:v>271.5</c:v>
                </c:pt>
                <c:pt idx="32">
                  <c:v>269.7</c:v>
                </c:pt>
                <c:pt idx="33">
                  <c:v>269.10000000000002</c:v>
                </c:pt>
                <c:pt idx="34">
                  <c:v>265</c:v>
                </c:pt>
                <c:pt idx="35">
                  <c:v>266.7</c:v>
                </c:pt>
                <c:pt idx="36">
                  <c:v>268.8</c:v>
                </c:pt>
                <c:pt idx="37">
                  <c:v>272.10000000000002</c:v>
                </c:pt>
                <c:pt idx="38">
                  <c:v>272</c:v>
                </c:pt>
                <c:pt idx="39">
                  <c:v>262.7</c:v>
                </c:pt>
                <c:pt idx="40">
                  <c:v>272.60000000000002</c:v>
                </c:pt>
                <c:pt idx="41">
                  <c:v>282</c:v>
                </c:pt>
                <c:pt idx="42">
                  <c:v>278</c:v>
                </c:pt>
                <c:pt idx="43">
                  <c:v>282.3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  <c:pt idx="54">
                  <c:v>43008</c:v>
                </c:pt>
                <c:pt idx="55">
                  <c:v>43100</c:v>
                </c:pt>
                <c:pt idx="56">
                  <c:v>43190</c:v>
                </c:pt>
                <c:pt idx="57">
                  <c:v>43281</c:v>
                </c:pt>
                <c:pt idx="58">
                  <c:v>43373</c:v>
                </c:pt>
                <c:pt idx="59">
                  <c:v>43465</c:v>
                </c:pt>
                <c:pt idx="60">
                  <c:v>43555</c:v>
                </c:pt>
                <c:pt idx="61">
                  <c:v>43646</c:v>
                </c:pt>
                <c:pt idx="62">
                  <c:v>43738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5.5919309499406211E-2</c:v>
                </c:pt>
                <c:pt idx="48">
                  <c:v>5.276578082352168E-2</c:v>
                </c:pt>
                <c:pt idx="49">
                  <c:v>3.4086982124812815E-2</c:v>
                </c:pt>
                <c:pt idx="50">
                  <c:v>2.5666927672521211E-2</c:v>
                </c:pt>
                <c:pt idx="51">
                  <c:v>1.9364460139102868E-2</c:v>
                </c:pt>
                <c:pt idx="52">
                  <c:v>2.1107078523496359E-2</c:v>
                </c:pt>
                <c:pt idx="53">
                  <c:v>2.5241172241384724E-2</c:v>
                </c:pt>
                <c:pt idx="54">
                  <c:v>2.9004221471429614E-2</c:v>
                </c:pt>
                <c:pt idx="55">
                  <c:v>4.6968568826247892E-2</c:v>
                </c:pt>
                <c:pt idx="56">
                  <c:v>5.4780420742174096E-2</c:v>
                </c:pt>
                <c:pt idx="57">
                  <c:v>6.6019432602610451E-2</c:v>
                </c:pt>
                <c:pt idx="58">
                  <c:v>6.6497428341494969E-2</c:v>
                </c:pt>
                <c:pt idx="59">
                  <c:v>4.43989577678508E-2</c:v>
                </c:pt>
                <c:pt idx="60">
                  <c:v>3.8675965887038422E-2</c:v>
                </c:pt>
                <c:pt idx="61">
                  <c:v>5.124760859702715E-2</c:v>
                </c:pt>
                <c:pt idx="62">
                  <c:v>5.5055807049777528E-2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5.1999999999999993</c:v>
                </c:pt>
                <c:pt idx="44">
                  <c:v>5.3</c:v>
                </c:pt>
                <c:pt idx="45">
                  <c:v>5.2</c:v>
                </c:pt>
                <c:pt idx="46">
                  <c:v>5.4</c:v>
                </c:pt>
                <c:pt idx="47">
                  <c:v>5.6</c:v>
                </c:pt>
                <c:pt idx="48">
                  <c:v>5.6999999999999993</c:v>
                </c:pt>
                <c:pt idx="49">
                  <c:v>5.8</c:v>
                </c:pt>
                <c:pt idx="50">
                  <c:v>6</c:v>
                </c:pt>
                <c:pt idx="51">
                  <c:v>6.1</c:v>
                </c:pt>
                <c:pt idx="52">
                  <c:v>6.4</c:v>
                </c:pt>
                <c:pt idx="53">
                  <c:v>6.5</c:v>
                </c:pt>
                <c:pt idx="54">
                  <c:v>6.6</c:v>
                </c:pt>
                <c:pt idx="55">
                  <c:v>6.9</c:v>
                </c:pt>
                <c:pt idx="56">
                  <c:v>7</c:v>
                </c:pt>
                <c:pt idx="57">
                  <c:v>7.2</c:v>
                </c:pt>
                <c:pt idx="58">
                  <c:v>7.3</c:v>
                </c:pt>
                <c:pt idx="59">
                  <c:v>7.4</c:v>
                </c:pt>
                <c:pt idx="60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5.3</c:v>
                </c:pt>
                <c:pt idx="49">
                  <c:v>5.4</c:v>
                </c:pt>
                <c:pt idx="50">
                  <c:v>5.5</c:v>
                </c:pt>
                <c:pt idx="51">
                  <c:v>5.6</c:v>
                </c:pt>
                <c:pt idx="52">
                  <c:v>5.7</c:v>
                </c:pt>
                <c:pt idx="53">
                  <c:v>5.8</c:v>
                </c:pt>
                <c:pt idx="54">
                  <c:v>5.9</c:v>
                </c:pt>
                <c:pt idx="55">
                  <c:v>6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6.2</c:v>
                </c:pt>
                <c:pt idx="60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2.1</c:v>
                </c:pt>
                <c:pt idx="46">
                  <c:v>2.2999999999999998</c:v>
                </c:pt>
                <c:pt idx="47">
                  <c:v>2.4</c:v>
                </c:pt>
                <c:pt idx="48">
                  <c:v>2.6</c:v>
                </c:pt>
                <c:pt idx="49">
                  <c:v>2.7</c:v>
                </c:pt>
                <c:pt idx="50">
                  <c:v>2.7</c:v>
                </c:pt>
                <c:pt idx="51">
                  <c:v>2.8</c:v>
                </c:pt>
                <c:pt idx="52">
                  <c:v>2.8</c:v>
                </c:pt>
                <c:pt idx="53">
                  <c:v>2.9</c:v>
                </c:pt>
                <c:pt idx="54">
                  <c:v>3</c:v>
                </c:pt>
                <c:pt idx="55">
                  <c:v>3</c:v>
                </c:pt>
                <c:pt idx="56">
                  <c:v>3.1</c:v>
                </c:pt>
                <c:pt idx="57">
                  <c:v>3.2</c:v>
                </c:pt>
                <c:pt idx="58">
                  <c:v>3.3</c:v>
                </c:pt>
                <c:pt idx="59">
                  <c:v>3.4</c:v>
                </c:pt>
                <c:pt idx="6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8.9</c:v>
                </c:pt>
                <c:pt idx="44">
                  <c:v>8.8000000000000007</c:v>
                </c:pt>
                <c:pt idx="45">
                  <c:v>8.4</c:v>
                </c:pt>
                <c:pt idx="46">
                  <c:v>8.1999999999999993</c:v>
                </c:pt>
                <c:pt idx="47">
                  <c:v>8.1</c:v>
                </c:pt>
                <c:pt idx="48">
                  <c:v>7.9</c:v>
                </c:pt>
                <c:pt idx="49">
                  <c:v>7.8</c:v>
                </c:pt>
                <c:pt idx="50">
                  <c:v>7.6</c:v>
                </c:pt>
                <c:pt idx="51">
                  <c:v>7.6</c:v>
                </c:pt>
                <c:pt idx="52">
                  <c:v>7.4</c:v>
                </c:pt>
                <c:pt idx="53">
                  <c:v>7.3</c:v>
                </c:pt>
                <c:pt idx="54">
                  <c:v>7.3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7.2</c:v>
                </c:pt>
                <c:pt idx="60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</c:formatCode>
                <c:ptCount val="93"/>
                <c:pt idx="0">
                  <c:v>1.3049999999999999</c:v>
                </c:pt>
                <c:pt idx="1">
                  <c:v>1.4289999999999998</c:v>
                </c:pt>
                <c:pt idx="2">
                  <c:v>1.514</c:v>
                </c:pt>
                <c:pt idx="3">
                  <c:v>1.5389999999999999</c:v>
                </c:pt>
                <c:pt idx="4">
                  <c:v>1.583</c:v>
                </c:pt>
                <c:pt idx="5">
                  <c:v>1.7170000000000001</c:v>
                </c:pt>
                <c:pt idx="6">
                  <c:v>1.855</c:v>
                </c:pt>
                <c:pt idx="7">
                  <c:v>2.0089999999999999</c:v>
                </c:pt>
                <c:pt idx="8">
                  <c:v>2.1070000000000002</c:v>
                </c:pt>
                <c:pt idx="9">
                  <c:v>2.056</c:v>
                </c:pt>
                <c:pt idx="10">
                  <c:v>2.1640000000000001</c:v>
                </c:pt>
                <c:pt idx="11">
                  <c:v>2.1909999999999998</c:v>
                </c:pt>
                <c:pt idx="12">
                  <c:v>2.2509999999999999</c:v>
                </c:pt>
                <c:pt idx="13">
                  <c:v>2.2610000000000001</c:v>
                </c:pt>
                <c:pt idx="14">
                  <c:v>2.3010000000000002</c:v>
                </c:pt>
                <c:pt idx="15">
                  <c:v>2.512</c:v>
                </c:pt>
                <c:pt idx="16">
                  <c:v>2.7370000000000001</c:v>
                </c:pt>
                <c:pt idx="17">
                  <c:v>3.0739999999999998</c:v>
                </c:pt>
                <c:pt idx="18">
                  <c:v>3.2320000000000002</c:v>
                </c:pt>
                <c:pt idx="19">
                  <c:v>3.367</c:v>
                </c:pt>
                <c:pt idx="20">
                  <c:v>3.5209999999999999</c:v>
                </c:pt>
                <c:pt idx="21">
                  <c:v>3.5630000000000002</c:v>
                </c:pt>
                <c:pt idx="22">
                  <c:v>3.5910000000000002</c:v>
                </c:pt>
                <c:pt idx="23">
                  <c:v>3.496</c:v>
                </c:pt>
                <c:pt idx="24">
                  <c:v>3.3469999999999995</c:v>
                </c:pt>
                <c:pt idx="25">
                  <c:v>3.3009999999999997</c:v>
                </c:pt>
                <c:pt idx="26">
                  <c:v>3.4889999999999999</c:v>
                </c:pt>
                <c:pt idx="27">
                  <c:v>3.7040000000000002</c:v>
                </c:pt>
                <c:pt idx="28">
                  <c:v>3.8540000000000001</c:v>
                </c:pt>
                <c:pt idx="29">
                  <c:v>3.9350000000000005</c:v>
                </c:pt>
                <c:pt idx="30">
                  <c:v>4.0270000000000001</c:v>
                </c:pt>
                <c:pt idx="31">
                  <c:v>4.0869999999999997</c:v>
                </c:pt>
                <c:pt idx="32">
                  <c:v>4.3860000000000001</c:v>
                </c:pt>
                <c:pt idx="33">
                  <c:v>4.4589999999999996</c:v>
                </c:pt>
                <c:pt idx="34">
                  <c:v>5.2030000000000003</c:v>
                </c:pt>
                <c:pt idx="35">
                  <c:v>5.3460000000000001</c:v>
                </c:pt>
                <c:pt idx="36">
                  <c:v>5.4180000000000001</c:v>
                </c:pt>
                <c:pt idx="37">
                  <c:v>4.9930000000000003</c:v>
                </c:pt>
                <c:pt idx="38">
                  <c:v>5.1230000000000002</c:v>
                </c:pt>
                <c:pt idx="39">
                  <c:v>5.1989999999999998</c:v>
                </c:pt>
                <c:pt idx="40">
                  <c:v>5.4350000000000005</c:v>
                </c:pt>
                <c:pt idx="41">
                  <c:v>5.7170000000000005</c:v>
                </c:pt>
                <c:pt idx="42">
                  <c:v>5.5839999999999996</c:v>
                </c:pt>
                <c:pt idx="43">
                  <c:v>5.3780000000000001</c:v>
                </c:pt>
                <c:pt idx="44">
                  <c:v>5.5830000000000002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1.446</c:v>
                </c:pt>
                <c:pt idx="1">
                  <c:v>1.496</c:v>
                </c:pt>
                <c:pt idx="2">
                  <c:v>1.4770000000000001</c:v>
                </c:pt>
                <c:pt idx="3">
                  <c:v>1.56</c:v>
                </c:pt>
                <c:pt idx="4">
                  <c:v>1.6619999999999999</c:v>
                </c:pt>
                <c:pt idx="5">
                  <c:v>1.8819999999999999</c:v>
                </c:pt>
                <c:pt idx="6">
                  <c:v>2.1949999999999998</c:v>
                </c:pt>
                <c:pt idx="7">
                  <c:v>2.5659999999999998</c:v>
                </c:pt>
                <c:pt idx="8">
                  <c:v>2.54</c:v>
                </c:pt>
                <c:pt idx="9">
                  <c:v>2.8130000000000002</c:v>
                </c:pt>
                <c:pt idx="10">
                  <c:v>3.036</c:v>
                </c:pt>
                <c:pt idx="11">
                  <c:v>3.0049999999999999</c:v>
                </c:pt>
                <c:pt idx="12">
                  <c:v>2.907</c:v>
                </c:pt>
                <c:pt idx="13">
                  <c:v>2.9540000000000002</c:v>
                </c:pt>
                <c:pt idx="14">
                  <c:v>3.0419999999999998</c:v>
                </c:pt>
                <c:pt idx="15">
                  <c:v>3.125</c:v>
                </c:pt>
                <c:pt idx="16">
                  <c:v>3.1909999999999998</c:v>
                </c:pt>
                <c:pt idx="17">
                  <c:v>3.1070000000000002</c:v>
                </c:pt>
                <c:pt idx="18">
                  <c:v>2.9329999999999998</c:v>
                </c:pt>
                <c:pt idx="19">
                  <c:v>2.8279999999999998</c:v>
                </c:pt>
                <c:pt idx="20">
                  <c:v>3.07</c:v>
                </c:pt>
                <c:pt idx="21">
                  <c:v>3.032</c:v>
                </c:pt>
                <c:pt idx="22">
                  <c:v>2.887</c:v>
                </c:pt>
                <c:pt idx="23">
                  <c:v>2.7</c:v>
                </c:pt>
                <c:pt idx="24">
                  <c:v>2.4239999999999999</c:v>
                </c:pt>
                <c:pt idx="25">
                  <c:v>2.2040000000000002</c:v>
                </c:pt>
                <c:pt idx="26">
                  <c:v>1.9590000000000001</c:v>
                </c:pt>
                <c:pt idx="27">
                  <c:v>1.5780000000000001</c:v>
                </c:pt>
                <c:pt idx="28">
                  <c:v>1.357</c:v>
                </c:pt>
                <c:pt idx="29">
                  <c:v>1.333</c:v>
                </c:pt>
                <c:pt idx="30">
                  <c:v>1.4339999999999999</c:v>
                </c:pt>
                <c:pt idx="31">
                  <c:v>1.6619999999999999</c:v>
                </c:pt>
                <c:pt idx="32">
                  <c:v>1.659</c:v>
                </c:pt>
                <c:pt idx="33">
                  <c:v>1.714</c:v>
                </c:pt>
                <c:pt idx="34">
                  <c:v>1.2949999999999999</c:v>
                </c:pt>
                <c:pt idx="35">
                  <c:v>1.3220000000000001</c:v>
                </c:pt>
                <c:pt idx="36">
                  <c:v>1.4930000000000001</c:v>
                </c:pt>
                <c:pt idx="37">
                  <c:v>1.373</c:v>
                </c:pt>
                <c:pt idx="38">
                  <c:v>1.33</c:v>
                </c:pt>
                <c:pt idx="39">
                  <c:v>1.321</c:v>
                </c:pt>
                <c:pt idx="40">
                  <c:v>1.2330000000000001</c:v>
                </c:pt>
                <c:pt idx="41">
                  <c:v>1.294</c:v>
                </c:pt>
                <c:pt idx="42">
                  <c:v>1.361</c:v>
                </c:pt>
                <c:pt idx="43">
                  <c:v>1.5980000000000001</c:v>
                </c:pt>
                <c:pt idx="44">
                  <c:v>1.77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3.9550000000000001</c:v>
                </c:pt>
                <c:pt idx="1">
                  <c:v>4.07</c:v>
                </c:pt>
                <c:pt idx="2">
                  <c:v>4.1340000000000003</c:v>
                </c:pt>
                <c:pt idx="3">
                  <c:v>4.0659999999999998</c:v>
                </c:pt>
                <c:pt idx="4">
                  <c:v>3.9990000000000001</c:v>
                </c:pt>
                <c:pt idx="5">
                  <c:v>4.1929999999999996</c:v>
                </c:pt>
                <c:pt idx="6">
                  <c:v>4.4009999999999998</c:v>
                </c:pt>
                <c:pt idx="7">
                  <c:v>4.6449999999999996</c:v>
                </c:pt>
                <c:pt idx="8">
                  <c:v>4.766</c:v>
                </c:pt>
                <c:pt idx="9">
                  <c:v>4.4580000000000002</c:v>
                </c:pt>
                <c:pt idx="10">
                  <c:v>4.3710000000000004</c:v>
                </c:pt>
                <c:pt idx="11">
                  <c:v>4.3419999999999996</c:v>
                </c:pt>
                <c:pt idx="12">
                  <c:v>4.3010000000000002</c:v>
                </c:pt>
                <c:pt idx="13">
                  <c:v>4.2190000000000003</c:v>
                </c:pt>
                <c:pt idx="14">
                  <c:v>4.1479999999999997</c:v>
                </c:pt>
                <c:pt idx="15">
                  <c:v>4.1790000000000003</c:v>
                </c:pt>
                <c:pt idx="16">
                  <c:v>4.3780000000000001</c:v>
                </c:pt>
                <c:pt idx="17">
                  <c:v>4.444</c:v>
                </c:pt>
                <c:pt idx="18">
                  <c:v>4.4569999999999999</c:v>
                </c:pt>
                <c:pt idx="19">
                  <c:v>4.4160000000000004</c:v>
                </c:pt>
                <c:pt idx="20">
                  <c:v>4.4080000000000004</c:v>
                </c:pt>
                <c:pt idx="21">
                  <c:v>4.3650000000000002</c:v>
                </c:pt>
                <c:pt idx="22">
                  <c:v>4.2869999999999999</c:v>
                </c:pt>
                <c:pt idx="23">
                  <c:v>4.2110000000000003</c:v>
                </c:pt>
                <c:pt idx="24">
                  <c:v>4.0819999999999999</c:v>
                </c:pt>
                <c:pt idx="25">
                  <c:v>4.0129999999999999</c:v>
                </c:pt>
                <c:pt idx="26">
                  <c:v>4.0789999999999997</c:v>
                </c:pt>
                <c:pt idx="27">
                  <c:v>4.173</c:v>
                </c:pt>
                <c:pt idx="28">
                  <c:v>4.1689999999999996</c:v>
                </c:pt>
                <c:pt idx="29">
                  <c:v>4.0869999999999997</c:v>
                </c:pt>
                <c:pt idx="30">
                  <c:v>4.0419999999999998</c:v>
                </c:pt>
                <c:pt idx="31">
                  <c:v>3.988</c:v>
                </c:pt>
                <c:pt idx="32">
                  <c:v>4.069</c:v>
                </c:pt>
                <c:pt idx="33">
                  <c:v>4.1520000000000001</c:v>
                </c:pt>
                <c:pt idx="34">
                  <c:v>4.6959999999999997</c:v>
                </c:pt>
                <c:pt idx="35">
                  <c:v>4.7220000000000004</c:v>
                </c:pt>
                <c:pt idx="36">
                  <c:v>4.7060000000000004</c:v>
                </c:pt>
                <c:pt idx="37">
                  <c:v>4.7809999999999997</c:v>
                </c:pt>
                <c:pt idx="38">
                  <c:v>4.8650000000000002</c:v>
                </c:pt>
                <c:pt idx="39">
                  <c:v>4.8739999999999997</c:v>
                </c:pt>
                <c:pt idx="40">
                  <c:v>4.8719999999999999</c:v>
                </c:pt>
                <c:pt idx="41">
                  <c:v>4.9059999999999997</c:v>
                </c:pt>
                <c:pt idx="42">
                  <c:v>4.8689999999999998</c:v>
                </c:pt>
                <c:pt idx="43">
                  <c:v>4.8289999999999997</c:v>
                </c:pt>
                <c:pt idx="44">
                  <c:v>4.8940000000000001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13.975</c:v>
                </c:pt>
                <c:pt idx="1">
                  <c:v>13.821</c:v>
                </c:pt>
                <c:pt idx="2">
                  <c:v>13.09</c:v>
                </c:pt>
                <c:pt idx="3">
                  <c:v>13.013000000000003</c:v>
                </c:pt>
                <c:pt idx="4">
                  <c:v>12.402000000000001</c:v>
                </c:pt>
                <c:pt idx="5">
                  <c:v>13.373999999999999</c:v>
                </c:pt>
                <c:pt idx="6">
                  <c:v>13.195999999999998</c:v>
                </c:pt>
                <c:pt idx="7">
                  <c:v>13.287000000000003</c:v>
                </c:pt>
                <c:pt idx="8">
                  <c:v>13.448</c:v>
                </c:pt>
                <c:pt idx="9">
                  <c:v>12.242000000000001</c:v>
                </c:pt>
                <c:pt idx="10">
                  <c:v>12.616999999999996</c:v>
                </c:pt>
                <c:pt idx="11">
                  <c:v>12.343000000000004</c:v>
                </c:pt>
                <c:pt idx="12">
                  <c:v>11.600000000000001</c:v>
                </c:pt>
                <c:pt idx="13">
                  <c:v>11.279999999999998</c:v>
                </c:pt>
                <c:pt idx="14">
                  <c:v>11.1</c:v>
                </c:pt>
                <c:pt idx="15">
                  <c:v>11.426000000000002</c:v>
                </c:pt>
                <c:pt idx="16">
                  <c:v>11.427000000000001</c:v>
                </c:pt>
                <c:pt idx="17">
                  <c:v>10.907000000000002</c:v>
                </c:pt>
                <c:pt idx="18">
                  <c:v>10.179999999999998</c:v>
                </c:pt>
                <c:pt idx="19">
                  <c:v>9.7569999999999979</c:v>
                </c:pt>
                <c:pt idx="20">
                  <c:v>9.0489999999999959</c:v>
                </c:pt>
                <c:pt idx="21">
                  <c:v>8.6649999999999991</c:v>
                </c:pt>
                <c:pt idx="22">
                  <c:v>8.1810000000000009</c:v>
                </c:pt>
                <c:pt idx="23">
                  <c:v>8.0960000000000001</c:v>
                </c:pt>
                <c:pt idx="24">
                  <c:v>8.0999999999999979</c:v>
                </c:pt>
                <c:pt idx="25">
                  <c:v>8.1639999999999979</c:v>
                </c:pt>
                <c:pt idx="26">
                  <c:v>8.1699999999999982</c:v>
                </c:pt>
                <c:pt idx="27">
                  <c:v>9.1070000000000011</c:v>
                </c:pt>
                <c:pt idx="28">
                  <c:v>9.7620000000000005</c:v>
                </c:pt>
                <c:pt idx="29">
                  <c:v>9.7120000000000015</c:v>
                </c:pt>
                <c:pt idx="30">
                  <c:v>9.7579999999999973</c:v>
                </c:pt>
                <c:pt idx="31">
                  <c:v>9.73</c:v>
                </c:pt>
                <c:pt idx="32">
                  <c:v>8.980000000000004</c:v>
                </c:pt>
                <c:pt idx="33">
                  <c:v>9.9050000000000011</c:v>
                </c:pt>
                <c:pt idx="34">
                  <c:v>13.180000000000001</c:v>
                </c:pt>
                <c:pt idx="35">
                  <c:v>11.907</c:v>
                </c:pt>
                <c:pt idx="36">
                  <c:v>11.774000000000001</c:v>
                </c:pt>
                <c:pt idx="37">
                  <c:v>10.816999999999998</c:v>
                </c:pt>
                <c:pt idx="38">
                  <c:v>9.49</c:v>
                </c:pt>
                <c:pt idx="39">
                  <c:v>8.8319999999999972</c:v>
                </c:pt>
                <c:pt idx="40">
                  <c:v>8.8569999999999975</c:v>
                </c:pt>
                <c:pt idx="41">
                  <c:v>8.8460000000000036</c:v>
                </c:pt>
                <c:pt idx="42">
                  <c:v>8.8290000000000006</c:v>
                </c:pt>
                <c:pt idx="43">
                  <c:v>8.4009999999999998</c:v>
                </c:pt>
                <c:pt idx="44">
                  <c:v>8.7079999999999984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79.2</c:v>
                </c:pt>
                <c:pt idx="43">
                  <c:v>80.8</c:v>
                </c:pt>
                <c:pt idx="44">
                  <c:v>82</c:v>
                </c:pt>
                <c:pt idx="45">
                  <c:v>83.9</c:v>
                </c:pt>
                <c:pt idx="46">
                  <c:v>85.6</c:v>
                </c:pt>
                <c:pt idx="47">
                  <c:v>87.3</c:v>
                </c:pt>
                <c:pt idx="48">
                  <c:v>89.4</c:v>
                </c:pt>
                <c:pt idx="49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-2.6509999999999998</c:v>
                </c:pt>
                <c:pt idx="1">
                  <c:v>-2.6030000000000002</c:v>
                </c:pt>
                <c:pt idx="2">
                  <c:v>-1.587</c:v>
                </c:pt>
                <c:pt idx="3">
                  <c:v>-2.6440000000000001</c:v>
                </c:pt>
                <c:pt idx="4">
                  <c:v>-2.52</c:v>
                </c:pt>
                <c:pt idx="5">
                  <c:v>-3.8620000000000001</c:v>
                </c:pt>
                <c:pt idx="6">
                  <c:v>-5.8769999999999998</c:v>
                </c:pt>
                <c:pt idx="7">
                  <c:v>-4.694</c:v>
                </c:pt>
                <c:pt idx="8">
                  <c:v>-4.9779999999999998</c:v>
                </c:pt>
                <c:pt idx="9">
                  <c:v>-4.8879999999999999</c:v>
                </c:pt>
                <c:pt idx="10">
                  <c:v>-3.141</c:v>
                </c:pt>
                <c:pt idx="11">
                  <c:v>-3.02</c:v>
                </c:pt>
                <c:pt idx="12">
                  <c:v>-2.7480000000000002</c:v>
                </c:pt>
                <c:pt idx="13">
                  <c:v>-3.7469999999999999</c:v>
                </c:pt>
                <c:pt idx="14">
                  <c:v>-4.4189999999999996</c:v>
                </c:pt>
                <c:pt idx="15">
                  <c:v>-4.5250000000000004</c:v>
                </c:pt>
                <c:pt idx="16">
                  <c:v>-3.7639999999999998</c:v>
                </c:pt>
                <c:pt idx="17">
                  <c:v>-2.831</c:v>
                </c:pt>
                <c:pt idx="18">
                  <c:v>-2.169</c:v>
                </c:pt>
                <c:pt idx="19">
                  <c:v>-1.351</c:v>
                </c:pt>
                <c:pt idx="20">
                  <c:v>-0.25900000000000001</c:v>
                </c:pt>
                <c:pt idx="21">
                  <c:v>0.77600000000000002</c:v>
                </c:pt>
                <c:pt idx="22">
                  <c:v>1.325</c:v>
                </c:pt>
                <c:pt idx="23">
                  <c:v>2.335</c:v>
                </c:pt>
                <c:pt idx="24">
                  <c:v>1.218</c:v>
                </c:pt>
                <c:pt idx="25">
                  <c:v>-1.456</c:v>
                </c:pt>
                <c:pt idx="26">
                  <c:v>-3.3460000000000001</c:v>
                </c:pt>
                <c:pt idx="27">
                  <c:v>-3.4319999999999999</c:v>
                </c:pt>
                <c:pt idx="28">
                  <c:v>-2.48</c:v>
                </c:pt>
                <c:pt idx="29">
                  <c:v>-1.82</c:v>
                </c:pt>
                <c:pt idx="30">
                  <c:v>-1.125</c:v>
                </c:pt>
                <c:pt idx="31">
                  <c:v>-3.11</c:v>
                </c:pt>
                <c:pt idx="32">
                  <c:v>-9.7889999999999997</c:v>
                </c:pt>
                <c:pt idx="33">
                  <c:v>-8.7230000000000008</c:v>
                </c:pt>
                <c:pt idx="34">
                  <c:v>-8.4369999999999994</c:v>
                </c:pt>
                <c:pt idx="35">
                  <c:v>-6.7050000000000001</c:v>
                </c:pt>
                <c:pt idx="36">
                  <c:v>-4.0940000000000003</c:v>
                </c:pt>
                <c:pt idx="37">
                  <c:v>-2.7970000000000002</c:v>
                </c:pt>
                <c:pt idx="38">
                  <c:v>-2.4420000000000002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-4.5999999999999996</c:v>
                </c:pt>
                <c:pt idx="43">
                  <c:v>-4.5999999999999996</c:v>
                </c:pt>
                <c:pt idx="44">
                  <c:v>-4.3</c:v>
                </c:pt>
                <c:pt idx="45">
                  <c:v>-4.7</c:v>
                </c:pt>
                <c:pt idx="46">
                  <c:v>-4.5</c:v>
                </c:pt>
                <c:pt idx="47">
                  <c:v>-4.5</c:v>
                </c:pt>
                <c:pt idx="48">
                  <c:v>-4.9000000000000004</c:v>
                </c:pt>
                <c:pt idx="49">
                  <c:v>-4.8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17.564</c:v>
                </c:pt>
                <c:pt idx="1">
                  <c:v>17.574999999999999</c:v>
                </c:pt>
                <c:pt idx="2">
                  <c:v>18.058</c:v>
                </c:pt>
                <c:pt idx="3">
                  <c:v>18.521999999999998</c:v>
                </c:pt>
                <c:pt idx="4">
                  <c:v>19.126000000000001</c:v>
                </c:pt>
                <c:pt idx="5">
                  <c:v>18.645</c:v>
                </c:pt>
                <c:pt idx="6">
                  <c:v>16.984000000000002</c:v>
                </c:pt>
                <c:pt idx="7">
                  <c:v>16.875</c:v>
                </c:pt>
                <c:pt idx="8">
                  <c:v>17.21</c:v>
                </c:pt>
                <c:pt idx="9">
                  <c:v>16.992999999999999</c:v>
                </c:pt>
                <c:pt idx="10">
                  <c:v>17.917999999999999</c:v>
                </c:pt>
                <c:pt idx="11">
                  <c:v>17.693999999999999</c:v>
                </c:pt>
                <c:pt idx="12">
                  <c:v>17.843</c:v>
                </c:pt>
                <c:pt idx="13">
                  <c:v>17.495000000000001</c:v>
                </c:pt>
                <c:pt idx="14">
                  <c:v>17.314</c:v>
                </c:pt>
                <c:pt idx="15">
                  <c:v>17.007000000000001</c:v>
                </c:pt>
                <c:pt idx="16">
                  <c:v>17.036999999999999</c:v>
                </c:pt>
                <c:pt idx="17">
                  <c:v>17.536000000000001</c:v>
                </c:pt>
                <c:pt idx="18">
                  <c:v>17.88</c:v>
                </c:pt>
                <c:pt idx="19">
                  <c:v>18.274000000000001</c:v>
                </c:pt>
                <c:pt idx="20">
                  <c:v>18.687000000000001</c:v>
                </c:pt>
                <c:pt idx="21">
                  <c:v>19.279</c:v>
                </c:pt>
                <c:pt idx="22">
                  <c:v>19.277999999999999</c:v>
                </c:pt>
                <c:pt idx="23">
                  <c:v>20.016999999999999</c:v>
                </c:pt>
                <c:pt idx="24">
                  <c:v>18.914999999999999</c:v>
                </c:pt>
                <c:pt idx="25">
                  <c:v>17.105</c:v>
                </c:pt>
                <c:pt idx="26">
                  <c:v>15.795</c:v>
                </c:pt>
                <c:pt idx="27">
                  <c:v>15.634</c:v>
                </c:pt>
                <c:pt idx="28">
                  <c:v>16.78</c:v>
                </c:pt>
                <c:pt idx="29">
                  <c:v>17.648</c:v>
                </c:pt>
                <c:pt idx="30">
                  <c:v>17.969000000000001</c:v>
                </c:pt>
                <c:pt idx="31">
                  <c:v>17.12</c:v>
                </c:pt>
                <c:pt idx="32">
                  <c:v>14.586</c:v>
                </c:pt>
                <c:pt idx="33">
                  <c:v>14.574999999999999</c:v>
                </c:pt>
                <c:pt idx="34">
                  <c:v>14.954000000000001</c:v>
                </c:pt>
                <c:pt idx="35">
                  <c:v>15.259</c:v>
                </c:pt>
                <c:pt idx="36">
                  <c:v>16.713999999999999</c:v>
                </c:pt>
                <c:pt idx="37">
                  <c:v>17.428999999999998</c:v>
                </c:pt>
                <c:pt idx="38">
                  <c:v>17.956</c:v>
                </c:pt>
                <c:pt idx="39">
                  <c:v>17.613</c:v>
                </c:pt>
                <c:pt idx="40">
                  <c:v>17.193000000000001</c:v>
                </c:pt>
                <c:pt idx="41">
                  <c:v>16.375</c:v>
                </c:pt>
                <c:pt idx="42">
                  <c:v>16.315999999999999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20.215</c:v>
                </c:pt>
                <c:pt idx="1">
                  <c:v>20.178000000000001</c:v>
                </c:pt>
                <c:pt idx="2">
                  <c:v>19.646000000000001</c:v>
                </c:pt>
                <c:pt idx="3">
                  <c:v>21.166</c:v>
                </c:pt>
                <c:pt idx="4">
                  <c:v>21.646999999999998</c:v>
                </c:pt>
                <c:pt idx="5">
                  <c:v>22.507000000000001</c:v>
                </c:pt>
                <c:pt idx="6">
                  <c:v>22.861000000000001</c:v>
                </c:pt>
                <c:pt idx="7">
                  <c:v>21.568999999999999</c:v>
                </c:pt>
                <c:pt idx="8">
                  <c:v>22.187999999999999</c:v>
                </c:pt>
                <c:pt idx="9">
                  <c:v>21.881</c:v>
                </c:pt>
                <c:pt idx="10">
                  <c:v>21.059000000000001</c:v>
                </c:pt>
                <c:pt idx="11">
                  <c:v>20.713999999999999</c:v>
                </c:pt>
                <c:pt idx="12">
                  <c:v>20.591000000000001</c:v>
                </c:pt>
                <c:pt idx="13">
                  <c:v>21.242000000000001</c:v>
                </c:pt>
                <c:pt idx="14">
                  <c:v>21.733000000000001</c:v>
                </c:pt>
                <c:pt idx="15">
                  <c:v>21.532</c:v>
                </c:pt>
                <c:pt idx="16">
                  <c:v>20.802</c:v>
                </c:pt>
                <c:pt idx="17">
                  <c:v>20.367999999999999</c:v>
                </c:pt>
                <c:pt idx="18">
                  <c:v>20.047999999999998</c:v>
                </c:pt>
                <c:pt idx="19">
                  <c:v>19.625</c:v>
                </c:pt>
                <c:pt idx="20">
                  <c:v>18.946000000000002</c:v>
                </c:pt>
                <c:pt idx="21">
                  <c:v>18.503</c:v>
                </c:pt>
                <c:pt idx="22">
                  <c:v>17.952999999999999</c:v>
                </c:pt>
                <c:pt idx="23">
                  <c:v>17.681999999999999</c:v>
                </c:pt>
                <c:pt idx="24">
                  <c:v>17.696999999999999</c:v>
                </c:pt>
                <c:pt idx="25">
                  <c:v>18.562000000000001</c:v>
                </c:pt>
                <c:pt idx="26">
                  <c:v>19.141999999999999</c:v>
                </c:pt>
                <c:pt idx="27">
                  <c:v>19.067</c:v>
                </c:pt>
                <c:pt idx="28">
                  <c:v>19.260999999999999</c:v>
                </c:pt>
                <c:pt idx="29">
                  <c:v>19.466999999999999</c:v>
                </c:pt>
                <c:pt idx="30">
                  <c:v>19.094000000000001</c:v>
                </c:pt>
                <c:pt idx="31">
                  <c:v>20.23</c:v>
                </c:pt>
                <c:pt idx="32">
                  <c:v>24.373999999999999</c:v>
                </c:pt>
                <c:pt idx="33">
                  <c:v>23.297000000000001</c:v>
                </c:pt>
                <c:pt idx="34">
                  <c:v>23.390999999999998</c:v>
                </c:pt>
                <c:pt idx="35">
                  <c:v>21.963999999999999</c:v>
                </c:pt>
                <c:pt idx="36">
                  <c:v>20.808</c:v>
                </c:pt>
                <c:pt idx="37">
                  <c:v>20.225999999999999</c:v>
                </c:pt>
                <c:pt idx="38">
                  <c:v>20.396999999999998</c:v>
                </c:pt>
                <c:pt idx="39">
                  <c:v>20.763000000000002</c:v>
                </c:pt>
                <c:pt idx="40">
                  <c:v>20.643000000000001</c:v>
                </c:pt>
                <c:pt idx="41">
                  <c:v>20.206</c:v>
                </c:pt>
                <c:pt idx="42">
                  <c:v>20.954999999999998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16.3</c:v>
                </c:pt>
                <c:pt idx="43">
                  <c:v>16.399999999999999</c:v>
                </c:pt>
                <c:pt idx="44">
                  <c:v>16.600000000000001</c:v>
                </c:pt>
                <c:pt idx="45">
                  <c:v>16.7</c:v>
                </c:pt>
                <c:pt idx="46">
                  <c:v>17</c:v>
                </c:pt>
                <c:pt idx="47">
                  <c:v>17</c:v>
                </c:pt>
                <c:pt idx="48">
                  <c:v>17.100000000000001</c:v>
                </c:pt>
                <c:pt idx="49">
                  <c:v>17.600000000000001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21</c:v>
                </c:pt>
                <c:pt idx="43">
                  <c:v>21</c:v>
                </c:pt>
                <c:pt idx="44">
                  <c:v>20.9</c:v>
                </c:pt>
                <c:pt idx="45">
                  <c:v>21.4</c:v>
                </c:pt>
                <c:pt idx="46">
                  <c:v>21.5</c:v>
                </c:pt>
                <c:pt idx="47">
                  <c:v>21.5</c:v>
                </c:pt>
                <c:pt idx="48">
                  <c:v>22.1</c:v>
                </c:pt>
                <c:pt idx="49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1" t="s">
        <v>215</v>
      </c>
    </row>
    <row r="2" spans="1:3">
      <c r="A2" s="24" t="s">
        <v>410</v>
      </c>
    </row>
    <row r="3" spans="1:3">
      <c r="A3" s="24" t="s">
        <v>409</v>
      </c>
    </row>
    <row r="4" spans="1:3">
      <c r="A4" s="24" t="s">
        <v>415</v>
      </c>
    </row>
    <row r="5" spans="1:3">
      <c r="A5" s="24" t="s">
        <v>411</v>
      </c>
    </row>
    <row r="6" spans="1:3">
      <c r="A6" s="24" t="s">
        <v>412</v>
      </c>
    </row>
    <row r="7" spans="1:3">
      <c r="A7" s="24" t="s">
        <v>413</v>
      </c>
    </row>
    <row r="8" spans="1:3">
      <c r="A8" s="24" t="s">
        <v>414</v>
      </c>
    </row>
    <row r="14" spans="1:3">
      <c r="B14" s="61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2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3"/>
    </row>
    <row r="31" spans="1:3">
      <c r="A31" s="64"/>
    </row>
    <row r="32" spans="1:3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FF0000"/>
  </sheetPr>
  <dimension ref="A1:I40"/>
  <sheetViews>
    <sheetView tabSelected="1" view="pageBreakPreview" zoomScale="160" zoomScaleNormal="100" zoomScaleSheetLayoutView="160" workbookViewId="0">
      <selection activeCell="O7" sqref="O7"/>
    </sheetView>
  </sheetViews>
  <sheetFormatPr defaultRowHeight="15"/>
  <cols>
    <col min="1" max="16384" width="9.140625" style="24"/>
  </cols>
  <sheetData>
    <row r="1" spans="1:9" ht="15" customHeight="1">
      <c r="A1" s="87"/>
      <c r="B1" s="87"/>
      <c r="C1" s="124" t="s">
        <v>294</v>
      </c>
      <c r="D1" s="124"/>
      <c r="E1" s="124"/>
      <c r="F1" s="124"/>
      <c r="G1" s="124"/>
      <c r="H1" s="87"/>
      <c r="I1" s="87"/>
    </row>
    <row r="2" spans="1:9" ht="15" customHeight="1">
      <c r="A2" s="87"/>
      <c r="B2" s="87"/>
      <c r="C2" s="124"/>
      <c r="D2" s="124"/>
      <c r="E2" s="124"/>
      <c r="F2" s="124"/>
      <c r="G2" s="124"/>
      <c r="H2" s="87"/>
      <c r="I2" s="87"/>
    </row>
    <row r="3" spans="1:9">
      <c r="A3" s="89" t="s">
        <v>295</v>
      </c>
      <c r="B3" s="88"/>
      <c r="C3" s="88" t="s">
        <v>296</v>
      </c>
      <c r="D3" s="88"/>
      <c r="E3" s="88"/>
      <c r="F3" s="89" t="s">
        <v>297</v>
      </c>
      <c r="G3" s="88"/>
      <c r="H3" s="89" t="s">
        <v>298</v>
      </c>
      <c r="I3" s="88"/>
    </row>
    <row r="9" spans="1:9" ht="105">
      <c r="D9" s="86" t="s">
        <v>240</v>
      </c>
      <c r="G9" s="86" t="s">
        <v>293</v>
      </c>
    </row>
    <row r="12" spans="1:9">
      <c r="F12" s="97" t="s">
        <v>308</v>
      </c>
    </row>
    <row r="26" spans="6:6">
      <c r="F26" s="97" t="s">
        <v>308</v>
      </c>
    </row>
    <row r="40" spans="6:7">
      <c r="F40" s="97" t="s">
        <v>308</v>
      </c>
      <c r="G40" s="97"/>
    </row>
  </sheetData>
  <mergeCells count="1">
    <mergeCell ref="C1:G2"/>
  </mergeCells>
  <hyperlinks>
    <hyperlink ref="F12" r:id="rId1" xr:uid="{00000000-0004-0000-0100-000000000000}"/>
    <hyperlink ref="F26" r:id="rId2" xr:uid="{00000000-0004-0000-0100-000001000000}"/>
    <hyperlink ref="F40" r:id="rId3" xr:uid="{00000000-0004-0000-0100-000002000000}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4"/>
  </cols>
  <sheetData>
    <row r="1" spans="1:9" ht="15" customHeight="1">
      <c r="B1" s="87"/>
      <c r="C1" s="124" t="s">
        <v>294</v>
      </c>
      <c r="D1" s="124"/>
      <c r="E1" s="124"/>
      <c r="F1" s="124"/>
      <c r="G1" s="124"/>
      <c r="H1" s="87"/>
      <c r="I1" s="87"/>
    </row>
    <row r="2" spans="1:9" ht="15" customHeight="1">
      <c r="A2" s="87"/>
      <c r="B2" s="87"/>
      <c r="C2" s="124"/>
      <c r="D2" s="124"/>
      <c r="E2" s="124"/>
      <c r="F2" s="124"/>
      <c r="G2" s="124"/>
      <c r="H2" s="87"/>
      <c r="I2" s="87"/>
    </row>
    <row r="3" spans="1:9">
      <c r="A3" s="89" t="s">
        <v>295</v>
      </c>
      <c r="B3" s="88"/>
      <c r="C3" s="89" t="s">
        <v>296</v>
      </c>
      <c r="D3" s="88"/>
      <c r="E3" s="88"/>
      <c r="F3" s="88" t="s">
        <v>297</v>
      </c>
      <c r="G3" s="88"/>
      <c r="H3" s="89" t="s">
        <v>298</v>
      </c>
      <c r="I3" s="88"/>
    </row>
    <row r="7" spans="1:9">
      <c r="A7" s="82" t="s">
        <v>140</v>
      </c>
      <c r="B7" s="83"/>
      <c r="C7" s="83"/>
      <c r="D7" s="83"/>
      <c r="E7" s="83"/>
      <c r="F7" s="83"/>
      <c r="G7" s="83"/>
      <c r="H7" s="83"/>
      <c r="I7" s="84"/>
    </row>
    <row r="8" spans="1:9">
      <c r="A8" s="70" t="s">
        <v>241</v>
      </c>
      <c r="B8" s="73"/>
      <c r="C8" s="73"/>
      <c r="D8" s="73"/>
      <c r="E8" s="73"/>
      <c r="F8" s="73"/>
      <c r="G8" s="73"/>
      <c r="H8" s="73"/>
      <c r="I8" s="85"/>
    </row>
    <row r="9" spans="1:9" ht="15" customHeight="1">
      <c r="A9" s="76"/>
      <c r="B9" s="77"/>
      <c r="C9" s="77"/>
      <c r="D9" s="125" t="s">
        <v>240</v>
      </c>
      <c r="E9" s="125"/>
      <c r="F9" s="125"/>
      <c r="G9" s="125" t="s">
        <v>293</v>
      </c>
      <c r="H9" s="125"/>
      <c r="I9" s="126"/>
    </row>
    <row r="10" spans="1:9">
      <c r="A10" s="76"/>
      <c r="B10" s="77"/>
      <c r="C10" s="77"/>
      <c r="D10" s="125"/>
      <c r="E10" s="125"/>
      <c r="F10" s="125"/>
      <c r="G10" s="125"/>
      <c r="H10" s="125"/>
      <c r="I10" s="126"/>
    </row>
    <row r="11" spans="1:9">
      <c r="A11" s="70" t="s">
        <v>96</v>
      </c>
      <c r="B11" s="65"/>
      <c r="C11" s="65"/>
      <c r="D11" s="65"/>
      <c r="E11" s="99">
        <v>3242</v>
      </c>
      <c r="F11" s="67"/>
      <c r="G11" s="90"/>
      <c r="H11" s="122" t="s">
        <v>431</v>
      </c>
      <c r="I11" s="91"/>
    </row>
    <row r="12" spans="1:9">
      <c r="A12" s="69" t="s">
        <v>97</v>
      </c>
      <c r="B12" s="65"/>
      <c r="C12" s="65"/>
      <c r="D12" s="65"/>
      <c r="E12" s="99">
        <v>2673</v>
      </c>
      <c r="F12" s="67"/>
      <c r="G12" s="68"/>
      <c r="H12" s="119" t="s">
        <v>432</v>
      </c>
      <c r="I12" s="91"/>
    </row>
    <row r="13" spans="1:9">
      <c r="A13" s="69" t="s">
        <v>98</v>
      </c>
      <c r="B13" s="65"/>
      <c r="C13" s="65"/>
      <c r="D13" s="65"/>
      <c r="E13" s="99">
        <v>570</v>
      </c>
      <c r="F13" s="67"/>
      <c r="G13" s="68"/>
      <c r="H13" s="119" t="s">
        <v>433</v>
      </c>
      <c r="I13" s="91"/>
    </row>
    <row r="14" spans="1:9">
      <c r="A14" s="78"/>
      <c r="B14" s="79"/>
      <c r="C14" s="79"/>
      <c r="D14" s="79"/>
      <c r="E14" s="100"/>
      <c r="F14" s="80"/>
      <c r="G14" s="81"/>
      <c r="H14" s="94"/>
      <c r="I14" s="92"/>
    </row>
    <row r="15" spans="1:9">
      <c r="A15" s="70" t="s">
        <v>141</v>
      </c>
      <c r="B15" s="65"/>
      <c r="C15" s="65"/>
      <c r="D15" s="65"/>
      <c r="E15" s="99">
        <v>3826</v>
      </c>
      <c r="F15" s="67"/>
      <c r="G15" s="68"/>
      <c r="H15" s="119" t="s">
        <v>434</v>
      </c>
      <c r="I15" s="91"/>
    </row>
    <row r="16" spans="1:9">
      <c r="A16" s="69" t="s">
        <v>102</v>
      </c>
      <c r="B16" s="65"/>
      <c r="C16" s="65"/>
      <c r="D16" s="65"/>
      <c r="E16" s="99">
        <v>560</v>
      </c>
      <c r="F16" s="67"/>
      <c r="G16" s="68"/>
      <c r="H16" s="119" t="s">
        <v>435</v>
      </c>
      <c r="I16" s="91"/>
    </row>
    <row r="17" spans="1:9">
      <c r="A17" s="69" t="s">
        <v>100</v>
      </c>
      <c r="B17" s="65"/>
      <c r="C17" s="65"/>
      <c r="D17" s="65"/>
      <c r="E17" s="99">
        <v>884</v>
      </c>
      <c r="F17" s="67"/>
      <c r="G17" s="68"/>
      <c r="H17" s="119" t="s">
        <v>436</v>
      </c>
      <c r="I17" s="91"/>
    </row>
    <row r="18" spans="1:9">
      <c r="A18" s="69" t="s">
        <v>99</v>
      </c>
      <c r="B18" s="65"/>
      <c r="C18" s="65"/>
      <c r="D18" s="65"/>
      <c r="E18" s="99">
        <v>581</v>
      </c>
      <c r="F18" s="67"/>
      <c r="G18" s="68"/>
      <c r="H18" s="119" t="s">
        <v>437</v>
      </c>
      <c r="I18" s="91"/>
    </row>
    <row r="19" spans="1:9">
      <c r="A19" s="69" t="s">
        <v>94</v>
      </c>
      <c r="B19" s="65"/>
      <c r="C19" s="65"/>
      <c r="D19" s="65"/>
      <c r="E19" s="99">
        <v>373</v>
      </c>
      <c r="F19" s="67"/>
      <c r="G19" s="68"/>
      <c r="H19" s="119" t="s">
        <v>438</v>
      </c>
      <c r="I19" s="91"/>
    </row>
    <row r="20" spans="1:9">
      <c r="A20" s="69" t="s">
        <v>95</v>
      </c>
      <c r="B20" s="65"/>
      <c r="C20" s="65"/>
      <c r="D20" s="65"/>
      <c r="E20" s="99">
        <v>297</v>
      </c>
      <c r="F20" s="67"/>
      <c r="G20" s="68"/>
      <c r="H20" s="123" t="s">
        <v>439</v>
      </c>
      <c r="I20" s="91"/>
    </row>
    <row r="21" spans="1:9">
      <c r="A21" s="71" t="s">
        <v>101</v>
      </c>
      <c r="B21" s="72"/>
      <c r="C21" s="72"/>
      <c r="D21" s="72"/>
      <c r="E21" s="101">
        <v>1130</v>
      </c>
      <c r="F21" s="74"/>
      <c r="G21" s="75"/>
      <c r="H21" s="120" t="s">
        <v>440</v>
      </c>
      <c r="I21" s="93"/>
    </row>
    <row r="22" spans="1:9">
      <c r="A22" s="65" t="s">
        <v>142</v>
      </c>
      <c r="B22" s="65"/>
      <c r="C22" s="65"/>
      <c r="D22" s="65"/>
      <c r="E22" s="65"/>
      <c r="F22" s="65"/>
      <c r="G22" s="65"/>
      <c r="H22" s="65"/>
      <c r="I22" s="66"/>
    </row>
    <row r="23" spans="1:9">
      <c r="A23" s="65" t="s">
        <v>113</v>
      </c>
      <c r="B23" s="65"/>
      <c r="C23" s="65"/>
      <c r="D23" s="65"/>
      <c r="E23" s="65"/>
      <c r="F23" s="65"/>
      <c r="G23" s="65"/>
      <c r="H23" s="65"/>
      <c r="I23" s="66"/>
    </row>
    <row r="24" spans="1:9">
      <c r="A24" s="65" t="s">
        <v>304</v>
      </c>
      <c r="B24" s="65"/>
      <c r="C24" s="65"/>
      <c r="D24" s="65"/>
      <c r="E24" s="65"/>
      <c r="F24" s="65"/>
      <c r="G24" s="65"/>
      <c r="H24" s="65"/>
      <c r="I24" s="66"/>
    </row>
    <row r="25" spans="1:9">
      <c r="A25" s="65" t="s">
        <v>123</v>
      </c>
      <c r="B25" s="65"/>
      <c r="C25" s="65"/>
      <c r="D25" s="65"/>
      <c r="E25" s="65"/>
      <c r="F25" s="65"/>
      <c r="G25" s="65"/>
      <c r="H25" s="65"/>
      <c r="I25" s="66"/>
    </row>
    <row r="26" spans="1:9">
      <c r="G26" s="97" t="s">
        <v>308</v>
      </c>
    </row>
    <row r="45" spans="1:9">
      <c r="G45" s="97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 xr:uid="{00000000-0004-0000-0200-000000000000}"/>
    <hyperlink ref="G45" r:id="rId2" xr:uid="{00000000-0004-0000-0200-000001000000}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7"/>
      <c r="B1" s="87"/>
      <c r="C1" s="124" t="s">
        <v>294</v>
      </c>
      <c r="D1" s="124"/>
      <c r="E1" s="124"/>
      <c r="F1" s="124"/>
      <c r="G1" s="124"/>
      <c r="H1" s="87"/>
      <c r="I1" s="87"/>
    </row>
    <row r="2" spans="1:9" ht="15" customHeight="1">
      <c r="A2" s="87"/>
      <c r="B2" s="87"/>
      <c r="C2" s="124"/>
      <c r="D2" s="124"/>
      <c r="E2" s="124"/>
      <c r="F2" s="124"/>
      <c r="G2" s="124"/>
      <c r="H2" s="87"/>
      <c r="I2" s="87"/>
    </row>
    <row r="3" spans="1:9">
      <c r="A3" s="89" t="s">
        <v>295</v>
      </c>
      <c r="B3" s="89"/>
      <c r="C3" s="89" t="s">
        <v>296</v>
      </c>
      <c r="D3" s="89"/>
      <c r="E3" s="89"/>
      <c r="F3" s="89" t="s">
        <v>297</v>
      </c>
      <c r="G3" s="89"/>
      <c r="H3" s="88" t="s">
        <v>298</v>
      </c>
      <c r="I3" s="88"/>
    </row>
    <row r="9" spans="1:9">
      <c r="D9" s="86"/>
      <c r="G9" s="86"/>
    </row>
    <row r="14" spans="1:9">
      <c r="F14" s="97" t="s">
        <v>308</v>
      </c>
    </row>
    <row r="25" spans="6:6">
      <c r="F25" s="97" t="s">
        <v>308</v>
      </c>
    </row>
    <row r="36" spans="6:6">
      <c r="F36" s="97" t="s">
        <v>308</v>
      </c>
    </row>
    <row r="47" spans="6:6">
      <c r="F47" s="98" t="s">
        <v>308</v>
      </c>
    </row>
    <row r="49" s="18" customFormat="1"/>
  </sheetData>
  <mergeCells count="1">
    <mergeCell ref="C1:G2"/>
  </mergeCells>
  <hyperlinks>
    <hyperlink ref="F14" r:id="rId1" xr:uid="{00000000-0004-0000-0300-000000000000}"/>
    <hyperlink ref="F25" r:id="rId2" xr:uid="{00000000-0004-0000-0300-000001000000}"/>
    <hyperlink ref="F36" r:id="rId3" xr:uid="{00000000-0004-0000-0300-000002000000}"/>
    <hyperlink ref="F47" r:id="rId4" xr:uid="{00000000-0004-0000-0300-000003000000}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T154"/>
  <sheetViews>
    <sheetView topLeftCell="A127" zoomScale="85" zoomScaleNormal="85" workbookViewId="0">
      <selection activeCell="K143" sqref="K143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0" t="str">
        <f ca="1">TEXT(TODAY(), "yyyymm")</f>
        <v>202002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3" t="s">
        <v>114</v>
      </c>
      <c r="Q2" t="s">
        <v>507</v>
      </c>
      <c r="R2" t="s">
        <v>79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377</v>
      </c>
      <c r="D4" t="s">
        <v>378</v>
      </c>
      <c r="E4" t="s">
        <v>379</v>
      </c>
      <c r="F4" t="s">
        <v>381</v>
      </c>
      <c r="G4" s="19" t="s">
        <v>459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376</v>
      </c>
      <c r="D5" t="s">
        <v>376</v>
      </c>
      <c r="E5" t="s">
        <v>376</v>
      </c>
      <c r="F5" t="s">
        <v>380</v>
      </c>
      <c r="G5" s="19" t="s">
        <v>382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510</v>
      </c>
      <c r="D6" t="s">
        <v>510</v>
      </c>
      <c r="E6" t="s">
        <v>510</v>
      </c>
      <c r="F6" t="s">
        <v>511</v>
      </c>
      <c r="G6" s="19" t="s">
        <v>512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9">
        <f t="shared" ref="O8:O71" si="0">400*(((D8+C8)/(D7+C7))-1)</f>
        <v>0.10112757243261328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1">IF(C9&lt;&gt;"", ((C9+D9)-(C8+D8))*1000, "")</f>
        <v>-1000</v>
      </c>
      <c r="J9" s="30" t="e">
        <f t="shared" ref="J9:J72" si="2">IF(I8&lt;&gt;"", IF(I9&lt;&gt;"", (AVERAGE(I7:I9)), ""), "")</f>
        <v>#VALUE!</v>
      </c>
      <c r="K9" s="34"/>
      <c r="L9" s="37">
        <f t="shared" ref="L9:L72" si="3">IF(E9&lt;&gt;"", ((E9-F9)-(E8-F8))*1000, "")</f>
        <v>2899.9999999998636</v>
      </c>
      <c r="M9" s="37" t="e">
        <v>#N/A</v>
      </c>
      <c r="O9" s="19">
        <f t="shared" si="0"/>
        <v>-2.0220402386028624E-2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1"/>
        <v>12000</v>
      </c>
      <c r="J10" s="30">
        <f t="shared" si="2"/>
        <v>5333.333333333333</v>
      </c>
      <c r="K10" s="34"/>
      <c r="L10" s="37">
        <f t="shared" si="3"/>
        <v>7900.0000000000909</v>
      </c>
      <c r="M10" s="59">
        <f>IF(L9&lt;&gt;"", IF(L10&lt;&gt;"", AVERAGE(L8:L10), ""), "")</f>
        <v>6500</v>
      </c>
      <c r="N10" s="14"/>
      <c r="O10" s="19">
        <f t="shared" si="0"/>
        <v>0.24265709519237788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1"/>
        <v>-12000</v>
      </c>
      <c r="J11" s="30">
        <f t="shared" si="2"/>
        <v>-333.33333333333331</v>
      </c>
      <c r="K11" s="34"/>
      <c r="L11" s="37">
        <f t="shared" si="3"/>
        <v>7699.9999999998181</v>
      </c>
      <c r="M11" s="59">
        <f t="shared" ref="M11:M74" si="4">IF(L10&lt;&gt;"", IF(L11&lt;&gt;"", AVERAGE(L9:L11), ""), "")</f>
        <v>6166.6666666665915</v>
      </c>
      <c r="N11" s="14"/>
      <c r="O11" s="19">
        <f t="shared" si="0"/>
        <v>-0.24250997827515164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1"/>
        <v>-18000</v>
      </c>
      <c r="J12" s="30">
        <f t="shared" si="2"/>
        <v>-6000</v>
      </c>
      <c r="L12" s="37">
        <f t="shared" si="3"/>
        <v>800.0000000001819</v>
      </c>
      <c r="M12" s="59">
        <f t="shared" si="4"/>
        <v>5466.666666666697</v>
      </c>
      <c r="N12" s="14"/>
      <c r="O12" s="19">
        <f t="shared" si="0"/>
        <v>-0.36398564278852241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1"/>
        <v>-8000</v>
      </c>
      <c r="J13" s="30">
        <f t="shared" si="2"/>
        <v>-12666.666666666666</v>
      </c>
      <c r="K13" s="34"/>
      <c r="L13" s="37">
        <f t="shared" si="3"/>
        <v>11800.000000000182</v>
      </c>
      <c r="M13" s="59">
        <f t="shared" si="4"/>
        <v>6766.666666666727</v>
      </c>
      <c r="N13" s="14"/>
      <c r="O13" s="19">
        <f t="shared" si="0"/>
        <v>-0.1619187370338615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1"/>
        <v>2000</v>
      </c>
      <c r="J14" s="30">
        <f t="shared" si="2"/>
        <v>-8000</v>
      </c>
      <c r="K14" s="34"/>
      <c r="L14" s="37">
        <f t="shared" si="3"/>
        <v>7799.9999999997272</v>
      </c>
      <c r="M14" s="59">
        <f t="shared" si="4"/>
        <v>6800.00000000003</v>
      </c>
      <c r="N14" s="14"/>
      <c r="O14" s="19">
        <f t="shared" si="0"/>
        <v>4.0496076942542203E-2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1"/>
        <v>5000</v>
      </c>
      <c r="J15" s="30">
        <f t="shared" si="2"/>
        <v>-333.33333333333331</v>
      </c>
      <c r="K15" s="34"/>
      <c r="L15" s="37">
        <f t="shared" si="3"/>
        <v>17400.000000000091</v>
      </c>
      <c r="M15" s="59">
        <f t="shared" si="4"/>
        <v>12333.333333333334</v>
      </c>
      <c r="N15" s="14"/>
      <c r="O15" s="19">
        <f t="shared" si="0"/>
        <v>0.10122994381740469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1"/>
        <v>-67000</v>
      </c>
      <c r="J16" s="30">
        <f t="shared" si="2"/>
        <v>-20000</v>
      </c>
      <c r="K16" s="34"/>
      <c r="L16" s="37">
        <f t="shared" si="3"/>
        <v>15800.000000000182</v>
      </c>
      <c r="M16" s="59">
        <f t="shared" si="4"/>
        <v>13666.666666666666</v>
      </c>
      <c r="N16" s="14"/>
      <c r="O16" s="19">
        <f t="shared" si="0"/>
        <v>-1.3561380427082437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1"/>
        <v>17000</v>
      </c>
      <c r="J17" s="30">
        <f t="shared" si="2"/>
        <v>-15000</v>
      </c>
      <c r="K17" s="34"/>
      <c r="L17" s="37">
        <f t="shared" si="3"/>
        <v>8899.9999999996362</v>
      </c>
      <c r="M17" s="59">
        <f t="shared" si="4"/>
        <v>14033.333333333305</v>
      </c>
      <c r="N17" s="14"/>
      <c r="O17" s="19">
        <f t="shared" si="0"/>
        <v>0.34526529576037746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1"/>
        <v>-87000</v>
      </c>
      <c r="J18" s="30">
        <f t="shared" si="2"/>
        <v>-45666.666666666664</v>
      </c>
      <c r="K18" s="34"/>
      <c r="L18" s="37">
        <f t="shared" si="3"/>
        <v>3900.0000000000909</v>
      </c>
      <c r="M18" s="59">
        <f t="shared" si="4"/>
        <v>9533.333333333303</v>
      </c>
      <c r="N18" s="14"/>
      <c r="O18" s="19">
        <f t="shared" si="0"/>
        <v>-1.7654220779220964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1"/>
        <v>56000</v>
      </c>
      <c r="J19" s="30">
        <f t="shared" si="2"/>
        <v>-4666.666666666667</v>
      </c>
      <c r="K19" s="34"/>
      <c r="L19" s="37">
        <f t="shared" si="3"/>
        <v>11000</v>
      </c>
      <c r="M19" s="59">
        <f t="shared" si="4"/>
        <v>7933.3333333332421</v>
      </c>
      <c r="N19" s="14"/>
      <c r="O19" s="19">
        <f t="shared" si="0"/>
        <v>1.1414012738853785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1"/>
        <v>10000</v>
      </c>
      <c r="J20" s="30">
        <f t="shared" si="2"/>
        <v>-7000</v>
      </c>
      <c r="K20" s="34"/>
      <c r="L20" s="37">
        <f t="shared" si="3"/>
        <v>6400.0000000000909</v>
      </c>
      <c r="M20" s="59">
        <f t="shared" si="4"/>
        <v>7100.0000000000609</v>
      </c>
      <c r="N20" s="14"/>
      <c r="O20" s="19">
        <f t="shared" si="0"/>
        <v>0.20324170519794293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1"/>
        <v>-40000</v>
      </c>
      <c r="J21" s="30">
        <f t="shared" si="2"/>
        <v>8666.6666666666661</v>
      </c>
      <c r="K21" s="34"/>
      <c r="L21" s="37">
        <f t="shared" si="3"/>
        <v>9199.9999999998181</v>
      </c>
      <c r="M21" s="59">
        <f t="shared" si="4"/>
        <v>8866.666666666637</v>
      </c>
      <c r="N21" s="14"/>
      <c r="O21" s="19">
        <f t="shared" si="0"/>
        <v>-0.81255395866133284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1"/>
        <v>-20000</v>
      </c>
      <c r="J22" s="30">
        <f t="shared" si="2"/>
        <v>-16666.666666666668</v>
      </c>
      <c r="K22" s="34"/>
      <c r="L22" s="37">
        <f t="shared" si="3"/>
        <v>4500</v>
      </c>
      <c r="M22" s="59">
        <f t="shared" si="4"/>
        <v>6699.99999999997</v>
      </c>
      <c r="N22" s="14"/>
      <c r="O22" s="19">
        <f t="shared" si="0"/>
        <v>-0.40710396417487082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1"/>
        <v>-27000</v>
      </c>
      <c r="J23" s="30">
        <f t="shared" si="2"/>
        <v>-29000</v>
      </c>
      <c r="K23" s="34"/>
      <c r="L23" s="37">
        <f t="shared" si="3"/>
        <v>5100.0000000003638</v>
      </c>
      <c r="M23" s="59">
        <f t="shared" si="4"/>
        <v>6266.666666666727</v>
      </c>
      <c r="N23" s="14"/>
      <c r="O23" s="19">
        <f t="shared" si="0"/>
        <v>-0.5501502725281604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1"/>
        <v>-9000</v>
      </c>
      <c r="J24" s="30">
        <f t="shared" si="2"/>
        <v>-18666.666666666668</v>
      </c>
      <c r="K24" s="34"/>
      <c r="L24" s="37">
        <f t="shared" si="3"/>
        <v>6699.9999999998181</v>
      </c>
      <c r="M24" s="59">
        <f t="shared" si="4"/>
        <v>5433.333333333394</v>
      </c>
      <c r="N24" s="14"/>
      <c r="O24" s="19">
        <f t="shared" si="0"/>
        <v>-0.18363599265454056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1"/>
        <v>-10000</v>
      </c>
      <c r="J25" s="30">
        <f t="shared" si="2"/>
        <v>-15333.333333333334</v>
      </c>
      <c r="K25" s="34"/>
      <c r="L25" s="37">
        <f t="shared" si="3"/>
        <v>-2199.9999999998181</v>
      </c>
      <c r="M25" s="59">
        <f t="shared" si="4"/>
        <v>3200.0000000001214</v>
      </c>
      <c r="N25" s="14"/>
      <c r="O25" s="19">
        <f t="shared" si="0"/>
        <v>-0.20413370757847993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1"/>
        <v>-5000</v>
      </c>
      <c r="J26" s="30">
        <f t="shared" si="2"/>
        <v>-8000</v>
      </c>
      <c r="K26" s="34"/>
      <c r="L26" s="37">
        <f t="shared" si="3"/>
        <v>23799.999999999727</v>
      </c>
      <c r="M26" s="59">
        <f t="shared" si="4"/>
        <v>9433.333333333243</v>
      </c>
      <c r="N26" s="14"/>
      <c r="O26" s="19">
        <f t="shared" si="0"/>
        <v>-0.10211896859839698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1"/>
        <v>-33000</v>
      </c>
      <c r="J27" s="30">
        <f t="shared" si="2"/>
        <v>-16000</v>
      </c>
      <c r="K27" s="34"/>
      <c r="L27" s="37">
        <f t="shared" si="3"/>
        <v>1700.0000000002728</v>
      </c>
      <c r="M27" s="59">
        <f t="shared" si="4"/>
        <v>7766.666666666727</v>
      </c>
      <c r="N27" s="14"/>
      <c r="O27" s="19">
        <f t="shared" si="0"/>
        <v>-0.6741573033707926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1"/>
        <v>-29000</v>
      </c>
      <c r="J28" s="30">
        <f t="shared" si="2"/>
        <v>-22333.333333333332</v>
      </c>
      <c r="K28" s="34"/>
      <c r="L28" s="37">
        <f t="shared" si="3"/>
        <v>5599.9999999999091</v>
      </c>
      <c r="M28" s="59">
        <f t="shared" si="4"/>
        <v>10366.666666666637</v>
      </c>
      <c r="N28" s="14"/>
      <c r="O28" s="19">
        <f t="shared" si="0"/>
        <v>-0.59344144881565697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1"/>
        <v>-43000</v>
      </c>
      <c r="J29" s="30">
        <f t="shared" si="2"/>
        <v>-35000</v>
      </c>
      <c r="K29" s="34"/>
      <c r="L29" s="37">
        <f t="shared" si="3"/>
        <v>6099.9999999999091</v>
      </c>
      <c r="M29" s="59">
        <f t="shared" si="4"/>
        <v>4466.666666666697</v>
      </c>
      <c r="N29" s="14"/>
      <c r="O29" s="19">
        <f t="shared" si="0"/>
        <v>-0.88123783174505199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1"/>
        <v>-97000</v>
      </c>
      <c r="J30" s="30">
        <f t="shared" si="2"/>
        <v>-56333.333333333336</v>
      </c>
      <c r="K30" s="34"/>
      <c r="L30" s="37">
        <f t="shared" si="3"/>
        <v>1900.0000000000909</v>
      </c>
      <c r="M30" s="59">
        <f t="shared" si="4"/>
        <v>4533.333333333303</v>
      </c>
      <c r="N30" s="14"/>
      <c r="O30" s="19">
        <f t="shared" si="0"/>
        <v>-1.9922978177150164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1"/>
        <v>53000</v>
      </c>
      <c r="J31" s="30">
        <f t="shared" si="2"/>
        <v>-29000</v>
      </c>
      <c r="K31" s="34"/>
      <c r="L31" s="37">
        <f t="shared" si="3"/>
        <v>4599.9999999999091</v>
      </c>
      <c r="M31" s="59">
        <f t="shared" si="4"/>
        <v>4199.99999999997</v>
      </c>
      <c r="N31" s="14"/>
      <c r="O31" s="19">
        <f t="shared" si="0"/>
        <v>1.0940241510992266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1"/>
        <v>-10000</v>
      </c>
      <c r="J32" s="30">
        <f t="shared" si="2"/>
        <v>-18000</v>
      </c>
      <c r="K32" s="34"/>
      <c r="L32" s="37">
        <f t="shared" si="3"/>
        <v>2500</v>
      </c>
      <c r="M32" s="59">
        <f t="shared" si="4"/>
        <v>3000</v>
      </c>
      <c r="N32" s="14"/>
      <c r="O32" s="19">
        <f t="shared" si="0"/>
        <v>-0.20585662086358703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1"/>
        <v>-25000</v>
      </c>
      <c r="J33" s="30">
        <f t="shared" si="2"/>
        <v>6000</v>
      </c>
      <c r="K33" s="34"/>
      <c r="L33" s="37">
        <f t="shared" si="3"/>
        <v>5500</v>
      </c>
      <c r="M33" s="59">
        <f t="shared" si="4"/>
        <v>4199.99999999997</v>
      </c>
      <c r="N33" s="14"/>
      <c r="O33" s="19">
        <f t="shared" si="0"/>
        <v>-0.51490654446220141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1"/>
        <v>-12000</v>
      </c>
      <c r="J34" s="30">
        <f t="shared" si="2"/>
        <v>-15666.666666666666</v>
      </c>
      <c r="K34" s="34"/>
      <c r="L34" s="37">
        <f t="shared" si="3"/>
        <v>7099.9999999999091</v>
      </c>
      <c r="M34" s="59">
        <f t="shared" si="4"/>
        <v>5033.333333333303</v>
      </c>
      <c r="N34" s="14"/>
      <c r="O34" s="19">
        <f t="shared" si="0"/>
        <v>-0.24747370591873263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1"/>
        <v>-45000</v>
      </c>
      <c r="J35" s="30">
        <f t="shared" si="2"/>
        <v>-27333.333333333332</v>
      </c>
      <c r="K35" s="34"/>
      <c r="L35" s="37">
        <f t="shared" si="3"/>
        <v>1599.9999999999091</v>
      </c>
      <c r="M35" s="59">
        <f t="shared" si="4"/>
        <v>4733.333333333273</v>
      </c>
      <c r="N35" s="14"/>
      <c r="O35" s="19">
        <f t="shared" si="0"/>
        <v>-0.9286009079653379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1"/>
        <v>-24000</v>
      </c>
      <c r="J36" s="30">
        <f t="shared" si="2"/>
        <v>-27000</v>
      </c>
      <c r="K36" s="34"/>
      <c r="L36" s="37">
        <f t="shared" si="3"/>
        <v>4100.0000000003638</v>
      </c>
      <c r="M36" s="59">
        <f t="shared" si="4"/>
        <v>4266.666666666727</v>
      </c>
      <c r="N36" s="14"/>
      <c r="O36" s="19">
        <f t="shared" si="0"/>
        <v>-0.49640622576143656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1"/>
        <v>-1000</v>
      </c>
      <c r="J37" s="30">
        <f t="shared" si="2"/>
        <v>-23333.333333333332</v>
      </c>
      <c r="K37" s="34"/>
      <c r="L37" s="37">
        <f t="shared" si="3"/>
        <v>99.999999999909051</v>
      </c>
      <c r="M37" s="59">
        <f t="shared" si="4"/>
        <v>1933.333333333394</v>
      </c>
      <c r="N37" s="14"/>
      <c r="O37" s="19">
        <f t="shared" si="0"/>
        <v>-2.0709293295384512E-2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1"/>
        <v>-56000</v>
      </c>
      <c r="J38" s="30">
        <f t="shared" si="2"/>
        <v>-27000</v>
      </c>
      <c r="K38" s="34"/>
      <c r="L38" s="37">
        <f t="shared" si="3"/>
        <v>1199.9999999998181</v>
      </c>
      <c r="M38" s="59">
        <f t="shared" si="4"/>
        <v>1800.0000000000302</v>
      </c>
      <c r="N38" s="14"/>
      <c r="O38" s="19">
        <f t="shared" si="0"/>
        <v>-1.1597804701252823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1"/>
        <v>46000</v>
      </c>
      <c r="J39" s="30">
        <f t="shared" si="2"/>
        <v>-3666.6666666666665</v>
      </c>
      <c r="K39" s="34"/>
      <c r="L39" s="37">
        <f t="shared" si="3"/>
        <v>-6099.9999999999091</v>
      </c>
      <c r="M39" s="59">
        <f t="shared" si="4"/>
        <v>-1600.0000000000607</v>
      </c>
      <c r="N39" s="14"/>
      <c r="O39" s="19">
        <f t="shared" si="0"/>
        <v>0.95544708692489877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1"/>
        <v>-117000</v>
      </c>
      <c r="J40" s="30">
        <f t="shared" si="2"/>
        <v>-42333.333333333336</v>
      </c>
      <c r="K40" s="34"/>
      <c r="L40" s="37">
        <f t="shared" si="3"/>
        <v>-2699.9999999998181</v>
      </c>
      <c r="M40" s="59">
        <f t="shared" si="4"/>
        <v>-2533.333333333303</v>
      </c>
      <c r="N40" s="14"/>
      <c r="O40" s="19">
        <f t="shared" si="0"/>
        <v>-2.4243680066307505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1"/>
        <v>-20000</v>
      </c>
      <c r="J41" s="30">
        <f t="shared" si="2"/>
        <v>-30333.333333333332</v>
      </c>
      <c r="K41" s="34"/>
      <c r="L41" s="37">
        <f t="shared" si="3"/>
        <v>-3500</v>
      </c>
      <c r="M41" s="59">
        <f t="shared" si="4"/>
        <v>-4099.9999999999091</v>
      </c>
      <c r="N41" s="14"/>
      <c r="O41" s="19">
        <f t="shared" si="0"/>
        <v>-0.4169489758690581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1"/>
        <v>-30000</v>
      </c>
      <c r="J42" s="30">
        <f t="shared" si="2"/>
        <v>-55666.666666666664</v>
      </c>
      <c r="K42" s="34"/>
      <c r="L42" s="37">
        <f t="shared" si="3"/>
        <v>1099.9999999999091</v>
      </c>
      <c r="M42" s="59">
        <f t="shared" si="4"/>
        <v>-1699.9999999999698</v>
      </c>
      <c r="N42" s="14"/>
      <c r="O42" s="19">
        <f t="shared" si="0"/>
        <v>-0.62607606824229833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1"/>
        <v>11000</v>
      </c>
      <c r="J43" s="30">
        <f t="shared" si="2"/>
        <v>-13000</v>
      </c>
      <c r="K43" s="34"/>
      <c r="L43" s="37">
        <f t="shared" si="3"/>
        <v>-200.00000000027285</v>
      </c>
      <c r="M43" s="59">
        <f t="shared" si="4"/>
        <v>-866.66666666678793</v>
      </c>
      <c r="N43" s="14"/>
      <c r="O43" s="19">
        <f t="shared" si="0"/>
        <v>0.22992109526045468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1"/>
        <v>-19000</v>
      </c>
      <c r="J44" s="30">
        <f t="shared" si="2"/>
        <v>-12666.666666666666</v>
      </c>
      <c r="K44" s="34"/>
      <c r="L44" s="37">
        <f t="shared" si="3"/>
        <v>-2799.9999999997272</v>
      </c>
      <c r="M44" s="59">
        <f t="shared" si="4"/>
        <v>-633.33333333336361</v>
      </c>
      <c r="N44" s="14"/>
      <c r="O44" s="19">
        <f t="shared" si="0"/>
        <v>-0.39690829329432908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1"/>
        <v>-11000</v>
      </c>
      <c r="J45" s="30">
        <f t="shared" si="2"/>
        <v>-6333.333333333333</v>
      </c>
      <c r="K45" s="34"/>
      <c r="L45" s="37">
        <f t="shared" si="3"/>
        <v>-2900.0000000000909</v>
      </c>
      <c r="M45" s="59">
        <f t="shared" si="4"/>
        <v>-1966.666666666697</v>
      </c>
      <c r="N45" s="14"/>
      <c r="O45" s="19">
        <f t="shared" si="0"/>
        <v>-0.23001725129385697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1"/>
        <v>-5000</v>
      </c>
      <c r="J46" s="30">
        <f t="shared" si="2"/>
        <v>-11666.666666666666</v>
      </c>
      <c r="K46" s="34"/>
      <c r="L46" s="37">
        <f t="shared" si="3"/>
        <v>-5199.9999999998181</v>
      </c>
      <c r="M46" s="59">
        <f t="shared" si="4"/>
        <v>-3633.3333333332121</v>
      </c>
      <c r="N46" s="14"/>
      <c r="O46" s="19">
        <f t="shared" si="0"/>
        <v>-0.1046134532900922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1"/>
        <v>6000</v>
      </c>
      <c r="J47" s="30">
        <f t="shared" si="2"/>
        <v>-3333.3333333333335</v>
      </c>
      <c r="K47" s="34"/>
      <c r="L47" s="37">
        <f t="shared" si="3"/>
        <v>-2000</v>
      </c>
      <c r="M47" s="59">
        <f t="shared" si="4"/>
        <v>-3366.6666666666365</v>
      </c>
      <c r="N47" s="14"/>
      <c r="O47" s="19">
        <f t="shared" si="0"/>
        <v>0.1255689844608554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1"/>
        <v>-4000</v>
      </c>
      <c r="J48" s="30">
        <f t="shared" si="2"/>
        <v>-1000</v>
      </c>
      <c r="K48" s="34"/>
      <c r="L48" s="37">
        <f t="shared" si="3"/>
        <v>1000</v>
      </c>
      <c r="M48" s="59">
        <f t="shared" si="4"/>
        <v>-2066.666666666606</v>
      </c>
      <c r="N48" s="14"/>
      <c r="O48" s="19">
        <f t="shared" si="0"/>
        <v>-8.3686385271208863E-2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1"/>
        <v>-10000</v>
      </c>
      <c r="J49" s="30">
        <f t="shared" si="2"/>
        <v>-2666.6666666666665</v>
      </c>
      <c r="K49" s="34"/>
      <c r="L49" s="37">
        <f t="shared" si="3"/>
        <v>-1500</v>
      </c>
      <c r="M49" s="59">
        <f t="shared" si="4"/>
        <v>-833.33333333333337</v>
      </c>
      <c r="N49" s="14"/>
      <c r="O49" s="19">
        <f t="shared" si="0"/>
        <v>-0.20925974365679778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1"/>
        <v>-17000</v>
      </c>
      <c r="J50" s="30">
        <f t="shared" si="2"/>
        <v>-10333.333333333334</v>
      </c>
      <c r="K50" s="34"/>
      <c r="L50" s="37">
        <f>IF(E50&lt;&gt;"", ((E50-F50)-(E49-F49))*1000, "")</f>
        <v>-1100.0000000003638</v>
      </c>
      <c r="M50" s="59">
        <f t="shared" si="4"/>
        <v>-533.33333333345456</v>
      </c>
      <c r="N50" s="14"/>
      <c r="O50" s="19">
        <f t="shared" si="0"/>
        <v>-0.35592776760009492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1"/>
        <v>18000</v>
      </c>
      <c r="J51" s="30">
        <f t="shared" si="2"/>
        <v>-3000</v>
      </c>
      <c r="K51" s="34"/>
      <c r="L51" s="37">
        <f t="shared" si="3"/>
        <v>1700.0000000002728</v>
      </c>
      <c r="M51" s="59">
        <f t="shared" si="4"/>
        <v>-300.0000000000303</v>
      </c>
      <c r="N51" s="22"/>
      <c r="O51" s="19">
        <f t="shared" si="0"/>
        <v>0.37720033528918506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1"/>
        <v>-8000</v>
      </c>
      <c r="J52" s="30">
        <f t="shared" si="2"/>
        <v>-2333.3333333333335</v>
      </c>
      <c r="K52" s="34"/>
      <c r="L52" s="37">
        <f t="shared" si="3"/>
        <v>-8099.9999999999091</v>
      </c>
      <c r="M52" s="59">
        <f t="shared" si="4"/>
        <v>-2500</v>
      </c>
      <c r="N52" s="14"/>
      <c r="O52" s="19">
        <f t="shared" si="0"/>
        <v>-0.16748665340728941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1"/>
        <v>-2000</v>
      </c>
      <c r="J53" s="30">
        <f t="shared" si="2"/>
        <v>2666.6666666666665</v>
      </c>
      <c r="K53" s="34"/>
      <c r="L53" s="37">
        <f t="shared" si="3"/>
        <v>7799.9999999997272</v>
      </c>
      <c r="M53" s="59">
        <f t="shared" si="4"/>
        <v>466.66666666669698</v>
      </c>
      <c r="N53" s="14"/>
      <c r="O53" s="19">
        <f t="shared" si="0"/>
        <v>-4.1889203057898783E-2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1"/>
        <v>7000</v>
      </c>
      <c r="J54" s="30">
        <f t="shared" si="2"/>
        <v>-1000</v>
      </c>
      <c r="K54" s="34"/>
      <c r="L54" s="37">
        <f t="shared" si="3"/>
        <v>5700.0000000002728</v>
      </c>
      <c r="M54" s="59">
        <f t="shared" si="4"/>
        <v>1800.0000000000302</v>
      </c>
      <c r="N54" s="14"/>
      <c r="O54" s="19">
        <f t="shared" si="0"/>
        <v>0.14662756598244897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1"/>
        <v>-24000</v>
      </c>
      <c r="J55" s="30">
        <f t="shared" si="2"/>
        <v>-6333.333333333333</v>
      </c>
      <c r="K55" s="34"/>
      <c r="L55" s="37">
        <f t="shared" si="3"/>
        <v>-2700.0000000002728</v>
      </c>
      <c r="M55" s="59">
        <f t="shared" si="4"/>
        <v>3599.9999999999091</v>
      </c>
      <c r="N55" s="14"/>
      <c r="O55" s="19">
        <f t="shared" si="0"/>
        <v>-0.50253886824060956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1"/>
        <v>-5000</v>
      </c>
      <c r="J56" s="30">
        <f t="shared" si="2"/>
        <v>-7333.333333333333</v>
      </c>
      <c r="K56" s="34"/>
      <c r="L56" s="37">
        <f t="shared" si="3"/>
        <v>-4500</v>
      </c>
      <c r="M56" s="59">
        <f t="shared" si="4"/>
        <v>-500</v>
      </c>
      <c r="N56" s="14"/>
      <c r="O56" s="19">
        <f t="shared" si="0"/>
        <v>-0.10482729702814275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1"/>
        <v>7000</v>
      </c>
      <c r="J57" s="30">
        <f t="shared" si="2"/>
        <v>-7333.333333333333</v>
      </c>
      <c r="K57" s="34"/>
      <c r="L57" s="37">
        <f t="shared" si="3"/>
        <v>-1199.9999999998181</v>
      </c>
      <c r="M57" s="59">
        <f t="shared" si="4"/>
        <v>-2800.0000000000305</v>
      </c>
      <c r="N57" s="14"/>
      <c r="O57" s="19">
        <f t="shared" si="0"/>
        <v>0.14679668658903466</v>
      </c>
      <c r="R57" s="13"/>
    </row>
    <row r="58" spans="1:18">
      <c r="A58" s="7" t="s">
        <v>192</v>
      </c>
      <c r="B58" s="12">
        <v>41305</v>
      </c>
      <c r="C58" s="13">
        <v>5029</v>
      </c>
      <c r="D58" s="13">
        <v>14034</v>
      </c>
      <c r="E58" s="22">
        <v>2203.6</v>
      </c>
      <c r="F58" s="13">
        <v>0</v>
      </c>
      <c r="G58" s="13">
        <v>0</v>
      </c>
      <c r="H58" s="13"/>
      <c r="I58" s="30">
        <f t="shared" si="1"/>
        <v>-18000</v>
      </c>
      <c r="J58" s="30">
        <f t="shared" si="2"/>
        <v>-5333.333333333333</v>
      </c>
      <c r="K58" s="34"/>
      <c r="L58" s="37">
        <f t="shared" si="3"/>
        <v>-4300.0000000001819</v>
      </c>
      <c r="M58" s="59">
        <f t="shared" si="4"/>
        <v>-3333.3333333333335</v>
      </c>
      <c r="N58" s="14"/>
      <c r="O58" s="19">
        <f t="shared" si="0"/>
        <v>-0.37733871390388529</v>
      </c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2203.4</v>
      </c>
      <c r="F59" s="13">
        <v>0</v>
      </c>
      <c r="G59" s="13">
        <v>0</v>
      </c>
      <c r="H59" s="13"/>
      <c r="I59" s="30">
        <f t="shared" si="1"/>
        <v>12000</v>
      </c>
      <c r="J59" s="30">
        <f t="shared" si="2"/>
        <v>333.33333333333331</v>
      </c>
      <c r="K59" s="34"/>
      <c r="L59" s="37">
        <f t="shared" si="3"/>
        <v>-199.9999999998181</v>
      </c>
      <c r="M59" s="59">
        <f t="shared" si="4"/>
        <v>-1899.9999999999393</v>
      </c>
      <c r="N59" s="14"/>
      <c r="O59" s="19">
        <f t="shared" si="0"/>
        <v>0.25179667418555596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2201.8000000000002</v>
      </c>
      <c r="F60" s="13">
        <v>0</v>
      </c>
      <c r="G60" s="13">
        <v>0</v>
      </c>
      <c r="H60" s="13"/>
      <c r="I60" s="30">
        <f t="shared" si="1"/>
        <v>1000</v>
      </c>
      <c r="J60" s="30">
        <f t="shared" si="2"/>
        <v>-1666.6666666666667</v>
      </c>
      <c r="K60" s="34"/>
      <c r="L60" s="37">
        <f t="shared" si="3"/>
        <v>-1599.9999999999091</v>
      </c>
      <c r="M60" s="59">
        <f t="shared" si="4"/>
        <v>-2033.333333333303</v>
      </c>
      <c r="N60" s="14"/>
      <c r="O60" s="19">
        <f t="shared" si="0"/>
        <v>2.0969855832220219E-2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14028</v>
      </c>
      <c r="E61" s="22">
        <v>2192.6</v>
      </c>
      <c r="F61" s="13">
        <v>0</v>
      </c>
      <c r="G61" s="13">
        <v>0</v>
      </c>
      <c r="H61" s="13"/>
      <c r="I61" s="30">
        <f t="shared" si="1"/>
        <v>-1000</v>
      </c>
      <c r="J61" s="30">
        <f t="shared" si="2"/>
        <v>4000</v>
      </c>
      <c r="K61" s="34"/>
      <c r="L61" s="37">
        <f t="shared" si="3"/>
        <v>-9200.0000000002728</v>
      </c>
      <c r="M61" s="59">
        <f t="shared" si="4"/>
        <v>-3666.6666666666665</v>
      </c>
      <c r="N61" s="14"/>
      <c r="O61" s="19">
        <f t="shared" si="0"/>
        <v>-2.0968756552752765E-2</v>
      </c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14040</v>
      </c>
      <c r="E62" s="22">
        <v>2184.6999999999998</v>
      </c>
      <c r="F62" s="13">
        <v>0</v>
      </c>
      <c r="G62" s="13">
        <v>0</v>
      </c>
      <c r="H62" s="13"/>
      <c r="I62" s="30">
        <f t="shared" si="1"/>
        <v>14000</v>
      </c>
      <c r="J62" s="30">
        <f t="shared" si="2"/>
        <v>4666.666666666667</v>
      </c>
      <c r="K62" s="34"/>
      <c r="L62" s="37">
        <f t="shared" si="3"/>
        <v>-7900.0000000000909</v>
      </c>
      <c r="M62" s="59">
        <f t="shared" si="4"/>
        <v>-6233.333333333424</v>
      </c>
      <c r="N62" s="14"/>
      <c r="O62" s="19">
        <f t="shared" si="0"/>
        <v>0.29357798165134952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2177.9</v>
      </c>
      <c r="F63" s="13">
        <v>0</v>
      </c>
      <c r="G63" s="13">
        <v>0</v>
      </c>
      <c r="H63" s="13"/>
      <c r="I63" s="30">
        <f t="shared" si="1"/>
        <v>-20000</v>
      </c>
      <c r="J63" s="30">
        <f t="shared" si="2"/>
        <v>-2333.3333333333335</v>
      </c>
      <c r="K63" s="34"/>
      <c r="L63" s="37">
        <f t="shared" si="3"/>
        <v>-6799.9999999997272</v>
      </c>
      <c r="M63" s="59">
        <f t="shared" si="4"/>
        <v>-7966.666666666697</v>
      </c>
      <c r="N63" s="14"/>
      <c r="O63" s="19">
        <f t="shared" si="0"/>
        <v>-0.41908952800042698</v>
      </c>
      <c r="R63" s="13"/>
    </row>
    <row r="64" spans="1:18">
      <c r="A64" s="7" t="s">
        <v>198</v>
      </c>
      <c r="B64" s="12">
        <v>41486</v>
      </c>
      <c r="C64" s="13">
        <v>5025</v>
      </c>
      <c r="D64" s="13">
        <v>14029</v>
      </c>
      <c r="E64" s="22">
        <v>2168.9</v>
      </c>
      <c r="F64" s="13">
        <v>0</v>
      </c>
      <c r="G64" s="13">
        <v>0</v>
      </c>
      <c r="H64" s="13"/>
      <c r="I64" s="30">
        <f t="shared" si="1"/>
        <v>-15000</v>
      </c>
      <c r="J64" s="30">
        <f t="shared" si="2"/>
        <v>-7000</v>
      </c>
      <c r="K64" s="34"/>
      <c r="L64" s="37">
        <f t="shared" si="3"/>
        <v>-9000</v>
      </c>
      <c r="M64" s="59">
        <f t="shared" si="4"/>
        <v>-7899.9999999999391</v>
      </c>
      <c r="N64" s="14"/>
      <c r="O64" s="19">
        <f t="shared" si="0"/>
        <v>-0.31464680895694208</v>
      </c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14032</v>
      </c>
      <c r="E65" s="22">
        <v>2162</v>
      </c>
      <c r="F65" s="13">
        <v>0</v>
      </c>
      <c r="G65" s="13">
        <v>0</v>
      </c>
      <c r="H65" s="13"/>
      <c r="I65" s="30">
        <f t="shared" si="1"/>
        <v>23000</v>
      </c>
      <c r="J65" s="30">
        <f t="shared" si="2"/>
        <v>-4000</v>
      </c>
      <c r="K65" s="34"/>
      <c r="L65" s="37">
        <f t="shared" si="3"/>
        <v>-6900.0000000000909</v>
      </c>
      <c r="M65" s="59">
        <f t="shared" si="4"/>
        <v>-7566.666666666606</v>
      </c>
      <c r="N65" s="14"/>
      <c r="O65" s="19">
        <f t="shared" si="0"/>
        <v>0.48283824918655682</v>
      </c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14032</v>
      </c>
      <c r="E66" s="22">
        <v>2159.6999999999998</v>
      </c>
      <c r="F66" s="13">
        <v>0</v>
      </c>
      <c r="G66" s="13">
        <v>0</v>
      </c>
      <c r="H66" s="13"/>
      <c r="I66" s="30">
        <f t="shared" si="1"/>
        <v>5000</v>
      </c>
      <c r="J66" s="30">
        <f t="shared" si="2"/>
        <v>4333.333333333333</v>
      </c>
      <c r="K66" s="34"/>
      <c r="L66" s="37">
        <f t="shared" si="3"/>
        <v>-2300.0000000001819</v>
      </c>
      <c r="M66" s="59">
        <f t="shared" si="4"/>
        <v>-6066.6666666667579</v>
      </c>
      <c r="N66" s="14"/>
      <c r="O66" s="19">
        <f t="shared" si="0"/>
        <v>0.10483828694241026</v>
      </c>
      <c r="R66" s="22"/>
    </row>
    <row r="67" spans="1:18">
      <c r="A67" s="7" t="s">
        <v>201</v>
      </c>
      <c r="B67" s="12">
        <v>41578</v>
      </c>
      <c r="C67" s="13">
        <v>5057</v>
      </c>
      <c r="D67" s="13">
        <v>14034</v>
      </c>
      <c r="E67" s="22">
        <v>2148.8000000000002</v>
      </c>
      <c r="F67" s="13">
        <v>0</v>
      </c>
      <c r="G67" s="13">
        <v>0</v>
      </c>
      <c r="H67" s="13"/>
      <c r="I67" s="30">
        <f t="shared" si="1"/>
        <v>9000</v>
      </c>
      <c r="J67" s="30">
        <f t="shared" si="2"/>
        <v>12333.333333333334</v>
      </c>
      <c r="K67" s="34"/>
      <c r="L67" s="37">
        <f t="shared" si="3"/>
        <v>-10899.999999999636</v>
      </c>
      <c r="M67" s="59">
        <f t="shared" si="4"/>
        <v>-6699.99999999997</v>
      </c>
      <c r="N67" s="14"/>
      <c r="O67" s="19">
        <f t="shared" si="0"/>
        <v>0.18865946965727076</v>
      </c>
      <c r="R67" s="13"/>
    </row>
    <row r="68" spans="1:18">
      <c r="A68" s="7" t="s">
        <v>202</v>
      </c>
      <c r="B68" s="12">
        <v>41608</v>
      </c>
      <c r="C68" s="13">
        <v>5056</v>
      </c>
      <c r="D68" s="13">
        <v>14041</v>
      </c>
      <c r="E68" s="22">
        <v>2151.6</v>
      </c>
      <c r="F68" s="13">
        <v>0</v>
      </c>
      <c r="G68" s="13">
        <v>0</v>
      </c>
      <c r="H68" s="13"/>
      <c r="I68" s="30">
        <f t="shared" si="1"/>
        <v>6000</v>
      </c>
      <c r="J68" s="30">
        <f t="shared" si="2"/>
        <v>6666.666666666667</v>
      </c>
      <c r="K68" s="34"/>
      <c r="L68" s="37">
        <f t="shared" si="3"/>
        <v>2799.9999999997272</v>
      </c>
      <c r="M68" s="59">
        <f t="shared" si="4"/>
        <v>-3466.666666666697</v>
      </c>
      <c r="N68" s="14"/>
      <c r="O68" s="19">
        <f t="shared" si="0"/>
        <v>0.1257136870776776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14026</v>
      </c>
      <c r="E69" s="22">
        <v>2147.1999999999998</v>
      </c>
      <c r="F69" s="13">
        <v>0</v>
      </c>
      <c r="G69" s="13">
        <v>0</v>
      </c>
      <c r="H69" s="13"/>
      <c r="I69" s="30">
        <f t="shared" si="1"/>
        <v>-18000</v>
      </c>
      <c r="J69" s="30">
        <f t="shared" si="2"/>
        <v>-1000</v>
      </c>
      <c r="K69" s="34"/>
      <c r="L69" s="37">
        <f t="shared" si="3"/>
        <v>-4400.0000000000909</v>
      </c>
      <c r="M69" s="59">
        <f t="shared" si="4"/>
        <v>-4166.666666666667</v>
      </c>
      <c r="N69" s="14"/>
      <c r="O69" s="19">
        <f t="shared" si="0"/>
        <v>-0.37702256898990427</v>
      </c>
      <c r="R69" s="13"/>
    </row>
    <row r="70" spans="1:18">
      <c r="A70" s="7" t="s">
        <v>204</v>
      </c>
      <c r="B70" s="12">
        <v>41670</v>
      </c>
      <c r="C70" s="13">
        <v>5052</v>
      </c>
      <c r="D70" s="13">
        <v>14026</v>
      </c>
      <c r="E70" s="22">
        <v>2143.8000000000002</v>
      </c>
      <c r="F70" s="13">
        <v>0</v>
      </c>
      <c r="G70" s="13">
        <v>0</v>
      </c>
      <c r="H70" s="13"/>
      <c r="I70" s="30">
        <f t="shared" si="1"/>
        <v>-1000</v>
      </c>
      <c r="J70" s="30">
        <f t="shared" si="2"/>
        <v>-4333.333333333333</v>
      </c>
      <c r="K70" s="34"/>
      <c r="L70" s="37">
        <f t="shared" si="3"/>
        <v>-3399.9999999996362</v>
      </c>
      <c r="M70" s="59">
        <f t="shared" si="4"/>
        <v>-1666.6666666666667</v>
      </c>
      <c r="N70" s="14"/>
      <c r="O70" s="19">
        <f t="shared" si="0"/>
        <v>-2.0965459405619669E-2</v>
      </c>
      <c r="R70" s="22"/>
    </row>
    <row r="71" spans="1:18">
      <c r="A71" s="7" t="s">
        <v>205</v>
      </c>
      <c r="B71" s="12">
        <v>41698</v>
      </c>
      <c r="C71" s="13">
        <v>5057</v>
      </c>
      <c r="D71" s="13">
        <v>14037</v>
      </c>
      <c r="E71" s="22">
        <v>2139.9</v>
      </c>
      <c r="F71" s="13">
        <v>0</v>
      </c>
      <c r="G71" s="13">
        <v>0</v>
      </c>
      <c r="H71" s="13"/>
      <c r="I71" s="30">
        <f t="shared" si="1"/>
        <v>16000</v>
      </c>
      <c r="J71" s="30">
        <f t="shared" si="2"/>
        <v>-1000</v>
      </c>
      <c r="K71" s="34"/>
      <c r="L71" s="37">
        <f t="shared" si="3"/>
        <v>-3900.0000000000909</v>
      </c>
      <c r="M71" s="59">
        <f t="shared" si="4"/>
        <v>-3899.9999999999395</v>
      </c>
      <c r="N71" s="14"/>
      <c r="O71" s="19">
        <f t="shared" si="0"/>
        <v>0.33546493343115102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14050</v>
      </c>
      <c r="E72" s="22">
        <v>2137.9</v>
      </c>
      <c r="F72" s="13">
        <v>0</v>
      </c>
      <c r="G72" s="13">
        <v>0</v>
      </c>
      <c r="H72" s="13"/>
      <c r="I72" s="30">
        <f t="shared" si="1"/>
        <v>11000</v>
      </c>
      <c r="J72" s="30">
        <f t="shared" si="2"/>
        <v>8666.6666666666661</v>
      </c>
      <c r="K72" s="34"/>
      <c r="L72" s="37">
        <f t="shared" si="3"/>
        <v>-2000</v>
      </c>
      <c r="M72" s="59">
        <f t="shared" si="4"/>
        <v>-3099.9999999999091</v>
      </c>
      <c r="N72" s="14"/>
      <c r="O72" s="19">
        <f t="shared" ref="O72:O135" si="5">400*(((D72+C72)/(D71+C71))-1)</f>
        <v>0.23043888132399104</v>
      </c>
      <c r="R72" s="22"/>
    </row>
    <row r="73" spans="1:18">
      <c r="A73" s="7" t="s">
        <v>207</v>
      </c>
      <c r="B73" s="12">
        <v>41759</v>
      </c>
      <c r="C73" s="13">
        <v>5055</v>
      </c>
      <c r="D73" s="13">
        <v>14070</v>
      </c>
      <c r="E73" s="22">
        <v>2135.5</v>
      </c>
      <c r="F73" s="13">
        <v>0</v>
      </c>
      <c r="G73" s="13">
        <v>0</v>
      </c>
      <c r="H73" s="13"/>
      <c r="I73" s="30">
        <f t="shared" ref="I73:I133" si="6">IF(C73&lt;&gt;"", ((C73+D73)-(C72+D72))*1000, "")</f>
        <v>20000</v>
      </c>
      <c r="J73" s="30">
        <f t="shared" ref="J73:J133" si="7">IF(I72&lt;&gt;"", IF(I73&lt;&gt;"", (AVERAGE(I71:I73)), ""), "")</f>
        <v>15666.666666666666</v>
      </c>
      <c r="K73" s="34"/>
      <c r="L73" s="37">
        <f t="shared" ref="L73:L133" si="8">IF(E73&lt;&gt;"", ((E73-F73)-(E72-F72))*1000, "")</f>
        <v>-2400.0000000000909</v>
      </c>
      <c r="M73" s="59">
        <f t="shared" si="4"/>
        <v>-2766.6666666667275</v>
      </c>
      <c r="N73" s="14"/>
      <c r="O73" s="19">
        <f t="shared" si="5"/>
        <v>0.41873855011775873</v>
      </c>
      <c r="R73" s="13"/>
    </row>
    <row r="74" spans="1:18">
      <c r="A74" s="7" t="s">
        <v>208</v>
      </c>
      <c r="B74" s="12">
        <v>41790</v>
      </c>
      <c r="C74" s="13">
        <v>5051</v>
      </c>
      <c r="D74" s="13">
        <v>14053</v>
      </c>
      <c r="E74" s="22">
        <v>2136.1999999999998</v>
      </c>
      <c r="F74" s="13">
        <v>0</v>
      </c>
      <c r="G74" s="13">
        <v>0</v>
      </c>
      <c r="H74" s="13"/>
      <c r="I74" s="30">
        <f t="shared" si="6"/>
        <v>-21000</v>
      </c>
      <c r="J74" s="30">
        <f t="shared" si="7"/>
        <v>3333.3333333333335</v>
      </c>
      <c r="K74" s="34"/>
      <c r="L74" s="37">
        <f t="shared" si="8"/>
        <v>699.9999999998181</v>
      </c>
      <c r="M74" s="59">
        <f t="shared" si="4"/>
        <v>-1233.3333333334242</v>
      </c>
      <c r="N74" s="14"/>
      <c r="O74" s="19">
        <f t="shared" si="5"/>
        <v>-0.4392156862745189</v>
      </c>
      <c r="R74" s="22"/>
    </row>
    <row r="75" spans="1:18">
      <c r="A75" s="7" t="s">
        <v>209</v>
      </c>
      <c r="B75" s="12">
        <v>41820</v>
      </c>
      <c r="C75" s="13">
        <v>5058</v>
      </c>
      <c r="D75" s="13">
        <v>14108</v>
      </c>
      <c r="E75" s="22">
        <v>2136.4</v>
      </c>
      <c r="F75" s="13">
        <v>0</v>
      </c>
      <c r="G75" s="13">
        <v>0</v>
      </c>
      <c r="H75" s="13"/>
      <c r="I75" s="30">
        <f t="shared" si="6"/>
        <v>62000</v>
      </c>
      <c r="J75" s="30">
        <f t="shared" si="7"/>
        <v>20333.333333333332</v>
      </c>
      <c r="K75" s="34"/>
      <c r="L75" s="37">
        <f t="shared" si="8"/>
        <v>200.00000000027285</v>
      </c>
      <c r="M75" s="59">
        <f t="shared" ref="M75:M133" si="9">IF(L74&lt;&gt;"", IF(L75&lt;&gt;"", AVERAGE(L73:L75), ""), "")</f>
        <v>-500</v>
      </c>
      <c r="N75" s="14"/>
      <c r="O75" s="19">
        <f t="shared" si="5"/>
        <v>1.298157453936355</v>
      </c>
      <c r="R75" s="13"/>
    </row>
    <row r="76" spans="1:18">
      <c r="A76" s="7" t="s">
        <v>210</v>
      </c>
      <c r="B76" s="12">
        <v>41851</v>
      </c>
      <c r="C76" s="13">
        <v>5035</v>
      </c>
      <c r="D76" s="13">
        <v>14135</v>
      </c>
      <c r="E76" s="22">
        <v>2139</v>
      </c>
      <c r="F76" s="13">
        <v>0</v>
      </c>
      <c r="G76" s="13">
        <v>0</v>
      </c>
      <c r="H76" s="13"/>
      <c r="I76" s="30">
        <f t="shared" si="6"/>
        <v>4000</v>
      </c>
      <c r="J76" s="30">
        <f t="shared" si="7"/>
        <v>15000</v>
      </c>
      <c r="K76" s="34"/>
      <c r="L76" s="37">
        <f t="shared" si="8"/>
        <v>2599.9999999999091</v>
      </c>
      <c r="M76" s="59">
        <f t="shared" si="9"/>
        <v>1166.6666666666667</v>
      </c>
      <c r="N76" s="14"/>
      <c r="O76" s="19">
        <f t="shared" si="5"/>
        <v>8.3481164562204668E-2</v>
      </c>
      <c r="R76" s="22"/>
    </row>
    <row r="77" spans="1:18">
      <c r="A77" s="7" t="s">
        <v>211</v>
      </c>
      <c r="B77" s="12">
        <v>41882</v>
      </c>
      <c r="C77" s="13">
        <v>5016</v>
      </c>
      <c r="D77" s="13">
        <v>14104</v>
      </c>
      <c r="E77" s="22">
        <v>2142.6</v>
      </c>
      <c r="F77" s="13">
        <v>0</v>
      </c>
      <c r="G77" s="13">
        <v>0</v>
      </c>
      <c r="H77" s="13"/>
      <c r="I77" s="30">
        <f t="shared" si="6"/>
        <v>-50000</v>
      </c>
      <c r="J77" s="30">
        <f t="shared" si="7"/>
        <v>5333.333333333333</v>
      </c>
      <c r="K77" s="34"/>
      <c r="L77" s="37">
        <f t="shared" si="8"/>
        <v>3599.9999999999091</v>
      </c>
      <c r="M77" s="59">
        <f t="shared" si="9"/>
        <v>2133.3333333333635</v>
      </c>
      <c r="N77" s="14"/>
      <c r="O77" s="19">
        <f t="shared" si="5"/>
        <v>-1.0432968179447055</v>
      </c>
      <c r="R77" s="13"/>
    </row>
    <row r="78" spans="1:18">
      <c r="A78" s="7" t="s">
        <v>303</v>
      </c>
      <c r="B78" s="12">
        <v>41912</v>
      </c>
      <c r="C78" s="13">
        <v>5041</v>
      </c>
      <c r="D78" s="13">
        <v>14121</v>
      </c>
      <c r="E78" s="22">
        <v>2141.1999999999998</v>
      </c>
      <c r="F78" s="13">
        <v>0</v>
      </c>
      <c r="G78" s="13">
        <v>0</v>
      </c>
      <c r="H78" s="13"/>
      <c r="I78" s="30">
        <f t="shared" si="6"/>
        <v>42000</v>
      </c>
      <c r="J78" s="30">
        <f t="shared" si="7"/>
        <v>-1333.3333333333333</v>
      </c>
      <c r="K78" s="34"/>
      <c r="L78" s="37">
        <f t="shared" si="8"/>
        <v>-1400.0000000000909</v>
      </c>
      <c r="M78" s="59">
        <f t="shared" si="9"/>
        <v>1599.9999999999091</v>
      </c>
      <c r="N78" s="14"/>
      <c r="O78" s="19">
        <f t="shared" si="5"/>
        <v>0.87866108786611719</v>
      </c>
      <c r="R78" s="22"/>
    </row>
    <row r="79" spans="1:18">
      <c r="A79" s="7" t="s">
        <v>309</v>
      </c>
      <c r="B79" s="12">
        <v>41943</v>
      </c>
      <c r="C79" s="13">
        <v>5046</v>
      </c>
      <c r="D79" s="13">
        <v>14136</v>
      </c>
      <c r="E79" s="22">
        <v>2141.3000000000002</v>
      </c>
      <c r="F79" s="13">
        <v>0</v>
      </c>
      <c r="G79" s="13">
        <v>0</v>
      </c>
      <c r="H79" s="13"/>
      <c r="I79" s="30">
        <f t="shared" si="6"/>
        <v>20000</v>
      </c>
      <c r="J79" s="30">
        <f>IF(I78&lt;&gt;"", IF(I79&lt;&gt;"", (AVERAGE(I77:I79)), ""), "")</f>
        <v>4000</v>
      </c>
      <c r="K79" s="34"/>
      <c r="L79" s="37">
        <f t="shared" si="8"/>
        <v>100.0000000003638</v>
      </c>
      <c r="M79" s="59">
        <f t="shared" si="9"/>
        <v>766.66666666672734</v>
      </c>
      <c r="N79" s="14"/>
      <c r="O79" s="19">
        <f t="shared" si="5"/>
        <v>0.4174929548064199</v>
      </c>
      <c r="R79" s="13"/>
    </row>
    <row r="80" spans="1:18">
      <c r="A80" s="7" t="s">
        <v>311</v>
      </c>
      <c r="B80" s="12">
        <v>41973</v>
      </c>
      <c r="C80" s="13">
        <v>5053</v>
      </c>
      <c r="D80" s="13">
        <v>14139</v>
      </c>
      <c r="E80" s="22">
        <v>2145</v>
      </c>
      <c r="F80" s="13">
        <v>0</v>
      </c>
      <c r="G80" s="13">
        <v>0</v>
      </c>
      <c r="H80" s="13"/>
      <c r="I80" s="30">
        <f t="shared" si="6"/>
        <v>10000</v>
      </c>
      <c r="J80" s="30">
        <f t="shared" si="7"/>
        <v>24000</v>
      </c>
      <c r="K80" s="34"/>
      <c r="L80" s="37">
        <f t="shared" si="8"/>
        <v>3699.9999999998181</v>
      </c>
      <c r="M80" s="59">
        <f t="shared" si="9"/>
        <v>800.00000000003035</v>
      </c>
      <c r="N80" s="14"/>
      <c r="O80" s="19">
        <f t="shared" si="5"/>
        <v>0.20852882911066573</v>
      </c>
      <c r="R80" s="22"/>
    </row>
    <row r="81" spans="1:18">
      <c r="A81" s="7" t="s">
        <v>344</v>
      </c>
      <c r="B81" s="12">
        <v>42004</v>
      </c>
      <c r="C81" s="13">
        <v>5059</v>
      </c>
      <c r="D81" s="13">
        <v>14145</v>
      </c>
      <c r="E81" s="22">
        <v>2146.6999999999998</v>
      </c>
      <c r="F81" s="13">
        <v>0</v>
      </c>
      <c r="G81" s="13">
        <v>0</v>
      </c>
      <c r="H81" s="13"/>
      <c r="I81" s="30">
        <f t="shared" si="6"/>
        <v>12000</v>
      </c>
      <c r="J81" s="30">
        <f t="shared" si="7"/>
        <v>14000</v>
      </c>
      <c r="K81" s="34"/>
      <c r="L81" s="37">
        <f t="shared" si="8"/>
        <v>1699.9999999998181</v>
      </c>
      <c r="M81" s="59">
        <f t="shared" si="9"/>
        <v>1833.3333333333333</v>
      </c>
      <c r="N81" s="14"/>
      <c r="O81" s="19">
        <f t="shared" si="5"/>
        <v>0.2501042100875317</v>
      </c>
      <c r="R81" s="13"/>
    </row>
    <row r="82" spans="1:18">
      <c r="A82" s="7" t="s">
        <v>345</v>
      </c>
      <c r="B82" s="12">
        <v>42035</v>
      </c>
      <c r="C82" s="13">
        <v>5066</v>
      </c>
      <c r="D82" s="13">
        <v>14149</v>
      </c>
      <c r="E82" s="22">
        <v>2149.6999999999998</v>
      </c>
      <c r="F82" s="13">
        <v>0</v>
      </c>
      <c r="G82" s="13">
        <v>0</v>
      </c>
      <c r="H82" s="13"/>
      <c r="I82" s="30">
        <f t="shared" si="6"/>
        <v>11000</v>
      </c>
      <c r="J82" s="30">
        <f t="shared" si="7"/>
        <v>11000</v>
      </c>
      <c r="K82" s="34"/>
      <c r="L82" s="37">
        <f t="shared" si="8"/>
        <v>3000</v>
      </c>
      <c r="M82" s="59">
        <f t="shared" si="9"/>
        <v>2799.9999999998786</v>
      </c>
      <c r="N82" s="14"/>
      <c r="O82" s="19">
        <f t="shared" si="5"/>
        <v>0.2291189335554833</v>
      </c>
      <c r="R82" s="22"/>
    </row>
    <row r="83" spans="1:18">
      <c r="A83" s="7" t="s">
        <v>347</v>
      </c>
      <c r="B83" s="12">
        <v>42063</v>
      </c>
      <c r="C83" s="13">
        <v>5072</v>
      </c>
      <c r="D83" s="13">
        <v>14160</v>
      </c>
      <c r="E83" s="22">
        <v>2151.5</v>
      </c>
      <c r="F83" s="13">
        <v>0</v>
      </c>
      <c r="G83" s="13">
        <v>0</v>
      </c>
      <c r="H83" s="13"/>
      <c r="I83" s="30">
        <f t="shared" si="6"/>
        <v>17000</v>
      </c>
      <c r="J83" s="30">
        <f t="shared" si="7"/>
        <v>13333.333333333334</v>
      </c>
      <c r="K83" s="34"/>
      <c r="L83" s="37">
        <f t="shared" si="8"/>
        <v>1800.0000000001819</v>
      </c>
      <c r="M83" s="59">
        <f t="shared" si="9"/>
        <v>2166.6666666666665</v>
      </c>
      <c r="N83" s="14"/>
      <c r="O83" s="19">
        <f t="shared" si="5"/>
        <v>0.35389018995575228</v>
      </c>
      <c r="R83" s="13"/>
    </row>
    <row r="84" spans="1:18">
      <c r="A84" s="7" t="s">
        <v>349</v>
      </c>
      <c r="B84" s="12">
        <v>42094</v>
      </c>
      <c r="C84" s="13">
        <v>5067</v>
      </c>
      <c r="D84" s="13">
        <v>14155</v>
      </c>
      <c r="E84" s="22">
        <v>2153.6999999999998</v>
      </c>
      <c r="F84" s="13">
        <v>0</v>
      </c>
      <c r="G84" s="13">
        <v>0</v>
      </c>
      <c r="H84" s="13"/>
      <c r="I84" s="30">
        <f t="shared" si="6"/>
        <v>-10000</v>
      </c>
      <c r="J84" s="30">
        <f t="shared" si="7"/>
        <v>6000</v>
      </c>
      <c r="K84" s="34"/>
      <c r="L84" s="37">
        <f t="shared" si="8"/>
        <v>2199.9999999998181</v>
      </c>
      <c r="M84" s="59">
        <f t="shared" si="9"/>
        <v>2333.3333333333335</v>
      </c>
      <c r="N84" s="14"/>
      <c r="O84" s="19">
        <f t="shared" si="5"/>
        <v>-0.2079866888519355</v>
      </c>
      <c r="R84" s="22"/>
    </row>
    <row r="85" spans="1:18">
      <c r="A85" s="7" t="s">
        <v>351</v>
      </c>
      <c r="B85" s="12">
        <v>42124</v>
      </c>
      <c r="C85" s="13">
        <v>5072</v>
      </c>
      <c r="D85" s="13">
        <v>14174</v>
      </c>
      <c r="E85" s="22">
        <v>2155.3000000000002</v>
      </c>
      <c r="F85" s="13">
        <v>0</v>
      </c>
      <c r="G85" s="13">
        <v>0</v>
      </c>
      <c r="H85" s="13"/>
      <c r="I85" s="30">
        <f t="shared" si="6"/>
        <v>24000</v>
      </c>
      <c r="J85" s="30">
        <f t="shared" si="7"/>
        <v>10333.333333333334</v>
      </c>
      <c r="K85" s="34"/>
      <c r="L85" s="37">
        <f t="shared" si="8"/>
        <v>1600.0000000003638</v>
      </c>
      <c r="M85" s="59">
        <f t="shared" si="9"/>
        <v>1866.6666666667879</v>
      </c>
      <c r="N85" s="14"/>
      <c r="O85" s="19">
        <f t="shared" si="5"/>
        <v>0.49942773904900761</v>
      </c>
      <c r="R85" s="13"/>
    </row>
    <row r="86" spans="1:18">
      <c r="A86" s="7" t="s">
        <v>353</v>
      </c>
      <c r="B86" s="12">
        <v>42155</v>
      </c>
      <c r="C86" s="13">
        <v>5076</v>
      </c>
      <c r="D86" s="13">
        <v>14185</v>
      </c>
      <c r="E86" s="22">
        <v>2158.1999999999998</v>
      </c>
      <c r="F86" s="13">
        <v>0</v>
      </c>
      <c r="G86" s="13">
        <v>0</v>
      </c>
      <c r="H86" s="13"/>
      <c r="I86" s="30">
        <f t="shared" si="6"/>
        <v>15000</v>
      </c>
      <c r="J86" s="30">
        <f t="shared" si="7"/>
        <v>9666.6666666666661</v>
      </c>
      <c r="K86" s="34"/>
      <c r="L86" s="37">
        <f t="shared" si="8"/>
        <v>2899.9999999996362</v>
      </c>
      <c r="M86" s="59">
        <f t="shared" si="9"/>
        <v>2233.3333333332725</v>
      </c>
      <c r="N86" s="14"/>
      <c r="O86" s="19">
        <f t="shared" si="5"/>
        <v>0.31175309155146991</v>
      </c>
      <c r="R86" s="22"/>
    </row>
    <row r="87" spans="1:18">
      <c r="A87" s="7" t="s">
        <v>356</v>
      </c>
      <c r="B87" s="12">
        <v>42185</v>
      </c>
      <c r="C87" s="13">
        <v>5069</v>
      </c>
      <c r="D87" s="13">
        <v>14189</v>
      </c>
      <c r="E87" s="22">
        <v>2158</v>
      </c>
      <c r="F87" s="13">
        <v>0</v>
      </c>
      <c r="G87" s="13">
        <v>0</v>
      </c>
      <c r="H87" s="13"/>
      <c r="I87" s="30">
        <f t="shared" si="6"/>
        <v>-3000</v>
      </c>
      <c r="J87" s="30">
        <f t="shared" si="7"/>
        <v>12000</v>
      </c>
      <c r="K87" s="34"/>
      <c r="L87" s="37">
        <f t="shared" si="8"/>
        <v>-199.9999999998181</v>
      </c>
      <c r="M87" s="59">
        <f t="shared" si="9"/>
        <v>1433.333333333394</v>
      </c>
      <c r="N87" s="14"/>
      <c r="O87" s="19">
        <f t="shared" si="5"/>
        <v>-6.2302061159869027E-2</v>
      </c>
      <c r="R87" s="13"/>
    </row>
    <row r="88" spans="1:18">
      <c r="A88" s="7" t="s">
        <v>359</v>
      </c>
      <c r="B88" s="12">
        <v>42216</v>
      </c>
      <c r="C88" s="13">
        <v>5072</v>
      </c>
      <c r="D88" s="13">
        <v>14223</v>
      </c>
      <c r="E88" s="22">
        <v>2161.6999999999998</v>
      </c>
      <c r="F88" s="13">
        <v>0</v>
      </c>
      <c r="G88" s="13">
        <v>0</v>
      </c>
      <c r="H88" s="13"/>
      <c r="I88" s="30">
        <f t="shared" si="6"/>
        <v>37000</v>
      </c>
      <c r="J88" s="30">
        <f t="shared" si="7"/>
        <v>16333.333333333334</v>
      </c>
      <c r="K88" s="34"/>
      <c r="L88" s="37">
        <f t="shared" si="8"/>
        <v>3699.9999999998181</v>
      </c>
      <c r="M88" s="59">
        <f t="shared" si="9"/>
        <v>2133.3333333332121</v>
      </c>
      <c r="N88" s="14"/>
      <c r="O88" s="19">
        <f t="shared" si="5"/>
        <v>0.76851178730921177</v>
      </c>
      <c r="R88" s="22"/>
    </row>
    <row r="89" spans="1:18">
      <c r="A89" s="7" t="s">
        <v>360</v>
      </c>
      <c r="B89" s="12">
        <v>42247</v>
      </c>
      <c r="C89" s="13">
        <v>5076</v>
      </c>
      <c r="D89" s="13">
        <v>14226</v>
      </c>
      <c r="E89" s="22">
        <v>2163.1</v>
      </c>
      <c r="F89" s="13">
        <v>0</v>
      </c>
      <c r="G89" s="13">
        <v>0</v>
      </c>
      <c r="H89" s="13"/>
      <c r="I89" s="30">
        <f t="shared" si="6"/>
        <v>7000</v>
      </c>
      <c r="J89" s="30">
        <f t="shared" si="7"/>
        <v>13666.666666666666</v>
      </c>
      <c r="K89" s="34"/>
      <c r="L89" s="37">
        <f t="shared" si="8"/>
        <v>1400.0000000000909</v>
      </c>
      <c r="M89" s="59">
        <f t="shared" si="9"/>
        <v>1633.3333333333637</v>
      </c>
      <c r="N89" s="14"/>
      <c r="O89" s="19">
        <f t="shared" si="5"/>
        <v>0.14511531484844298</v>
      </c>
      <c r="R89" s="13"/>
    </row>
    <row r="90" spans="1:18">
      <c r="A90" s="7" t="s">
        <v>361</v>
      </c>
      <c r="B90" s="12">
        <v>42277</v>
      </c>
      <c r="C90" s="13">
        <v>5085</v>
      </c>
      <c r="D90" s="13">
        <v>14198</v>
      </c>
      <c r="E90" s="22">
        <v>2163.1999999999998</v>
      </c>
      <c r="F90" s="13">
        <v>0</v>
      </c>
      <c r="G90" s="13">
        <v>0</v>
      </c>
      <c r="H90" s="13"/>
      <c r="I90" s="30">
        <f t="shared" si="6"/>
        <v>-19000</v>
      </c>
      <c r="J90" s="30">
        <f t="shared" si="7"/>
        <v>8333.3333333333339</v>
      </c>
      <c r="K90" s="34"/>
      <c r="L90" s="37">
        <f t="shared" si="8"/>
        <v>99.999999999909051</v>
      </c>
      <c r="M90" s="59">
        <f t="shared" si="9"/>
        <v>1733.3333333332728</v>
      </c>
      <c r="N90" s="14"/>
      <c r="O90" s="19">
        <f t="shared" si="5"/>
        <v>-0.39374158118330449</v>
      </c>
      <c r="R90" s="22"/>
    </row>
    <row r="91" spans="1:18">
      <c r="A91" s="7" t="s">
        <v>364</v>
      </c>
      <c r="B91" s="12">
        <v>42308</v>
      </c>
      <c r="C91" s="13">
        <v>5086</v>
      </c>
      <c r="D91" s="13">
        <v>14215</v>
      </c>
      <c r="E91" s="22">
        <v>2159.4</v>
      </c>
      <c r="F91" s="13">
        <v>0</v>
      </c>
      <c r="G91" s="13">
        <v>0</v>
      </c>
      <c r="H91" s="13"/>
      <c r="I91" s="30">
        <f t="shared" si="6"/>
        <v>18000</v>
      </c>
      <c r="J91" s="30">
        <f t="shared" si="7"/>
        <v>2000</v>
      </c>
      <c r="K91" s="34"/>
      <c r="L91" s="37">
        <f t="shared" si="8"/>
        <v>-3799.9999999997272</v>
      </c>
      <c r="M91" s="59">
        <f t="shared" si="9"/>
        <v>-766.66666666657568</v>
      </c>
      <c r="N91" s="14"/>
      <c r="O91" s="19">
        <f t="shared" si="5"/>
        <v>0.37338588393920347</v>
      </c>
      <c r="R91" s="13"/>
    </row>
    <row r="92" spans="1:18">
      <c r="A92" s="7" t="s">
        <v>365</v>
      </c>
      <c r="B92" s="12">
        <v>42338</v>
      </c>
      <c r="C92" s="13">
        <v>5090</v>
      </c>
      <c r="D92" s="13">
        <v>14222</v>
      </c>
      <c r="E92" s="22">
        <v>2165.6</v>
      </c>
      <c r="F92" s="13">
        <v>0</v>
      </c>
      <c r="G92" s="13">
        <v>0</v>
      </c>
      <c r="H92" s="13"/>
      <c r="I92" s="30">
        <f t="shared" si="6"/>
        <v>11000</v>
      </c>
      <c r="J92" s="30">
        <f t="shared" si="7"/>
        <v>3333.3333333333335</v>
      </c>
      <c r="K92" s="34"/>
      <c r="L92" s="37">
        <f t="shared" si="8"/>
        <v>6199.9999999998181</v>
      </c>
      <c r="M92" s="59">
        <f t="shared" si="9"/>
        <v>833.33333333333337</v>
      </c>
      <c r="N92" s="14"/>
      <c r="O92" s="19">
        <f t="shared" si="5"/>
        <v>0.22796746282578439</v>
      </c>
      <c r="R92" s="22"/>
    </row>
    <row r="93" spans="1:18">
      <c r="A93" s="7" t="s">
        <v>368</v>
      </c>
      <c r="B93" s="12">
        <v>42369</v>
      </c>
      <c r="C93" s="13">
        <v>5091</v>
      </c>
      <c r="D93" s="13">
        <v>14234</v>
      </c>
      <c r="E93" s="22">
        <v>2171.6</v>
      </c>
      <c r="F93" s="13">
        <v>0</v>
      </c>
      <c r="G93" s="13">
        <v>0</v>
      </c>
      <c r="H93" s="13"/>
      <c r="I93" s="30">
        <f t="shared" si="6"/>
        <v>13000</v>
      </c>
      <c r="J93" s="30">
        <f t="shared" si="7"/>
        <v>14000</v>
      </c>
      <c r="K93" s="34"/>
      <c r="L93" s="37">
        <f t="shared" si="8"/>
        <v>6000</v>
      </c>
      <c r="M93" s="59">
        <f t="shared" si="9"/>
        <v>2800.0000000000305</v>
      </c>
      <c r="N93" s="14"/>
      <c r="O93" s="19">
        <f t="shared" si="5"/>
        <v>0.26926263463131761</v>
      </c>
      <c r="R93" s="13"/>
    </row>
    <row r="94" spans="1:18">
      <c r="A94" s="7" t="s">
        <v>383</v>
      </c>
      <c r="B94" s="12">
        <v>42400</v>
      </c>
      <c r="C94" s="13">
        <v>5092</v>
      </c>
      <c r="D94" s="13">
        <v>14258</v>
      </c>
      <c r="E94" s="22">
        <v>2171.4</v>
      </c>
      <c r="F94" s="13">
        <v>0</v>
      </c>
      <c r="G94" s="13">
        <v>0</v>
      </c>
      <c r="H94" s="13"/>
      <c r="I94" s="30">
        <f>IF(C94&lt;&gt;"", ((C94+D94)-(C93+D93))*1000, "")</f>
        <v>25000</v>
      </c>
      <c r="J94" s="30">
        <f>IF(I93&lt;&gt;"", IF(I94&lt;&gt;"", (AVERAGE(I92:I94)), ""), "")</f>
        <v>16333.333333333334</v>
      </c>
      <c r="K94" s="34"/>
      <c r="L94" s="37">
        <f>IF(E94&lt;&gt;"", ((E94-F94)-(E93-F93))*1000, "")</f>
        <v>-199.9999999998181</v>
      </c>
      <c r="M94" s="59">
        <f>IF(L93&lt;&gt;"", IF(L94&lt;&gt;"", AVERAGE(L92:L94), ""), "")</f>
        <v>4000</v>
      </c>
      <c r="N94" s="14"/>
      <c r="O94" s="19">
        <f t="shared" si="5"/>
        <v>0.51746442432083484</v>
      </c>
      <c r="R94" s="22"/>
    </row>
    <row r="95" spans="1:18">
      <c r="A95" s="7" t="s">
        <v>405</v>
      </c>
      <c r="B95" s="12">
        <v>42429</v>
      </c>
      <c r="C95" s="13">
        <v>5086</v>
      </c>
      <c r="D95" s="13">
        <v>14279</v>
      </c>
      <c r="E95" s="22">
        <v>2173.1999999999998</v>
      </c>
      <c r="F95" s="13">
        <v>0</v>
      </c>
      <c r="G95" s="13">
        <v>0</v>
      </c>
      <c r="H95" s="13"/>
      <c r="I95" s="30">
        <f t="shared" si="6"/>
        <v>15000</v>
      </c>
      <c r="J95" s="30">
        <f>IF(I94&lt;&gt;"", IF(I95&lt;&gt;"", (AVERAGE(I93:I95)), ""), "")</f>
        <v>17666.666666666668</v>
      </c>
      <c r="K95" s="34"/>
      <c r="L95" s="37">
        <f t="shared" si="8"/>
        <v>1799.9999999997272</v>
      </c>
      <c r="M95" s="59">
        <f>IF(L94&lt;&gt;"", IF(L95&lt;&gt;"", AVERAGE(L93:L95), ""), "")</f>
        <v>2533.333333333303</v>
      </c>
      <c r="N95" s="14"/>
      <c r="O95" s="19">
        <f t="shared" si="5"/>
        <v>0.31007751937988104</v>
      </c>
      <c r="R95" s="13"/>
    </row>
    <row r="96" spans="1:18">
      <c r="A96" s="7" t="s">
        <v>406</v>
      </c>
      <c r="B96" s="12">
        <v>42460</v>
      </c>
      <c r="C96" s="13">
        <v>5095</v>
      </c>
      <c r="D96" s="13">
        <v>14305</v>
      </c>
      <c r="E96" s="22">
        <v>2176.5</v>
      </c>
      <c r="F96" s="13">
        <v>0</v>
      </c>
      <c r="G96" s="13">
        <v>0</v>
      </c>
      <c r="H96" s="13"/>
      <c r="I96" s="30">
        <f t="shared" si="6"/>
        <v>35000</v>
      </c>
      <c r="J96" s="30">
        <f t="shared" si="7"/>
        <v>25000</v>
      </c>
      <c r="K96" s="34"/>
      <c r="L96" s="37">
        <f t="shared" si="8"/>
        <v>3300.0000000001819</v>
      </c>
      <c r="M96" s="59">
        <f t="shared" si="9"/>
        <v>1633.3333333333637</v>
      </c>
      <c r="N96" s="14"/>
      <c r="O96" s="19">
        <f t="shared" si="5"/>
        <v>0.72295378259745746</v>
      </c>
      <c r="R96" s="22"/>
    </row>
    <row r="97" spans="1:18">
      <c r="A97" s="7" t="s">
        <v>416</v>
      </c>
      <c r="B97" s="12">
        <v>42490</v>
      </c>
      <c r="C97" s="13">
        <v>5099</v>
      </c>
      <c r="D97" s="13">
        <v>14307</v>
      </c>
      <c r="E97" s="22">
        <v>2179.1</v>
      </c>
      <c r="F97" s="13">
        <v>0</v>
      </c>
      <c r="G97" s="13">
        <v>0</v>
      </c>
      <c r="H97" s="13"/>
      <c r="I97" s="30">
        <f t="shared" si="6"/>
        <v>6000</v>
      </c>
      <c r="J97" s="30">
        <f t="shared" si="7"/>
        <v>18666.666666666668</v>
      </c>
      <c r="K97" s="34"/>
      <c r="L97" s="37">
        <f t="shared" si="8"/>
        <v>2599.9999999999091</v>
      </c>
      <c r="M97" s="59">
        <f t="shared" si="9"/>
        <v>2566.666666666606</v>
      </c>
      <c r="N97" s="14"/>
      <c r="O97" s="19">
        <f t="shared" si="5"/>
        <v>0.12371134020616736</v>
      </c>
      <c r="R97" s="13"/>
    </row>
    <row r="98" spans="1:18">
      <c r="A98" s="7" t="s">
        <v>417</v>
      </c>
      <c r="B98" s="12">
        <v>42521</v>
      </c>
      <c r="C98" s="13">
        <v>5092</v>
      </c>
      <c r="D98" s="13">
        <v>14312</v>
      </c>
      <c r="E98" s="22">
        <v>2183.1999999999998</v>
      </c>
      <c r="F98" s="13">
        <v>0</v>
      </c>
      <c r="G98" s="13">
        <v>0</v>
      </c>
      <c r="H98" s="13"/>
      <c r="I98" s="30">
        <f t="shared" si="6"/>
        <v>-2000</v>
      </c>
      <c r="J98" s="30">
        <f t="shared" si="7"/>
        <v>13000</v>
      </c>
      <c r="K98" s="34"/>
      <c r="L98" s="37">
        <f t="shared" si="8"/>
        <v>4099.9999999999091</v>
      </c>
      <c r="M98" s="59">
        <f t="shared" si="9"/>
        <v>3333.3333333333335</v>
      </c>
      <c r="N98" s="14"/>
      <c r="O98" s="19">
        <f t="shared" si="5"/>
        <v>-4.1224363598901803E-2</v>
      </c>
      <c r="R98" s="22"/>
    </row>
    <row r="99" spans="1:18">
      <c r="A99" s="7" t="s">
        <v>418</v>
      </c>
      <c r="B99" s="12">
        <v>42551</v>
      </c>
      <c r="C99" s="13">
        <v>5108</v>
      </c>
      <c r="D99" s="13">
        <v>14297</v>
      </c>
      <c r="E99" s="22">
        <v>2188.1</v>
      </c>
      <c r="F99" s="13">
        <v>0</v>
      </c>
      <c r="G99" s="13">
        <v>0</v>
      </c>
      <c r="H99" s="13"/>
      <c r="I99" s="30">
        <f t="shared" si="6"/>
        <v>1000</v>
      </c>
      <c r="J99" s="30">
        <f t="shared" si="7"/>
        <v>1666.6666666666667</v>
      </c>
      <c r="K99" s="34"/>
      <c r="L99" s="37">
        <f t="shared" si="8"/>
        <v>4900.0000000000909</v>
      </c>
      <c r="M99" s="59">
        <f t="shared" si="9"/>
        <v>3866.6666666666365</v>
      </c>
      <c r="N99" s="14"/>
      <c r="O99" s="19">
        <f t="shared" si="5"/>
        <v>2.0614306328603504E-2</v>
      </c>
      <c r="R99" s="13"/>
    </row>
    <row r="100" spans="1:18">
      <c r="A100" s="7" t="s">
        <v>421</v>
      </c>
      <c r="B100" s="12">
        <v>42582</v>
      </c>
      <c r="C100" s="13">
        <v>5117</v>
      </c>
      <c r="D100" s="13">
        <v>14380</v>
      </c>
      <c r="E100" s="22">
        <v>2192</v>
      </c>
      <c r="F100" s="13">
        <v>0</v>
      </c>
      <c r="G100" s="13">
        <v>0</v>
      </c>
      <c r="H100" s="13"/>
      <c r="I100" s="30">
        <f t="shared" si="6"/>
        <v>92000</v>
      </c>
      <c r="J100" s="30">
        <f t="shared" si="7"/>
        <v>30333.333333333332</v>
      </c>
      <c r="K100" s="34"/>
      <c r="L100" s="37">
        <f t="shared" si="8"/>
        <v>3900.0000000000909</v>
      </c>
      <c r="M100" s="59">
        <f t="shared" si="9"/>
        <v>4300.00000000003</v>
      </c>
      <c r="N100" s="14"/>
      <c r="O100" s="19">
        <f t="shared" si="5"/>
        <v>1.8964184488534208</v>
      </c>
      <c r="R100" s="22"/>
    </row>
    <row r="101" spans="1:18">
      <c r="A101" s="7" t="s">
        <v>422</v>
      </c>
      <c r="B101" s="12">
        <v>42613</v>
      </c>
      <c r="C101" s="13">
        <v>5112</v>
      </c>
      <c r="D101" s="13">
        <v>14356</v>
      </c>
      <c r="E101" s="22">
        <v>2189.9</v>
      </c>
      <c r="F101" s="13">
        <v>0</v>
      </c>
      <c r="G101" s="13">
        <v>0</v>
      </c>
      <c r="H101" s="13"/>
      <c r="I101" s="30">
        <f t="shared" si="6"/>
        <v>-29000</v>
      </c>
      <c r="J101" s="30">
        <f t="shared" si="7"/>
        <v>21333.333333333332</v>
      </c>
      <c r="K101" s="34"/>
      <c r="L101" s="37">
        <f t="shared" si="8"/>
        <v>-2099.9999999999091</v>
      </c>
      <c r="M101" s="59">
        <f t="shared" si="9"/>
        <v>2233.3333333334244</v>
      </c>
      <c r="N101" s="14"/>
      <c r="O101" s="19">
        <f t="shared" si="5"/>
        <v>-0.59496332769142235</v>
      </c>
      <c r="R101" s="13"/>
    </row>
    <row r="102" spans="1:18">
      <c r="A102" s="7" t="s">
        <v>423</v>
      </c>
      <c r="B102" s="12">
        <v>42643</v>
      </c>
      <c r="C102" s="13">
        <v>5146</v>
      </c>
      <c r="D102" s="13">
        <v>14344</v>
      </c>
      <c r="E102" s="22">
        <v>2193</v>
      </c>
      <c r="F102" s="13">
        <v>0</v>
      </c>
      <c r="G102" s="13">
        <v>0</v>
      </c>
      <c r="H102" s="13"/>
      <c r="I102" s="30">
        <f t="shared" si="6"/>
        <v>22000</v>
      </c>
      <c r="J102" s="30">
        <f t="shared" si="7"/>
        <v>28333.333333333332</v>
      </c>
      <c r="K102" s="34"/>
      <c r="L102" s="37">
        <f t="shared" si="8"/>
        <v>3099.9999999999091</v>
      </c>
      <c r="M102" s="59">
        <f t="shared" si="9"/>
        <v>1633.3333333333637</v>
      </c>
      <c r="N102" s="14"/>
      <c r="O102" s="19">
        <f t="shared" si="5"/>
        <v>0.45202383398397217</v>
      </c>
      <c r="R102" s="22"/>
    </row>
    <row r="103" spans="1:18">
      <c r="A103" s="7" t="s">
        <v>426</v>
      </c>
      <c r="B103" s="12">
        <v>42674</v>
      </c>
      <c r="C103" s="13">
        <v>5137</v>
      </c>
      <c r="D103" s="13">
        <v>14351</v>
      </c>
      <c r="E103" s="22">
        <v>2194.3000000000002</v>
      </c>
      <c r="F103" s="13">
        <v>0</v>
      </c>
      <c r="G103" s="13">
        <v>0</v>
      </c>
      <c r="H103" s="13"/>
      <c r="I103" s="30">
        <f t="shared" si="6"/>
        <v>-2000</v>
      </c>
      <c r="J103" s="30">
        <f t="shared" si="7"/>
        <v>-3000</v>
      </c>
      <c r="K103" s="34"/>
      <c r="L103" s="37">
        <f t="shared" si="8"/>
        <v>1300.0000000001819</v>
      </c>
      <c r="M103" s="59">
        <f t="shared" si="9"/>
        <v>766.66666666672734</v>
      </c>
      <c r="N103" s="14"/>
      <c r="O103" s="19">
        <f t="shared" si="5"/>
        <v>-4.1046690610579972E-2</v>
      </c>
      <c r="R103" s="13"/>
    </row>
    <row r="104" spans="1:18">
      <c r="A104" s="7" t="s">
        <v>427</v>
      </c>
      <c r="B104" s="12">
        <v>42704</v>
      </c>
      <c r="C104" s="13">
        <v>5136</v>
      </c>
      <c r="D104" s="13">
        <v>14345</v>
      </c>
      <c r="E104" s="22">
        <v>2187.1999999999998</v>
      </c>
      <c r="F104" s="13">
        <v>0</v>
      </c>
      <c r="G104" s="13">
        <v>0</v>
      </c>
      <c r="H104" s="13"/>
      <c r="I104" s="30">
        <f t="shared" si="6"/>
        <v>-7000</v>
      </c>
      <c r="J104" s="30">
        <f t="shared" si="7"/>
        <v>4333.333333333333</v>
      </c>
      <c r="K104" s="34"/>
      <c r="L104" s="37">
        <f t="shared" si="8"/>
        <v>-7100.0000000003638</v>
      </c>
      <c r="M104" s="59">
        <f t="shared" si="9"/>
        <v>-900.00000000009095</v>
      </c>
      <c r="N104" s="14"/>
      <c r="O104" s="19">
        <f t="shared" si="5"/>
        <v>-0.1436781609195581</v>
      </c>
      <c r="R104" s="22"/>
    </row>
    <row r="105" spans="1:18">
      <c r="A105" s="7" t="s">
        <v>428</v>
      </c>
      <c r="B105" s="12">
        <v>42735</v>
      </c>
      <c r="C105" s="13">
        <v>5137</v>
      </c>
      <c r="D105" s="13">
        <v>14350</v>
      </c>
      <c r="E105" s="22">
        <v>2199.1999999999998</v>
      </c>
      <c r="F105" s="13">
        <v>0</v>
      </c>
      <c r="G105" s="13">
        <v>0</v>
      </c>
      <c r="H105" s="13"/>
      <c r="I105" s="30">
        <f t="shared" si="6"/>
        <v>6000</v>
      </c>
      <c r="J105" s="30">
        <f t="shared" si="7"/>
        <v>-1000</v>
      </c>
      <c r="K105" s="34"/>
      <c r="L105" s="37">
        <f t="shared" si="8"/>
        <v>12000</v>
      </c>
      <c r="M105" s="59">
        <f t="shared" si="9"/>
        <v>2066.666666666606</v>
      </c>
      <c r="N105" s="14"/>
      <c r="O105" s="19">
        <f t="shared" si="5"/>
        <v>0.12319696114166945</v>
      </c>
      <c r="R105" s="13"/>
    </row>
    <row r="106" spans="1:18">
      <c r="A106" s="7" t="s">
        <v>442</v>
      </c>
      <c r="B106" s="12">
        <v>42766</v>
      </c>
      <c r="C106" s="13">
        <v>5150</v>
      </c>
      <c r="D106" s="13">
        <v>14350</v>
      </c>
      <c r="E106" s="22">
        <v>2198.9</v>
      </c>
      <c r="F106" s="13">
        <v>0</v>
      </c>
      <c r="G106" s="13">
        <v>0</v>
      </c>
      <c r="H106" s="13"/>
      <c r="I106" s="30">
        <f t="shared" si="6"/>
        <v>13000</v>
      </c>
      <c r="J106" s="30">
        <f t="shared" si="7"/>
        <v>4000</v>
      </c>
      <c r="K106" s="34"/>
      <c r="L106" s="37">
        <f t="shared" si="8"/>
        <v>-299.99999999972715</v>
      </c>
      <c r="M106" s="59">
        <f t="shared" si="9"/>
        <v>1533.333333333303</v>
      </c>
      <c r="N106" s="14"/>
      <c r="O106" s="19">
        <f t="shared" si="5"/>
        <v>0.26684456304204573</v>
      </c>
      <c r="R106" s="22"/>
    </row>
    <row r="107" spans="1:18">
      <c r="A107" s="7" t="s">
        <v>443</v>
      </c>
      <c r="B107" s="12">
        <v>42794</v>
      </c>
      <c r="C107" s="13">
        <v>5164</v>
      </c>
      <c r="D107" s="13">
        <v>14344</v>
      </c>
      <c r="E107" s="22">
        <v>2197.3000000000002</v>
      </c>
      <c r="F107" s="13">
        <v>0</v>
      </c>
      <c r="G107" s="13">
        <v>0</v>
      </c>
      <c r="H107" s="13"/>
      <c r="I107" s="30">
        <f t="shared" si="6"/>
        <v>8000</v>
      </c>
      <c r="J107" s="30">
        <f t="shared" si="7"/>
        <v>9000</v>
      </c>
      <c r="K107" s="34"/>
      <c r="L107" s="37">
        <f t="shared" si="8"/>
        <v>-1599.9999999999091</v>
      </c>
      <c r="M107" s="59">
        <f t="shared" si="9"/>
        <v>3366.6666666667879</v>
      </c>
      <c r="N107" s="14"/>
      <c r="O107" s="19">
        <f t="shared" si="5"/>
        <v>0.16410256410255286</v>
      </c>
      <c r="R107" s="13"/>
    </row>
    <row r="108" spans="1:18">
      <c r="A108" s="7" t="s">
        <v>444</v>
      </c>
      <c r="B108" s="12">
        <v>42825</v>
      </c>
      <c r="C108" s="13">
        <v>5167</v>
      </c>
      <c r="D108" s="13">
        <v>14352</v>
      </c>
      <c r="E108" s="22">
        <v>2193.3000000000002</v>
      </c>
      <c r="F108" s="13">
        <v>0</v>
      </c>
      <c r="G108" s="13">
        <v>0</v>
      </c>
      <c r="H108" s="13"/>
      <c r="I108" s="30">
        <f t="shared" si="6"/>
        <v>11000</v>
      </c>
      <c r="J108" s="30">
        <f t="shared" si="7"/>
        <v>10666.666666666666</v>
      </c>
      <c r="K108" s="34"/>
      <c r="L108" s="37">
        <f t="shared" si="8"/>
        <v>-4000</v>
      </c>
      <c r="M108" s="59">
        <f t="shared" si="9"/>
        <v>-1966.6666666665453</v>
      </c>
      <c r="N108" s="14"/>
      <c r="O108" s="19">
        <f t="shared" si="5"/>
        <v>0.22554849292601986</v>
      </c>
      <c r="R108" s="22"/>
    </row>
    <row r="109" spans="1:18">
      <c r="A109" s="7" t="s">
        <v>445</v>
      </c>
      <c r="B109" s="12">
        <v>42855</v>
      </c>
      <c r="C109" s="13">
        <v>5167</v>
      </c>
      <c r="D109" s="13">
        <v>14365</v>
      </c>
      <c r="E109" s="22">
        <v>2188.4</v>
      </c>
      <c r="F109" s="13">
        <v>0</v>
      </c>
      <c r="G109" s="13">
        <v>0</v>
      </c>
      <c r="H109" s="13"/>
      <c r="I109" s="30">
        <f t="shared" si="6"/>
        <v>13000</v>
      </c>
      <c r="J109" s="30">
        <f t="shared" si="7"/>
        <v>10666.666666666666</v>
      </c>
      <c r="K109" s="34"/>
      <c r="L109" s="37">
        <f t="shared" si="8"/>
        <v>-4900.0000000000909</v>
      </c>
      <c r="M109" s="59">
        <f t="shared" si="9"/>
        <v>-3500</v>
      </c>
      <c r="N109" s="14"/>
      <c r="O109" s="19">
        <f t="shared" si="5"/>
        <v>0.26640709052720979</v>
      </c>
      <c r="R109" s="13"/>
    </row>
    <row r="110" spans="1:18">
      <c r="A110" s="7" t="s">
        <v>446</v>
      </c>
      <c r="B110" s="12">
        <v>42886</v>
      </c>
      <c r="C110" s="13">
        <v>5170</v>
      </c>
      <c r="D110" s="13">
        <v>14353</v>
      </c>
      <c r="E110" s="22">
        <v>2191.3000000000002</v>
      </c>
      <c r="F110" s="13">
        <v>0</v>
      </c>
      <c r="G110" s="13">
        <v>0</v>
      </c>
      <c r="H110" s="13"/>
      <c r="I110" s="30">
        <f t="shared" si="6"/>
        <v>-9000</v>
      </c>
      <c r="J110" s="30">
        <f t="shared" si="7"/>
        <v>5000</v>
      </c>
      <c r="K110" s="34"/>
      <c r="L110" s="37">
        <f t="shared" si="8"/>
        <v>2900.0000000000909</v>
      </c>
      <c r="M110" s="59">
        <f t="shared" si="9"/>
        <v>-2000</v>
      </c>
      <c r="N110" s="14"/>
      <c r="O110" s="19">
        <f t="shared" si="5"/>
        <v>-0.18431292238378916</v>
      </c>
      <c r="R110" s="22"/>
    </row>
    <row r="111" spans="1:18">
      <c r="A111" s="7" t="s">
        <v>447</v>
      </c>
      <c r="B111" s="12">
        <v>42916</v>
      </c>
      <c r="C111" s="13">
        <v>5170</v>
      </c>
      <c r="D111" s="13">
        <v>14379</v>
      </c>
      <c r="E111" s="22">
        <v>2189.3000000000002</v>
      </c>
      <c r="F111" s="13">
        <v>0</v>
      </c>
      <c r="G111" s="13">
        <v>0</v>
      </c>
      <c r="H111" s="13"/>
      <c r="I111" s="30">
        <f t="shared" si="6"/>
        <v>26000</v>
      </c>
      <c r="J111" s="30">
        <f t="shared" si="7"/>
        <v>10000</v>
      </c>
      <c r="K111" s="34"/>
      <c r="L111" s="37">
        <f t="shared" si="8"/>
        <v>-2000</v>
      </c>
      <c r="M111" s="59">
        <f t="shared" si="9"/>
        <v>-1333.3333333333333</v>
      </c>
      <c r="N111" s="14"/>
      <c r="O111" s="19">
        <f t="shared" si="5"/>
        <v>0.53270501459818931</v>
      </c>
      <c r="R111" s="13"/>
    </row>
    <row r="112" spans="1:18">
      <c r="A112" s="7" t="s">
        <v>460</v>
      </c>
      <c r="B112" s="12">
        <v>42947</v>
      </c>
      <c r="C112" s="13">
        <v>5174</v>
      </c>
      <c r="D112" s="13">
        <v>14387</v>
      </c>
      <c r="E112" s="22">
        <v>2187.6999999999998</v>
      </c>
      <c r="F112" s="13">
        <v>0</v>
      </c>
      <c r="G112" s="13">
        <v>0</v>
      </c>
      <c r="H112" s="13"/>
      <c r="I112" s="30">
        <f t="shared" si="6"/>
        <v>12000</v>
      </c>
      <c r="J112" s="30">
        <f t="shared" si="7"/>
        <v>9666.6666666666661</v>
      </c>
      <c r="K112" s="34"/>
      <c r="L112" s="37">
        <f t="shared" si="8"/>
        <v>-1600.0000000003638</v>
      </c>
      <c r="M112" s="59">
        <f t="shared" si="9"/>
        <v>-233.33333333342429</v>
      </c>
      <c r="N112" s="14"/>
      <c r="O112" s="19">
        <f t="shared" si="5"/>
        <v>0.24553685610513298</v>
      </c>
      <c r="R112" s="22"/>
    </row>
    <row r="113" spans="1:18">
      <c r="A113" s="7" t="s">
        <v>461</v>
      </c>
      <c r="B113" s="12">
        <v>42978</v>
      </c>
      <c r="C113" s="13">
        <v>5168</v>
      </c>
      <c r="D113" s="13">
        <v>14391</v>
      </c>
      <c r="E113" s="22">
        <v>2187.5</v>
      </c>
      <c r="F113" s="13">
        <v>0</v>
      </c>
      <c r="G113" s="13">
        <v>0</v>
      </c>
      <c r="H113" s="13"/>
      <c r="I113" s="30">
        <f t="shared" si="6"/>
        <v>-2000</v>
      </c>
      <c r="J113" s="30">
        <f t="shared" si="7"/>
        <v>12000</v>
      </c>
      <c r="K113" s="34"/>
      <c r="L113" s="37">
        <f t="shared" si="8"/>
        <v>-199.9999999998181</v>
      </c>
      <c r="M113" s="59">
        <f t="shared" si="9"/>
        <v>-1266.6666666667272</v>
      </c>
      <c r="N113" s="14"/>
      <c r="O113" s="19">
        <f t="shared" si="5"/>
        <v>-4.0897704616327246E-2</v>
      </c>
      <c r="R113" s="13"/>
    </row>
    <row r="114" spans="1:18">
      <c r="A114" s="7" t="s">
        <v>462</v>
      </c>
      <c r="B114" s="12">
        <v>43008</v>
      </c>
      <c r="C114" s="13">
        <v>5161</v>
      </c>
      <c r="D114" s="13">
        <v>14401</v>
      </c>
      <c r="E114" s="22">
        <v>2186.8000000000002</v>
      </c>
      <c r="F114" s="13">
        <v>0</v>
      </c>
      <c r="G114" s="13">
        <v>0</v>
      </c>
      <c r="H114" s="13"/>
      <c r="I114" s="30">
        <f t="shared" si="6"/>
        <v>3000</v>
      </c>
      <c r="J114" s="30">
        <f t="shared" si="7"/>
        <v>4333.333333333333</v>
      </c>
      <c r="K114" s="34"/>
      <c r="L114" s="37">
        <f t="shared" si="8"/>
        <v>-699.9999999998181</v>
      </c>
      <c r="M114" s="59">
        <f t="shared" si="9"/>
        <v>-833.33333333333337</v>
      </c>
      <c r="N114" s="14"/>
      <c r="O114" s="19">
        <f t="shared" si="5"/>
        <v>6.1352829899252725E-2</v>
      </c>
      <c r="R114" s="22"/>
    </row>
    <row r="115" spans="1:18">
      <c r="A115" s="7" t="s">
        <v>463</v>
      </c>
      <c r="B115" s="12">
        <v>43039</v>
      </c>
      <c r="C115" s="13">
        <v>5160</v>
      </c>
      <c r="D115" s="13">
        <v>14410</v>
      </c>
      <c r="E115" s="22">
        <v>2188</v>
      </c>
      <c r="F115" s="13">
        <v>0</v>
      </c>
      <c r="G115" s="13">
        <v>0</v>
      </c>
      <c r="H115" s="13"/>
      <c r="I115" s="30">
        <f t="shared" si="6"/>
        <v>8000</v>
      </c>
      <c r="J115" s="30">
        <f t="shared" si="7"/>
        <v>3000</v>
      </c>
      <c r="K115" s="34"/>
      <c r="L115" s="37">
        <f t="shared" si="8"/>
        <v>1199.9999999998181</v>
      </c>
      <c r="M115" s="59">
        <f t="shared" si="9"/>
        <v>100.00000000006064</v>
      </c>
      <c r="N115" s="14"/>
      <c r="O115" s="19">
        <f t="shared" si="5"/>
        <v>0.16358245578160791</v>
      </c>
      <c r="R115" s="13"/>
    </row>
    <row r="116" spans="1:18">
      <c r="A116" s="7" t="s">
        <v>464</v>
      </c>
      <c r="B116" s="12">
        <v>43069</v>
      </c>
      <c r="C116" s="13">
        <v>5166</v>
      </c>
      <c r="D116" s="13">
        <v>14419</v>
      </c>
      <c r="E116" s="22">
        <v>2184.8000000000002</v>
      </c>
      <c r="F116" s="13">
        <v>0</v>
      </c>
      <c r="G116" s="13">
        <v>0</v>
      </c>
      <c r="H116" s="13"/>
      <c r="I116" s="30">
        <f t="shared" si="6"/>
        <v>15000</v>
      </c>
      <c r="J116" s="30">
        <f t="shared" si="7"/>
        <v>8666.6666666666661</v>
      </c>
      <c r="K116" s="34"/>
      <c r="L116" s="37">
        <f t="shared" si="8"/>
        <v>-3199.9999999998181</v>
      </c>
      <c r="M116" s="59">
        <f t="shared" si="9"/>
        <v>-899.9999999999394</v>
      </c>
      <c r="N116" s="14"/>
      <c r="O116" s="19">
        <f t="shared" si="5"/>
        <v>0.30659172202351925</v>
      </c>
      <c r="R116" s="22"/>
    </row>
    <row r="117" spans="1:18">
      <c r="A117" s="7" t="s">
        <v>465</v>
      </c>
      <c r="B117" s="12">
        <v>43100</v>
      </c>
      <c r="C117" s="13">
        <v>5164</v>
      </c>
      <c r="D117" s="13">
        <v>14430</v>
      </c>
      <c r="E117" s="22">
        <v>2182.8000000000002</v>
      </c>
      <c r="F117" s="13">
        <v>0</v>
      </c>
      <c r="G117" s="13">
        <v>0</v>
      </c>
      <c r="H117" s="13"/>
      <c r="I117" s="30">
        <f t="shared" si="6"/>
        <v>9000</v>
      </c>
      <c r="J117" s="30">
        <f t="shared" si="7"/>
        <v>10666.666666666666</v>
      </c>
      <c r="K117" s="34"/>
      <c r="L117" s="37">
        <f t="shared" si="8"/>
        <v>-2000</v>
      </c>
      <c r="M117" s="59">
        <f t="shared" si="9"/>
        <v>-1333.3333333333333</v>
      </c>
      <c r="N117" s="14"/>
      <c r="O117" s="19">
        <f t="shared" si="5"/>
        <v>0.18381414347716785</v>
      </c>
      <c r="R117" s="13"/>
    </row>
    <row r="118" spans="1:18">
      <c r="A118" s="7" t="s">
        <v>466</v>
      </c>
      <c r="B118" s="12">
        <v>43131</v>
      </c>
      <c r="C118" s="13">
        <v>5147</v>
      </c>
      <c r="D118" s="13">
        <v>14432</v>
      </c>
      <c r="E118" s="22">
        <v>2183.5</v>
      </c>
      <c r="F118" s="13">
        <v>0</v>
      </c>
      <c r="G118" s="13">
        <v>0</v>
      </c>
      <c r="H118" s="13"/>
      <c r="I118" s="30">
        <f t="shared" si="6"/>
        <v>-15000</v>
      </c>
      <c r="J118" s="30">
        <f t="shared" si="7"/>
        <v>3000</v>
      </c>
      <c r="K118" s="34"/>
      <c r="L118" s="37">
        <f t="shared" si="8"/>
        <v>699.9999999998181</v>
      </c>
      <c r="M118" s="59">
        <f t="shared" si="9"/>
        <v>-1500</v>
      </c>
      <c r="N118" s="14"/>
      <c r="O118" s="19">
        <f t="shared" si="5"/>
        <v>-0.30621618862918254</v>
      </c>
      <c r="R118" s="22"/>
    </row>
    <row r="119" spans="1:18">
      <c r="A119" s="7" t="s">
        <v>467</v>
      </c>
      <c r="B119" s="12">
        <v>43159</v>
      </c>
      <c r="C119" s="13">
        <v>5155</v>
      </c>
      <c r="D119" s="13">
        <v>14453</v>
      </c>
      <c r="E119" s="22">
        <v>2183.9</v>
      </c>
      <c r="F119" s="13">
        <v>0</v>
      </c>
      <c r="G119" s="13">
        <v>0</v>
      </c>
      <c r="H119" s="13"/>
      <c r="I119" s="30">
        <f t="shared" si="6"/>
        <v>29000</v>
      </c>
      <c r="J119" s="30">
        <f t="shared" si="7"/>
        <v>7666.666666666667</v>
      </c>
      <c r="K119" s="34"/>
      <c r="L119" s="37">
        <f t="shared" si="8"/>
        <v>400.00000000009095</v>
      </c>
      <c r="M119" s="59">
        <f t="shared" si="9"/>
        <v>-300.0000000000303</v>
      </c>
      <c r="N119" s="14"/>
      <c r="O119" s="19">
        <f t="shared" si="5"/>
        <v>0.59247152561416883</v>
      </c>
      <c r="R119" s="13"/>
    </row>
    <row r="120" spans="1:18">
      <c r="A120" s="7" t="s">
        <v>468</v>
      </c>
      <c r="B120" s="12">
        <v>43190</v>
      </c>
      <c r="C120" s="13">
        <v>5160</v>
      </c>
      <c r="D120" s="13">
        <v>14457</v>
      </c>
      <c r="E120" s="22">
        <v>2184.8000000000002</v>
      </c>
      <c r="F120" s="13">
        <v>0</v>
      </c>
      <c r="G120" s="13">
        <v>0</v>
      </c>
      <c r="H120" s="13"/>
      <c r="I120" s="30">
        <f t="shared" si="6"/>
        <v>9000</v>
      </c>
      <c r="J120" s="30">
        <f t="shared" si="7"/>
        <v>7666.666666666667</v>
      </c>
      <c r="K120" s="34"/>
      <c r="L120" s="37">
        <f t="shared" si="8"/>
        <v>900.00000000009095</v>
      </c>
      <c r="M120" s="59">
        <f t="shared" si="9"/>
        <v>666.66666666666663</v>
      </c>
      <c r="N120" s="14"/>
      <c r="O120" s="19">
        <f t="shared" si="5"/>
        <v>0.1835985312117927</v>
      </c>
      <c r="R120" s="22"/>
    </row>
    <row r="121" spans="1:18">
      <c r="A121" s="7" t="s">
        <v>469</v>
      </c>
      <c r="B121" s="12">
        <v>43220</v>
      </c>
      <c r="C121" s="13">
        <v>5169</v>
      </c>
      <c r="D121" s="13">
        <v>14459</v>
      </c>
      <c r="E121" s="22">
        <v>2186.3000000000002</v>
      </c>
      <c r="F121" s="13">
        <v>0</v>
      </c>
      <c r="G121" s="13">
        <v>0</v>
      </c>
      <c r="H121" s="13"/>
      <c r="I121" s="30">
        <f t="shared" si="6"/>
        <v>11000</v>
      </c>
      <c r="J121" s="30">
        <f t="shared" si="7"/>
        <v>16333.333333333334</v>
      </c>
      <c r="K121" s="34"/>
      <c r="L121" s="37">
        <f t="shared" si="8"/>
        <v>1500</v>
      </c>
      <c r="M121" s="59">
        <f t="shared" si="9"/>
        <v>933.33333333339397</v>
      </c>
      <c r="N121" s="14"/>
      <c r="O121" s="19">
        <f t="shared" si="5"/>
        <v>0.22429525411631346</v>
      </c>
      <c r="R121" s="13"/>
    </row>
    <row r="122" spans="1:18">
      <c r="A122" s="7" t="s">
        <v>470</v>
      </c>
      <c r="B122" s="12">
        <v>43251</v>
      </c>
      <c r="C122" s="13">
        <v>5168</v>
      </c>
      <c r="D122" s="13">
        <v>14466</v>
      </c>
      <c r="E122" s="22">
        <v>2187</v>
      </c>
      <c r="F122" s="13">
        <v>1</v>
      </c>
      <c r="G122" s="13">
        <v>0</v>
      </c>
      <c r="H122" s="13"/>
      <c r="I122" s="30">
        <f t="shared" si="6"/>
        <v>6000</v>
      </c>
      <c r="J122" s="30">
        <f t="shared" si="7"/>
        <v>8666.6666666666661</v>
      </c>
      <c r="K122" s="34"/>
      <c r="L122" s="37">
        <f t="shared" si="8"/>
        <v>-300.0000000001819</v>
      </c>
      <c r="M122" s="59">
        <f t="shared" si="9"/>
        <v>699.99999999996965</v>
      </c>
      <c r="N122" s="14"/>
      <c r="O122" s="19">
        <f t="shared" si="5"/>
        <v>0.1222743020175443</v>
      </c>
      <c r="R122" s="22"/>
    </row>
    <row r="123" spans="1:18">
      <c r="A123" s="7" t="s">
        <v>471</v>
      </c>
      <c r="B123" s="12">
        <v>43281</v>
      </c>
      <c r="C123" s="13">
        <v>5178</v>
      </c>
      <c r="D123" s="13">
        <v>14480</v>
      </c>
      <c r="E123" s="22">
        <v>2188.8000000000002</v>
      </c>
      <c r="F123" s="13">
        <v>1</v>
      </c>
      <c r="G123" s="13">
        <v>0</v>
      </c>
      <c r="H123" s="13"/>
      <c r="I123" s="30">
        <f t="shared" si="6"/>
        <v>24000</v>
      </c>
      <c r="J123" s="30">
        <f t="shared" si="7"/>
        <v>13666.666666666666</v>
      </c>
      <c r="K123" s="34"/>
      <c r="L123" s="37">
        <f t="shared" si="8"/>
        <v>1800.0000000001819</v>
      </c>
      <c r="M123" s="59">
        <f t="shared" si="9"/>
        <v>1000</v>
      </c>
      <c r="N123" s="14"/>
      <c r="O123" s="19">
        <f t="shared" si="5"/>
        <v>0.48894774370991101</v>
      </c>
      <c r="R123" s="13"/>
    </row>
    <row r="124" spans="1:18">
      <c r="A124" s="7" t="s">
        <v>472</v>
      </c>
      <c r="B124" s="12">
        <v>43312</v>
      </c>
      <c r="C124" s="13">
        <v>5179</v>
      </c>
      <c r="D124" s="13">
        <v>14483</v>
      </c>
      <c r="E124" s="22">
        <v>2189.6</v>
      </c>
      <c r="F124" s="13">
        <v>0</v>
      </c>
      <c r="G124" s="13">
        <v>0</v>
      </c>
      <c r="H124" s="13"/>
      <c r="I124" s="30">
        <f t="shared" si="6"/>
        <v>4000</v>
      </c>
      <c r="J124" s="30">
        <f t="shared" si="7"/>
        <v>11333.333333333334</v>
      </c>
      <c r="K124" s="34"/>
      <c r="L124" s="37">
        <f t="shared" si="8"/>
        <v>1799.9999999997272</v>
      </c>
      <c r="M124" s="59">
        <f t="shared" si="9"/>
        <v>1099.9999999999091</v>
      </c>
      <c r="N124" s="14"/>
      <c r="O124" s="19">
        <f t="shared" si="5"/>
        <v>8.1391799776131535E-2</v>
      </c>
      <c r="R124" s="22"/>
    </row>
    <row r="125" spans="1:18">
      <c r="A125" s="7" t="s">
        <v>473</v>
      </c>
      <c r="B125" s="12">
        <v>43343</v>
      </c>
      <c r="C125" s="13">
        <v>5190</v>
      </c>
      <c r="D125" s="13">
        <v>14508</v>
      </c>
      <c r="E125" s="22">
        <v>2190.1</v>
      </c>
      <c r="F125" s="13">
        <v>0</v>
      </c>
      <c r="G125" s="13">
        <v>0</v>
      </c>
      <c r="H125" s="13"/>
      <c r="I125" s="30">
        <f t="shared" si="6"/>
        <v>36000</v>
      </c>
      <c r="J125" s="30">
        <f t="shared" si="7"/>
        <v>21333.333333333332</v>
      </c>
      <c r="K125" s="34"/>
      <c r="L125" s="37">
        <f t="shared" si="8"/>
        <v>500</v>
      </c>
      <c r="M125" s="59">
        <f t="shared" si="9"/>
        <v>1366.6666666666363</v>
      </c>
      <c r="N125" s="14"/>
      <c r="O125" s="19">
        <f t="shared" si="5"/>
        <v>0.73237717424472493</v>
      </c>
      <c r="R125" s="13"/>
    </row>
    <row r="126" spans="1:18">
      <c r="A126" s="7" t="s">
        <v>474</v>
      </c>
      <c r="B126" s="12">
        <v>43373</v>
      </c>
      <c r="C126" s="13">
        <v>5204</v>
      </c>
      <c r="D126" s="13">
        <v>14493</v>
      </c>
      <c r="E126" s="22">
        <v>2190.9</v>
      </c>
      <c r="F126" s="13">
        <v>0</v>
      </c>
      <c r="G126" s="13">
        <v>0</v>
      </c>
      <c r="H126" s="13"/>
      <c r="I126" s="30">
        <f t="shared" si="6"/>
        <v>-1000</v>
      </c>
      <c r="J126" s="30">
        <f t="shared" si="7"/>
        <v>13000</v>
      </c>
      <c r="K126" s="34"/>
      <c r="L126" s="37">
        <f t="shared" si="8"/>
        <v>800.0000000001819</v>
      </c>
      <c r="M126" s="59">
        <f t="shared" si="9"/>
        <v>1033.333333333303</v>
      </c>
      <c r="N126" s="14"/>
      <c r="O126" s="19">
        <f t="shared" si="5"/>
        <v>-2.0306630114719226E-2</v>
      </c>
      <c r="R126" s="22"/>
    </row>
    <row r="127" spans="1:18">
      <c r="A127" s="7" t="s">
        <v>475</v>
      </c>
      <c r="B127" s="12">
        <v>43404</v>
      </c>
      <c r="C127" s="13">
        <v>5197</v>
      </c>
      <c r="D127" s="13">
        <v>14491</v>
      </c>
      <c r="E127" s="22">
        <v>2193.3000000000002</v>
      </c>
      <c r="F127" s="13">
        <v>0</v>
      </c>
      <c r="G127" s="13">
        <v>0</v>
      </c>
      <c r="H127" s="13"/>
      <c r="I127" s="30">
        <f t="shared" si="6"/>
        <v>-9000</v>
      </c>
      <c r="J127" s="30">
        <f t="shared" si="7"/>
        <v>8666.6666666666661</v>
      </c>
      <c r="K127" s="34"/>
      <c r="L127" s="37">
        <f t="shared" si="8"/>
        <v>2400.0000000000909</v>
      </c>
      <c r="M127" s="59">
        <f t="shared" si="9"/>
        <v>1233.3333333334242</v>
      </c>
      <c r="N127" s="14"/>
      <c r="O127" s="19">
        <f t="shared" si="5"/>
        <v>-0.18276894958622059</v>
      </c>
      <c r="R127" s="13"/>
    </row>
    <row r="128" spans="1:18">
      <c r="A128" s="7" t="s">
        <v>476</v>
      </c>
      <c r="B128" s="12">
        <v>43434</v>
      </c>
      <c r="C128" s="13">
        <v>5180</v>
      </c>
      <c r="D128" s="13">
        <v>14498</v>
      </c>
      <c r="E128" s="22">
        <v>2193</v>
      </c>
      <c r="F128" s="13">
        <v>0</v>
      </c>
      <c r="G128" s="13">
        <v>0</v>
      </c>
      <c r="H128" s="13"/>
      <c r="I128" s="30">
        <f t="shared" si="6"/>
        <v>-10000</v>
      </c>
      <c r="J128" s="30">
        <f t="shared" si="7"/>
        <v>-6666.666666666667</v>
      </c>
      <c r="K128" s="34"/>
      <c r="L128" s="37">
        <f t="shared" si="8"/>
        <v>-300.0000000001819</v>
      </c>
      <c r="M128" s="59">
        <f t="shared" si="9"/>
        <v>966.66666666669698</v>
      </c>
      <c r="N128" s="14"/>
      <c r="O128" s="19">
        <f t="shared" si="5"/>
        <v>-0.20316944331573161</v>
      </c>
      <c r="R128" s="22"/>
    </row>
    <row r="129" spans="1:18">
      <c r="A129" s="7" t="s">
        <v>477</v>
      </c>
      <c r="B129" s="12">
        <v>43465</v>
      </c>
      <c r="C129" s="13">
        <v>5183</v>
      </c>
      <c r="D129" s="13">
        <v>14504</v>
      </c>
      <c r="E129" s="22">
        <v>2191.9</v>
      </c>
      <c r="F129" s="13">
        <v>0</v>
      </c>
      <c r="G129" s="13">
        <v>0</v>
      </c>
      <c r="H129" s="13"/>
      <c r="I129" s="30">
        <f t="shared" si="6"/>
        <v>9000</v>
      </c>
      <c r="J129" s="30">
        <f t="shared" si="7"/>
        <v>-3333.3333333333335</v>
      </c>
      <c r="K129" s="34"/>
      <c r="L129" s="37">
        <f t="shared" si="8"/>
        <v>-1099.9999999999091</v>
      </c>
      <c r="M129" s="59">
        <f t="shared" si="9"/>
        <v>333.33333333333331</v>
      </c>
      <c r="N129" s="14"/>
      <c r="O129" s="19">
        <f t="shared" si="5"/>
        <v>0.18294542128263203</v>
      </c>
      <c r="R129" s="13"/>
    </row>
    <row r="130" spans="1:18">
      <c r="A130" s="7" t="s">
        <v>478</v>
      </c>
      <c r="B130" s="12">
        <v>43496</v>
      </c>
      <c r="C130" s="13">
        <v>5184</v>
      </c>
      <c r="D130" s="13">
        <v>14519</v>
      </c>
      <c r="E130" s="22">
        <v>2191.4</v>
      </c>
      <c r="F130" s="13">
        <v>0</v>
      </c>
      <c r="G130" s="13">
        <v>0</v>
      </c>
      <c r="H130" s="13"/>
      <c r="I130" s="30">
        <f t="shared" si="6"/>
        <v>16000</v>
      </c>
      <c r="J130" s="30">
        <f t="shared" si="7"/>
        <v>5000</v>
      </c>
      <c r="K130" s="34"/>
      <c r="L130" s="37">
        <f t="shared" si="8"/>
        <v>-500</v>
      </c>
      <c r="M130" s="59">
        <f t="shared" si="9"/>
        <v>-633.33333333336361</v>
      </c>
      <c r="N130" s="14"/>
      <c r="O130" s="19">
        <f t="shared" si="5"/>
        <v>0.32508762127294588</v>
      </c>
      <c r="R130" s="22"/>
    </row>
    <row r="131" spans="1:18">
      <c r="A131" s="7" t="s">
        <v>479</v>
      </c>
      <c r="B131" s="12">
        <v>43524</v>
      </c>
      <c r="C131" s="13">
        <v>5186</v>
      </c>
      <c r="D131" s="13">
        <v>14520</v>
      </c>
      <c r="E131" s="22">
        <v>2197.6999999999998</v>
      </c>
      <c r="F131" s="13">
        <v>1</v>
      </c>
      <c r="G131" s="13">
        <v>0</v>
      </c>
      <c r="H131" s="13"/>
      <c r="I131" s="30">
        <f t="shared" si="6"/>
        <v>3000</v>
      </c>
      <c r="J131" s="30">
        <f t="shared" si="7"/>
        <v>9333.3333333333339</v>
      </c>
      <c r="K131" s="34"/>
      <c r="L131" s="37">
        <f t="shared" si="8"/>
        <v>5299.9999999997272</v>
      </c>
      <c r="M131" s="59">
        <f t="shared" si="9"/>
        <v>1233.3333333332728</v>
      </c>
      <c r="N131" s="14"/>
      <c r="O131" s="19">
        <f t="shared" si="5"/>
        <v>6.0904430797315001E-2</v>
      </c>
      <c r="R131" s="13"/>
    </row>
    <row r="132" spans="1:18">
      <c r="A132" s="7" t="s">
        <v>480</v>
      </c>
      <c r="B132" s="12">
        <v>43555</v>
      </c>
      <c r="C132" s="13">
        <v>5184</v>
      </c>
      <c r="D132" s="13">
        <v>14523</v>
      </c>
      <c r="E132" s="22">
        <v>2196.1999999999998</v>
      </c>
      <c r="F132" s="13">
        <v>1</v>
      </c>
      <c r="G132" s="13">
        <v>0</v>
      </c>
      <c r="H132" s="13"/>
      <c r="I132" s="30">
        <f t="shared" si="6"/>
        <v>1000</v>
      </c>
      <c r="J132" s="30">
        <f t="shared" si="7"/>
        <v>6666.666666666667</v>
      </c>
      <c r="K132" s="34"/>
      <c r="L132" s="37">
        <f t="shared" si="8"/>
        <v>-1500</v>
      </c>
      <c r="M132" s="59">
        <f t="shared" si="9"/>
        <v>1099.9999999999091</v>
      </c>
      <c r="O132" s="19">
        <f t="shared" si="5"/>
        <v>2.0298386278305713E-2</v>
      </c>
      <c r="R132" s="22"/>
    </row>
    <row r="133" spans="1:18">
      <c r="A133" s="7" t="s">
        <v>481</v>
      </c>
      <c r="B133" s="12">
        <v>43585</v>
      </c>
      <c r="C133" s="13">
        <v>5176</v>
      </c>
      <c r="D133" s="13">
        <v>14545</v>
      </c>
      <c r="E133" s="22">
        <v>2202.6999999999998</v>
      </c>
      <c r="F133" s="13">
        <v>1</v>
      </c>
      <c r="G133" s="13">
        <v>0</v>
      </c>
      <c r="I133" s="30">
        <f t="shared" si="6"/>
        <v>14000</v>
      </c>
      <c r="J133" s="30">
        <f t="shared" si="7"/>
        <v>6000</v>
      </c>
      <c r="K133" s="34"/>
      <c r="L133" s="37">
        <f t="shared" si="8"/>
        <v>6500</v>
      </c>
      <c r="M133" s="59">
        <f t="shared" si="9"/>
        <v>3433.3333333332425</v>
      </c>
      <c r="N133" s="22"/>
      <c r="O133" s="19">
        <f t="shared" si="5"/>
        <v>0.28416298777083071</v>
      </c>
    </row>
    <row r="134" spans="1:18">
      <c r="A134" s="7" t="s">
        <v>482</v>
      </c>
      <c r="B134" s="12">
        <v>43616</v>
      </c>
      <c r="C134" s="13">
        <v>5159</v>
      </c>
      <c r="D134" s="13">
        <v>14538</v>
      </c>
      <c r="E134" s="22">
        <v>2205.6999999999998</v>
      </c>
      <c r="F134" s="13">
        <v>2</v>
      </c>
      <c r="G134" s="13">
        <v>0</v>
      </c>
      <c r="I134" s="30">
        <f t="shared" ref="I134:I137" si="10">IF(C134&lt;&gt;"", ((C134+D134)-(C133+D133))*1000, "")</f>
        <v>-24000</v>
      </c>
      <c r="J134" s="30">
        <f t="shared" ref="J134:J137" si="11">IF(I133&lt;&gt;"", IF(I134&lt;&gt;"", (AVERAGE(I132:I134)), ""), "")</f>
        <v>-3000</v>
      </c>
      <c r="K134" s="34"/>
      <c r="L134" s="37">
        <f t="shared" ref="L134:L138" si="12">IF(E134&lt;&gt;"", ((E134-F134)-(E133-F133))*1000, "")</f>
        <v>2000</v>
      </c>
      <c r="M134" s="59">
        <f t="shared" ref="M134:M138" si="13">IF(L133&lt;&gt;"", IF(L134&lt;&gt;"", AVERAGE(L132:L134), ""), "")</f>
        <v>2333.3333333333335</v>
      </c>
      <c r="N134" s="22"/>
      <c r="O134" s="19">
        <f t="shared" si="5"/>
        <v>-0.48679073069317624</v>
      </c>
    </row>
    <row r="135" spans="1:18">
      <c r="A135" s="7" t="s">
        <v>483</v>
      </c>
      <c r="B135" s="12">
        <v>43646</v>
      </c>
      <c r="C135" s="13">
        <v>5165</v>
      </c>
      <c r="D135" s="13">
        <v>14547</v>
      </c>
      <c r="E135" s="22">
        <v>2208.3000000000002</v>
      </c>
      <c r="F135" s="13">
        <v>2</v>
      </c>
      <c r="G135" s="13">
        <v>0</v>
      </c>
      <c r="I135" s="30">
        <f t="shared" si="10"/>
        <v>15000</v>
      </c>
      <c r="J135" s="30">
        <f t="shared" si="11"/>
        <v>1666.6666666666667</v>
      </c>
      <c r="K135" s="34"/>
      <c r="L135" s="37">
        <f t="shared" si="12"/>
        <v>2600.0000000003638</v>
      </c>
      <c r="M135" s="59">
        <f t="shared" si="13"/>
        <v>3700.0000000001214</v>
      </c>
      <c r="N135" s="22"/>
      <c r="O135" s="19">
        <f t="shared" si="5"/>
        <v>0.30461491597701951</v>
      </c>
    </row>
    <row r="136" spans="1:18">
      <c r="A136" s="7" t="s">
        <v>484</v>
      </c>
      <c r="B136" s="12">
        <v>43677</v>
      </c>
      <c r="C136" s="13">
        <v>5182</v>
      </c>
      <c r="D136" s="13">
        <v>14574</v>
      </c>
      <c r="E136" s="22">
        <v>2209.8000000000002</v>
      </c>
      <c r="F136" s="13">
        <v>2</v>
      </c>
      <c r="G136" s="13">
        <v>0</v>
      </c>
      <c r="I136" s="30">
        <f t="shared" si="10"/>
        <v>44000</v>
      </c>
      <c r="J136" s="30">
        <f t="shared" si="11"/>
        <v>11666.666666666666</v>
      </c>
      <c r="K136" s="34"/>
      <c r="L136" s="37">
        <f t="shared" si="12"/>
        <v>1500</v>
      </c>
      <c r="M136" s="59">
        <f t="shared" si="13"/>
        <v>2033.3333333334547</v>
      </c>
      <c r="N136" s="22"/>
      <c r="O136" s="19">
        <f t="shared" ref="O136:O137" si="14">400*(((D136+C136)/(D135+C135))-1)</f>
        <v>0.89285714285711748</v>
      </c>
    </row>
    <row r="137" spans="1:18">
      <c r="A137" s="7" t="s">
        <v>485</v>
      </c>
      <c r="B137" s="12">
        <v>43708</v>
      </c>
      <c r="C137" s="13">
        <v>5191</v>
      </c>
      <c r="D137" s="13">
        <v>14594</v>
      </c>
      <c r="E137" s="22">
        <v>2236.9</v>
      </c>
      <c r="F137" s="13">
        <v>27</v>
      </c>
      <c r="G137" s="13">
        <v>0</v>
      </c>
      <c r="I137" s="30">
        <f t="shared" si="10"/>
        <v>29000</v>
      </c>
      <c r="J137" s="30">
        <f t="shared" si="11"/>
        <v>29333.333333333332</v>
      </c>
      <c r="K137" s="34"/>
      <c r="L137" s="37">
        <f t="shared" si="12"/>
        <v>2099.9999999999091</v>
      </c>
      <c r="M137" s="59">
        <f t="shared" si="13"/>
        <v>2066.6666666667575</v>
      </c>
      <c r="N137" s="22"/>
      <c r="O137" s="19">
        <f t="shared" si="14"/>
        <v>0.58716339339950352</v>
      </c>
    </row>
    <row r="138" spans="1:18">
      <c r="A138" s="7" t="s">
        <v>504</v>
      </c>
      <c r="B138" s="12">
        <v>43738</v>
      </c>
      <c r="C138" s="13">
        <v>5190</v>
      </c>
      <c r="D138" s="13">
        <v>14603</v>
      </c>
      <c r="E138" s="22">
        <v>2238.5</v>
      </c>
      <c r="F138" s="13">
        <v>28</v>
      </c>
      <c r="G138" s="13">
        <v>0</v>
      </c>
      <c r="I138" s="30">
        <f>IF(C138&lt;&gt;"", ((C138+D138)-(C137+D137))*1000, "")</f>
        <v>8000</v>
      </c>
      <c r="J138" s="30">
        <f>IF(I137&lt;&gt;"", IF(I138&lt;&gt;"", (AVERAGE(I136:I138)), ""), "")</f>
        <v>27000</v>
      </c>
      <c r="K138" s="34"/>
      <c r="L138" s="37">
        <f t="shared" si="12"/>
        <v>599.99999999990905</v>
      </c>
      <c r="M138" s="59">
        <f t="shared" si="13"/>
        <v>1399.9999999999393</v>
      </c>
      <c r="N138" s="22"/>
      <c r="O138" s="19">
        <f>400*(((D138+C138)/(D137+C137))-1)</f>
        <v>0.16173869092748205</v>
      </c>
    </row>
    <row r="139" spans="1:18">
      <c r="A139" s="7" t="s">
        <v>508</v>
      </c>
      <c r="B139" s="12">
        <v>43769</v>
      </c>
      <c r="C139" s="13">
        <v>5191</v>
      </c>
      <c r="D139" s="13">
        <v>14608</v>
      </c>
      <c r="E139" s="22">
        <v>2221.3000000000002</v>
      </c>
      <c r="F139" s="13">
        <v>9</v>
      </c>
      <c r="G139" s="13">
        <v>0</v>
      </c>
      <c r="I139" s="30">
        <f t="shared" ref="I139:I141" si="15">IF(C139&lt;&gt;"", ((C139+D139)-(C138+D138))*1000, "")</f>
        <v>6000</v>
      </c>
      <c r="J139" s="30">
        <f t="shared" ref="J139:J141" si="16">IF(I138&lt;&gt;"", IF(I139&lt;&gt;"", (AVERAGE(I137:I139)), ""), "")</f>
        <v>14333.333333333334</v>
      </c>
      <c r="L139" s="37">
        <f t="shared" ref="L139:L141" si="17">IF(E139&lt;&gt;"", ((E139-F139)-(E138-F138))*1000, "")</f>
        <v>1800.0000000001819</v>
      </c>
      <c r="M139" s="59">
        <f t="shared" ref="M139:M141" si="18">IF(L138&lt;&gt;"", IF(L139&lt;&gt;"", AVERAGE(L137:L139), ""), "")</f>
        <v>1500</v>
      </c>
      <c r="O139" s="127">
        <f t="shared" ref="O139:O141" si="19">400*(((D139+C139)/(D138+C138))-1)</f>
        <v>0.12125498913757582</v>
      </c>
    </row>
    <row r="140" spans="1:18">
      <c r="A140" s="7" t="s">
        <v>509</v>
      </c>
      <c r="B140" s="12">
        <v>43799</v>
      </c>
      <c r="C140" s="13">
        <v>5193</v>
      </c>
      <c r="D140" s="13">
        <v>14621</v>
      </c>
      <c r="E140" s="22">
        <v>2220.3000000000002</v>
      </c>
      <c r="F140" s="13">
        <v>5</v>
      </c>
      <c r="G140" s="13">
        <v>0</v>
      </c>
      <c r="I140" s="30">
        <f t="shared" si="15"/>
        <v>15000</v>
      </c>
      <c r="J140" s="30">
        <f t="shared" si="16"/>
        <v>9666.6666666666661</v>
      </c>
      <c r="L140" s="37">
        <f t="shared" si="17"/>
        <v>3000</v>
      </c>
      <c r="M140" s="59">
        <f t="shared" si="18"/>
        <v>1800.0000000000302</v>
      </c>
      <c r="O140" s="127">
        <f t="shared" si="19"/>
        <v>0.30304560836409422</v>
      </c>
    </row>
    <row r="141" spans="1:18">
      <c r="A141" s="7" t="s">
        <v>513</v>
      </c>
      <c r="B141" s="12">
        <v>43830</v>
      </c>
      <c r="C141" s="13">
        <v>5185</v>
      </c>
      <c r="D141" s="13">
        <v>14635</v>
      </c>
      <c r="E141" s="22">
        <v>2222.1</v>
      </c>
      <c r="F141" s="13">
        <v>8</v>
      </c>
      <c r="G141" s="13">
        <v>0</v>
      </c>
      <c r="I141" s="30">
        <f t="shared" si="15"/>
        <v>6000</v>
      </c>
      <c r="J141" s="30">
        <f t="shared" si="16"/>
        <v>9000</v>
      </c>
      <c r="L141" s="37">
        <f t="shared" si="17"/>
        <v>-1200.0000000002728</v>
      </c>
      <c r="M141" s="59">
        <f t="shared" si="18"/>
        <v>1199.9999999999698</v>
      </c>
      <c r="O141" s="127">
        <f t="shared" si="19"/>
        <v>0.12112647622890549</v>
      </c>
    </row>
    <row r="142" spans="1:18">
      <c r="I142" s="30"/>
      <c r="J142" s="31"/>
    </row>
    <row r="143" spans="1:18">
      <c r="I143" s="30"/>
      <c r="J143" s="31"/>
    </row>
    <row r="144" spans="1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 xr:uid="{00000000-0004-0000-0400-000000000000}"/>
    <hyperlink ref="F3" r:id="rId2" xr:uid="{00000000-0004-0000-0400-000001000000}"/>
    <hyperlink ref="E3" r:id="rId3" xr:uid="{00000000-0004-0000-0400-000002000000}"/>
    <hyperlink ref="D3" r:id="rId4" xr:uid="{00000000-0004-0000-0400-000003000000}"/>
    <hyperlink ref="C3" r:id="rId5" xr:uid="{00000000-0004-0000-0400-000004000000}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500FD-BF25-47D9-B579-9CB2CA7F40B2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M69"/>
  <sheetViews>
    <sheetView topLeftCell="A7"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503</v>
      </c>
      <c r="D4" s="25" t="s">
        <v>493</v>
      </c>
      <c r="K4" s="19"/>
      <c r="L4" s="19"/>
      <c r="M4" s="19"/>
    </row>
    <row r="5" spans="1:13">
      <c r="A5" s="19" t="s">
        <v>8</v>
      </c>
      <c r="B5" s="26"/>
      <c r="C5" s="27" t="s">
        <v>402</v>
      </c>
      <c r="D5" s="26" t="s">
        <v>404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526</v>
      </c>
      <c r="D6" s="25" t="s">
        <v>526</v>
      </c>
      <c r="L6" s="102"/>
      <c r="M6" s="13"/>
    </row>
    <row r="7" spans="1:13">
      <c r="A7" s="19" t="s">
        <v>310</v>
      </c>
      <c r="C7" s="22" t="s">
        <v>401</v>
      </c>
      <c r="D7" s="25" t="s">
        <v>403</v>
      </c>
      <c r="L7" s="102"/>
      <c r="M7" s="13"/>
    </row>
    <row r="8" spans="1:13">
      <c r="A8" s="19" t="s">
        <v>319</v>
      </c>
      <c r="B8" s="25">
        <v>39814</v>
      </c>
      <c r="C8" s="22">
        <v>310.5</v>
      </c>
      <c r="D8" s="13">
        <v>1</v>
      </c>
      <c r="L8" s="102"/>
      <c r="M8" s="13"/>
    </row>
    <row r="9" spans="1:13">
      <c r="A9" s="19" t="s">
        <v>320</v>
      </c>
      <c r="B9" s="25">
        <v>39904</v>
      </c>
      <c r="C9" s="22">
        <v>315.8</v>
      </c>
      <c r="D9" s="13">
        <v>1</v>
      </c>
      <c r="L9" s="102"/>
      <c r="M9" s="13"/>
    </row>
    <row r="10" spans="1:13">
      <c r="A10" s="19" t="s">
        <v>321</v>
      </c>
      <c r="B10" s="25">
        <v>39995</v>
      </c>
      <c r="C10" s="22">
        <v>314.2</v>
      </c>
      <c r="D10" s="13">
        <v>0</v>
      </c>
      <c r="L10" s="102"/>
      <c r="M10" s="13"/>
    </row>
    <row r="11" spans="1:13">
      <c r="A11" s="19" t="s">
        <v>322</v>
      </c>
      <c r="B11" s="25">
        <v>40087</v>
      </c>
      <c r="C11" s="22">
        <v>304.60000000000002</v>
      </c>
      <c r="D11" s="13">
        <v>0</v>
      </c>
      <c r="L11" s="102"/>
      <c r="M11" s="13"/>
    </row>
    <row r="12" spans="1:13">
      <c r="A12" s="19" t="s">
        <v>323</v>
      </c>
      <c r="B12" s="25">
        <v>40179</v>
      </c>
      <c r="C12" s="22">
        <v>293.8</v>
      </c>
      <c r="D12" s="13">
        <v>0</v>
      </c>
      <c r="L12" s="102"/>
      <c r="M12" s="13"/>
    </row>
    <row r="13" spans="1:13">
      <c r="A13" s="19" t="s">
        <v>324</v>
      </c>
      <c r="B13" s="25">
        <v>40269</v>
      </c>
      <c r="C13" s="22">
        <v>303.5</v>
      </c>
      <c r="D13" s="13">
        <v>0</v>
      </c>
      <c r="L13" s="102"/>
      <c r="M13" s="13"/>
    </row>
    <row r="14" spans="1:13">
      <c r="A14" s="19" t="s">
        <v>325</v>
      </c>
      <c r="B14" s="25">
        <v>40360</v>
      </c>
      <c r="C14" s="22">
        <v>305.89999999999998</v>
      </c>
      <c r="D14" s="13">
        <v>0</v>
      </c>
      <c r="L14" s="102"/>
      <c r="M14" s="13"/>
    </row>
    <row r="15" spans="1:13">
      <c r="A15" s="19" t="s">
        <v>326</v>
      </c>
      <c r="B15" s="25">
        <v>40452</v>
      </c>
      <c r="C15" s="22">
        <v>299</v>
      </c>
      <c r="D15" s="13">
        <v>0</v>
      </c>
      <c r="L15" s="102"/>
      <c r="M15" s="13"/>
    </row>
    <row r="16" spans="1:13">
      <c r="A16" s="19" t="s">
        <v>327</v>
      </c>
      <c r="B16" s="25">
        <v>40544</v>
      </c>
      <c r="C16" s="22">
        <v>290.39999999999998</v>
      </c>
      <c r="D16" s="13">
        <v>0</v>
      </c>
      <c r="L16" s="102"/>
      <c r="M16" s="13"/>
    </row>
    <row r="17" spans="1:13">
      <c r="A17" s="19" t="s">
        <v>328</v>
      </c>
      <c r="B17" s="25">
        <v>40634</v>
      </c>
      <c r="C17" s="22">
        <v>283.39999999999998</v>
      </c>
      <c r="D17" s="13">
        <v>0</v>
      </c>
      <c r="L17" s="102"/>
      <c r="M17" s="13"/>
    </row>
    <row r="18" spans="1:13">
      <c r="A18" s="19" t="s">
        <v>329</v>
      </c>
      <c r="B18" s="25">
        <v>40725</v>
      </c>
      <c r="C18" s="22">
        <v>279.8</v>
      </c>
      <c r="D18" s="13">
        <v>0</v>
      </c>
      <c r="L18" s="102"/>
      <c r="M18" s="13"/>
    </row>
    <row r="19" spans="1:13">
      <c r="A19" s="19" t="s">
        <v>330</v>
      </c>
      <c r="B19" s="25">
        <v>40817</v>
      </c>
      <c r="C19" s="22">
        <v>281.60000000000002</v>
      </c>
      <c r="D19" s="13">
        <v>0</v>
      </c>
      <c r="L19" s="102"/>
      <c r="M19" s="13"/>
    </row>
    <row r="20" spans="1:13">
      <c r="A20" s="19" t="s">
        <v>331</v>
      </c>
      <c r="B20" s="25">
        <v>40909</v>
      </c>
      <c r="C20" s="22">
        <v>273.3</v>
      </c>
      <c r="D20" s="13">
        <v>0</v>
      </c>
      <c r="L20" s="102"/>
      <c r="M20" s="13"/>
    </row>
    <row r="21" spans="1:13">
      <c r="A21" s="19" t="s">
        <v>332</v>
      </c>
      <c r="B21" s="25">
        <v>41000</v>
      </c>
      <c r="C21" s="22">
        <v>268.8</v>
      </c>
      <c r="D21" s="13">
        <v>0</v>
      </c>
      <c r="L21" s="102"/>
      <c r="M21" s="13"/>
    </row>
    <row r="22" spans="1:13">
      <c r="A22" s="19" t="s">
        <v>333</v>
      </c>
      <c r="B22" s="25">
        <v>41091</v>
      </c>
      <c r="C22" s="22">
        <v>261.8</v>
      </c>
      <c r="D22" s="13">
        <v>0</v>
      </c>
      <c r="L22" s="102"/>
      <c r="M22" s="13"/>
    </row>
    <row r="23" spans="1:13">
      <c r="A23" s="19" t="s">
        <v>334</v>
      </c>
      <c r="B23" s="25">
        <v>41183</v>
      </c>
      <c r="C23" s="22">
        <v>255.9</v>
      </c>
      <c r="D23" s="13">
        <v>0</v>
      </c>
      <c r="L23" s="102"/>
      <c r="M23" s="13"/>
    </row>
    <row r="24" spans="1:13">
      <c r="A24" s="19" t="s">
        <v>335</v>
      </c>
      <c r="B24" s="25">
        <v>41275</v>
      </c>
      <c r="C24" s="22">
        <v>252.1</v>
      </c>
      <c r="D24" s="13">
        <v>0</v>
      </c>
      <c r="L24" s="102"/>
      <c r="M24" s="13"/>
    </row>
    <row r="25" spans="1:13">
      <c r="A25" s="19" t="s">
        <v>336</v>
      </c>
      <c r="B25" s="25">
        <v>41365</v>
      </c>
      <c r="C25" s="22">
        <v>254.3</v>
      </c>
      <c r="D25" s="13">
        <v>0</v>
      </c>
      <c r="L25" s="102"/>
      <c r="M25" s="13"/>
    </row>
    <row r="26" spans="1:13">
      <c r="A26" s="19" t="s">
        <v>337</v>
      </c>
      <c r="B26" s="25">
        <v>41456</v>
      </c>
      <c r="C26" s="22">
        <v>255.3</v>
      </c>
      <c r="D26" s="13">
        <v>0</v>
      </c>
      <c r="L26" s="102"/>
      <c r="M26" s="13"/>
    </row>
    <row r="27" spans="1:13">
      <c r="A27" s="19" t="s">
        <v>338</v>
      </c>
      <c r="B27" s="25">
        <v>41548</v>
      </c>
      <c r="C27" s="22">
        <v>252.6</v>
      </c>
      <c r="D27" s="13">
        <v>0</v>
      </c>
      <c r="L27" s="102"/>
      <c r="M27" s="13"/>
    </row>
    <row r="28" spans="1:13">
      <c r="A28" s="19" t="s">
        <v>339</v>
      </c>
      <c r="B28" s="25">
        <v>41640</v>
      </c>
      <c r="C28" s="22">
        <v>247</v>
      </c>
      <c r="D28" s="13">
        <v>0</v>
      </c>
      <c r="L28" s="102"/>
      <c r="M28" s="13"/>
    </row>
    <row r="29" spans="1:13">
      <c r="A29" s="19" t="s">
        <v>340</v>
      </c>
      <c r="B29" s="25">
        <v>41730</v>
      </c>
      <c r="C29" s="22">
        <v>253.8</v>
      </c>
      <c r="D29" s="13">
        <v>0</v>
      </c>
      <c r="L29" s="102"/>
      <c r="M29" s="13"/>
    </row>
    <row r="30" spans="1:13">
      <c r="A30" s="19" t="s">
        <v>341</v>
      </c>
      <c r="B30" s="25">
        <v>41821</v>
      </c>
      <c r="C30" s="22">
        <v>256.2</v>
      </c>
      <c r="D30" s="13">
        <v>0</v>
      </c>
      <c r="L30" s="102"/>
      <c r="M30" s="13"/>
    </row>
    <row r="31" spans="1:13">
      <c r="A31" s="19" t="s">
        <v>346</v>
      </c>
      <c r="B31" s="25">
        <v>41913</v>
      </c>
      <c r="C31" s="22">
        <v>258.39999999999998</v>
      </c>
      <c r="D31" s="13">
        <v>0</v>
      </c>
    </row>
    <row r="32" spans="1:13">
      <c r="A32" s="19" t="s">
        <v>350</v>
      </c>
      <c r="B32" s="25">
        <v>42005</v>
      </c>
      <c r="C32" s="22">
        <v>255.7</v>
      </c>
      <c r="D32" s="13">
        <v>0</v>
      </c>
    </row>
    <row r="33" spans="1:4">
      <c r="A33" s="19" t="s">
        <v>357</v>
      </c>
      <c r="B33" s="25">
        <v>42095</v>
      </c>
      <c r="C33" s="22">
        <v>269.10000000000002</v>
      </c>
      <c r="D33" s="13">
        <v>0</v>
      </c>
    </row>
    <row r="34" spans="1:4">
      <c r="A34" s="19" t="s">
        <v>362</v>
      </c>
      <c r="B34" s="25">
        <v>42186</v>
      </c>
      <c r="C34" s="22">
        <v>270.7</v>
      </c>
      <c r="D34" s="13">
        <v>0</v>
      </c>
    </row>
    <row r="35" spans="1:4">
      <c r="A35" s="19" t="s">
        <v>366</v>
      </c>
      <c r="B35" s="25">
        <v>42278</v>
      </c>
      <c r="C35" s="22">
        <v>260.2</v>
      </c>
      <c r="D35" s="13">
        <v>0</v>
      </c>
    </row>
    <row r="36" spans="1:4">
      <c r="A36" s="19" t="s">
        <v>407</v>
      </c>
      <c r="B36" s="25">
        <v>42370</v>
      </c>
      <c r="C36" s="22">
        <v>274.8</v>
      </c>
      <c r="D36" s="13">
        <v>0</v>
      </c>
    </row>
    <row r="37" spans="1:4">
      <c r="A37" s="19" t="s">
        <v>419</v>
      </c>
      <c r="B37" s="25">
        <v>42461</v>
      </c>
      <c r="C37" s="22">
        <v>269.2</v>
      </c>
      <c r="D37" s="13">
        <v>0</v>
      </c>
    </row>
    <row r="38" spans="1:4">
      <c r="A38" s="19" t="s">
        <v>424</v>
      </c>
      <c r="B38" s="25">
        <v>42552</v>
      </c>
      <c r="C38" s="22">
        <v>267.10000000000002</v>
      </c>
      <c r="D38" s="13">
        <v>0</v>
      </c>
    </row>
    <row r="39" spans="1:4">
      <c r="A39" s="19" t="s">
        <v>429</v>
      </c>
      <c r="B39" s="25">
        <v>42644</v>
      </c>
      <c r="C39" s="22">
        <v>271.5</v>
      </c>
      <c r="D39" s="13">
        <v>0</v>
      </c>
    </row>
    <row r="40" spans="1:4">
      <c r="A40" s="19" t="s">
        <v>448</v>
      </c>
      <c r="B40" s="25">
        <v>42736</v>
      </c>
      <c r="C40" s="22">
        <v>269.7</v>
      </c>
      <c r="D40" s="13">
        <v>0</v>
      </c>
    </row>
    <row r="41" spans="1:4">
      <c r="A41" s="19" t="s">
        <v>449</v>
      </c>
      <c r="B41" s="25">
        <v>42826</v>
      </c>
      <c r="C41" s="22">
        <v>269.10000000000002</v>
      </c>
      <c r="D41" s="13">
        <v>0</v>
      </c>
    </row>
    <row r="42" spans="1:4">
      <c r="A42" s="19" t="s">
        <v>495</v>
      </c>
      <c r="B42" s="25">
        <v>42917</v>
      </c>
      <c r="C42" s="22">
        <v>265</v>
      </c>
      <c r="D42" s="13">
        <v>0</v>
      </c>
    </row>
    <row r="43" spans="1:4">
      <c r="A43" s="19" t="s">
        <v>496</v>
      </c>
      <c r="B43" s="25">
        <v>43009</v>
      </c>
      <c r="C43" s="22">
        <v>266.7</v>
      </c>
      <c r="D43" s="13">
        <v>0</v>
      </c>
    </row>
    <row r="44" spans="1:4">
      <c r="A44" s="19" t="s">
        <v>497</v>
      </c>
      <c r="B44" s="25">
        <v>43101</v>
      </c>
      <c r="C44" s="22">
        <v>268.8</v>
      </c>
      <c r="D44" s="13">
        <v>0</v>
      </c>
    </row>
    <row r="45" spans="1:4">
      <c r="A45" s="19" t="s">
        <v>498</v>
      </c>
      <c r="B45" s="25">
        <v>43191</v>
      </c>
      <c r="C45" s="22">
        <v>272.10000000000002</v>
      </c>
      <c r="D45" s="13">
        <v>0</v>
      </c>
    </row>
    <row r="46" spans="1:4">
      <c r="A46" s="19" t="s">
        <v>499</v>
      </c>
      <c r="B46" s="39">
        <v>43282</v>
      </c>
      <c r="C46" s="31">
        <v>272</v>
      </c>
      <c r="D46" s="13">
        <v>0</v>
      </c>
    </row>
    <row r="47" spans="1:4">
      <c r="A47" s="19" t="s">
        <v>500</v>
      </c>
      <c r="B47" s="39">
        <v>43374</v>
      </c>
      <c r="C47" s="31">
        <v>262.7</v>
      </c>
      <c r="D47" s="13">
        <v>0</v>
      </c>
    </row>
    <row r="48" spans="1:4">
      <c r="A48" s="19" t="s">
        <v>501</v>
      </c>
      <c r="B48" s="39">
        <v>43466</v>
      </c>
      <c r="C48" s="31">
        <v>272.60000000000002</v>
      </c>
      <c r="D48" s="13">
        <v>0</v>
      </c>
    </row>
    <row r="49" spans="1:4">
      <c r="A49" s="19" t="s">
        <v>502</v>
      </c>
      <c r="B49" s="39">
        <v>43556</v>
      </c>
      <c r="C49" s="31">
        <v>282</v>
      </c>
      <c r="D49" s="13">
        <v>0</v>
      </c>
    </row>
    <row r="50" spans="1:4">
      <c r="A50" s="19" t="s">
        <v>505</v>
      </c>
      <c r="B50" s="39">
        <v>43647</v>
      </c>
      <c r="C50" s="31">
        <v>278</v>
      </c>
      <c r="D50" s="13">
        <v>0</v>
      </c>
    </row>
    <row r="51" spans="1:4">
      <c r="A51" s="19" t="s">
        <v>525</v>
      </c>
      <c r="B51" s="39">
        <v>43739</v>
      </c>
      <c r="C51" s="31">
        <v>282.3</v>
      </c>
      <c r="D51" s="13">
        <v>0</v>
      </c>
    </row>
    <row r="52" spans="1:4">
      <c r="B52" s="39"/>
      <c r="C52" s="31"/>
      <c r="D52" s="103"/>
    </row>
    <row r="53" spans="1:4">
      <c r="B53" s="39"/>
      <c r="C53" s="31"/>
      <c r="D53" s="103"/>
    </row>
    <row r="54" spans="1:4">
      <c r="B54" s="39"/>
      <c r="C54" s="31"/>
      <c r="D54" s="103"/>
    </row>
    <row r="55" spans="1:4">
      <c r="B55" s="39"/>
      <c r="C55" s="31"/>
      <c r="D55" s="103"/>
    </row>
    <row r="56" spans="1:4">
      <c r="B56" s="39"/>
      <c r="C56" s="31"/>
      <c r="D56" s="103"/>
    </row>
    <row r="57" spans="1:4">
      <c r="B57" s="39"/>
      <c r="C57" s="31"/>
      <c r="D57" s="103"/>
    </row>
    <row r="58" spans="1:4">
      <c r="B58" s="39"/>
      <c r="C58" s="31"/>
      <c r="D58" s="103"/>
    </row>
    <row r="59" spans="1:4">
      <c r="B59" s="39"/>
      <c r="C59" s="31"/>
      <c r="D59" s="103"/>
    </row>
    <row r="60" spans="1:4">
      <c r="B60" s="39"/>
      <c r="C60" s="31"/>
      <c r="D60" s="103"/>
    </row>
    <row r="61" spans="1:4">
      <c r="B61" s="39"/>
      <c r="C61" s="31"/>
      <c r="D61" s="103"/>
    </row>
    <row r="62" spans="1:4">
      <c r="B62" s="39"/>
      <c r="C62" s="31"/>
      <c r="D62" s="103"/>
    </row>
    <row r="63" spans="1:4">
      <c r="B63" s="39"/>
      <c r="C63" s="31"/>
      <c r="D63" s="103"/>
    </row>
    <row r="64" spans="1:4">
      <c r="B64" s="39"/>
      <c r="C64" s="31"/>
      <c r="D64" s="103"/>
    </row>
    <row r="65" spans="2:4">
      <c r="B65" s="39"/>
      <c r="C65" s="31"/>
      <c r="D65" s="103"/>
    </row>
    <row r="66" spans="2:4">
      <c r="B66" s="39"/>
      <c r="C66" s="31"/>
      <c r="D66" s="103"/>
    </row>
    <row r="67" spans="2:4">
      <c r="B67" s="39"/>
      <c r="C67" s="31"/>
      <c r="D67" s="103"/>
    </row>
    <row r="68" spans="2:4">
      <c r="B68" s="52"/>
      <c r="C68" s="34"/>
    </row>
    <row r="69" spans="2:4">
      <c r="B69" s="52"/>
      <c r="C69" s="34"/>
    </row>
  </sheetData>
  <sortState ref="M8:M29">
    <sortCondition ref="M8"/>
  </sortState>
  <hyperlinks>
    <hyperlink ref="D3" r:id="rId1" xr:uid="{00000000-0004-0000-05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P126"/>
  <sheetViews>
    <sheetView topLeftCell="A31" zoomScale="70" zoomScaleNormal="70" workbookViewId="0">
      <selection activeCell="O13" sqref="O13:O8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372</v>
      </c>
      <c r="D3" t="s">
        <v>373</v>
      </c>
      <c r="E3" t="s">
        <v>374</v>
      </c>
      <c r="F3" t="s">
        <v>375</v>
      </c>
      <c r="J3" s="19"/>
    </row>
    <row r="4" spans="1:16">
      <c r="A4" s="10" t="s">
        <v>10</v>
      </c>
      <c r="C4" t="s">
        <v>371</v>
      </c>
      <c r="D4" t="s">
        <v>371</v>
      </c>
      <c r="E4" t="s">
        <v>371</v>
      </c>
      <c r="F4" t="s">
        <v>371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514</v>
      </c>
      <c r="D5" t="s">
        <v>514</v>
      </c>
      <c r="E5" t="s">
        <v>514</v>
      </c>
      <c r="F5" t="s">
        <v>514</v>
      </c>
      <c r="H5" s="54" t="s">
        <v>120</v>
      </c>
      <c r="J5" s="18"/>
    </row>
    <row r="6" spans="1:16">
      <c r="A6" s="10" t="s">
        <v>8</v>
      </c>
      <c r="B6" s="12"/>
      <c r="C6" s="13" t="s">
        <v>370</v>
      </c>
      <c r="D6" s="13" t="s">
        <v>370</v>
      </c>
      <c r="E6" s="13" t="s">
        <v>370</v>
      </c>
      <c r="F6" t="s">
        <v>370</v>
      </c>
    </row>
    <row r="7" spans="1:16">
      <c r="A7" s="10" t="s">
        <v>9</v>
      </c>
      <c r="B7" s="12"/>
      <c r="C7" s="13" t="s">
        <v>506</v>
      </c>
      <c r="D7" s="13" t="s">
        <v>506</v>
      </c>
      <c r="E7" s="13" t="s">
        <v>506</v>
      </c>
      <c r="F7" t="s">
        <v>506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358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363</v>
      </c>
      <c r="B61" s="12">
        <v>42277</v>
      </c>
      <c r="C61" s="13">
        <v>102404</v>
      </c>
      <c r="D61" s="13">
        <v>84384</v>
      </c>
      <c r="E61" s="13">
        <v>11485</v>
      </c>
      <c r="F61" s="13">
        <v>89939</v>
      </c>
      <c r="G61" s="40">
        <f t="shared" si="4"/>
        <v>288.21199999999999</v>
      </c>
      <c r="H61" s="19">
        <f t="shared" si="5"/>
        <v>5.7825638541127544E-2</v>
      </c>
      <c r="I61" s="28">
        <f t="shared" si="6"/>
        <v>5.907693596227731E-2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367</v>
      </c>
      <c r="B62" s="12">
        <v>42369</v>
      </c>
      <c r="C62" s="13">
        <v>200548</v>
      </c>
      <c r="D62" s="13">
        <v>89277</v>
      </c>
      <c r="E62" s="13">
        <v>10859</v>
      </c>
      <c r="F62" s="13">
        <v>91556</v>
      </c>
      <c r="G62" s="40">
        <f t="shared" si="4"/>
        <v>392.24</v>
      </c>
      <c r="H62" s="19">
        <f t="shared" si="5"/>
        <v>4.6584538703936529E-2</v>
      </c>
      <c r="I62" s="28">
        <f t="shared" si="6"/>
        <v>5.5919309499406211E-2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408</v>
      </c>
      <c r="B63" s="12">
        <v>42460</v>
      </c>
      <c r="C63" s="13">
        <v>126043</v>
      </c>
      <c r="D63" s="13">
        <v>88765</v>
      </c>
      <c r="E63" s="13">
        <v>13146</v>
      </c>
      <c r="F63" s="13">
        <v>89667</v>
      </c>
      <c r="G63" s="40">
        <f t="shared" si="4"/>
        <v>317.62099999999998</v>
      </c>
      <c r="H63" s="19">
        <f t="shared" si="5"/>
        <v>3.1682512253667916E-2</v>
      </c>
      <c r="I63" s="28">
        <f t="shared" si="6"/>
        <v>5.276578082352168E-2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420</v>
      </c>
      <c r="B64" s="12">
        <v>42551</v>
      </c>
      <c r="C64" s="13">
        <v>100800</v>
      </c>
      <c r="D64" s="13">
        <v>119420</v>
      </c>
      <c r="E64" s="13">
        <v>18575</v>
      </c>
      <c r="F64" s="13">
        <v>102149</v>
      </c>
      <c r="G64" s="40">
        <f t="shared" si="4"/>
        <v>340.94400000000002</v>
      </c>
      <c r="H64" s="19">
        <f t="shared" si="5"/>
        <v>2.5523900051926951E-4</v>
      </c>
      <c r="I64" s="28">
        <f t="shared" si="6"/>
        <v>3.4086982124812815E-2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425</v>
      </c>
      <c r="B65" s="12">
        <v>42643</v>
      </c>
      <c r="C65" s="13">
        <v>105192</v>
      </c>
      <c r="D65" s="13">
        <v>86497</v>
      </c>
      <c r="E65" s="13">
        <v>10623</v>
      </c>
      <c r="F65" s="13">
        <v>92859</v>
      </c>
      <c r="G65" s="40">
        <f t="shared" si="4"/>
        <v>295.17099999999999</v>
      </c>
      <c r="H65" s="19">
        <f t="shared" si="5"/>
        <v>2.4145420731961131E-2</v>
      </c>
      <c r="I65" s="28">
        <f t="shared" si="6"/>
        <v>2.5666927672521211E-2</v>
      </c>
      <c r="J65" s="13">
        <f t="shared" si="1"/>
        <v>0</v>
      </c>
      <c r="N65" t="s">
        <v>358</v>
      </c>
      <c r="O65" s="12">
        <v>42185</v>
      </c>
      <c r="P65" s="13">
        <v>0</v>
      </c>
    </row>
    <row r="66" spans="1:16">
      <c r="A66" s="10" t="s">
        <v>430</v>
      </c>
      <c r="B66" s="12">
        <v>42735</v>
      </c>
      <c r="C66" s="13">
        <v>207330</v>
      </c>
      <c r="D66" s="13">
        <v>89587</v>
      </c>
      <c r="E66" s="13">
        <v>10663</v>
      </c>
      <c r="F66" s="13">
        <v>93044</v>
      </c>
      <c r="G66" s="40">
        <f t="shared" si="4"/>
        <v>400.62400000000002</v>
      </c>
      <c r="H66" s="19">
        <f t="shared" si="5"/>
        <v>2.1374668570263156E-2</v>
      </c>
      <c r="I66" s="28">
        <f t="shared" si="6"/>
        <v>1.9364460139102868E-2</v>
      </c>
      <c r="J66" s="13">
        <f t="shared" si="1"/>
        <v>0</v>
      </c>
      <c r="N66" t="s">
        <v>363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133108</v>
      </c>
      <c r="D67" s="13">
        <v>95110</v>
      </c>
      <c r="E67" s="13">
        <v>9789</v>
      </c>
      <c r="F67" s="13">
        <v>91891</v>
      </c>
      <c r="G67" s="40">
        <f t="shared" si="4"/>
        <v>329.89800000000002</v>
      </c>
      <c r="H67" s="19">
        <f t="shared" si="5"/>
        <v>3.8652985791241878E-2</v>
      </c>
      <c r="I67" s="28">
        <f t="shared" si="6"/>
        <v>2.1107078523496359E-2</v>
      </c>
      <c r="J67" s="13">
        <f t="shared" si="1"/>
        <v>0</v>
      </c>
      <c r="N67" t="s">
        <v>367</v>
      </c>
      <c r="O67" s="12">
        <v>42369</v>
      </c>
      <c r="P67" s="13">
        <v>0</v>
      </c>
    </row>
    <row r="68" spans="1:16">
      <c r="A68" s="10" t="s">
        <v>450</v>
      </c>
      <c r="B68" s="12">
        <v>42916</v>
      </c>
      <c r="C68" s="13">
        <v>102515</v>
      </c>
      <c r="D68" s="13">
        <v>118424</v>
      </c>
      <c r="E68" s="13">
        <v>21101</v>
      </c>
      <c r="F68" s="13">
        <v>104629</v>
      </c>
      <c r="G68" s="40">
        <f t="shared" si="4"/>
        <v>346.66899999999998</v>
      </c>
      <c r="H68" s="19">
        <f t="shared" si="5"/>
        <v>1.679161387207273E-2</v>
      </c>
      <c r="I68" s="28">
        <f t="shared" si="6"/>
        <v>2.5241172241384724E-2</v>
      </c>
      <c r="J68" s="13">
        <f t="shared" si="1"/>
        <v>0</v>
      </c>
      <c r="N68" t="s">
        <v>408</v>
      </c>
      <c r="O68" s="12">
        <v>42460</v>
      </c>
      <c r="P68" s="13">
        <v>0</v>
      </c>
    </row>
    <row r="69" spans="1:16">
      <c r="A69" s="10" t="s">
        <v>452</v>
      </c>
      <c r="B69" s="12">
        <v>43008</v>
      </c>
      <c r="C69" s="13">
        <v>109592</v>
      </c>
      <c r="D69" s="13">
        <v>88701</v>
      </c>
      <c r="E69" s="13">
        <v>11142</v>
      </c>
      <c r="F69" s="13">
        <v>97306</v>
      </c>
      <c r="G69" s="40">
        <f t="shared" si="4"/>
        <v>306.74099999999999</v>
      </c>
      <c r="H69" s="19">
        <f t="shared" si="5"/>
        <v>3.9197617652140693E-2</v>
      </c>
      <c r="I69" s="28">
        <f t="shared" si="6"/>
        <v>2.9004221471429614E-2</v>
      </c>
      <c r="J69" s="13">
        <f t="shared" si="1"/>
        <v>0</v>
      </c>
      <c r="N69" t="s">
        <v>420</v>
      </c>
      <c r="O69" s="12">
        <v>42551</v>
      </c>
      <c r="P69" s="13">
        <v>0</v>
      </c>
    </row>
    <row r="70" spans="1:16">
      <c r="A70" s="10" t="s">
        <v>453</v>
      </c>
      <c r="B70" s="12">
        <v>43100</v>
      </c>
      <c r="C70" s="13">
        <v>225846</v>
      </c>
      <c r="D70" s="13">
        <v>101810</v>
      </c>
      <c r="E70" s="13">
        <v>11368</v>
      </c>
      <c r="F70" s="13">
        <v>98951</v>
      </c>
      <c r="G70" s="40">
        <f t="shared" si="4"/>
        <v>437.97500000000002</v>
      </c>
      <c r="H70" s="19">
        <f t="shared" si="5"/>
        <v>9.3232057989536266E-2</v>
      </c>
      <c r="I70" s="28">
        <f t="shared" si="6"/>
        <v>4.6968568826247892E-2</v>
      </c>
      <c r="J70" s="13">
        <f t="shared" si="1"/>
        <v>0</v>
      </c>
      <c r="N70" t="s">
        <v>425</v>
      </c>
      <c r="O70" s="12">
        <v>42643</v>
      </c>
      <c r="P70" s="13">
        <v>0</v>
      </c>
    </row>
    <row r="71" spans="1:16">
      <c r="A71" s="10" t="s">
        <v>454</v>
      </c>
      <c r="B71" s="12">
        <v>43190</v>
      </c>
      <c r="C71" s="13">
        <v>136743</v>
      </c>
      <c r="D71" s="13">
        <v>109029</v>
      </c>
      <c r="E71" s="13">
        <v>9779</v>
      </c>
      <c r="F71" s="13">
        <v>97407</v>
      </c>
      <c r="G71" s="40">
        <f t="shared" si="4"/>
        <v>352.95800000000003</v>
      </c>
      <c r="H71" s="19">
        <f t="shared" si="5"/>
        <v>6.9900393454946697E-2</v>
      </c>
      <c r="I71" s="28">
        <f t="shared" si="6"/>
        <v>5.4780420742174096E-2</v>
      </c>
      <c r="J71" s="13">
        <f t="shared" si="1"/>
        <v>0</v>
      </c>
      <c r="N71" t="s">
        <v>430</v>
      </c>
      <c r="O71" s="12">
        <v>42735</v>
      </c>
      <c r="P71" s="13">
        <v>0</v>
      </c>
    </row>
    <row r="72" spans="1:16">
      <c r="A72" s="10" t="s">
        <v>455</v>
      </c>
      <c r="B72" s="12">
        <v>43281</v>
      </c>
      <c r="C72" s="13">
        <v>103055</v>
      </c>
      <c r="D72" s="13">
        <v>129235</v>
      </c>
      <c r="E72" s="13">
        <v>24533</v>
      </c>
      <c r="F72" s="13">
        <v>111252</v>
      </c>
      <c r="G72" s="40">
        <f t="shared" si="4"/>
        <v>368.07499999999999</v>
      </c>
      <c r="H72" s="19">
        <f t="shared" si="5"/>
        <v>6.1747661313818147E-2</v>
      </c>
      <c r="I72" s="28">
        <f t="shared" si="6"/>
        <v>6.6019432602610451E-2</v>
      </c>
      <c r="J72" s="13">
        <f t="shared" si="1"/>
        <v>0</v>
      </c>
      <c r="N72" t="s">
        <v>441</v>
      </c>
      <c r="O72" s="12">
        <v>42825</v>
      </c>
      <c r="P72" s="13">
        <v>0</v>
      </c>
    </row>
    <row r="73" spans="1:16">
      <c r="A73" s="10" t="s">
        <v>456</v>
      </c>
      <c r="B73" s="12">
        <v>43373</v>
      </c>
      <c r="C73" s="13">
        <v>111692</v>
      </c>
      <c r="D73" s="13">
        <v>95313</v>
      </c>
      <c r="E73" s="13">
        <v>13387</v>
      </c>
      <c r="F73" s="13">
        <v>98959</v>
      </c>
      <c r="G73" s="40">
        <f t="shared" si="4"/>
        <v>319.351</v>
      </c>
      <c r="H73" s="19">
        <f t="shared" si="5"/>
        <v>4.1109600607678765E-2</v>
      </c>
      <c r="I73" s="28">
        <f t="shared" si="6"/>
        <v>6.6497428341494969E-2</v>
      </c>
      <c r="J73" s="13">
        <f t="shared" ref="J73:J84" si="7">VLOOKUP($B73, $O$13:$P$500, 2, FALSE)</f>
        <v>0</v>
      </c>
      <c r="N73" t="s">
        <v>450</v>
      </c>
      <c r="O73" s="12">
        <v>42916</v>
      </c>
      <c r="P73" s="13">
        <v>0</v>
      </c>
    </row>
    <row r="74" spans="1:16">
      <c r="A74" s="10" t="s">
        <v>457</v>
      </c>
      <c r="B74" s="12">
        <v>43465</v>
      </c>
      <c r="C74" s="13">
        <v>231917</v>
      </c>
      <c r="D74" s="13">
        <v>92885</v>
      </c>
      <c r="E74" s="13">
        <v>12400</v>
      </c>
      <c r="F74" s="13">
        <v>102892</v>
      </c>
      <c r="G74" s="40">
        <f t="shared" si="4"/>
        <v>440.09399999999999</v>
      </c>
      <c r="H74" s="19">
        <f t="shared" si="5"/>
        <v>4.83817569495959E-3</v>
      </c>
      <c r="I74" s="28">
        <f t="shared" si="6"/>
        <v>4.43989577678508E-2</v>
      </c>
      <c r="J74" s="13">
        <f t="shared" si="7"/>
        <v>0</v>
      </c>
      <c r="N74" t="s">
        <v>452</v>
      </c>
      <c r="O74" s="12">
        <v>43008</v>
      </c>
      <c r="P74" s="13">
        <v>0</v>
      </c>
    </row>
    <row r="75" spans="1:16">
      <c r="A75" s="10" t="s">
        <v>458</v>
      </c>
      <c r="B75" s="12">
        <v>43555</v>
      </c>
      <c r="C75" s="13">
        <v>147842</v>
      </c>
      <c r="D75" s="13">
        <v>105762</v>
      </c>
      <c r="E75" s="13">
        <v>12673</v>
      </c>
      <c r="F75" s="13">
        <v>103273</v>
      </c>
      <c r="G75" s="40">
        <f t="shared" si="4"/>
        <v>369.55</v>
      </c>
      <c r="H75" s="19">
        <f t="shared" si="5"/>
        <v>4.7008425931697184E-2</v>
      </c>
      <c r="I75" s="28">
        <f t="shared" si="6"/>
        <v>3.8675965887038422E-2</v>
      </c>
      <c r="J75" s="13">
        <f t="shared" si="7"/>
        <v>0</v>
      </c>
      <c r="N75" t="s">
        <v>453</v>
      </c>
      <c r="O75" s="12">
        <v>43100</v>
      </c>
      <c r="P75" s="13">
        <v>0</v>
      </c>
    </row>
    <row r="76" spans="1:16">
      <c r="A76" s="10" t="s">
        <v>451</v>
      </c>
      <c r="B76" s="12">
        <v>43646</v>
      </c>
      <c r="C76" s="13">
        <v>112167</v>
      </c>
      <c r="D76" s="13">
        <v>153588</v>
      </c>
      <c r="E76" s="13">
        <v>28796</v>
      </c>
      <c r="F76" s="13">
        <v>114761</v>
      </c>
      <c r="G76" s="40">
        <f t="shared" si="4"/>
        <v>409.31200000000001</v>
      </c>
      <c r="H76" s="19">
        <f t="shared" si="5"/>
        <v>0.11203423215377306</v>
      </c>
      <c r="I76" s="28">
        <f t="shared" si="6"/>
        <v>5.124760859702715E-2</v>
      </c>
      <c r="J76" s="13">
        <f t="shared" si="7"/>
        <v>0</v>
      </c>
      <c r="N76" t="s">
        <v>454</v>
      </c>
      <c r="O76" s="12">
        <v>43190</v>
      </c>
      <c r="P76" s="13">
        <v>0</v>
      </c>
    </row>
    <row r="77" spans="1:16">
      <c r="A77" s="10" t="s">
        <v>506</v>
      </c>
      <c r="B77" s="12">
        <v>43738</v>
      </c>
      <c r="C77" s="13">
        <v>114820</v>
      </c>
      <c r="D77" s="13">
        <v>99230</v>
      </c>
      <c r="E77" s="13">
        <v>14808</v>
      </c>
      <c r="F77" s="13">
        <v>108486</v>
      </c>
      <c r="G77" s="40">
        <f t="shared" si="4"/>
        <v>337.34399999999999</v>
      </c>
      <c r="H77" s="19">
        <f t="shared" si="5"/>
        <v>5.6342394418680275E-2</v>
      </c>
      <c r="I77" s="28">
        <f t="shared" si="6"/>
        <v>5.5055807049777528E-2</v>
      </c>
      <c r="J77" s="13">
        <f t="shared" si="7"/>
        <v>0</v>
      </c>
      <c r="N77" t="s">
        <v>455</v>
      </c>
      <c r="O77" s="12">
        <v>43281</v>
      </c>
      <c r="P77" s="13">
        <v>0</v>
      </c>
    </row>
    <row r="78" spans="1:16">
      <c r="G78" s="40">
        <f t="shared" si="4"/>
        <v>0</v>
      </c>
      <c r="H78" s="19">
        <f t="shared" si="5"/>
        <v>-1</v>
      </c>
      <c r="I78" s="28" t="str">
        <f t="shared" si="6"/>
        <v/>
      </c>
      <c r="J78" s="13" t="e">
        <f t="shared" si="7"/>
        <v>#N/A</v>
      </c>
      <c r="N78" t="s">
        <v>456</v>
      </c>
      <c r="O78" s="12">
        <v>43373</v>
      </c>
      <c r="P78" s="13">
        <v>0</v>
      </c>
    </row>
    <row r="79" spans="1:16">
      <c r="G79" s="40">
        <f t="shared" si="4"/>
        <v>0</v>
      </c>
      <c r="H79" s="19">
        <f t="shared" si="5"/>
        <v>-1</v>
      </c>
      <c r="I79" s="28" t="str">
        <f t="shared" si="6"/>
        <v/>
      </c>
      <c r="J79" s="13" t="e">
        <f t="shared" si="7"/>
        <v>#N/A</v>
      </c>
      <c r="N79" t="s">
        <v>457</v>
      </c>
      <c r="O79" s="12">
        <v>43465</v>
      </c>
      <c r="P79" s="13">
        <v>0</v>
      </c>
    </row>
    <row r="80" spans="1:16">
      <c r="G80" s="40">
        <f t="shared" si="4"/>
        <v>0</v>
      </c>
      <c r="H80" s="19">
        <f t="shared" si="5"/>
        <v>-1</v>
      </c>
      <c r="I80" s="28" t="str">
        <f t="shared" si="6"/>
        <v/>
      </c>
      <c r="J80" s="13" t="e">
        <f t="shared" si="7"/>
        <v>#N/A</v>
      </c>
      <c r="N80" t="s">
        <v>458</v>
      </c>
      <c r="O80" s="12">
        <v>43555</v>
      </c>
      <c r="P80" s="13">
        <v>0</v>
      </c>
    </row>
    <row r="81" spans="7:16">
      <c r="G81" s="40">
        <f t="shared" si="4"/>
        <v>0</v>
      </c>
      <c r="H81" s="19">
        <f t="shared" si="5"/>
        <v>-1</v>
      </c>
      <c r="I81" s="28" t="str">
        <f t="shared" si="6"/>
        <v/>
      </c>
      <c r="J81" s="13" t="e">
        <f t="shared" si="7"/>
        <v>#N/A</v>
      </c>
      <c r="N81" t="s">
        <v>451</v>
      </c>
      <c r="O81" s="12">
        <v>43646</v>
      </c>
      <c r="P81" s="13">
        <v>0</v>
      </c>
    </row>
    <row r="82" spans="7:16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  <c r="N82" t="s">
        <v>506</v>
      </c>
      <c r="O82" s="12">
        <v>43738</v>
      </c>
      <c r="P82" s="13">
        <v>0</v>
      </c>
    </row>
    <row r="83" spans="7:16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  <c r="N83" t="s">
        <v>526</v>
      </c>
      <c r="O83" s="12">
        <v>43830</v>
      </c>
      <c r="P83" s="13">
        <v>0</v>
      </c>
    </row>
    <row r="84" spans="7:16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6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6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6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6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6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6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6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6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6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6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6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6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 xr:uid="{00000000-0004-0000-06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58"/>
  <sheetViews>
    <sheetView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09"/>
    <col min="5" max="6" width="9.140625" style="19"/>
  </cols>
  <sheetData>
    <row r="1" spans="1:16" s="18" customFormat="1">
      <c r="D1" s="108">
        <f ca="1">YEAR(TODAY())</f>
        <v>2020</v>
      </c>
      <c r="G1" s="18" t="s">
        <v>84</v>
      </c>
    </row>
    <row r="2" spans="1:16">
      <c r="C2" s="109" t="s">
        <v>86</v>
      </c>
      <c r="E2" s="19" t="s">
        <v>86</v>
      </c>
      <c r="G2" s="15" t="s">
        <v>85</v>
      </c>
      <c r="H2" s="15"/>
    </row>
    <row r="3" spans="1:16">
      <c r="C3" s="109" t="s">
        <v>87</v>
      </c>
      <c r="D3" s="109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369</v>
      </c>
      <c r="B4" s="21" t="s">
        <v>313</v>
      </c>
      <c r="C4" s="110"/>
      <c r="D4" s="110"/>
      <c r="E4" s="20" t="s">
        <v>90</v>
      </c>
      <c r="F4" s="20" t="s">
        <v>91</v>
      </c>
      <c r="G4" s="16" t="s">
        <v>88</v>
      </c>
      <c r="H4" s="16" t="s">
        <v>89</v>
      </c>
      <c r="I4" s="105" t="s">
        <v>316</v>
      </c>
    </row>
    <row r="5" spans="1:16">
      <c r="A5" s="15" t="s">
        <v>7</v>
      </c>
      <c r="E5" s="19" t="s">
        <v>395</v>
      </c>
      <c r="F5" s="19" t="s">
        <v>494</v>
      </c>
      <c r="G5" t="s">
        <v>396</v>
      </c>
      <c r="H5" t="s">
        <v>397</v>
      </c>
      <c r="I5" t="s">
        <v>493</v>
      </c>
    </row>
    <row r="6" spans="1:16">
      <c r="A6" s="15" t="s">
        <v>10</v>
      </c>
      <c r="E6" s="19" t="s">
        <v>386</v>
      </c>
      <c r="F6" s="19" t="s">
        <v>386</v>
      </c>
      <c r="G6" t="s">
        <v>386</v>
      </c>
      <c r="H6" t="s">
        <v>386</v>
      </c>
      <c r="I6" t="s">
        <v>382</v>
      </c>
    </row>
    <row r="7" spans="1:16">
      <c r="A7" s="15" t="s">
        <v>11</v>
      </c>
      <c r="E7" s="19" t="s">
        <v>524</v>
      </c>
      <c r="F7" s="19" t="s">
        <v>524</v>
      </c>
      <c r="G7" t="s">
        <v>518</v>
      </c>
      <c r="H7" t="s">
        <v>518</v>
      </c>
      <c r="I7" t="s">
        <v>512</v>
      </c>
    </row>
    <row r="8" spans="1:16">
      <c r="A8" s="15" t="s">
        <v>15</v>
      </c>
      <c r="B8" s="42">
        <v>28126</v>
      </c>
      <c r="C8" s="111" t="e">
        <f ca="1">IF(YEAR($B8)&lt;$D$1-1, #N/A, E8)</f>
        <v>#N/A</v>
      </c>
      <c r="D8" s="111" t="e">
        <f ca="1">IF(YEAR($B8)&lt;$D$1-1, #N/A, F8)</f>
        <v>#N/A</v>
      </c>
      <c r="E8" s="31">
        <v>17.5</v>
      </c>
      <c r="F8" s="31">
        <v>20.2</v>
      </c>
      <c r="G8" s="43">
        <v>17.564</v>
      </c>
      <c r="H8" s="43">
        <v>20.215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1" t="e">
        <f t="shared" ref="C9:C57" ca="1" si="0">IF(YEAR($B9)&lt;$D$1-1, #N/A, E9)</f>
        <v>#N/A</v>
      </c>
      <c r="D9" s="111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17.574999999999999</v>
      </c>
      <c r="H9" s="43">
        <v>20.178000000000001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1" t="e">
        <f t="shared" ca="1" si="0"/>
        <v>#N/A</v>
      </c>
      <c r="D10" s="111" t="e">
        <f t="shared" ca="1" si="1"/>
        <v>#N/A</v>
      </c>
      <c r="E10" s="31">
        <v>18</v>
      </c>
      <c r="F10" s="31">
        <v>19.600000000000001</v>
      </c>
      <c r="G10" s="43">
        <v>18.058</v>
      </c>
      <c r="H10" s="43">
        <v>19.646000000000001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1" t="e">
        <f t="shared" ca="1" si="0"/>
        <v>#N/A</v>
      </c>
      <c r="D11" s="111" t="e">
        <f t="shared" ca="1" si="1"/>
        <v>#N/A</v>
      </c>
      <c r="E11" s="31">
        <v>18.5</v>
      </c>
      <c r="F11" s="31">
        <v>21.1</v>
      </c>
      <c r="G11" s="43">
        <v>18.521999999999998</v>
      </c>
      <c r="H11" s="43">
        <v>21.166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1" t="e">
        <f t="shared" ca="1" si="0"/>
        <v>#N/A</v>
      </c>
      <c r="D12" s="111" t="e">
        <f t="shared" ca="1" si="1"/>
        <v>#N/A</v>
      </c>
      <c r="E12" s="31">
        <v>19.100000000000001</v>
      </c>
      <c r="F12" s="31">
        <v>21.6</v>
      </c>
      <c r="G12" s="43">
        <v>19.126000000000001</v>
      </c>
      <c r="H12" s="43">
        <v>21.646999999999998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1" t="e">
        <f t="shared" ca="1" si="0"/>
        <v>#N/A</v>
      </c>
      <c r="D13" s="111" t="e">
        <f t="shared" ca="1" si="1"/>
        <v>#N/A</v>
      </c>
      <c r="E13" s="31">
        <v>18.600000000000001</v>
      </c>
      <c r="F13" s="31">
        <v>22.5</v>
      </c>
      <c r="G13" s="43">
        <v>18.645</v>
      </c>
      <c r="H13" s="43">
        <v>22.507000000000001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1" t="e">
        <f t="shared" ca="1" si="0"/>
        <v>#N/A</v>
      </c>
      <c r="D14" s="111" t="e">
        <f t="shared" ca="1" si="1"/>
        <v>#N/A</v>
      </c>
      <c r="E14" s="31">
        <v>17</v>
      </c>
      <c r="F14" s="31">
        <v>22.8</v>
      </c>
      <c r="G14" s="43">
        <v>16.984000000000002</v>
      </c>
      <c r="H14" s="43">
        <v>22.861000000000001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1" t="e">
        <f t="shared" ca="1" si="0"/>
        <v>#N/A</v>
      </c>
      <c r="D15" s="111" t="e">
        <f t="shared" ca="1" si="1"/>
        <v>#N/A</v>
      </c>
      <c r="E15" s="31">
        <v>16.899999999999999</v>
      </c>
      <c r="F15" s="31">
        <v>21.5</v>
      </c>
      <c r="G15" s="43">
        <v>16.875</v>
      </c>
      <c r="H15" s="43">
        <v>21.568999999999999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1" t="e">
        <f t="shared" ca="1" si="0"/>
        <v>#N/A</v>
      </c>
      <c r="D16" s="111" t="e">
        <f t="shared" ca="1" si="1"/>
        <v>#N/A</v>
      </c>
      <c r="E16" s="31">
        <v>17.2</v>
      </c>
      <c r="F16" s="31">
        <v>22.2</v>
      </c>
      <c r="G16" s="43">
        <v>17.21</v>
      </c>
      <c r="H16" s="43">
        <v>22.187999999999999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1" t="e">
        <f t="shared" ca="1" si="0"/>
        <v>#N/A</v>
      </c>
      <c r="D17" s="111" t="e">
        <f t="shared" ca="1" si="1"/>
        <v>#N/A</v>
      </c>
      <c r="E17" s="31">
        <v>17</v>
      </c>
      <c r="F17" s="31">
        <v>21.8</v>
      </c>
      <c r="G17" s="43">
        <v>16.992999999999999</v>
      </c>
      <c r="H17" s="43">
        <v>21.881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1" t="e">
        <f t="shared" ca="1" si="0"/>
        <v>#N/A</v>
      </c>
      <c r="D18" s="111" t="e">
        <f t="shared" ca="1" si="1"/>
        <v>#N/A</v>
      </c>
      <c r="E18" s="31">
        <v>17.899999999999999</v>
      </c>
      <c r="F18" s="31">
        <v>21</v>
      </c>
      <c r="G18" s="43">
        <v>17.917999999999999</v>
      </c>
      <c r="H18" s="43">
        <v>21.059000000000001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1" t="e">
        <f t="shared" ca="1" si="0"/>
        <v>#N/A</v>
      </c>
      <c r="D19" s="111" t="e">
        <f t="shared" ca="1" si="1"/>
        <v>#N/A</v>
      </c>
      <c r="E19" s="31">
        <v>17.600000000000001</v>
      </c>
      <c r="F19" s="31">
        <v>20.6</v>
      </c>
      <c r="G19" s="43">
        <v>17.693999999999999</v>
      </c>
      <c r="H19" s="43">
        <v>20.713999999999999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1" t="e">
        <f t="shared" ca="1" si="0"/>
        <v>#N/A</v>
      </c>
      <c r="D20" s="111" t="e">
        <f t="shared" ca="1" si="1"/>
        <v>#N/A</v>
      </c>
      <c r="E20" s="31">
        <v>17.8</v>
      </c>
      <c r="F20" s="31">
        <v>20.5</v>
      </c>
      <c r="G20" s="43">
        <v>17.843</v>
      </c>
      <c r="H20" s="43">
        <v>20.591000000000001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1" t="e">
        <f t="shared" ca="1" si="0"/>
        <v>#N/A</v>
      </c>
      <c r="D21" s="111" t="e">
        <f t="shared" ca="1" si="1"/>
        <v>#N/A</v>
      </c>
      <c r="E21" s="31">
        <v>17.399999999999999</v>
      </c>
      <c r="F21" s="31">
        <v>21.2</v>
      </c>
      <c r="G21" s="43">
        <v>17.495000000000001</v>
      </c>
      <c r="H21" s="43">
        <v>21.242000000000001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1" t="e">
        <f t="shared" ca="1" si="0"/>
        <v>#N/A</v>
      </c>
      <c r="D22" s="111" t="e">
        <f t="shared" ca="1" si="1"/>
        <v>#N/A</v>
      </c>
      <c r="E22" s="31">
        <v>17.3</v>
      </c>
      <c r="F22" s="31">
        <v>21.7</v>
      </c>
      <c r="G22" s="43">
        <v>17.314</v>
      </c>
      <c r="H22" s="43">
        <v>21.733000000000001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1" t="e">
        <f t="shared" ca="1" si="0"/>
        <v>#N/A</v>
      </c>
      <c r="D23" s="111" t="e">
        <f t="shared" ca="1" si="1"/>
        <v>#N/A</v>
      </c>
      <c r="E23" s="31">
        <v>17</v>
      </c>
      <c r="F23" s="31">
        <v>21.5</v>
      </c>
      <c r="G23" s="43">
        <v>17.007000000000001</v>
      </c>
      <c r="H23" s="43">
        <v>21.532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1" t="e">
        <f t="shared" ca="1" si="0"/>
        <v>#N/A</v>
      </c>
      <c r="D24" s="111" t="e">
        <f t="shared" ca="1" si="1"/>
        <v>#N/A</v>
      </c>
      <c r="E24" s="31">
        <v>17</v>
      </c>
      <c r="F24" s="31">
        <v>20.7</v>
      </c>
      <c r="G24" s="43">
        <v>17.036999999999999</v>
      </c>
      <c r="H24" s="43">
        <v>20.802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1" t="e">
        <f t="shared" ca="1" si="0"/>
        <v>#N/A</v>
      </c>
      <c r="D25" s="111" t="e">
        <f t="shared" ca="1" si="1"/>
        <v>#N/A</v>
      </c>
      <c r="E25" s="31">
        <v>17.5</v>
      </c>
      <c r="F25" s="31">
        <v>20.3</v>
      </c>
      <c r="G25" s="43">
        <v>17.536000000000001</v>
      </c>
      <c r="H25" s="43">
        <v>20.367999999999999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1" t="e">
        <f t="shared" ca="1" si="0"/>
        <v>#N/A</v>
      </c>
      <c r="D26" s="111" t="e">
        <f t="shared" ca="1" si="1"/>
        <v>#N/A</v>
      </c>
      <c r="E26" s="31">
        <v>17.8</v>
      </c>
      <c r="F26" s="31">
        <v>20</v>
      </c>
      <c r="G26" s="43">
        <v>17.88</v>
      </c>
      <c r="H26" s="43">
        <v>20.047999999999998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1" t="e">
        <f t="shared" ca="1" si="0"/>
        <v>#N/A</v>
      </c>
      <c r="D27" s="111" t="e">
        <f t="shared" ca="1" si="1"/>
        <v>#N/A</v>
      </c>
      <c r="E27" s="31">
        <v>18.2</v>
      </c>
      <c r="F27" s="31">
        <v>19.600000000000001</v>
      </c>
      <c r="G27" s="43">
        <v>18.274000000000001</v>
      </c>
      <c r="H27" s="43">
        <v>19.625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1" t="e">
        <f t="shared" ca="1" si="0"/>
        <v>#N/A</v>
      </c>
      <c r="D28" s="111" t="e">
        <f t="shared" ca="1" si="1"/>
        <v>#N/A</v>
      </c>
      <c r="E28" s="31">
        <v>18.600000000000001</v>
      </c>
      <c r="F28" s="31">
        <v>18.899999999999999</v>
      </c>
      <c r="G28" s="43">
        <v>18.687000000000001</v>
      </c>
      <c r="H28" s="43">
        <v>18.946000000000002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1" t="e">
        <f t="shared" ca="1" si="0"/>
        <v>#N/A</v>
      </c>
      <c r="D29" s="111" t="e">
        <f t="shared" ca="1" si="1"/>
        <v>#N/A</v>
      </c>
      <c r="E29" s="31">
        <v>19.2</v>
      </c>
      <c r="F29" s="31">
        <v>18.5</v>
      </c>
      <c r="G29" s="43">
        <v>19.279</v>
      </c>
      <c r="H29" s="43">
        <v>18.503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1" t="e">
        <f t="shared" ca="1" si="0"/>
        <v>#N/A</v>
      </c>
      <c r="D30" s="111" t="e">
        <f t="shared" ca="1" si="1"/>
        <v>#N/A</v>
      </c>
      <c r="E30" s="31">
        <v>19.2</v>
      </c>
      <c r="F30" s="31">
        <v>17.899999999999999</v>
      </c>
      <c r="G30" s="43">
        <v>19.277999999999999</v>
      </c>
      <c r="H30" s="43">
        <v>17.952999999999999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1" t="e">
        <f t="shared" ca="1" si="0"/>
        <v>#N/A</v>
      </c>
      <c r="D31" s="111" t="e">
        <f t="shared" ca="1" si="1"/>
        <v>#N/A</v>
      </c>
      <c r="E31" s="31">
        <v>20</v>
      </c>
      <c r="F31" s="31">
        <v>17.600000000000001</v>
      </c>
      <c r="G31" s="43">
        <v>20.016999999999999</v>
      </c>
      <c r="H31" s="43">
        <v>17.681999999999999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1" t="e">
        <f t="shared" ca="1" si="0"/>
        <v>#N/A</v>
      </c>
      <c r="D32" s="111" t="e">
        <f t="shared" ca="1" si="1"/>
        <v>#N/A</v>
      </c>
      <c r="E32" s="31">
        <v>18.8</v>
      </c>
      <c r="F32" s="31">
        <v>17.600000000000001</v>
      </c>
      <c r="G32" s="43">
        <v>18.914999999999999</v>
      </c>
      <c r="H32" s="43">
        <v>17.696999999999999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1" t="e">
        <f t="shared" ca="1" si="0"/>
        <v>#N/A</v>
      </c>
      <c r="D33" s="111" t="e">
        <f t="shared" ca="1" si="1"/>
        <v>#N/A</v>
      </c>
      <c r="E33" s="31">
        <v>17</v>
      </c>
      <c r="F33" s="31">
        <v>18.5</v>
      </c>
      <c r="G33" s="43">
        <v>17.105</v>
      </c>
      <c r="H33" s="43">
        <v>18.562000000000001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1" t="e">
        <f t="shared" ca="1" si="0"/>
        <v>#N/A</v>
      </c>
      <c r="D34" s="111" t="e">
        <f t="shared" ca="1" si="1"/>
        <v>#N/A</v>
      </c>
      <c r="E34" s="31">
        <v>15.7</v>
      </c>
      <c r="F34" s="31">
        <v>19.100000000000001</v>
      </c>
      <c r="G34" s="43">
        <v>15.795</v>
      </c>
      <c r="H34" s="43">
        <v>19.141999999999999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1" t="e">
        <f t="shared" ca="1" si="0"/>
        <v>#N/A</v>
      </c>
      <c r="D35" s="111" t="e">
        <f t="shared" ca="1" si="1"/>
        <v>#N/A</v>
      </c>
      <c r="E35" s="31">
        <v>15.6</v>
      </c>
      <c r="F35" s="31">
        <v>19</v>
      </c>
      <c r="G35" s="43">
        <v>15.634</v>
      </c>
      <c r="H35" s="43">
        <v>19.067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1" t="e">
        <f t="shared" ca="1" si="0"/>
        <v>#N/A</v>
      </c>
      <c r="D36" s="111" t="e">
        <f t="shared" ca="1" si="1"/>
        <v>#N/A</v>
      </c>
      <c r="E36" s="31">
        <v>16.7</v>
      </c>
      <c r="F36" s="31">
        <v>19.2</v>
      </c>
      <c r="G36" s="43">
        <v>16.78</v>
      </c>
      <c r="H36" s="43">
        <v>19.260999999999999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1" t="e">
        <f t="shared" ca="1" si="0"/>
        <v>#N/A</v>
      </c>
      <c r="D37" s="111" t="e">
        <f t="shared" ca="1" si="1"/>
        <v>#N/A</v>
      </c>
      <c r="E37" s="31">
        <v>17.600000000000001</v>
      </c>
      <c r="F37" s="31">
        <v>19.399999999999999</v>
      </c>
      <c r="G37" s="43">
        <v>17.648</v>
      </c>
      <c r="H37" s="43">
        <v>19.466999999999999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1" t="e">
        <f t="shared" ca="1" si="0"/>
        <v>#N/A</v>
      </c>
      <c r="D38" s="111" t="e">
        <f t="shared" ca="1" si="1"/>
        <v>#N/A</v>
      </c>
      <c r="E38" s="31">
        <v>17.899999999999999</v>
      </c>
      <c r="F38" s="31">
        <v>19.100000000000001</v>
      </c>
      <c r="G38" s="43">
        <v>17.969000000000001</v>
      </c>
      <c r="H38" s="43">
        <v>19.094000000000001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1" t="e">
        <f t="shared" ca="1" si="0"/>
        <v>#N/A</v>
      </c>
      <c r="D39" s="111" t="e">
        <f t="shared" ca="1" si="1"/>
        <v>#N/A</v>
      </c>
      <c r="E39" s="31">
        <v>17.100000000000001</v>
      </c>
      <c r="F39" s="31">
        <v>20.2</v>
      </c>
      <c r="G39" s="43">
        <v>17.12</v>
      </c>
      <c r="H39" s="43">
        <v>20.23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1" t="e">
        <f t="shared" ca="1" si="0"/>
        <v>#N/A</v>
      </c>
      <c r="D40" s="111" t="e">
        <f t="shared" ca="1" si="1"/>
        <v>#N/A</v>
      </c>
      <c r="E40" s="31">
        <v>14.6</v>
      </c>
      <c r="F40" s="31">
        <v>24.4</v>
      </c>
      <c r="G40" s="43">
        <v>14.586</v>
      </c>
      <c r="H40" s="43">
        <v>24.373999999999999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1" t="e">
        <f t="shared" ca="1" si="0"/>
        <v>#N/A</v>
      </c>
      <c r="D41" s="111" t="e">
        <f t="shared" ca="1" si="1"/>
        <v>#N/A</v>
      </c>
      <c r="E41" s="31">
        <v>14.6</v>
      </c>
      <c r="F41" s="31">
        <v>23.4</v>
      </c>
      <c r="G41" s="43">
        <v>14.574999999999999</v>
      </c>
      <c r="H41" s="43">
        <v>23.297000000000001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1" t="e">
        <f t="shared" ca="1" si="0"/>
        <v>#N/A</v>
      </c>
      <c r="D42" s="111" t="e">
        <f t="shared" ca="1" si="1"/>
        <v>#N/A</v>
      </c>
      <c r="E42" s="31">
        <v>15</v>
      </c>
      <c r="F42" s="31">
        <v>23.4</v>
      </c>
      <c r="G42" s="43">
        <v>14.954000000000001</v>
      </c>
      <c r="H42" s="43">
        <v>23.390999999999998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1" t="e">
        <f t="shared" ca="1" si="0"/>
        <v>#N/A</v>
      </c>
      <c r="D43" s="111" t="e">
        <f t="shared" ca="1" si="1"/>
        <v>#N/A</v>
      </c>
      <c r="E43" s="31">
        <v>15.3</v>
      </c>
      <c r="F43" s="31">
        <v>22.1</v>
      </c>
      <c r="G43" s="43">
        <v>15.259</v>
      </c>
      <c r="H43" s="43">
        <v>21.963999999999999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1" t="e">
        <f t="shared" ca="1" si="0"/>
        <v>#N/A</v>
      </c>
      <c r="D44" s="111" t="e">
        <f t="shared" ca="1" si="1"/>
        <v>#N/A</v>
      </c>
      <c r="E44" s="31">
        <v>16.8</v>
      </c>
      <c r="F44" s="31">
        <v>20.9</v>
      </c>
      <c r="G44" s="43">
        <v>16.713999999999999</v>
      </c>
      <c r="H44" s="43">
        <v>20.808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1" t="e">
        <f t="shared" ca="1" si="0"/>
        <v>#N/A</v>
      </c>
      <c r="D45" s="111" t="e">
        <f t="shared" ca="1" si="1"/>
        <v>#N/A</v>
      </c>
      <c r="E45" s="31">
        <v>17.5</v>
      </c>
      <c r="F45" s="31">
        <v>20.399999999999999</v>
      </c>
      <c r="G45" s="43">
        <v>17.428999999999998</v>
      </c>
      <c r="H45" s="43">
        <v>20.225999999999999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1" t="e">
        <f t="shared" ca="1" si="0"/>
        <v>#N/A</v>
      </c>
      <c r="D46" s="111" t="e">
        <f t="shared" ca="1" si="1"/>
        <v>#N/A</v>
      </c>
      <c r="E46" s="31">
        <v>18.2</v>
      </c>
      <c r="F46" s="31">
        <v>20.6</v>
      </c>
      <c r="G46" s="43">
        <v>17.956</v>
      </c>
      <c r="H46" s="43">
        <v>20.396999999999998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1" t="e">
        <f t="shared" ca="1" si="0"/>
        <v>#N/A</v>
      </c>
      <c r="D47" s="111" t="e">
        <f t="shared" ca="1" si="1"/>
        <v>#N/A</v>
      </c>
      <c r="E47" s="31">
        <v>17.8</v>
      </c>
      <c r="F47" s="31">
        <v>20.9</v>
      </c>
      <c r="G47" s="43">
        <v>17.613</v>
      </c>
      <c r="H47" s="43">
        <v>20.763000000000002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1" t="e">
        <f t="shared" ca="1" si="0"/>
        <v>#N/A</v>
      </c>
      <c r="D48" s="111" t="e">
        <f t="shared" ca="1" si="1"/>
        <v>#N/A</v>
      </c>
      <c r="E48" s="31">
        <v>17.3</v>
      </c>
      <c r="F48" s="31">
        <v>20.8</v>
      </c>
      <c r="G48" s="43">
        <v>17.193000000000001</v>
      </c>
      <c r="H48" s="43">
        <v>20.643000000000001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1" t="e">
        <f t="shared" ca="1" si="0"/>
        <v>#N/A</v>
      </c>
      <c r="D49" s="111" t="e">
        <f t="shared" ca="1" si="1"/>
        <v>#N/A</v>
      </c>
      <c r="E49" s="31">
        <v>16.5</v>
      </c>
      <c r="F49" s="31">
        <v>20.3</v>
      </c>
      <c r="G49" s="43">
        <v>16.375</v>
      </c>
      <c r="H49" s="43">
        <v>20.206</v>
      </c>
      <c r="I49" s="13">
        <v>0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1">
        <f t="shared" ca="1" si="0"/>
        <v>16.3</v>
      </c>
      <c r="D50" s="111">
        <f t="shared" ca="1" si="1"/>
        <v>21</v>
      </c>
      <c r="E50" s="31">
        <v>16.3</v>
      </c>
      <c r="F50" s="31">
        <v>21</v>
      </c>
      <c r="G50" s="43">
        <v>16.315999999999999</v>
      </c>
      <c r="H50" s="43">
        <v>20.954999999999998</v>
      </c>
      <c r="I50" s="13">
        <v>0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1">
        <f t="shared" ca="1" si="0"/>
        <v>16.399999999999999</v>
      </c>
      <c r="D51" s="111">
        <f t="shared" ca="1" si="1"/>
        <v>21</v>
      </c>
      <c r="E51" s="31">
        <v>16.399999999999999</v>
      </c>
      <c r="F51" s="31">
        <v>21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1">
        <f t="shared" ca="1" si="0"/>
        <v>16.600000000000001</v>
      </c>
      <c r="D52" s="111">
        <f t="shared" ca="1" si="1"/>
        <v>20.9</v>
      </c>
      <c r="E52" s="31">
        <v>16.600000000000001</v>
      </c>
      <c r="F52" s="31">
        <v>20.9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1">
        <f t="shared" ca="1" si="0"/>
        <v>16.7</v>
      </c>
      <c r="D53" s="111">
        <f t="shared" ca="1" si="1"/>
        <v>21.4</v>
      </c>
      <c r="E53" s="31">
        <v>16.7</v>
      </c>
      <c r="F53" s="31">
        <v>21.4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1">
        <f t="shared" ca="1" si="0"/>
        <v>17</v>
      </c>
      <c r="D54" s="111">
        <f t="shared" ca="1" si="1"/>
        <v>21.5</v>
      </c>
      <c r="E54" s="31">
        <v>17</v>
      </c>
      <c r="F54" s="31">
        <v>21.5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1">
        <f t="shared" ca="1" si="0"/>
        <v>17</v>
      </c>
      <c r="D55" s="111">
        <f t="shared" ca="1" si="1"/>
        <v>21.5</v>
      </c>
      <c r="E55" s="31">
        <v>17</v>
      </c>
      <c r="F55" s="31">
        <v>21.5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1">
        <f t="shared" ca="1" si="0"/>
        <v>17.100000000000001</v>
      </c>
      <c r="D56" s="111">
        <f t="shared" ca="1" si="1"/>
        <v>22.1</v>
      </c>
      <c r="E56" s="31">
        <v>17.100000000000001</v>
      </c>
      <c r="F56" s="31">
        <v>22.1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1">
        <f t="shared" ca="1" si="0"/>
        <v>17.600000000000001</v>
      </c>
      <c r="D57" s="111">
        <f t="shared" ca="1" si="1"/>
        <v>22.4</v>
      </c>
      <c r="E57" s="31">
        <v>17.600000000000001</v>
      </c>
      <c r="F57" s="31">
        <v>22.4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 xr:uid="{00000000-0004-0000-0700-000000000000}"/>
    <hyperlink ref="H4" r:id="rId2" xr:uid="{00000000-0004-0000-0700-000001000000}"/>
    <hyperlink ref="E4" r:id="rId3" xr:uid="{00000000-0004-0000-0700-000002000000}"/>
    <hyperlink ref="F4" r:id="rId4" xr:uid="{00000000-0004-0000-0700-00000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8">
        <f ca="1">YEAR(TODAY())</f>
        <v>2020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369</v>
      </c>
      <c r="B3" s="21" t="s">
        <v>313</v>
      </c>
      <c r="C3" s="44" t="s">
        <v>305</v>
      </c>
      <c r="D3" s="20" t="s">
        <v>307</v>
      </c>
      <c r="E3" s="20"/>
      <c r="F3" s="16"/>
      <c r="G3" s="105" t="s">
        <v>316</v>
      </c>
      <c r="I3" s="16"/>
      <c r="J3" s="16"/>
    </row>
    <row r="4" spans="1:10">
      <c r="A4" s="15" t="s">
        <v>7</v>
      </c>
      <c r="C4" s="18" t="s">
        <v>398</v>
      </c>
      <c r="D4" s="18" t="s">
        <v>399</v>
      </c>
      <c r="G4" t="s">
        <v>493</v>
      </c>
    </row>
    <row r="5" spans="1:10">
      <c r="A5" s="15" t="s">
        <v>10</v>
      </c>
      <c r="C5" s="18" t="s">
        <v>386</v>
      </c>
      <c r="D5" s="18" t="s">
        <v>386</v>
      </c>
      <c r="G5" t="s">
        <v>382</v>
      </c>
    </row>
    <row r="6" spans="1:10">
      <c r="A6" s="15" t="s">
        <v>11</v>
      </c>
      <c r="C6" s="18" t="s">
        <v>518</v>
      </c>
      <c r="D6" s="18" t="s">
        <v>524</v>
      </c>
      <c r="E6" s="19" t="s">
        <v>109</v>
      </c>
      <c r="F6" t="s">
        <v>110</v>
      </c>
      <c r="G6" t="s">
        <v>512</v>
      </c>
    </row>
    <row r="7" spans="1:10">
      <c r="A7" s="15" t="s">
        <v>15</v>
      </c>
      <c r="B7" s="42">
        <v>28126</v>
      </c>
      <c r="C7" s="95">
        <v>-2.6509999999999998</v>
      </c>
      <c r="D7" s="34">
        <v>-2.6</v>
      </c>
      <c r="E7" s="96">
        <f t="shared" ref="E7:E43" si="0">IF(YEAR(B7)&gt;2015, #N/A, C7)</f>
        <v>-2.6509999999999998</v>
      </c>
      <c r="F7" s="96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5">
        <v>-2.6030000000000002</v>
      </c>
      <c r="D8" s="34">
        <v>-2.6</v>
      </c>
      <c r="E8" s="96">
        <f t="shared" si="0"/>
        <v>-2.6030000000000002</v>
      </c>
      <c r="F8" s="96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5">
        <v>-1.587</v>
      </c>
      <c r="D9" s="34">
        <v>-1.6</v>
      </c>
      <c r="E9" s="96">
        <f t="shared" si="0"/>
        <v>-1.587</v>
      </c>
      <c r="F9" s="96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5">
        <v>-2.6440000000000001</v>
      </c>
      <c r="D10" s="34">
        <v>-2.6</v>
      </c>
      <c r="E10" s="96">
        <f t="shared" si="0"/>
        <v>-2.6440000000000001</v>
      </c>
      <c r="F10" s="96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5">
        <v>-2.52</v>
      </c>
      <c r="D11" s="34">
        <v>-2.5</v>
      </c>
      <c r="E11" s="96">
        <f t="shared" si="0"/>
        <v>-2.52</v>
      </c>
      <c r="F11" s="96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5">
        <v>-3.8620000000000001</v>
      </c>
      <c r="D12" s="34">
        <v>-3.9</v>
      </c>
      <c r="E12" s="96">
        <f t="shared" si="0"/>
        <v>-3.8620000000000001</v>
      </c>
      <c r="F12" s="96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5">
        <v>-5.8769999999999998</v>
      </c>
      <c r="D13" s="34">
        <v>-5.9</v>
      </c>
      <c r="E13" s="96">
        <f t="shared" si="0"/>
        <v>-5.8769999999999998</v>
      </c>
      <c r="F13" s="96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5">
        <v>-4.694</v>
      </c>
      <c r="D14" s="34">
        <v>-4.7</v>
      </c>
      <c r="E14" s="96">
        <f t="shared" si="0"/>
        <v>-4.694</v>
      </c>
      <c r="F14" s="96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5">
        <v>-4.9779999999999998</v>
      </c>
      <c r="D15" s="34">
        <v>-5</v>
      </c>
      <c r="E15" s="96">
        <f t="shared" si="0"/>
        <v>-4.9779999999999998</v>
      </c>
      <c r="F15" s="96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5">
        <v>-4.8879999999999999</v>
      </c>
      <c r="D16" s="34">
        <v>-4.9000000000000004</v>
      </c>
      <c r="E16" s="96">
        <f t="shared" si="0"/>
        <v>-4.8879999999999999</v>
      </c>
      <c r="F16" s="96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5">
        <v>-3.141</v>
      </c>
      <c r="D17" s="34">
        <v>-3.1</v>
      </c>
      <c r="E17" s="96">
        <f t="shared" si="0"/>
        <v>-3.141</v>
      </c>
      <c r="F17" s="96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5">
        <v>-3.02</v>
      </c>
      <c r="D18" s="34">
        <v>-3</v>
      </c>
      <c r="E18" s="96">
        <f t="shared" si="0"/>
        <v>-3.02</v>
      </c>
      <c r="F18" s="96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5">
        <v>-2.7480000000000002</v>
      </c>
      <c r="D19" s="34">
        <v>-2.7</v>
      </c>
      <c r="E19" s="96">
        <f t="shared" si="0"/>
        <v>-2.7480000000000002</v>
      </c>
      <c r="F19" s="96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5">
        <v>-3.7469999999999999</v>
      </c>
      <c r="D20" s="34">
        <v>-3.7</v>
      </c>
      <c r="E20" s="96">
        <f t="shared" si="0"/>
        <v>-3.7469999999999999</v>
      </c>
      <c r="F20" s="96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5">
        <v>-4.4189999999999996</v>
      </c>
      <c r="D21" s="34">
        <v>-4.4000000000000004</v>
      </c>
      <c r="E21" s="96">
        <f t="shared" si="0"/>
        <v>-4.4189999999999996</v>
      </c>
      <c r="F21" s="96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5">
        <v>-4.5250000000000004</v>
      </c>
      <c r="D22" s="34">
        <v>-4.5</v>
      </c>
      <c r="E22" s="96">
        <f t="shared" si="0"/>
        <v>-4.5250000000000004</v>
      </c>
      <c r="F22" s="96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5">
        <v>-3.7639999999999998</v>
      </c>
      <c r="D23" s="34">
        <v>-3.8</v>
      </c>
      <c r="E23" s="96">
        <f t="shared" si="0"/>
        <v>-3.7639999999999998</v>
      </c>
      <c r="F23" s="96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5">
        <v>-2.831</v>
      </c>
      <c r="D24" s="34">
        <v>-2.8</v>
      </c>
      <c r="E24" s="96">
        <f t="shared" si="0"/>
        <v>-2.831</v>
      </c>
      <c r="F24" s="96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5">
        <v>-2.169</v>
      </c>
      <c r="D25" s="34">
        <v>-2.2000000000000002</v>
      </c>
      <c r="E25" s="96">
        <f t="shared" si="0"/>
        <v>-2.169</v>
      </c>
      <c r="F25" s="96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5">
        <v>-1.351</v>
      </c>
      <c r="D26" s="34">
        <v>-1.3</v>
      </c>
      <c r="E26" s="96">
        <f t="shared" si="0"/>
        <v>-1.351</v>
      </c>
      <c r="F26" s="96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5">
        <v>-0.25900000000000001</v>
      </c>
      <c r="D27" s="34">
        <v>-0.3</v>
      </c>
      <c r="E27" s="96">
        <f t="shared" si="0"/>
        <v>-0.25900000000000001</v>
      </c>
      <c r="F27" s="96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5">
        <v>0.77600000000000002</v>
      </c>
      <c r="D28" s="34">
        <v>0.8</v>
      </c>
      <c r="E28" s="96">
        <f t="shared" si="0"/>
        <v>0.77600000000000002</v>
      </c>
      <c r="F28" s="96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5">
        <v>1.325</v>
      </c>
      <c r="D29" s="34">
        <v>1.3</v>
      </c>
      <c r="E29" s="96">
        <f t="shared" si="0"/>
        <v>1.325</v>
      </c>
      <c r="F29" s="96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5">
        <v>2.335</v>
      </c>
      <c r="D30" s="34">
        <v>2.2999999999999998</v>
      </c>
      <c r="E30" s="96">
        <f t="shared" si="0"/>
        <v>2.335</v>
      </c>
      <c r="F30" s="96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5">
        <v>1.218</v>
      </c>
      <c r="D31" s="34">
        <v>1.2</v>
      </c>
      <c r="E31" s="96">
        <f t="shared" si="0"/>
        <v>1.218</v>
      </c>
      <c r="F31" s="96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5">
        <v>-1.456</v>
      </c>
      <c r="D32" s="34">
        <v>-1.5</v>
      </c>
      <c r="E32" s="96">
        <f t="shared" si="0"/>
        <v>-1.456</v>
      </c>
      <c r="F32" s="96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5">
        <v>-3.3460000000000001</v>
      </c>
      <c r="D33" s="34">
        <v>-3.3</v>
      </c>
      <c r="E33" s="96">
        <f t="shared" si="0"/>
        <v>-3.3460000000000001</v>
      </c>
      <c r="F33" s="96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5">
        <v>-3.4319999999999999</v>
      </c>
      <c r="D34" s="34">
        <v>-3.4</v>
      </c>
      <c r="E34" s="96">
        <f t="shared" si="0"/>
        <v>-3.4319999999999999</v>
      </c>
      <c r="F34" s="96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5">
        <v>-2.48</v>
      </c>
      <c r="D35" s="34">
        <v>-2.5</v>
      </c>
      <c r="E35" s="96">
        <f t="shared" si="0"/>
        <v>-2.48</v>
      </c>
      <c r="F35" s="96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5">
        <v>-1.82</v>
      </c>
      <c r="D36" s="34">
        <v>-1.8</v>
      </c>
      <c r="E36" s="96">
        <f t="shared" si="0"/>
        <v>-1.82</v>
      </c>
      <c r="F36" s="96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5">
        <v>-1.125</v>
      </c>
      <c r="D37" s="34">
        <v>-1.1000000000000001</v>
      </c>
      <c r="E37" s="96">
        <f t="shared" si="0"/>
        <v>-1.125</v>
      </c>
      <c r="F37" s="96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5">
        <v>-3.11</v>
      </c>
      <c r="D38" s="34">
        <v>-3.1</v>
      </c>
      <c r="E38" s="96">
        <f t="shared" si="0"/>
        <v>-3.11</v>
      </c>
      <c r="F38" s="96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5">
        <v>-9.7889999999999997</v>
      </c>
      <c r="D39" s="34">
        <v>-9.8000000000000007</v>
      </c>
      <c r="E39" s="96">
        <f t="shared" si="0"/>
        <v>-9.7889999999999997</v>
      </c>
      <c r="F39" s="96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5">
        <v>-8.7230000000000008</v>
      </c>
      <c r="D40" s="34">
        <v>-8.6999999999999993</v>
      </c>
      <c r="E40" s="96">
        <f t="shared" si="0"/>
        <v>-8.7230000000000008</v>
      </c>
      <c r="F40" s="96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5">
        <v>-8.4369999999999994</v>
      </c>
      <c r="D41" s="34">
        <v>-8.5</v>
      </c>
      <c r="E41" s="96">
        <f t="shared" si="0"/>
        <v>-8.4369999999999994</v>
      </c>
      <c r="F41" s="96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5">
        <v>-6.7050000000000001</v>
      </c>
      <c r="D42" s="34">
        <v>-6.8</v>
      </c>
      <c r="E42" s="96">
        <f t="shared" si="0"/>
        <v>-6.7050000000000001</v>
      </c>
      <c r="F42" s="96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5">
        <v>-4.0940000000000003</v>
      </c>
      <c r="D43" s="34">
        <v>-4.0999999999999996</v>
      </c>
      <c r="E43" s="96">
        <f t="shared" si="0"/>
        <v>-4.0940000000000003</v>
      </c>
      <c r="F43" s="96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5">
        <v>-2.7970000000000002</v>
      </c>
      <c r="D44" s="34">
        <v>-2.8</v>
      </c>
      <c r="E44" s="96">
        <f>IF(YEAR(B44)&gt;2015, #N/A, C44)</f>
        <v>-2.7970000000000002</v>
      </c>
      <c r="F44" s="96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5">
        <v>-2.4420000000000002</v>
      </c>
      <c r="D45" s="34">
        <v>-2.4</v>
      </c>
      <c r="E45" s="96">
        <f t="shared" ref="E45:E56" si="3">IF(YEAR(B45)&gt;2015, #N/A, C45)</f>
        <v>-2.4420000000000002</v>
      </c>
      <c r="F45" s="96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5">
        <v>-3.1509999999999998</v>
      </c>
      <c r="D46" s="34">
        <v>-3.2</v>
      </c>
      <c r="E46" s="96" t="e">
        <f t="shared" si="3"/>
        <v>#N/A</v>
      </c>
      <c r="F46" s="96" t="e">
        <f t="shared" ca="1" si="1"/>
        <v>#N/A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5">
        <v>-3.45</v>
      </c>
      <c r="D47" s="34">
        <v>-3.5</v>
      </c>
      <c r="E47" s="96" t="e">
        <f t="shared" si="3"/>
        <v>#N/A</v>
      </c>
      <c r="F47" s="96" t="e">
        <f t="shared" ca="1" si="1"/>
        <v>#N/A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5">
        <v>-3.831</v>
      </c>
      <c r="D48" s="34">
        <v>-3.9</v>
      </c>
      <c r="E48" s="96" t="e">
        <f t="shared" si="3"/>
        <v>#N/A</v>
      </c>
      <c r="F48" s="96" t="e">
        <f t="shared" ca="1" si="1"/>
        <v>#N/A</v>
      </c>
      <c r="G48" s="13">
        <v>0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5">
        <v>-4.6390000000000002</v>
      </c>
      <c r="D49" s="34">
        <v>-4.5999999999999996</v>
      </c>
      <c r="E49" s="96" t="e">
        <f t="shared" si="3"/>
        <v>#N/A</v>
      </c>
      <c r="F49" s="96">
        <f t="shared" ca="1" si="1"/>
        <v>-4.5999999999999996</v>
      </c>
      <c r="G49" s="13">
        <v>0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5" t="e">
        <v>#N/A</v>
      </c>
      <c r="D50" s="34">
        <v>-4.5999999999999996</v>
      </c>
      <c r="E50" s="96" t="e">
        <f t="shared" si="3"/>
        <v>#N/A</v>
      </c>
      <c r="F50" s="96">
        <f t="shared" ca="1" si="1"/>
        <v>-4.5999999999999996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5" t="e">
        <v>#N/A</v>
      </c>
      <c r="D51" s="34">
        <v>-4.3</v>
      </c>
      <c r="E51" s="96" t="e">
        <f t="shared" si="3"/>
        <v>#N/A</v>
      </c>
      <c r="F51" s="96">
        <f t="shared" ca="1" si="1"/>
        <v>-4.3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5" t="e">
        <v>#N/A</v>
      </c>
      <c r="D52" s="34">
        <v>-4.7</v>
      </c>
      <c r="E52" s="96" t="e">
        <f t="shared" si="3"/>
        <v>#N/A</v>
      </c>
      <c r="F52" s="96">
        <f t="shared" ca="1" si="1"/>
        <v>-4.7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5" t="e">
        <v>#N/A</v>
      </c>
      <c r="D53" s="34">
        <v>-4.5</v>
      </c>
      <c r="E53" s="96" t="e">
        <f t="shared" si="3"/>
        <v>#N/A</v>
      </c>
      <c r="F53" s="96">
        <f t="shared" ca="1" si="1"/>
        <v>-4.5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5" t="e">
        <v>#N/A</v>
      </c>
      <c r="D54" s="34">
        <v>-4.5</v>
      </c>
      <c r="E54" s="96" t="e">
        <f t="shared" si="3"/>
        <v>#N/A</v>
      </c>
      <c r="F54" s="96">
        <f t="shared" ca="1" si="1"/>
        <v>-4.5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5" t="e">
        <v>#N/A</v>
      </c>
      <c r="D55" s="34">
        <v>-4.9000000000000004</v>
      </c>
      <c r="E55" s="96" t="e">
        <f t="shared" si="3"/>
        <v>#N/A</v>
      </c>
      <c r="F55" s="96">
        <f t="shared" ca="1" si="1"/>
        <v>-4.9000000000000004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5" t="e">
        <v>#N/A</v>
      </c>
      <c r="D56" s="34">
        <v>-4.8</v>
      </c>
      <c r="E56" s="96" t="e">
        <f t="shared" si="3"/>
        <v>#N/A</v>
      </c>
      <c r="F56" s="96">
        <f t="shared" ca="1" si="1"/>
        <v>-4.8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 xr:uid="{00000000-0004-0000-0800-000000000000}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8">
        <f ca="1">YEAR(TODAY())</f>
        <v>2020</v>
      </c>
    </row>
    <row r="2" spans="1:7">
      <c r="A2" s="21" t="s">
        <v>369</v>
      </c>
      <c r="B2" s="21" t="s">
        <v>313</v>
      </c>
      <c r="C2" s="20" t="s">
        <v>93</v>
      </c>
      <c r="F2" s="105" t="s">
        <v>316</v>
      </c>
    </row>
    <row r="3" spans="1:7" ht="60">
      <c r="A3" s="19" t="s">
        <v>7</v>
      </c>
      <c r="C3" s="107" t="s">
        <v>400</v>
      </c>
      <c r="F3" t="s">
        <v>493</v>
      </c>
    </row>
    <row r="4" spans="1:7">
      <c r="A4" s="19" t="s">
        <v>10</v>
      </c>
      <c r="C4" t="s">
        <v>386</v>
      </c>
      <c r="F4" t="s">
        <v>382</v>
      </c>
    </row>
    <row r="5" spans="1:7">
      <c r="A5" s="19" t="s">
        <v>11</v>
      </c>
      <c r="C5" t="s">
        <v>524</v>
      </c>
      <c r="D5" t="s">
        <v>111</v>
      </c>
      <c r="E5" t="s">
        <v>112</v>
      </c>
      <c r="F5" t="s">
        <v>512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 t="e">
        <f t="shared" ca="1" si="1"/>
        <v>#N/A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76.5</v>
      </c>
      <c r="D46" s="28" t="e">
        <f t="shared" si="0"/>
        <v>#N/A</v>
      </c>
      <c r="E46" s="30" t="e">
        <f t="shared" ca="1" si="1"/>
        <v>#N/A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77.8</v>
      </c>
      <c r="D47" s="28" t="e">
        <f t="shared" si="0"/>
        <v>#N/A</v>
      </c>
      <c r="E47" s="30" t="e">
        <f t="shared" ca="1" si="1"/>
        <v>#N/A</v>
      </c>
      <c r="F47" s="13">
        <v>0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79.2</v>
      </c>
      <c r="D48" s="28" t="e">
        <f t="shared" si="0"/>
        <v>#N/A</v>
      </c>
      <c r="E48" s="30">
        <f t="shared" ca="1" si="1"/>
        <v>79.2</v>
      </c>
      <c r="F48" s="13">
        <v>0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80.8</v>
      </c>
      <c r="D49" s="28" t="e">
        <f t="shared" si="0"/>
        <v>#N/A</v>
      </c>
      <c r="E49" s="30">
        <f t="shared" ca="1" si="1"/>
        <v>80.8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82</v>
      </c>
      <c r="D50" s="28" t="e">
        <f t="shared" si="0"/>
        <v>#N/A</v>
      </c>
      <c r="E50" s="30">
        <f t="shared" ca="1" si="1"/>
        <v>82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83.9</v>
      </c>
      <c r="D51" s="28" t="e">
        <f t="shared" si="0"/>
        <v>#N/A</v>
      </c>
      <c r="E51" s="30">
        <f t="shared" ca="1" si="1"/>
        <v>83.9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85.6</v>
      </c>
      <c r="D52" s="28" t="e">
        <f t="shared" si="0"/>
        <v>#N/A</v>
      </c>
      <c r="E52" s="30">
        <f t="shared" ca="1" si="1"/>
        <v>85.6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87.3</v>
      </c>
      <c r="D53" s="28" t="e">
        <f t="shared" si="0"/>
        <v>#N/A</v>
      </c>
      <c r="E53" s="30">
        <f t="shared" ca="1" si="1"/>
        <v>87.3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89.4</v>
      </c>
      <c r="D54" s="28" t="e">
        <f t="shared" si="0"/>
        <v>#N/A</v>
      </c>
      <c r="E54" s="30">
        <f t="shared" ca="1" si="1"/>
        <v>89.4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91.2</v>
      </c>
      <c r="D55" s="28" t="e">
        <f t="shared" si="0"/>
        <v>#N/A</v>
      </c>
      <c r="E55" s="30">
        <f t="shared" ca="1" si="1"/>
        <v>91.2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 xr:uid="{00000000-0004-0000-0900-000000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5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5" t="s">
        <v>316</v>
      </c>
    </row>
    <row r="2" spans="1:14" s="3" customFormat="1" ht="202.5">
      <c r="A2" s="3" t="s">
        <v>7</v>
      </c>
      <c r="C2" s="4" t="s">
        <v>385</v>
      </c>
      <c r="D2" s="4" t="s">
        <v>387</v>
      </c>
      <c r="E2" s="4" t="s">
        <v>388</v>
      </c>
      <c r="F2" s="4" t="s">
        <v>389</v>
      </c>
      <c r="G2" s="112" t="s">
        <v>391</v>
      </c>
      <c r="H2" s="112" t="s">
        <v>392</v>
      </c>
      <c r="I2" s="114" t="s">
        <v>393</v>
      </c>
      <c r="J2" s="115" t="s">
        <v>491</v>
      </c>
      <c r="M2" s="3" t="s">
        <v>493</v>
      </c>
    </row>
    <row r="3" spans="1:14">
      <c r="A3" s="2" t="s">
        <v>8</v>
      </c>
      <c r="C3" s="5" t="s">
        <v>488</v>
      </c>
      <c r="D3" s="5" t="s">
        <v>55</v>
      </c>
      <c r="E3" s="5" t="s">
        <v>55</v>
      </c>
      <c r="F3" s="5" t="s">
        <v>55</v>
      </c>
      <c r="G3" s="113" t="s">
        <v>517</v>
      </c>
      <c r="H3" s="113" t="s">
        <v>519</v>
      </c>
      <c r="I3" s="116" t="s">
        <v>519</v>
      </c>
      <c r="J3" s="117" t="s">
        <v>522</v>
      </c>
      <c r="M3" s="2" t="s">
        <v>492</v>
      </c>
    </row>
    <row r="4" spans="1:14">
      <c r="A4" s="2" t="s">
        <v>9</v>
      </c>
      <c r="C4" s="5" t="s">
        <v>487</v>
      </c>
      <c r="D4" s="5" t="s">
        <v>490</v>
      </c>
      <c r="E4" s="5" t="s">
        <v>490</v>
      </c>
      <c r="F4" s="5" t="s">
        <v>490</v>
      </c>
      <c r="G4" s="113" t="s">
        <v>516</v>
      </c>
      <c r="H4" s="113" t="s">
        <v>57</v>
      </c>
      <c r="I4" s="116" t="s">
        <v>57</v>
      </c>
      <c r="J4" s="117" t="s">
        <v>521</v>
      </c>
      <c r="M4" s="2" t="s">
        <v>523</v>
      </c>
    </row>
    <row r="5" spans="1:14">
      <c r="A5" s="2" t="s">
        <v>10</v>
      </c>
      <c r="C5" s="5" t="s">
        <v>384</v>
      </c>
      <c r="D5" s="5" t="s">
        <v>386</v>
      </c>
      <c r="E5" s="5" t="s">
        <v>386</v>
      </c>
      <c r="F5" s="5" t="s">
        <v>386</v>
      </c>
      <c r="G5" s="113" t="s">
        <v>390</v>
      </c>
      <c r="H5" s="113" t="s">
        <v>386</v>
      </c>
      <c r="I5" s="116" t="s">
        <v>386</v>
      </c>
      <c r="J5" s="117" t="s">
        <v>394</v>
      </c>
      <c r="M5" s="2" t="s">
        <v>382</v>
      </c>
    </row>
    <row r="6" spans="1:14">
      <c r="A6" s="2" t="s">
        <v>11</v>
      </c>
      <c r="C6" s="5" t="s">
        <v>486</v>
      </c>
      <c r="D6" s="5" t="s">
        <v>489</v>
      </c>
      <c r="E6" s="5" t="s">
        <v>489</v>
      </c>
      <c r="F6" s="5" t="s">
        <v>489</v>
      </c>
      <c r="G6" s="113" t="s">
        <v>515</v>
      </c>
      <c r="H6" s="113" t="s">
        <v>518</v>
      </c>
      <c r="I6" s="116" t="s">
        <v>518</v>
      </c>
      <c r="J6" s="117" t="s">
        <v>520</v>
      </c>
      <c r="M6" s="2" t="s">
        <v>512</v>
      </c>
    </row>
    <row r="7" spans="1:14">
      <c r="A7" s="2" t="s">
        <v>12</v>
      </c>
      <c r="B7" s="45">
        <v>27030</v>
      </c>
      <c r="C7" s="46" t="e">
        <v>#N/A</v>
      </c>
      <c r="D7" s="46" t="e">
        <v>#N/A</v>
      </c>
      <c r="E7" s="46" t="e">
        <v>#N/A</v>
      </c>
      <c r="F7" s="46" t="e">
        <v>#N/A</v>
      </c>
      <c r="G7" s="118">
        <v>1.1120000000000001</v>
      </c>
      <c r="H7" s="118">
        <v>3.7080000000000002</v>
      </c>
      <c r="I7" s="118">
        <v>1.446</v>
      </c>
      <c r="J7" s="118">
        <v>11.898999999999997</v>
      </c>
      <c r="K7" s="58"/>
      <c r="L7" s="58"/>
      <c r="M7" s="106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46" t="e">
        <v>#N/A</v>
      </c>
      <c r="D8" s="46" t="e">
        <v>#N/A</v>
      </c>
      <c r="E8" s="46" t="e">
        <v>#N/A</v>
      </c>
      <c r="F8" s="46" t="e">
        <v>#N/A</v>
      </c>
      <c r="G8" s="118">
        <v>1.3049999999999999</v>
      </c>
      <c r="H8" s="118">
        <v>3.9550000000000001</v>
      </c>
      <c r="I8" s="118">
        <v>1.446</v>
      </c>
      <c r="J8" s="118">
        <v>13.975</v>
      </c>
      <c r="K8" s="58"/>
      <c r="L8" s="58"/>
      <c r="M8" s="106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46" t="e">
        <v>#N/A</v>
      </c>
      <c r="D9" s="46" t="e">
        <v>#N/A</v>
      </c>
      <c r="E9" s="46" t="e">
        <v>#N/A</v>
      </c>
      <c r="F9" s="46" t="e">
        <v>#N/A</v>
      </c>
      <c r="G9" s="118">
        <v>1.4289999999999998</v>
      </c>
      <c r="H9" s="118">
        <v>4.07</v>
      </c>
      <c r="I9" s="118">
        <v>1.496</v>
      </c>
      <c r="J9" s="118">
        <v>13.821</v>
      </c>
      <c r="K9" s="58"/>
      <c r="L9" s="58"/>
      <c r="M9" s="106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46" t="e">
        <v>#N/A</v>
      </c>
      <c r="D10" s="46" t="e">
        <v>#N/A</v>
      </c>
      <c r="E10" s="46" t="e">
        <v>#N/A</v>
      </c>
      <c r="F10" s="46" t="e">
        <v>#N/A</v>
      </c>
      <c r="G10" s="118">
        <v>1.514</v>
      </c>
      <c r="H10" s="118">
        <v>4.1340000000000003</v>
      </c>
      <c r="I10" s="118">
        <v>1.4770000000000001</v>
      </c>
      <c r="J10" s="118">
        <v>13.09</v>
      </c>
      <c r="K10" s="58"/>
      <c r="L10" s="58"/>
      <c r="M10" s="106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46" t="e">
        <v>#N/A</v>
      </c>
      <c r="D11" s="46" t="e">
        <v>#N/A</v>
      </c>
      <c r="E11" s="46" t="e">
        <v>#N/A</v>
      </c>
      <c r="F11" s="46" t="e">
        <v>#N/A</v>
      </c>
      <c r="G11" s="118">
        <v>1.5389999999999999</v>
      </c>
      <c r="H11" s="118">
        <v>4.0659999999999998</v>
      </c>
      <c r="I11" s="118">
        <v>1.56</v>
      </c>
      <c r="J11" s="118">
        <v>13.013000000000003</v>
      </c>
      <c r="K11" s="58"/>
      <c r="L11" s="58"/>
      <c r="M11" s="106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46" t="e">
        <v>#N/A</v>
      </c>
      <c r="D12" s="46" t="e">
        <v>#N/A</v>
      </c>
      <c r="E12" s="46" t="e">
        <v>#N/A</v>
      </c>
      <c r="F12" s="46" t="e">
        <v>#N/A</v>
      </c>
      <c r="G12" s="118">
        <v>1.583</v>
      </c>
      <c r="H12" s="118">
        <v>3.9990000000000001</v>
      </c>
      <c r="I12" s="118">
        <v>1.6619999999999999</v>
      </c>
      <c r="J12" s="118">
        <v>12.402000000000001</v>
      </c>
      <c r="K12" s="58"/>
      <c r="L12" s="58"/>
      <c r="M12" s="106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46" t="e">
        <v>#N/A</v>
      </c>
      <c r="D13" s="46" t="e">
        <v>#N/A</v>
      </c>
      <c r="E13" s="46" t="e">
        <v>#N/A</v>
      </c>
      <c r="F13" s="46" t="e">
        <v>#N/A</v>
      </c>
      <c r="G13" s="118">
        <v>1.7170000000000001</v>
      </c>
      <c r="H13" s="118">
        <v>4.1929999999999996</v>
      </c>
      <c r="I13" s="118">
        <v>1.8819999999999999</v>
      </c>
      <c r="J13" s="118">
        <v>13.373999999999999</v>
      </c>
      <c r="K13" s="58"/>
      <c r="L13" s="58"/>
      <c r="M13" s="106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46" t="e">
        <v>#N/A</v>
      </c>
      <c r="D14" s="46" t="e">
        <v>#N/A</v>
      </c>
      <c r="E14" s="46" t="e">
        <v>#N/A</v>
      </c>
      <c r="F14" s="46" t="e">
        <v>#N/A</v>
      </c>
      <c r="G14" s="118">
        <v>1.855</v>
      </c>
      <c r="H14" s="118">
        <v>4.4009999999999998</v>
      </c>
      <c r="I14" s="118">
        <v>2.1949999999999998</v>
      </c>
      <c r="J14" s="118">
        <v>13.195999999999998</v>
      </c>
      <c r="K14" s="58"/>
      <c r="L14" s="58"/>
      <c r="M14" s="106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46" t="e">
        <v>#N/A</v>
      </c>
      <c r="D15" s="46" t="e">
        <v>#N/A</v>
      </c>
      <c r="E15" s="46" t="e">
        <v>#N/A</v>
      </c>
      <c r="F15" s="46" t="e">
        <v>#N/A</v>
      </c>
      <c r="G15" s="118">
        <v>2.0089999999999999</v>
      </c>
      <c r="H15" s="118">
        <v>4.6449999999999996</v>
      </c>
      <c r="I15" s="118">
        <v>2.5659999999999998</v>
      </c>
      <c r="J15" s="118">
        <v>13.287000000000003</v>
      </c>
      <c r="K15" s="58"/>
      <c r="L15" s="58"/>
      <c r="M15" s="106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46" t="e">
        <v>#N/A</v>
      </c>
      <c r="D16" s="46" t="e">
        <v>#N/A</v>
      </c>
      <c r="E16" s="46" t="e">
        <v>#N/A</v>
      </c>
      <c r="F16" s="46" t="e">
        <v>#N/A</v>
      </c>
      <c r="G16" s="118">
        <v>2.1070000000000002</v>
      </c>
      <c r="H16" s="118">
        <v>4.766</v>
      </c>
      <c r="I16" s="118">
        <v>2.54</v>
      </c>
      <c r="J16" s="118">
        <v>13.448</v>
      </c>
      <c r="K16" s="58"/>
      <c r="L16" s="58"/>
      <c r="M16" s="106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46" t="e">
        <v>#N/A</v>
      </c>
      <c r="D17" s="46" t="e">
        <v>#N/A</v>
      </c>
      <c r="E17" s="46" t="e">
        <v>#N/A</v>
      </c>
      <c r="F17" s="46" t="e">
        <v>#N/A</v>
      </c>
      <c r="G17" s="118">
        <v>2.056</v>
      </c>
      <c r="H17" s="118">
        <v>4.4580000000000002</v>
      </c>
      <c r="I17" s="118">
        <v>2.8130000000000002</v>
      </c>
      <c r="J17" s="118">
        <v>12.242000000000001</v>
      </c>
      <c r="K17" s="58"/>
      <c r="L17" s="58"/>
      <c r="M17" s="106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46" t="e">
        <v>#N/A</v>
      </c>
      <c r="D18" s="46" t="e">
        <v>#N/A</v>
      </c>
      <c r="E18" s="46" t="e">
        <v>#N/A</v>
      </c>
      <c r="F18" s="46" t="e">
        <v>#N/A</v>
      </c>
      <c r="G18" s="118">
        <v>2.1640000000000001</v>
      </c>
      <c r="H18" s="118">
        <v>4.3710000000000004</v>
      </c>
      <c r="I18" s="118">
        <v>3.036</v>
      </c>
      <c r="J18" s="118">
        <v>12.616999999999996</v>
      </c>
      <c r="K18" s="58"/>
      <c r="L18" s="58"/>
      <c r="M18" s="106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46" t="e">
        <v>#N/A</v>
      </c>
      <c r="D19" s="46" t="e">
        <v>#N/A</v>
      </c>
      <c r="E19" s="46" t="e">
        <v>#N/A</v>
      </c>
      <c r="F19" s="46" t="e">
        <v>#N/A</v>
      </c>
      <c r="G19" s="118">
        <v>2.1909999999999998</v>
      </c>
      <c r="H19" s="118">
        <v>4.3419999999999996</v>
      </c>
      <c r="I19" s="118">
        <v>3.0049999999999999</v>
      </c>
      <c r="J19" s="118">
        <v>12.343000000000004</v>
      </c>
      <c r="K19" s="58"/>
      <c r="L19" s="58"/>
      <c r="M19" s="106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46" t="e">
        <v>#N/A</v>
      </c>
      <c r="D20" s="46" t="e">
        <v>#N/A</v>
      </c>
      <c r="E20" s="46" t="e">
        <v>#N/A</v>
      </c>
      <c r="F20" s="46" t="e">
        <v>#N/A</v>
      </c>
      <c r="G20" s="118">
        <v>2.2509999999999999</v>
      </c>
      <c r="H20" s="118">
        <v>4.3010000000000002</v>
      </c>
      <c r="I20" s="118">
        <v>2.907</v>
      </c>
      <c r="J20" s="118">
        <v>11.600000000000001</v>
      </c>
      <c r="K20" s="58"/>
      <c r="L20" s="58"/>
      <c r="M20" s="106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46" t="e">
        <v>#N/A</v>
      </c>
      <c r="D21" s="46" t="e">
        <v>#N/A</v>
      </c>
      <c r="E21" s="46" t="e">
        <v>#N/A</v>
      </c>
      <c r="F21" s="46" t="e">
        <v>#N/A</v>
      </c>
      <c r="G21" s="118">
        <v>2.2610000000000001</v>
      </c>
      <c r="H21" s="118">
        <v>4.2190000000000003</v>
      </c>
      <c r="I21" s="118">
        <v>2.9540000000000002</v>
      </c>
      <c r="J21" s="118">
        <v>11.279999999999998</v>
      </c>
      <c r="K21" s="58"/>
      <c r="L21" s="58"/>
      <c r="M21" s="106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46" t="e">
        <v>#N/A</v>
      </c>
      <c r="D22" s="46" t="e">
        <v>#N/A</v>
      </c>
      <c r="E22" s="46" t="e">
        <v>#N/A</v>
      </c>
      <c r="F22" s="46" t="e">
        <v>#N/A</v>
      </c>
      <c r="G22" s="118">
        <v>2.3010000000000002</v>
      </c>
      <c r="H22" s="118">
        <v>4.1479999999999997</v>
      </c>
      <c r="I22" s="118">
        <v>3.0419999999999998</v>
      </c>
      <c r="J22" s="118">
        <v>11.1</v>
      </c>
      <c r="K22" s="58"/>
      <c r="L22" s="58"/>
      <c r="M22" s="106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46" t="e">
        <v>#N/A</v>
      </c>
      <c r="D23" s="46" t="e">
        <v>#N/A</v>
      </c>
      <c r="E23" s="46" t="e">
        <v>#N/A</v>
      </c>
      <c r="F23" s="46" t="e">
        <v>#N/A</v>
      </c>
      <c r="G23" s="118">
        <v>2.512</v>
      </c>
      <c r="H23" s="118">
        <v>4.1790000000000003</v>
      </c>
      <c r="I23" s="118">
        <v>3.125</v>
      </c>
      <c r="J23" s="118">
        <v>11.426000000000002</v>
      </c>
      <c r="K23" s="58"/>
      <c r="L23" s="58"/>
      <c r="M23" s="106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46" t="e">
        <v>#N/A</v>
      </c>
      <c r="D24" s="46" t="e">
        <v>#N/A</v>
      </c>
      <c r="E24" s="46" t="e">
        <v>#N/A</v>
      </c>
      <c r="F24" s="46" t="e">
        <v>#N/A</v>
      </c>
      <c r="G24" s="118">
        <v>2.7370000000000001</v>
      </c>
      <c r="H24" s="118">
        <v>4.3780000000000001</v>
      </c>
      <c r="I24" s="118">
        <v>3.1909999999999998</v>
      </c>
      <c r="J24" s="118">
        <v>11.427000000000001</v>
      </c>
      <c r="K24" s="58"/>
      <c r="L24" s="58"/>
      <c r="M24" s="106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46" t="e">
        <v>#N/A</v>
      </c>
      <c r="D25" s="46" t="e">
        <v>#N/A</v>
      </c>
      <c r="E25" s="46" t="e">
        <v>#N/A</v>
      </c>
      <c r="F25" s="46" t="e">
        <v>#N/A</v>
      </c>
      <c r="G25" s="118">
        <v>3.0739999999999998</v>
      </c>
      <c r="H25" s="118">
        <v>4.444</v>
      </c>
      <c r="I25" s="118">
        <v>3.1070000000000002</v>
      </c>
      <c r="J25" s="118">
        <v>10.907000000000002</v>
      </c>
      <c r="K25" s="58"/>
      <c r="L25" s="58"/>
      <c r="M25" s="106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46" t="e">
        <v>#N/A</v>
      </c>
      <c r="D26" s="46" t="e">
        <v>#N/A</v>
      </c>
      <c r="E26" s="46" t="e">
        <v>#N/A</v>
      </c>
      <c r="F26" s="46" t="e">
        <v>#N/A</v>
      </c>
      <c r="G26" s="118">
        <v>3.2320000000000002</v>
      </c>
      <c r="H26" s="118">
        <v>4.4569999999999999</v>
      </c>
      <c r="I26" s="118">
        <v>2.9329999999999998</v>
      </c>
      <c r="J26" s="118">
        <v>10.179999999999998</v>
      </c>
      <c r="K26" s="58"/>
      <c r="L26" s="58"/>
      <c r="M26" s="106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46" t="e">
        <v>#N/A</v>
      </c>
      <c r="D27" s="46" t="e">
        <v>#N/A</v>
      </c>
      <c r="E27" s="46" t="e">
        <v>#N/A</v>
      </c>
      <c r="F27" s="46" t="e">
        <v>#N/A</v>
      </c>
      <c r="G27" s="118">
        <v>3.367</v>
      </c>
      <c r="H27" s="118">
        <v>4.4160000000000004</v>
      </c>
      <c r="I27" s="118">
        <v>2.8279999999999998</v>
      </c>
      <c r="J27" s="118">
        <v>9.7569999999999979</v>
      </c>
      <c r="K27" s="58"/>
      <c r="L27" s="58"/>
      <c r="M27" s="106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46" t="e">
        <v>#N/A</v>
      </c>
      <c r="D28" s="46" t="e">
        <v>#N/A</v>
      </c>
      <c r="E28" s="46" t="e">
        <v>#N/A</v>
      </c>
      <c r="F28" s="46" t="e">
        <v>#N/A</v>
      </c>
      <c r="G28" s="118">
        <v>3.5209999999999999</v>
      </c>
      <c r="H28" s="118">
        <v>4.4080000000000004</v>
      </c>
      <c r="I28" s="118">
        <v>3.07</v>
      </c>
      <c r="J28" s="118">
        <v>9.0489999999999959</v>
      </c>
      <c r="K28" s="58"/>
      <c r="L28" s="58"/>
      <c r="M28" s="106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46" t="e">
        <v>#N/A</v>
      </c>
      <c r="D29" s="46" t="e">
        <v>#N/A</v>
      </c>
      <c r="E29" s="46" t="e">
        <v>#N/A</v>
      </c>
      <c r="F29" s="46" t="e">
        <v>#N/A</v>
      </c>
      <c r="G29" s="118">
        <v>3.5630000000000002</v>
      </c>
      <c r="H29" s="118">
        <v>4.3650000000000002</v>
      </c>
      <c r="I29" s="118">
        <v>3.032</v>
      </c>
      <c r="J29" s="118">
        <v>8.6649999999999991</v>
      </c>
      <c r="K29" s="58"/>
      <c r="L29" s="58"/>
      <c r="M29" s="106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46" t="e">
        <v>#N/A</v>
      </c>
      <c r="D30" s="46" t="e">
        <v>#N/A</v>
      </c>
      <c r="E30" s="46" t="e">
        <v>#N/A</v>
      </c>
      <c r="F30" s="46" t="e">
        <v>#N/A</v>
      </c>
      <c r="G30" s="118">
        <v>3.5910000000000002</v>
      </c>
      <c r="H30" s="118">
        <v>4.2869999999999999</v>
      </c>
      <c r="I30" s="118">
        <v>2.887</v>
      </c>
      <c r="J30" s="118">
        <v>8.1810000000000009</v>
      </c>
      <c r="K30" s="58"/>
      <c r="L30" s="58"/>
      <c r="M30" s="106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46" t="e">
        <v>#N/A</v>
      </c>
      <c r="D31" s="46" t="e">
        <v>#N/A</v>
      </c>
      <c r="E31" s="46" t="e">
        <v>#N/A</v>
      </c>
      <c r="F31" s="46" t="e">
        <v>#N/A</v>
      </c>
      <c r="G31" s="118">
        <v>3.496</v>
      </c>
      <c r="H31" s="118">
        <v>4.2110000000000003</v>
      </c>
      <c r="I31" s="118">
        <v>2.7</v>
      </c>
      <c r="J31" s="118">
        <v>8.0960000000000001</v>
      </c>
      <c r="K31" s="58"/>
      <c r="L31" s="58"/>
      <c r="M31" s="106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46" t="e">
        <v>#N/A</v>
      </c>
      <c r="D32" s="46" t="e">
        <v>#N/A</v>
      </c>
      <c r="E32" s="46" t="e">
        <v>#N/A</v>
      </c>
      <c r="F32" s="46" t="e">
        <v>#N/A</v>
      </c>
      <c r="G32" s="118">
        <v>3.3469999999999995</v>
      </c>
      <c r="H32" s="118">
        <v>4.0819999999999999</v>
      </c>
      <c r="I32" s="118">
        <v>2.4239999999999999</v>
      </c>
      <c r="J32" s="118">
        <v>8.0999999999999979</v>
      </c>
      <c r="K32" s="58"/>
      <c r="L32" s="58"/>
      <c r="M32" s="106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46" t="e">
        <v>#N/A</v>
      </c>
      <c r="D33" s="46" t="e">
        <v>#N/A</v>
      </c>
      <c r="E33" s="46" t="e">
        <v>#N/A</v>
      </c>
      <c r="F33" s="46" t="e">
        <v>#N/A</v>
      </c>
      <c r="G33" s="118">
        <v>3.3009999999999997</v>
      </c>
      <c r="H33" s="118">
        <v>4.0129999999999999</v>
      </c>
      <c r="I33" s="118">
        <v>2.2040000000000002</v>
      </c>
      <c r="J33" s="118">
        <v>8.1639999999999979</v>
      </c>
      <c r="K33" s="58"/>
      <c r="L33" s="58"/>
      <c r="M33" s="106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46" t="e">
        <v>#N/A</v>
      </c>
      <c r="D34" s="46" t="e">
        <v>#N/A</v>
      </c>
      <c r="E34" s="46" t="e">
        <v>#N/A</v>
      </c>
      <c r="F34" s="46" t="e">
        <v>#N/A</v>
      </c>
      <c r="G34" s="118">
        <v>3.4889999999999999</v>
      </c>
      <c r="H34" s="118">
        <v>4.0789999999999997</v>
      </c>
      <c r="I34" s="118">
        <v>1.9590000000000001</v>
      </c>
      <c r="J34" s="118">
        <v>8.1699999999999982</v>
      </c>
      <c r="K34" s="58"/>
      <c r="L34" s="58"/>
      <c r="M34" s="106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46" t="e">
        <v>#N/A</v>
      </c>
      <c r="D35" s="46" t="e">
        <v>#N/A</v>
      </c>
      <c r="E35" s="46" t="e">
        <v>#N/A</v>
      </c>
      <c r="F35" s="46" t="e">
        <v>#N/A</v>
      </c>
      <c r="G35" s="118">
        <v>3.7040000000000002</v>
      </c>
      <c r="H35" s="118">
        <v>4.173</v>
      </c>
      <c r="I35" s="118">
        <v>1.5780000000000001</v>
      </c>
      <c r="J35" s="118">
        <v>9.1070000000000011</v>
      </c>
      <c r="K35" s="58"/>
      <c r="L35" s="58"/>
      <c r="M35" s="106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46" t="e">
        <v>#N/A</v>
      </c>
      <c r="D36" s="46" t="e">
        <v>#N/A</v>
      </c>
      <c r="E36" s="46" t="e">
        <v>#N/A</v>
      </c>
      <c r="F36" s="46" t="e">
        <v>#N/A</v>
      </c>
      <c r="G36" s="118">
        <v>3.8540000000000001</v>
      </c>
      <c r="H36" s="118">
        <v>4.1689999999999996</v>
      </c>
      <c r="I36" s="118">
        <v>1.357</v>
      </c>
      <c r="J36" s="118">
        <v>9.7620000000000005</v>
      </c>
      <c r="K36" s="58"/>
      <c r="L36" s="58"/>
      <c r="M36" s="106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46" t="e">
        <v>#N/A</v>
      </c>
      <c r="D37" s="46" t="e">
        <v>#N/A</v>
      </c>
      <c r="E37" s="46" t="e">
        <v>#N/A</v>
      </c>
      <c r="F37" s="46" t="e">
        <v>#N/A</v>
      </c>
      <c r="G37" s="118">
        <v>3.9350000000000005</v>
      </c>
      <c r="H37" s="118">
        <v>4.0869999999999997</v>
      </c>
      <c r="I37" s="118">
        <v>1.333</v>
      </c>
      <c r="J37" s="118">
        <v>9.7120000000000015</v>
      </c>
      <c r="K37" s="58"/>
      <c r="L37" s="58"/>
      <c r="M37" s="106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46" t="e">
        <v>#N/A</v>
      </c>
      <c r="D38" s="46" t="e">
        <v>#N/A</v>
      </c>
      <c r="E38" s="46" t="e">
        <v>#N/A</v>
      </c>
      <c r="F38" s="46" t="e">
        <v>#N/A</v>
      </c>
      <c r="G38" s="118">
        <v>4.0270000000000001</v>
      </c>
      <c r="H38" s="118">
        <v>4.0419999999999998</v>
      </c>
      <c r="I38" s="118">
        <v>1.4339999999999999</v>
      </c>
      <c r="J38" s="118">
        <v>9.7579999999999973</v>
      </c>
      <c r="K38" s="58"/>
      <c r="L38" s="58"/>
      <c r="M38" s="106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46" t="e">
        <v>#N/A</v>
      </c>
      <c r="D39" s="46" t="e">
        <v>#N/A</v>
      </c>
      <c r="E39" s="46" t="e">
        <v>#N/A</v>
      </c>
      <c r="F39" s="46" t="e">
        <v>#N/A</v>
      </c>
      <c r="G39" s="118">
        <v>4.0869999999999997</v>
      </c>
      <c r="H39" s="118">
        <v>3.988</v>
      </c>
      <c r="I39" s="118">
        <v>1.6619999999999999</v>
      </c>
      <c r="J39" s="118">
        <v>9.73</v>
      </c>
      <c r="K39" s="58"/>
      <c r="L39" s="58"/>
      <c r="M39" s="106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46" t="e">
        <v>#N/A</v>
      </c>
      <c r="D40" s="46" t="e">
        <v>#N/A</v>
      </c>
      <c r="E40" s="46" t="e">
        <v>#N/A</v>
      </c>
      <c r="F40" s="46" t="e">
        <v>#N/A</v>
      </c>
      <c r="G40" s="118">
        <v>4.3860000000000001</v>
      </c>
      <c r="H40" s="118">
        <v>4.069</v>
      </c>
      <c r="I40" s="118">
        <v>1.659</v>
      </c>
      <c r="J40" s="118">
        <v>8.980000000000004</v>
      </c>
      <c r="K40" s="58"/>
      <c r="L40" s="58"/>
      <c r="M40" s="106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46" t="e">
        <v>#N/A</v>
      </c>
      <c r="D41" s="46" t="e">
        <v>#N/A</v>
      </c>
      <c r="E41" s="46" t="e">
        <v>#N/A</v>
      </c>
      <c r="F41" s="46" t="e">
        <v>#N/A</v>
      </c>
      <c r="G41" s="118">
        <v>4.4589999999999996</v>
      </c>
      <c r="H41" s="118">
        <v>4.1520000000000001</v>
      </c>
      <c r="I41" s="118">
        <v>1.714</v>
      </c>
      <c r="J41" s="118">
        <v>9.9050000000000011</v>
      </c>
      <c r="K41" s="58"/>
      <c r="L41" s="58"/>
      <c r="M41" s="106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46" t="e">
        <v>#N/A</v>
      </c>
      <c r="D42" s="46" t="e">
        <v>#N/A</v>
      </c>
      <c r="E42" s="46" t="e">
        <v>#N/A</v>
      </c>
      <c r="F42" s="46" t="e">
        <v>#N/A</v>
      </c>
      <c r="G42" s="118">
        <v>5.2030000000000003</v>
      </c>
      <c r="H42" s="118">
        <v>4.6959999999999997</v>
      </c>
      <c r="I42" s="118">
        <v>1.2949999999999999</v>
      </c>
      <c r="J42" s="118">
        <v>13.180000000000001</v>
      </c>
      <c r="K42" s="58"/>
      <c r="L42" s="58"/>
      <c r="M42" s="106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46" t="e">
        <v>#N/A</v>
      </c>
      <c r="D43" s="46" t="e">
        <v>#N/A</v>
      </c>
      <c r="E43" s="46" t="e">
        <v>#N/A</v>
      </c>
      <c r="F43" s="46" t="e">
        <v>#N/A</v>
      </c>
      <c r="G43" s="118">
        <v>5.3460000000000001</v>
      </c>
      <c r="H43" s="118">
        <v>4.7220000000000004</v>
      </c>
      <c r="I43" s="118">
        <v>1.3220000000000001</v>
      </c>
      <c r="J43" s="118">
        <v>11.907</v>
      </c>
      <c r="K43" s="58"/>
      <c r="L43" s="58"/>
      <c r="M43" s="106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46" t="e">
        <v>#N/A</v>
      </c>
      <c r="D44" s="46" t="e">
        <v>#N/A</v>
      </c>
      <c r="E44" s="46" t="e">
        <v>#N/A</v>
      </c>
      <c r="F44" s="46" t="e">
        <v>#N/A</v>
      </c>
      <c r="G44" s="118">
        <v>5.4180000000000001</v>
      </c>
      <c r="H44" s="118">
        <v>4.7060000000000004</v>
      </c>
      <c r="I44" s="118">
        <v>1.4930000000000001</v>
      </c>
      <c r="J44" s="118">
        <v>11.774000000000001</v>
      </c>
      <c r="K44" s="58"/>
      <c r="L44" s="58"/>
      <c r="M44" s="106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46" t="e">
        <v>#N/A</v>
      </c>
      <c r="D45" s="46" t="e">
        <v>#N/A</v>
      </c>
      <c r="E45" s="46" t="e">
        <v>#N/A</v>
      </c>
      <c r="F45" s="46" t="e">
        <v>#N/A</v>
      </c>
      <c r="G45" s="118">
        <v>4.9930000000000003</v>
      </c>
      <c r="H45" s="118">
        <v>4.7809999999999997</v>
      </c>
      <c r="I45" s="118">
        <v>1.373</v>
      </c>
      <c r="J45" s="118">
        <v>10.816999999999998</v>
      </c>
      <c r="K45" s="58"/>
      <c r="L45" s="58"/>
      <c r="M45" s="106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46" t="e">
        <v>#N/A</v>
      </c>
      <c r="D46" s="46" t="e">
        <v>#N/A</v>
      </c>
      <c r="E46" s="46" t="e">
        <v>#N/A</v>
      </c>
      <c r="F46" s="46" t="e">
        <v>#N/A</v>
      </c>
      <c r="G46" s="118">
        <v>5.1230000000000002</v>
      </c>
      <c r="H46" s="118">
        <v>4.8650000000000002</v>
      </c>
      <c r="I46" s="118">
        <v>1.33</v>
      </c>
      <c r="J46" s="118">
        <v>9.49</v>
      </c>
      <c r="K46" s="58"/>
      <c r="L46" s="58"/>
      <c r="M46" s="106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21" t="e">
        <v>#N/A</v>
      </c>
      <c r="D47" s="121" t="e">
        <v>#N/A</v>
      </c>
      <c r="E47" s="121" t="e">
        <v>#N/A</v>
      </c>
      <c r="F47" s="121" t="e">
        <v>#N/A</v>
      </c>
      <c r="G47" s="118">
        <v>5.1989999999999998</v>
      </c>
      <c r="H47" s="118">
        <v>4.8739999999999997</v>
      </c>
      <c r="I47" s="118">
        <v>1.321</v>
      </c>
      <c r="J47" s="118">
        <v>8.8319999999999972</v>
      </c>
      <c r="K47" s="57"/>
      <c r="L47" s="57"/>
      <c r="M47" s="106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21" t="e">
        <v>#N/A</v>
      </c>
      <c r="D48" s="46" t="e">
        <v>#N/A</v>
      </c>
      <c r="E48" s="46" t="e">
        <v>#N/A</v>
      </c>
      <c r="F48" s="46" t="e">
        <v>#N/A</v>
      </c>
      <c r="G48" s="118">
        <v>5.4350000000000005</v>
      </c>
      <c r="H48" s="47">
        <v>4.8719999999999999</v>
      </c>
      <c r="I48" s="47">
        <v>1.2330000000000001</v>
      </c>
      <c r="J48" s="47">
        <v>8.8569999999999975</v>
      </c>
      <c r="K48" s="46"/>
      <c r="L48" s="46"/>
      <c r="M48" s="106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46" t="e">
        <v>#N/A</v>
      </c>
      <c r="D49" s="46" t="e">
        <v>#N/A</v>
      </c>
      <c r="E49" s="46" t="e">
        <v>#N/A</v>
      </c>
      <c r="F49" s="46" t="e">
        <v>#N/A</v>
      </c>
      <c r="G49" s="118">
        <v>5.7170000000000005</v>
      </c>
      <c r="H49" s="47">
        <v>4.9059999999999997</v>
      </c>
      <c r="I49" s="47">
        <v>1.294</v>
      </c>
      <c r="J49" s="47">
        <v>8.8460000000000036</v>
      </c>
      <c r="K49" s="51"/>
      <c r="L49" s="51"/>
      <c r="M49" s="106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46">
        <v>5.5</v>
      </c>
      <c r="D50" s="46">
        <v>4.9000000000000004</v>
      </c>
      <c r="E50" s="46">
        <v>1.4</v>
      </c>
      <c r="F50" s="46">
        <v>8.9</v>
      </c>
      <c r="G50" s="118">
        <v>5.5839999999999996</v>
      </c>
      <c r="H50" s="47">
        <v>4.8689999999999998</v>
      </c>
      <c r="I50" s="47">
        <v>1.361</v>
      </c>
      <c r="J50" s="47">
        <v>8.8290000000000006</v>
      </c>
      <c r="K50" s="51"/>
      <c r="L50" s="51"/>
      <c r="M50" s="106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46">
        <v>5.1999999999999993</v>
      </c>
      <c r="D51" s="46">
        <v>4.9000000000000004</v>
      </c>
      <c r="E51" s="46">
        <v>1.6</v>
      </c>
      <c r="F51" s="46">
        <v>8.9</v>
      </c>
      <c r="G51" s="118">
        <v>5.3780000000000001</v>
      </c>
      <c r="H51" s="47">
        <v>4.8289999999999997</v>
      </c>
      <c r="I51" s="47">
        <v>1.5980000000000001</v>
      </c>
      <c r="J51" s="47">
        <v>8.4009999999999998</v>
      </c>
      <c r="K51" s="51"/>
      <c r="L51" s="51"/>
      <c r="M51" s="106">
        <v>0</v>
      </c>
      <c r="N51" s="2">
        <f t="shared" si="0"/>
        <v>0</v>
      </c>
    </row>
    <row r="52" spans="1:14">
      <c r="A52" s="2" t="s">
        <v>57</v>
      </c>
      <c r="B52" s="45">
        <v>43466</v>
      </c>
      <c r="C52" s="46">
        <v>5.3</v>
      </c>
      <c r="D52" s="46">
        <v>4.9000000000000004</v>
      </c>
      <c r="E52" s="46">
        <v>1.8</v>
      </c>
      <c r="F52" s="46">
        <v>8.8000000000000007</v>
      </c>
      <c r="G52" s="118">
        <v>5.5830000000000002</v>
      </c>
      <c r="H52" s="47">
        <v>4.8940000000000001</v>
      </c>
      <c r="I52" s="47">
        <v>1.77</v>
      </c>
      <c r="J52" s="47">
        <v>8.7079999999999984</v>
      </c>
      <c r="K52" s="51"/>
      <c r="L52" s="51"/>
      <c r="M52" s="106">
        <v>0</v>
      </c>
      <c r="N52" s="2">
        <f t="shared" si="0"/>
        <v>0</v>
      </c>
    </row>
    <row r="53" spans="1:14">
      <c r="A53" s="2" t="s">
        <v>58</v>
      </c>
      <c r="B53" s="45">
        <v>43831</v>
      </c>
      <c r="C53" s="46">
        <v>5.2</v>
      </c>
      <c r="D53" s="46">
        <v>5</v>
      </c>
      <c r="E53" s="46">
        <v>2.1</v>
      </c>
      <c r="F53" s="46">
        <v>8.4</v>
      </c>
      <c r="G53" s="118" t="e">
        <v>#N/A</v>
      </c>
      <c r="H53" s="47" t="e">
        <v>#N/A</v>
      </c>
      <c r="I53" s="47" t="e">
        <v>#N/A</v>
      </c>
      <c r="J53" s="47" t="e">
        <v>#N/A</v>
      </c>
      <c r="K53" s="51"/>
      <c r="L53" s="51"/>
      <c r="M53" s="106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46">
        <v>5.4</v>
      </c>
      <c r="D54" s="46">
        <v>5.0999999999999996</v>
      </c>
      <c r="E54" s="46">
        <v>2.2999999999999998</v>
      </c>
      <c r="F54" s="46">
        <v>8.1999999999999993</v>
      </c>
      <c r="G54" s="118" t="e">
        <v>#N/A</v>
      </c>
      <c r="H54" s="47" t="e">
        <v>#N/A</v>
      </c>
      <c r="I54" s="47" t="e">
        <v>#N/A</v>
      </c>
      <c r="J54" s="47" t="e">
        <v>#N/A</v>
      </c>
      <c r="K54" s="51"/>
      <c r="L54" s="51"/>
      <c r="M54" s="106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46">
        <v>5.6</v>
      </c>
      <c r="D55" s="46">
        <v>5.2</v>
      </c>
      <c r="E55" s="46">
        <v>2.4</v>
      </c>
      <c r="F55" s="46">
        <v>8.1</v>
      </c>
      <c r="G55" s="118" t="e">
        <v>#N/A</v>
      </c>
      <c r="H55" s="47" t="e">
        <v>#N/A</v>
      </c>
      <c r="I55" s="47" t="e">
        <v>#N/A</v>
      </c>
      <c r="J55" s="47" t="e">
        <v>#N/A</v>
      </c>
      <c r="K55" s="51"/>
      <c r="L55" s="51"/>
      <c r="M55" s="106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46">
        <v>5.6999999999999993</v>
      </c>
      <c r="D56" s="46">
        <v>5.3</v>
      </c>
      <c r="E56" s="46">
        <v>2.6</v>
      </c>
      <c r="F56" s="46">
        <v>7.9</v>
      </c>
      <c r="G56" s="118" t="e">
        <v>#N/A</v>
      </c>
      <c r="H56" s="47" t="e">
        <v>#N/A</v>
      </c>
      <c r="I56" s="47" t="e">
        <v>#N/A</v>
      </c>
      <c r="J56" s="47" t="e">
        <v>#N/A</v>
      </c>
      <c r="K56" s="51"/>
      <c r="L56" s="51"/>
      <c r="M56" s="106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46">
        <v>5.8</v>
      </c>
      <c r="D57" s="46">
        <v>5.4</v>
      </c>
      <c r="E57" s="46">
        <v>2.7</v>
      </c>
      <c r="F57" s="46">
        <v>7.8</v>
      </c>
      <c r="G57" s="118" t="e">
        <v>#N/A</v>
      </c>
      <c r="H57" s="47" t="e">
        <v>#N/A</v>
      </c>
      <c r="I57" s="47" t="e">
        <v>#N/A</v>
      </c>
      <c r="J57" s="47" t="e">
        <v>#N/A</v>
      </c>
      <c r="K57" s="51"/>
      <c r="L57" s="51"/>
      <c r="M57" s="106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46">
        <v>6</v>
      </c>
      <c r="D58" s="46">
        <v>5.5</v>
      </c>
      <c r="E58" s="46">
        <v>2.7</v>
      </c>
      <c r="F58" s="46">
        <v>7.6</v>
      </c>
      <c r="G58" s="118" t="e">
        <v>#N/A</v>
      </c>
      <c r="H58" s="47" t="e">
        <v>#N/A</v>
      </c>
      <c r="I58" s="47" t="e">
        <v>#N/A</v>
      </c>
      <c r="J58" s="47" t="e">
        <v>#N/A</v>
      </c>
      <c r="K58" s="51"/>
      <c r="L58" s="51"/>
      <c r="M58" s="106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46">
        <v>6.1</v>
      </c>
      <c r="D59" s="46">
        <v>5.6</v>
      </c>
      <c r="E59" s="46">
        <v>2.8</v>
      </c>
      <c r="F59" s="46">
        <v>7.6</v>
      </c>
      <c r="G59" s="118" t="e">
        <v>#N/A</v>
      </c>
      <c r="H59" s="47" t="e">
        <v>#N/A</v>
      </c>
      <c r="I59" s="47" t="e">
        <v>#N/A</v>
      </c>
      <c r="J59" s="47" t="e">
        <v>#N/A</v>
      </c>
      <c r="K59" s="51"/>
      <c r="L59" s="51"/>
      <c r="M59" s="106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46">
        <v>6.4</v>
      </c>
      <c r="D60" s="46">
        <v>5.7</v>
      </c>
      <c r="E60" s="46">
        <v>2.8</v>
      </c>
      <c r="F60" s="46">
        <v>7.4</v>
      </c>
      <c r="G60" s="118" t="e">
        <v>#N/A</v>
      </c>
      <c r="H60" s="47" t="e">
        <v>#N/A</v>
      </c>
      <c r="I60" s="47" t="e">
        <v>#N/A</v>
      </c>
      <c r="J60" s="47" t="e">
        <v>#N/A</v>
      </c>
      <c r="K60" s="51"/>
      <c r="L60" s="51"/>
      <c r="M60" s="106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46">
        <v>6.5</v>
      </c>
      <c r="D61" s="46">
        <v>5.8</v>
      </c>
      <c r="E61" s="46">
        <v>2.9</v>
      </c>
      <c r="F61" s="46">
        <v>7.3</v>
      </c>
      <c r="G61" s="118" t="e">
        <v>#N/A</v>
      </c>
      <c r="H61" s="47" t="e">
        <v>#N/A</v>
      </c>
      <c r="I61" s="47" t="e">
        <v>#N/A</v>
      </c>
      <c r="J61" s="47" t="e">
        <v>#N/A</v>
      </c>
      <c r="K61" s="51"/>
      <c r="L61" s="51"/>
      <c r="M61" s="106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46">
        <v>6.6</v>
      </c>
      <c r="D62" s="46">
        <v>5.9</v>
      </c>
      <c r="E62" s="46">
        <v>3</v>
      </c>
      <c r="F62" s="46">
        <v>7.3</v>
      </c>
      <c r="G62" s="118" t="e">
        <v>#N/A</v>
      </c>
      <c r="H62" s="47" t="e">
        <v>#N/A</v>
      </c>
      <c r="I62" s="47" t="e">
        <v>#N/A</v>
      </c>
      <c r="J62" s="47" t="e">
        <v>#N/A</v>
      </c>
      <c r="K62" s="51"/>
      <c r="L62" s="51"/>
      <c r="M62" s="106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46">
        <v>6.9</v>
      </c>
      <c r="D63" s="46">
        <v>6</v>
      </c>
      <c r="E63" s="46">
        <v>3</v>
      </c>
      <c r="F63" s="46">
        <v>7.2</v>
      </c>
      <c r="G63" s="118" t="e">
        <v>#N/A</v>
      </c>
      <c r="H63" s="47" t="e">
        <v>#N/A</v>
      </c>
      <c r="I63" s="47" t="e">
        <v>#N/A</v>
      </c>
      <c r="J63" s="47" t="e">
        <v>#N/A</v>
      </c>
      <c r="K63" s="51"/>
      <c r="L63" s="51"/>
      <c r="M63" s="106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46">
        <v>7</v>
      </c>
      <c r="D64" s="46">
        <v>6.1</v>
      </c>
      <c r="E64" s="46">
        <v>3.1</v>
      </c>
      <c r="F64" s="46">
        <v>7.2</v>
      </c>
      <c r="G64" s="118" t="e">
        <v>#N/A</v>
      </c>
      <c r="H64" s="47" t="e">
        <v>#N/A</v>
      </c>
      <c r="I64" s="47" t="e">
        <v>#N/A</v>
      </c>
      <c r="J64" s="47" t="e">
        <v>#N/A</v>
      </c>
      <c r="K64" s="51"/>
      <c r="L64" s="51"/>
      <c r="M64" s="106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46">
        <v>7.2</v>
      </c>
      <c r="D65" s="46">
        <v>6.1</v>
      </c>
      <c r="E65" s="46">
        <v>3.2</v>
      </c>
      <c r="F65" s="46">
        <v>7.2</v>
      </c>
      <c r="G65" s="118" t="e">
        <v>#N/A</v>
      </c>
      <c r="H65" s="47" t="e">
        <v>#N/A</v>
      </c>
      <c r="I65" s="47" t="e">
        <v>#N/A</v>
      </c>
      <c r="J65" s="47" t="e">
        <v>#N/A</v>
      </c>
      <c r="K65" s="51"/>
      <c r="L65" s="51"/>
      <c r="M65" s="106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46">
        <v>7.3</v>
      </c>
      <c r="D66" s="46">
        <v>6.1</v>
      </c>
      <c r="E66" s="46">
        <v>3.3</v>
      </c>
      <c r="F66" s="46">
        <v>7.2</v>
      </c>
      <c r="G66" s="118" t="e">
        <v>#N/A</v>
      </c>
      <c r="H66" s="47" t="e">
        <v>#N/A</v>
      </c>
      <c r="I66" s="47" t="e">
        <v>#N/A</v>
      </c>
      <c r="J66" s="47" t="e">
        <v>#N/A</v>
      </c>
      <c r="K66" s="51"/>
      <c r="L66" s="51"/>
      <c r="M66" s="106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46">
        <v>7.4</v>
      </c>
      <c r="D67" s="46">
        <v>6.2</v>
      </c>
      <c r="E67" s="46">
        <v>3.4</v>
      </c>
      <c r="F67" s="46">
        <v>7.2</v>
      </c>
      <c r="G67" s="118" t="e">
        <v>#N/A</v>
      </c>
      <c r="H67" s="47" t="e">
        <v>#N/A</v>
      </c>
      <c r="I67" s="47" t="e">
        <v>#N/A</v>
      </c>
      <c r="J67" s="47" t="e">
        <v>#N/A</v>
      </c>
      <c r="K67" s="51"/>
      <c r="L67" s="51"/>
      <c r="M67" s="106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46">
        <v>7.6</v>
      </c>
      <c r="D68" s="46">
        <v>6.2</v>
      </c>
      <c r="E68" s="46">
        <v>3.5</v>
      </c>
      <c r="F68" s="46">
        <v>7.2</v>
      </c>
      <c r="G68" s="118" t="e">
        <v>#N/A</v>
      </c>
      <c r="H68" s="47" t="e">
        <v>#N/A</v>
      </c>
      <c r="I68" s="47" t="e">
        <v>#N/A</v>
      </c>
      <c r="J68" s="47" t="e">
        <v>#N/A</v>
      </c>
      <c r="K68" s="51"/>
      <c r="L68" s="51"/>
      <c r="M68" s="106" t="e">
        <v>#N/A</v>
      </c>
      <c r="N68" s="2">
        <f t="shared" si="0"/>
        <v>0</v>
      </c>
    </row>
    <row r="69" spans="1:14">
      <c r="B69" s="48"/>
      <c r="C69" s="49"/>
      <c r="D69" s="50"/>
      <c r="E69" s="50"/>
      <c r="F69" s="50"/>
      <c r="G69" s="56"/>
      <c r="H69" s="6"/>
      <c r="I69" s="6"/>
    </row>
    <row r="70" spans="1:14">
      <c r="B70" s="48"/>
      <c r="C70" s="49"/>
      <c r="D70" s="50"/>
      <c r="E70" s="50"/>
      <c r="F70" s="50"/>
      <c r="G70" s="56"/>
      <c r="H70" s="6"/>
      <c r="I70" s="6"/>
    </row>
    <row r="71" spans="1:14">
      <c r="B71" s="48"/>
      <c r="C71" s="49"/>
      <c r="D71" s="50"/>
      <c r="E71" s="50"/>
      <c r="F71" s="50"/>
      <c r="G71" s="56"/>
      <c r="H71" s="6"/>
      <c r="I71" s="6"/>
    </row>
    <row r="72" spans="1:14">
      <c r="B72" s="48"/>
      <c r="C72" s="49"/>
      <c r="D72" s="50"/>
      <c r="E72" s="50"/>
      <c r="F72" s="50"/>
      <c r="G72" s="56"/>
      <c r="H72" s="6"/>
      <c r="I72" s="6"/>
    </row>
    <row r="73" spans="1:14">
      <c r="B73" s="48"/>
      <c r="C73" s="49"/>
      <c r="D73" s="50"/>
      <c r="E73" s="50"/>
      <c r="F73" s="50"/>
      <c r="G73" s="56"/>
      <c r="H73" s="6"/>
      <c r="I73" s="6"/>
    </row>
    <row r="74" spans="1:14">
      <c r="B74" s="48"/>
      <c r="C74" s="49"/>
      <c r="D74" s="50"/>
      <c r="E74" s="50"/>
      <c r="F74" s="50"/>
      <c r="G74" s="56"/>
      <c r="H74" s="6"/>
      <c r="I74" s="6"/>
    </row>
    <row r="75" spans="1:14">
      <c r="B75" s="48"/>
      <c r="C75" s="49"/>
      <c r="D75" s="50"/>
      <c r="E75" s="50"/>
      <c r="F75" s="50"/>
      <c r="G75" s="56"/>
      <c r="H75" s="6"/>
      <c r="I75" s="6"/>
    </row>
    <row r="76" spans="1:14">
      <c r="B76" s="48"/>
      <c r="C76" s="49"/>
      <c r="D76" s="50"/>
      <c r="E76" s="50"/>
      <c r="F76" s="50"/>
      <c r="G76" s="56"/>
      <c r="H76" s="6"/>
      <c r="I76" s="6"/>
    </row>
    <row r="77" spans="1:14">
      <c r="B77" s="48"/>
      <c r="C77" s="49"/>
      <c r="D77" s="50"/>
      <c r="E77" s="50"/>
      <c r="F77" s="50"/>
      <c r="G77" s="56"/>
      <c r="H77" s="6"/>
      <c r="I77" s="6"/>
    </row>
    <row r="78" spans="1:14">
      <c r="B78" s="48"/>
      <c r="C78" s="49"/>
      <c r="D78" s="50"/>
      <c r="E78" s="50"/>
      <c r="F78" s="50"/>
      <c r="G78" s="56"/>
      <c r="H78" s="6"/>
      <c r="I78" s="6"/>
    </row>
    <row r="79" spans="1:14">
      <c r="B79" s="48"/>
      <c r="C79" s="49"/>
      <c r="D79" s="50"/>
      <c r="E79" s="50"/>
      <c r="F79" s="50"/>
      <c r="G79" s="56"/>
      <c r="H79" s="6"/>
      <c r="I79" s="6"/>
    </row>
    <row r="80" spans="1:14">
      <c r="B80" s="48"/>
      <c r="C80" s="49"/>
      <c r="D80" s="50"/>
      <c r="E80" s="50"/>
      <c r="F80" s="50"/>
      <c r="G80" s="56"/>
      <c r="H80" s="6"/>
      <c r="I80" s="6"/>
    </row>
    <row r="81" spans="2:9">
      <c r="B81" s="48"/>
      <c r="C81" s="49"/>
      <c r="D81" s="50"/>
      <c r="E81" s="50"/>
      <c r="F81" s="50"/>
      <c r="G81" s="56"/>
      <c r="H81" s="6"/>
      <c r="I81" s="6"/>
    </row>
    <row r="82" spans="2:9">
      <c r="B82" s="48"/>
      <c r="C82" s="49"/>
      <c r="D82" s="50"/>
      <c r="E82" s="50"/>
      <c r="F82" s="50"/>
      <c r="G82" s="56"/>
      <c r="H82" s="6"/>
      <c r="I82" s="6"/>
    </row>
    <row r="83" spans="2:9">
      <c r="B83" s="48"/>
      <c r="C83" s="49"/>
      <c r="D83" s="50"/>
      <c r="E83" s="50"/>
      <c r="F83" s="50"/>
      <c r="G83" s="56"/>
      <c r="H83" s="6"/>
      <c r="I83" s="6"/>
    </row>
    <row r="84" spans="2:9">
      <c r="B84" s="48"/>
      <c r="C84" s="49"/>
      <c r="D84" s="50"/>
      <c r="E84" s="50"/>
      <c r="F84" s="50"/>
      <c r="G84" s="56"/>
      <c r="H84" s="6"/>
      <c r="I84" s="6"/>
    </row>
    <row r="85" spans="2:9">
      <c r="B85" s="48"/>
      <c r="C85" s="49"/>
      <c r="D85" s="50"/>
      <c r="E85" s="50"/>
      <c r="F85" s="50"/>
      <c r="G85" s="56"/>
      <c r="H85" s="6"/>
      <c r="I85" s="6"/>
    </row>
    <row r="86" spans="2:9">
      <c r="B86" s="48"/>
      <c r="C86" s="49"/>
      <c r="D86" s="50"/>
      <c r="E86" s="50"/>
      <c r="F86" s="50"/>
      <c r="G86" s="56"/>
      <c r="H86" s="6"/>
      <c r="I86" s="6"/>
    </row>
    <row r="87" spans="2:9">
      <c r="B87" s="48"/>
      <c r="C87" s="49"/>
      <c r="D87" s="50"/>
      <c r="E87" s="50"/>
      <c r="F87" s="50"/>
      <c r="G87" s="56"/>
      <c r="H87" s="6"/>
      <c r="I87" s="6"/>
    </row>
    <row r="88" spans="2:9">
      <c r="B88" s="48"/>
      <c r="C88" s="49"/>
      <c r="D88" s="50"/>
      <c r="E88" s="50"/>
      <c r="F88" s="50"/>
      <c r="G88" s="56"/>
      <c r="H88" s="6"/>
      <c r="I88" s="6"/>
    </row>
    <row r="89" spans="2:9">
      <c r="B89" s="48"/>
      <c r="C89" s="49"/>
      <c r="D89" s="50"/>
      <c r="E89" s="50"/>
      <c r="F89" s="50"/>
      <c r="G89" s="56"/>
      <c r="H89" s="6"/>
      <c r="I89" s="6"/>
    </row>
    <row r="90" spans="2:9">
      <c r="B90" s="48"/>
      <c r="C90" s="49"/>
      <c r="D90" s="50"/>
      <c r="E90" s="50"/>
      <c r="F90" s="50"/>
      <c r="G90" s="56"/>
      <c r="H90" s="6"/>
      <c r="I90" s="6"/>
    </row>
    <row r="91" spans="2:9">
      <c r="B91" s="48"/>
      <c r="C91" s="49"/>
      <c r="D91" s="50"/>
      <c r="E91" s="50"/>
      <c r="F91" s="50"/>
      <c r="G91" s="56"/>
      <c r="H91" s="6"/>
      <c r="I91" s="6"/>
    </row>
    <row r="92" spans="2:9">
      <c r="B92" s="48"/>
      <c r="C92" s="49"/>
      <c r="D92" s="50"/>
      <c r="E92" s="50"/>
      <c r="F92" s="50"/>
      <c r="G92" s="56"/>
      <c r="H92" s="6"/>
      <c r="I92" s="6"/>
    </row>
    <row r="93" spans="2:9">
      <c r="B93" s="48"/>
      <c r="C93" s="49"/>
      <c r="D93" s="50"/>
      <c r="E93" s="50"/>
      <c r="F93" s="50"/>
      <c r="G93" s="56"/>
      <c r="H93" s="6"/>
      <c r="I93" s="6"/>
    </row>
    <row r="94" spans="2:9">
      <c r="B94" s="48"/>
      <c r="C94" s="49"/>
      <c r="D94" s="50"/>
      <c r="E94" s="50"/>
      <c r="F94" s="50"/>
      <c r="G94" s="56"/>
      <c r="H94" s="6"/>
      <c r="I94" s="6"/>
    </row>
    <row r="95" spans="2:9">
      <c r="B95" s="48"/>
      <c r="C95" s="49"/>
      <c r="D95" s="50"/>
      <c r="E95" s="50"/>
      <c r="F95" s="50"/>
      <c r="G95" s="56"/>
      <c r="H95" s="6"/>
      <c r="I95" s="6"/>
    </row>
    <row r="96" spans="2:9">
      <c r="B96" s="48"/>
      <c r="C96" s="49"/>
      <c r="D96" s="50"/>
      <c r="E96" s="50"/>
      <c r="F96" s="50"/>
      <c r="G96" s="56"/>
      <c r="H96" s="6"/>
      <c r="I96" s="6"/>
    </row>
    <row r="97" spans="2:9">
      <c r="B97" s="48"/>
      <c r="C97" s="49"/>
      <c r="D97" s="50"/>
      <c r="E97" s="50"/>
      <c r="F97" s="50"/>
      <c r="G97" s="56"/>
      <c r="H97" s="6"/>
      <c r="I97" s="6"/>
    </row>
    <row r="98" spans="2:9">
      <c r="B98" s="48"/>
      <c r="C98" s="49"/>
      <c r="D98" s="50"/>
      <c r="E98" s="50"/>
      <c r="F98" s="50"/>
      <c r="G98" s="56"/>
      <c r="H98" s="6"/>
      <c r="I98" s="6"/>
    </row>
    <row r="99" spans="2:9">
      <c r="B99" s="48"/>
      <c r="C99" s="49"/>
      <c r="D99" s="50"/>
      <c r="E99" s="50"/>
      <c r="F99" s="50"/>
      <c r="G99" s="56"/>
      <c r="H99" s="6"/>
      <c r="I99" s="6"/>
    </row>
    <row r="100" spans="2:9">
      <c r="B100" s="48"/>
      <c r="C100" s="49"/>
      <c r="D100" s="50"/>
      <c r="E100" s="50"/>
      <c r="F100" s="50"/>
      <c r="G100" s="56"/>
      <c r="H100" s="6"/>
      <c r="I100" s="6"/>
    </row>
    <row r="101" spans="2:9">
      <c r="B101" s="48"/>
      <c r="C101" s="49"/>
      <c r="D101" s="50"/>
      <c r="E101" s="50"/>
      <c r="F101" s="50"/>
      <c r="G101" s="56"/>
      <c r="H101" s="6"/>
      <c r="I101" s="6"/>
    </row>
    <row r="102" spans="2:9">
      <c r="B102" s="48"/>
      <c r="C102" s="49"/>
      <c r="D102" s="50"/>
      <c r="E102" s="50"/>
      <c r="F102" s="50"/>
      <c r="G102" s="56"/>
      <c r="H102" s="6"/>
      <c r="I102" s="6"/>
    </row>
    <row r="103" spans="2:9">
      <c r="B103" s="48"/>
      <c r="C103" s="49"/>
      <c r="D103" s="50"/>
      <c r="E103" s="50"/>
      <c r="F103" s="50"/>
      <c r="G103" s="56"/>
      <c r="H103" s="6"/>
      <c r="I103" s="6"/>
    </row>
    <row r="104" spans="2:9">
      <c r="B104" s="48"/>
      <c r="C104" s="49"/>
      <c r="D104" s="50"/>
      <c r="E104" s="50"/>
      <c r="F104" s="50"/>
      <c r="G104" s="56"/>
      <c r="H104" s="6"/>
      <c r="I104" s="6"/>
    </row>
    <row r="105" spans="2:9">
      <c r="B105" s="48"/>
      <c r="C105" s="49"/>
      <c r="D105" s="50"/>
      <c r="E105" s="50"/>
      <c r="F105" s="50"/>
      <c r="G105" s="56"/>
      <c r="H105" s="6"/>
      <c r="I105" s="6"/>
    </row>
    <row r="106" spans="2:9">
      <c r="B106" s="48"/>
      <c r="C106" s="49"/>
      <c r="D106" s="50"/>
      <c r="E106" s="50"/>
      <c r="F106" s="50"/>
      <c r="G106" s="56"/>
      <c r="H106" s="6"/>
      <c r="I106" s="6"/>
    </row>
    <row r="107" spans="2:9">
      <c r="B107" s="48"/>
      <c r="C107" s="49"/>
      <c r="D107" s="50"/>
      <c r="E107" s="50"/>
      <c r="F107" s="50"/>
      <c r="G107" s="56"/>
      <c r="H107" s="6"/>
      <c r="I107" s="6"/>
    </row>
    <row r="108" spans="2:9">
      <c r="B108" s="48"/>
      <c r="C108" s="49"/>
      <c r="D108" s="50"/>
      <c r="E108" s="50"/>
      <c r="F108" s="50"/>
      <c r="G108" s="56"/>
      <c r="H108" s="6"/>
      <c r="I108" s="6"/>
    </row>
    <row r="109" spans="2:9">
      <c r="B109" s="48"/>
      <c r="C109" s="49"/>
      <c r="D109" s="50"/>
      <c r="E109" s="50"/>
      <c r="F109" s="50"/>
      <c r="G109" s="56"/>
      <c r="H109" s="6"/>
      <c r="I109" s="6"/>
    </row>
    <row r="110" spans="2:9">
      <c r="B110" s="48"/>
      <c r="C110" s="49"/>
      <c r="D110" s="50"/>
      <c r="E110" s="50"/>
      <c r="F110" s="50"/>
      <c r="G110" s="56"/>
      <c r="H110" s="6"/>
      <c r="I110" s="6"/>
    </row>
    <row r="111" spans="2:9">
      <c r="B111" s="48"/>
      <c r="C111" s="49"/>
      <c r="D111" s="50"/>
      <c r="E111" s="50"/>
      <c r="F111" s="50"/>
      <c r="G111" s="56"/>
      <c r="H111" s="6"/>
      <c r="I111" s="6"/>
    </row>
    <row r="112" spans="2:9">
      <c r="B112" s="48"/>
      <c r="C112" s="49"/>
      <c r="D112" s="50"/>
      <c r="E112" s="50"/>
      <c r="F112" s="50"/>
      <c r="G112" s="56"/>
      <c r="H112" s="6"/>
      <c r="I112" s="6"/>
    </row>
    <row r="113" spans="2:9">
      <c r="B113" s="48"/>
      <c r="C113" s="49"/>
      <c r="D113" s="50"/>
      <c r="E113" s="50"/>
      <c r="F113" s="50"/>
      <c r="G113" s="56"/>
      <c r="H113" s="6"/>
      <c r="I113" s="6"/>
    </row>
    <row r="114" spans="2:9">
      <c r="B114" s="48"/>
      <c r="C114" s="49"/>
      <c r="D114" s="50"/>
      <c r="E114" s="50"/>
      <c r="F114" s="50"/>
      <c r="G114" s="56"/>
      <c r="H114" s="6"/>
      <c r="I114" s="6"/>
    </row>
    <row r="115" spans="2:9">
      <c r="B115" s="48"/>
      <c r="C115" s="49"/>
      <c r="D115" s="50"/>
      <c r="E115" s="50"/>
      <c r="F115" s="50"/>
      <c r="G115" s="56"/>
      <c r="H115" s="6"/>
      <c r="I115" s="6"/>
    </row>
    <row r="116" spans="2:9">
      <c r="B116" s="48"/>
      <c r="C116" s="49"/>
      <c r="D116" s="50"/>
      <c r="E116" s="50"/>
      <c r="F116" s="50"/>
      <c r="G116" s="56"/>
      <c r="H116" s="6"/>
      <c r="I116" s="6"/>
    </row>
    <row r="117" spans="2:9">
      <c r="B117" s="48"/>
      <c r="C117" s="49"/>
      <c r="D117" s="50"/>
      <c r="E117" s="50"/>
      <c r="F117" s="50"/>
      <c r="G117" s="56"/>
      <c r="H117" s="6"/>
      <c r="I117" s="6"/>
    </row>
    <row r="118" spans="2:9">
      <c r="B118" s="48"/>
      <c r="C118" s="49"/>
      <c r="D118" s="50"/>
      <c r="E118" s="50"/>
      <c r="F118" s="50"/>
      <c r="G118" s="56"/>
      <c r="H118" s="6"/>
      <c r="I118" s="6"/>
    </row>
    <row r="119" spans="2:9">
      <c r="B119" s="48"/>
      <c r="C119" s="49"/>
      <c r="D119" s="50"/>
      <c r="E119" s="50"/>
      <c r="F119" s="50"/>
      <c r="G119" s="56"/>
      <c r="H119" s="6"/>
      <c r="I119" s="6"/>
    </row>
    <row r="120" spans="2:9">
      <c r="B120" s="48"/>
      <c r="C120" s="49"/>
      <c r="D120" s="50"/>
      <c r="E120" s="50"/>
      <c r="F120" s="50"/>
      <c r="G120" s="56"/>
      <c r="H120" s="6"/>
      <c r="I120" s="6"/>
    </row>
    <row r="121" spans="2:9">
      <c r="B121" s="48"/>
      <c r="C121" s="49"/>
      <c r="D121" s="50"/>
      <c r="E121" s="50"/>
      <c r="F121" s="50"/>
      <c r="H121" s="6"/>
      <c r="I121" s="6"/>
    </row>
    <row r="122" spans="2:9">
      <c r="B122" s="48"/>
      <c r="C122" s="49"/>
      <c r="D122" s="50"/>
      <c r="E122" s="50"/>
      <c r="F122" s="50"/>
      <c r="H122" s="6"/>
      <c r="I122" s="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4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4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4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4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4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4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4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4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4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4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4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4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4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4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4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4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4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4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4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4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4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4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4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4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4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4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4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4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4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4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4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4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4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4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4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4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4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4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4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4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4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4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4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4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4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4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4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4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4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-18000</v>
      </c>
      <c r="C51" s="21" t="str">
        <f>IF(ISNUMBER('Change in Employment'!J58),TEXT('Change in Employment'!J58, "0"),"")</f>
        <v>-5333</v>
      </c>
      <c r="D51" s="104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</v>
      </c>
      <c r="D52" s="104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1000</v>
      </c>
      <c r="C53" s="21" t="str">
        <f>IF(ISNUMBER('Change in Employment'!J60),TEXT('Change in Employment'!J60, "0"),"")</f>
        <v>-1667</v>
      </c>
      <c r="D53" s="104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4000</v>
      </c>
      <c r="D54" s="104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14000</v>
      </c>
      <c r="C55" s="21" t="str">
        <f>IF(ISNUMBER('Change in Employment'!J62),TEXT('Change in Employment'!J62, "0"),"")</f>
        <v>4667</v>
      </c>
      <c r="D55" s="104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-20000</v>
      </c>
      <c r="C56" s="21" t="str">
        <f>IF(ISNUMBER('Change in Employment'!J63),TEXT('Change in Employment'!J63, "0"),"")</f>
        <v>-2333</v>
      </c>
      <c r="D56" s="104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-15000</v>
      </c>
      <c r="C57" s="21" t="str">
        <f>IF(ISNUMBER('Change in Employment'!J64),TEXT('Change in Employment'!J64, "0"),"")</f>
        <v>-7000</v>
      </c>
      <c r="D57" s="104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23000</v>
      </c>
      <c r="C58" s="21" t="str">
        <f>IF(ISNUMBER('Change in Employment'!J65),TEXT('Change in Employment'!J65, "0"),"")</f>
        <v>-4000</v>
      </c>
      <c r="D58" s="104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5000</v>
      </c>
      <c r="C59" s="21" t="str">
        <f>IF(ISNUMBER('Change in Employment'!J66),TEXT('Change in Employment'!J66, "0"),"")</f>
        <v>4333</v>
      </c>
      <c r="D59" s="104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9000</v>
      </c>
      <c r="C60" s="21" t="str">
        <f>IF(ISNUMBER('Change in Employment'!J67),TEXT('Change in Employment'!J67, "0"),"")</f>
        <v>12333</v>
      </c>
      <c r="D60" s="104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6000</v>
      </c>
      <c r="C61" s="21" t="str">
        <f>IF(ISNUMBER('Change in Employment'!J68),TEXT('Change in Employment'!J68, "0"),"")</f>
        <v>6667</v>
      </c>
      <c r="D61" s="104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-18000</v>
      </c>
      <c r="C62" s="21" t="str">
        <f>IF(ISNUMBER('Change in Employment'!J69),TEXT('Change in Employment'!J69, "0"),"")</f>
        <v>-1000</v>
      </c>
      <c r="D62" s="104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-1000</v>
      </c>
      <c r="C63" s="21" t="str">
        <f>IF(ISNUMBER('Change in Employment'!J70),TEXT('Change in Employment'!J70, "0"),"")</f>
        <v>-4333</v>
      </c>
      <c r="D63" s="104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-1000</v>
      </c>
      <c r="D64" s="104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11000</v>
      </c>
      <c r="C65" s="21" t="str">
        <f>IF(ISNUMBER('Change in Employment'!J72),TEXT('Change in Employment'!J72, "0"),"")</f>
        <v>8667</v>
      </c>
      <c r="D65" s="104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20000</v>
      </c>
      <c r="C66" s="21" t="str">
        <f>IF(ISNUMBER('Change in Employment'!J73),TEXT('Change in Employment'!J73, "0"),"")</f>
        <v>15667</v>
      </c>
      <c r="D66" s="104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-21000</v>
      </c>
      <c r="C67" s="21" t="str">
        <f>IF(ISNUMBER('Change in Employment'!J74),TEXT('Change in Employment'!J74, "0"),"")</f>
        <v>3333</v>
      </c>
      <c r="D67" s="104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62000</v>
      </c>
      <c r="C68" s="21" t="str">
        <f>IF(ISNUMBER('Change in Employment'!J75),TEXT('Change in Employment'!J75, "0"),"")</f>
        <v>20333</v>
      </c>
      <c r="D68" s="104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4000</v>
      </c>
      <c r="C69" s="21" t="str">
        <f>IF(ISNUMBER('Change in Employment'!J76),TEXT('Change in Employment'!J76, "0"),"")</f>
        <v>15000</v>
      </c>
      <c r="D69" s="104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-50000</v>
      </c>
      <c r="C70" s="21" t="str">
        <f>IF(ISNUMBER('Change in Employment'!J77),TEXT('Change in Employment'!J77, "0"),"")</f>
        <v>5333</v>
      </c>
      <c r="D70" s="104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-1333</v>
      </c>
      <c r="D71" s="104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20000</v>
      </c>
      <c r="C72" s="21" t="str">
        <f>IF(ISNUMBER('Change in Employment'!J79),TEXT('Change in Employment'!J79, "0"),"")</f>
        <v>4000</v>
      </c>
      <c r="D72" s="104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10000</v>
      </c>
      <c r="C73" s="21" t="str">
        <f>IF(ISNUMBER('Change in Employment'!J80),TEXT('Change in Employment'!J80, "0"),"")</f>
        <v>24000</v>
      </c>
      <c r="D73" s="104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12000</v>
      </c>
      <c r="C74" s="21" t="str">
        <f>IF(ISNUMBER('Change in Employment'!J81),TEXT('Change in Employment'!J81, "0"),"")</f>
        <v>14000</v>
      </c>
      <c r="D74" s="104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11000</v>
      </c>
      <c r="C75" s="21" t="str">
        <f>IF(ISNUMBER('Change in Employment'!J82),TEXT('Change in Employment'!J82, "0"),"")</f>
        <v>11000</v>
      </c>
      <c r="D75" s="104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17000</v>
      </c>
      <c r="C76" s="21" t="str">
        <f>IF(ISNUMBER('Change in Employment'!J83),TEXT('Change in Employment'!J83, "0"),"")</f>
        <v>13333</v>
      </c>
      <c r="D76" s="104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-10000</v>
      </c>
      <c r="C77" s="21" t="str">
        <f>IF(ISNUMBER('Change in Employment'!J84),TEXT('Change in Employment'!J84, "0"),"")</f>
        <v>6000</v>
      </c>
      <c r="D77" s="104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24000</v>
      </c>
      <c r="C78" s="21" t="str">
        <f>IF(ISNUMBER('Change in Employment'!J85),TEXT('Change in Employment'!J85, "0"),"")</f>
        <v>10333</v>
      </c>
      <c r="D78" s="104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9667</v>
      </c>
      <c r="D79" s="104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-3000</v>
      </c>
      <c r="C80" s="21" t="str">
        <f>IF(ISNUMBER('Change in Employment'!J87),TEXT('Change in Employment'!J87, "0"),"")</f>
        <v>12000</v>
      </c>
      <c r="D80" s="104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37000</v>
      </c>
      <c r="C81" s="21" t="str">
        <f>IF(ISNUMBER('Change in Employment'!J88),TEXT('Change in Employment'!J88, "0"),"")</f>
        <v>16333</v>
      </c>
      <c r="D81" s="104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7000</v>
      </c>
      <c r="C82" s="21" t="str">
        <f>IF(ISNUMBER('Change in Employment'!J89),TEXT('Change in Employment'!J89, "0"),"")</f>
        <v>13667</v>
      </c>
      <c r="D82" s="104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-19000</v>
      </c>
      <c r="C83" s="21" t="str">
        <f>IF(ISNUMBER('Change in Employment'!J90),TEXT('Change in Employment'!J90, "0"),"")</f>
        <v>8333</v>
      </c>
      <c r="D83" s="104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18000</v>
      </c>
      <c r="C84" s="21" t="str">
        <f>IF(ISNUMBER('Change in Employment'!J91),TEXT('Change in Employment'!J91, "0"),"")</f>
        <v>2000</v>
      </c>
      <c r="D84" s="104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11000</v>
      </c>
      <c r="C85" s="21" t="str">
        <f>IF(ISNUMBER('Change in Employment'!J92),TEXT('Change in Employment'!J92, "0"),"")</f>
        <v>3333</v>
      </c>
      <c r="D85" s="104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13000</v>
      </c>
      <c r="C86" s="21" t="str">
        <f>IF(ISNUMBER('Change in Employment'!J93),TEXT('Change in Employment'!J93, "0"),"")</f>
        <v>14000</v>
      </c>
      <c r="D86" s="104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25000</v>
      </c>
      <c r="C87" s="21" t="str">
        <f>IF(ISNUMBER('Change in Employment'!J94),TEXT('Change in Employment'!J94, "0"),"")</f>
        <v>16333</v>
      </c>
      <c r="D87" s="104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15000</v>
      </c>
      <c r="C88" s="21" t="str">
        <f>IF(ISNUMBER('Change in Employment'!J95),TEXT('Change in Employment'!J95, "0"),"")</f>
        <v>17667</v>
      </c>
      <c r="D88" s="104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35000</v>
      </c>
      <c r="C89" s="21" t="str">
        <f>IF(ISNUMBER('Change in Employment'!J96),TEXT('Change in Employment'!J96, "0"),"")</f>
        <v>25000</v>
      </c>
      <c r="D89" s="104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6000</v>
      </c>
      <c r="C90" s="21" t="str">
        <f>IF(ISNUMBER('Change in Employment'!J97),TEXT('Change in Employment'!J97, "0"),"")</f>
        <v>18667</v>
      </c>
      <c r="D90" s="104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-2000</v>
      </c>
      <c r="C91" s="21" t="str">
        <f>IF(ISNUMBER('Change in Employment'!J98),TEXT('Change in Employment'!J98, "0"),"")</f>
        <v>13000</v>
      </c>
      <c r="D91" s="104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1000</v>
      </c>
      <c r="C92" s="21" t="str">
        <f>IF(ISNUMBER('Change in Employment'!J99),TEXT('Change in Employment'!J99, "0"),"")</f>
        <v>1667</v>
      </c>
      <c r="D92" s="104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92000</v>
      </c>
      <c r="C93" s="21" t="str">
        <f>IF(ISNUMBER('Change in Employment'!J100),TEXT('Change in Employment'!J100, "0"),"")</f>
        <v>30333</v>
      </c>
      <c r="D93" s="104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-29000</v>
      </c>
      <c r="C94" s="21" t="str">
        <f>IF(ISNUMBER('Change in Employment'!J101),TEXT('Change in Employment'!J101, "0"),"")</f>
        <v>21333</v>
      </c>
      <c r="D94" s="104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22000</v>
      </c>
      <c r="C95" s="21" t="str">
        <f>IF(ISNUMBER('Change in Employment'!J102),TEXT('Change in Employment'!J102, "0"),"")</f>
        <v>28333</v>
      </c>
      <c r="D95" s="104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-2000</v>
      </c>
      <c r="C96" s="21" t="str">
        <f>IF(ISNUMBER('Change in Employment'!J103),TEXT('Change in Employment'!J103, "0"),"")</f>
        <v>-3000</v>
      </c>
      <c r="D96" s="104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-7000</v>
      </c>
      <c r="C97" s="21" t="str">
        <f>IF(ISNUMBER('Change in Employment'!J104),TEXT('Change in Employment'!J104, "0"),"")</f>
        <v>4333</v>
      </c>
      <c r="D97" s="104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6000</v>
      </c>
      <c r="C98" s="21" t="str">
        <f>IF(ISNUMBER('Change in Employment'!J105),TEXT('Change in Employment'!J105, "0"),"")</f>
        <v>-1000</v>
      </c>
      <c r="D98" s="104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13000</v>
      </c>
      <c r="C99" s="21" t="str">
        <f>IF(ISNUMBER('Change in Employment'!J106),TEXT('Change in Employment'!J106, "0"),"")</f>
        <v>4000</v>
      </c>
      <c r="D99" s="104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8000</v>
      </c>
      <c r="C100" s="21" t="str">
        <f>IF(ISNUMBER('Change in Employment'!J107),TEXT('Change in Employment'!J107, "0"),"")</f>
        <v>9000</v>
      </c>
      <c r="D100" s="104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11000</v>
      </c>
      <c r="C101" s="21" t="str">
        <f>IF(ISNUMBER('Change in Employment'!J108),TEXT('Change in Employment'!J108, "0"),"")</f>
        <v>10667</v>
      </c>
      <c r="D101" s="104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13000</v>
      </c>
      <c r="C102" s="21" t="str">
        <f>IF(ISNUMBER('Change in Employment'!J109),TEXT('Change in Employment'!J109, "0"),"")</f>
        <v>10667</v>
      </c>
      <c r="D102" s="104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-9000</v>
      </c>
      <c r="C103" s="21" t="str">
        <f>IF(ISNUMBER('Change in Employment'!J110),TEXT('Change in Employment'!J110, "0"),"")</f>
        <v>5000</v>
      </c>
      <c r="D103" s="104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26000</v>
      </c>
      <c r="C104" s="21" t="str">
        <f>IF(ISNUMBER('Change in Employment'!J111),TEXT('Change in Employment'!J111, "0"),"")</f>
        <v>10000</v>
      </c>
      <c r="D104" s="104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12000</v>
      </c>
      <c r="C105" s="21" t="str">
        <f>IF(ISNUMBER('Change in Employment'!J112),TEXT('Change in Employment'!J112, "0"),"")</f>
        <v>9667</v>
      </c>
      <c r="D105" s="104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21" t="str">
        <f>IF(ISNUMBER('Change in Employment'!I113), TEXT('Change in Employment'!I113, "0"), "")</f>
        <v>-2000</v>
      </c>
      <c r="C106" s="21" t="str">
        <f>IF(ISNUMBER('Change in Employment'!J113),TEXT('Change in Employment'!J113, "0"),"")</f>
        <v>12000</v>
      </c>
      <c r="D106" s="104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>09/01/2017</v>
      </c>
      <c r="B107" s="21" t="str">
        <f>IF(ISNUMBER('Change in Employment'!I114), TEXT('Change in Employment'!I114, "0"), "")</f>
        <v>3000</v>
      </c>
      <c r="C107" s="21" t="str">
        <f>IF(ISNUMBER('Change in Employment'!J114),TEXT('Change in Employment'!J114, "0"),"")</f>
        <v>4333</v>
      </c>
      <c r="D107" s="104">
        <f>IF(ISNUMBER('Change in Employment'!G114),'Change in Employment'!G114,"")</f>
        <v>0</v>
      </c>
    </row>
    <row r="108" spans="1:4">
      <c r="A108" s="19" t="str">
        <f>TEXT(IF('Change in Employment'!B115&lt;&gt;0,DATE(YEAR('Change in Employment'!B115), MONTH('Change in Employment'!B115), 1), ""), "mm/dd/yyyy")</f>
        <v>10/01/2017</v>
      </c>
      <c r="B108" s="21" t="str">
        <f>IF(ISNUMBER('Change in Employment'!I115), TEXT('Change in Employment'!I115, "0"), "")</f>
        <v>8000</v>
      </c>
      <c r="C108" s="21" t="str">
        <f>IF(ISNUMBER('Change in Employment'!J115),TEXT('Change in Employment'!J115, "0"),"")</f>
        <v>3000</v>
      </c>
      <c r="D108" s="104">
        <f>IF(ISNUMBER('Change in Employment'!G115),'Change in Employment'!G115,"")</f>
        <v>0</v>
      </c>
    </row>
    <row r="109" spans="1:4">
      <c r="A109" s="19" t="str">
        <f>TEXT(IF('Change in Employment'!B116&lt;&gt;0,DATE(YEAR('Change in Employment'!B116), MONTH('Change in Employment'!B116), 1), ""), "mm/dd/yyyy")</f>
        <v>11/01/2017</v>
      </c>
      <c r="B109" s="21" t="str">
        <f>IF(ISNUMBER('Change in Employment'!I116), TEXT('Change in Employment'!I116, "0"), "")</f>
        <v>15000</v>
      </c>
      <c r="C109" s="21" t="str">
        <f>IF(ISNUMBER('Change in Employment'!J116),TEXT('Change in Employment'!J116, "0"),"")</f>
        <v>8667</v>
      </c>
      <c r="D109" s="104">
        <f>IF(ISNUMBER('Change in Employment'!G116),'Change in Employment'!G116,"")</f>
        <v>0</v>
      </c>
    </row>
    <row r="110" spans="1:4">
      <c r="A110" s="19" t="str">
        <f>TEXT(IF('Change in Employment'!B117&lt;&gt;0,DATE(YEAR('Change in Employment'!B117), MONTH('Change in Employment'!B117), 1), ""), "mm/dd/yyyy")</f>
        <v>12/01/2017</v>
      </c>
      <c r="B110" s="21" t="str">
        <f>IF(ISNUMBER('Change in Employment'!I117), TEXT('Change in Employment'!I117, "0"), "")</f>
        <v>9000</v>
      </c>
      <c r="C110" s="21" t="str">
        <f>IF(ISNUMBER('Change in Employment'!J117),TEXT('Change in Employment'!J117, "0"),"")</f>
        <v>10667</v>
      </c>
      <c r="D110" s="104">
        <f>IF(ISNUMBER('Change in Employment'!G117),'Change in Employment'!G117,"")</f>
        <v>0</v>
      </c>
    </row>
    <row r="111" spans="1:4">
      <c r="A111" s="19" t="str">
        <f>TEXT(IF('Change in Employment'!B118&lt;&gt;0,DATE(YEAR('Change in Employment'!B118), MONTH('Change in Employment'!B118), 1), ""), "mm/dd/yyyy")</f>
        <v>01/01/2018</v>
      </c>
      <c r="B111" s="21" t="str">
        <f>IF(ISNUMBER('Change in Employment'!I118), TEXT('Change in Employment'!I118, "0"), "")</f>
        <v>-15000</v>
      </c>
      <c r="C111" s="21" t="str">
        <f>IF(ISNUMBER('Change in Employment'!J118),TEXT('Change in Employment'!J118, "0"),"")</f>
        <v>3000</v>
      </c>
      <c r="D111" s="104">
        <f>IF(ISNUMBER('Change in Employment'!G118),'Change in Employment'!G118,"")</f>
        <v>0</v>
      </c>
    </row>
    <row r="112" spans="1:4">
      <c r="A112" s="19" t="str">
        <f>TEXT(IF('Change in Employment'!B119&lt;&gt;0,DATE(YEAR('Change in Employment'!B119), MONTH('Change in Employment'!B119), 1), ""), "mm/dd/yyyy")</f>
        <v>02/01/2018</v>
      </c>
      <c r="B112" s="21" t="str">
        <f>IF(ISNUMBER('Change in Employment'!I119), TEXT('Change in Employment'!I119, "0"), "")</f>
        <v>29000</v>
      </c>
      <c r="C112" s="21" t="str">
        <f>IF(ISNUMBER('Change in Employment'!J119),TEXT('Change in Employment'!J119, "0"),"")</f>
        <v>7667</v>
      </c>
      <c r="D112" s="104">
        <f>IF(ISNUMBER('Change in Employment'!G119),'Change in Employment'!G119,"")</f>
        <v>0</v>
      </c>
    </row>
    <row r="113" spans="1:4">
      <c r="A113" s="19" t="str">
        <f>TEXT(IF('Change in Employment'!B120&lt;&gt;0,DATE(YEAR('Change in Employment'!B120), MONTH('Change in Employment'!B120), 1), ""), "mm/dd/yyyy")</f>
        <v>03/01/2018</v>
      </c>
      <c r="B113" s="21" t="str">
        <f>IF(ISNUMBER('Change in Employment'!I120), TEXT('Change in Employment'!I120, "0"), "")</f>
        <v>9000</v>
      </c>
      <c r="C113" s="21" t="str">
        <f>IF(ISNUMBER('Change in Employment'!J120),TEXT('Change in Employment'!J120, "0"),"")</f>
        <v>7667</v>
      </c>
      <c r="D113" s="104">
        <f>IF(ISNUMBER('Change in Employment'!G120),'Change in Employment'!G120,"")</f>
        <v>0</v>
      </c>
    </row>
    <row r="114" spans="1:4">
      <c r="A114" s="19" t="str">
        <f>TEXT(IF('Change in Employment'!B121&lt;&gt;0,DATE(YEAR('Change in Employment'!B121), MONTH('Change in Employment'!B121), 1), ""), "mm/dd/yyyy")</f>
        <v>04/01/2018</v>
      </c>
      <c r="B114" s="21" t="str">
        <f>IF(ISNUMBER('Change in Employment'!I121), TEXT('Change in Employment'!I121, "0"), "")</f>
        <v>11000</v>
      </c>
      <c r="C114" s="21" t="str">
        <f>IF(ISNUMBER('Change in Employment'!J121),TEXT('Change in Employment'!J121, "0"),"")</f>
        <v>16333</v>
      </c>
      <c r="D114" s="104">
        <f>IF(ISNUMBER('Change in Employment'!G121),'Change in Employment'!G121,"")</f>
        <v>0</v>
      </c>
    </row>
    <row r="115" spans="1:4">
      <c r="A115" s="19" t="str">
        <f>TEXT(IF('Change in Employment'!B122&lt;&gt;0,DATE(YEAR('Change in Employment'!B122), MONTH('Change in Employment'!B122), 1), ""), "mm/dd/yyyy")</f>
        <v>05/01/2018</v>
      </c>
      <c r="B115" s="21" t="str">
        <f>IF(ISNUMBER('Change in Employment'!I122), TEXT('Change in Employment'!I122, "0"), "")</f>
        <v>6000</v>
      </c>
      <c r="C115" s="21" t="str">
        <f>IF(ISNUMBER('Change in Employment'!J122),TEXT('Change in Employment'!J122, "0"),"")</f>
        <v>8667</v>
      </c>
      <c r="D115" s="104">
        <f>IF(ISNUMBER('Change in Employment'!G122),'Change in Employment'!G122,"")</f>
        <v>0</v>
      </c>
    </row>
    <row r="116" spans="1:4">
      <c r="A116" s="19" t="str">
        <f>TEXT(IF('Change in Employment'!B123&lt;&gt;0,DATE(YEAR('Change in Employment'!B123), MONTH('Change in Employment'!B123), 1), ""), "mm/dd/yyyy")</f>
        <v>06/01/2018</v>
      </c>
      <c r="B116" s="21" t="str">
        <f>IF(ISNUMBER('Change in Employment'!I123), TEXT('Change in Employment'!I123, "0"), "")</f>
        <v>24000</v>
      </c>
      <c r="C116" s="21" t="str">
        <f>IF(ISNUMBER('Change in Employment'!J123),TEXT('Change in Employment'!J123, "0"),"")</f>
        <v>13667</v>
      </c>
      <c r="D116" s="104">
        <f>IF(ISNUMBER('Change in Employment'!G123),'Change in Employment'!G123,"")</f>
        <v>0</v>
      </c>
    </row>
    <row r="117" spans="1:4">
      <c r="A117" s="19" t="str">
        <f>TEXT(IF('Change in Employment'!B124&lt;&gt;0,DATE(YEAR('Change in Employment'!B124), MONTH('Change in Employment'!B124), 1), ""), "mm/dd/yyyy")</f>
        <v>07/01/2018</v>
      </c>
      <c r="B117" s="21" t="str">
        <f>IF(ISNUMBER('Change in Employment'!I124), TEXT('Change in Employment'!I124, "0"), "")</f>
        <v>4000</v>
      </c>
      <c r="C117" s="21" t="str">
        <f>IF(ISNUMBER('Change in Employment'!J124),TEXT('Change in Employment'!J124, "0"),"")</f>
        <v>11333</v>
      </c>
      <c r="D117" s="104">
        <f>IF(ISNUMBER('Change in Employment'!G124),'Change in Employment'!G124,"")</f>
        <v>0</v>
      </c>
    </row>
    <row r="118" spans="1:4">
      <c r="A118" s="19" t="str">
        <f>TEXT(IF('Change in Employment'!B125&lt;&gt;0,DATE(YEAR('Change in Employment'!B125), MONTH('Change in Employment'!B125), 1), ""), "mm/dd/yyyy")</f>
        <v>08/01/2018</v>
      </c>
      <c r="B118" s="21" t="str">
        <f>IF(ISNUMBER('Change in Employment'!I125), TEXT('Change in Employment'!I125, "0"), "")</f>
        <v>36000</v>
      </c>
      <c r="C118" s="21" t="str">
        <f>IF(ISNUMBER('Change in Employment'!J125),TEXT('Change in Employment'!J125, "0"),"")</f>
        <v>21333</v>
      </c>
      <c r="D118" s="104">
        <f>IF(ISNUMBER('Change in Employment'!G125),'Change in Employment'!G125,"")</f>
        <v>0</v>
      </c>
    </row>
    <row r="119" spans="1:4">
      <c r="A119" s="19" t="str">
        <f>TEXT(IF('Change in Employment'!B126&lt;&gt;0,DATE(YEAR('Change in Employment'!B126), MONTH('Change in Employment'!B126), 1), ""), "mm/dd/yyyy")</f>
        <v>09/01/2018</v>
      </c>
      <c r="B119" s="21" t="str">
        <f>IF(ISNUMBER('Change in Employment'!I126), TEXT('Change in Employment'!I126, "0"), "")</f>
        <v>-1000</v>
      </c>
      <c r="C119" s="21" t="str">
        <f>IF(ISNUMBER('Change in Employment'!J126),TEXT('Change in Employment'!J126, "0"),"")</f>
        <v>13000</v>
      </c>
      <c r="D119" s="104">
        <f>IF(ISNUMBER('Change in Employment'!G126),'Change in Employment'!G126,"")</f>
        <v>0</v>
      </c>
    </row>
    <row r="120" spans="1:4">
      <c r="A120" s="19" t="str">
        <f>TEXT(IF('Change in Employment'!B127&lt;&gt;0,DATE(YEAR('Change in Employment'!B127), MONTH('Change in Employment'!B127), 1), ""), "mm/dd/yyyy")</f>
        <v>10/01/2018</v>
      </c>
      <c r="B120" s="21" t="str">
        <f>IF(ISNUMBER('Change in Employment'!I127), TEXT('Change in Employment'!I127, "0"), "")</f>
        <v>-9000</v>
      </c>
      <c r="C120" s="21" t="str">
        <f>IF(ISNUMBER('Change in Employment'!J127),TEXT('Change in Employment'!J127, "0"),"")</f>
        <v>8667</v>
      </c>
      <c r="D120" s="104">
        <f>IF(ISNUMBER('Change in Employment'!G127),'Change in Employment'!G127,"")</f>
        <v>0</v>
      </c>
    </row>
    <row r="121" spans="1:4">
      <c r="A121" s="19" t="str">
        <f>TEXT(IF('Change in Employment'!B128&lt;&gt;0,DATE(YEAR('Change in Employment'!B128), MONTH('Change in Employment'!B128), 1), ""), "mm/dd/yyyy")</f>
        <v>11/01/2018</v>
      </c>
      <c r="B121" s="21" t="str">
        <f>IF(ISNUMBER('Change in Employment'!I128), TEXT('Change in Employment'!I128, "0"), "")</f>
        <v>-10000</v>
      </c>
      <c r="C121" s="21" t="str">
        <f>IF(ISNUMBER('Change in Employment'!J128),TEXT('Change in Employment'!J128, "0"),"")</f>
        <v>-6667</v>
      </c>
      <c r="D121" s="104">
        <f>IF(ISNUMBER('Change in Employment'!G128),'Change in Employment'!G128,"")</f>
        <v>0</v>
      </c>
    </row>
    <row r="122" spans="1:4">
      <c r="A122" s="19" t="str">
        <f>TEXT(IF('Change in Employment'!B129&lt;&gt;0,DATE(YEAR('Change in Employment'!B129), MONTH('Change in Employment'!B129), 1), ""), "mm/dd/yyyy")</f>
        <v>12/01/2018</v>
      </c>
      <c r="B122" s="21" t="str">
        <f>IF(ISNUMBER('Change in Employment'!I129), TEXT('Change in Employment'!I129, "0"), "")</f>
        <v>9000</v>
      </c>
      <c r="C122" s="21" t="str">
        <f>IF(ISNUMBER('Change in Employment'!J129),TEXT('Change in Employment'!J129, "0"),"")</f>
        <v>-3333</v>
      </c>
      <c r="D122" s="104">
        <f>IF(ISNUMBER('Change in Employment'!G129),'Change in Employment'!G129,"")</f>
        <v>0</v>
      </c>
    </row>
    <row r="123" spans="1:4">
      <c r="A123" s="19" t="str">
        <f>TEXT(IF('Change in Employment'!B130&lt;&gt;0,DATE(YEAR('Change in Employment'!B130), MONTH('Change in Employment'!B130), 1), ""), "mm/dd/yyyy")</f>
        <v>01/01/2019</v>
      </c>
      <c r="B123" s="21" t="str">
        <f>IF(ISNUMBER('Change in Employment'!I130), TEXT('Change in Employment'!I130, "0"), "")</f>
        <v>16000</v>
      </c>
      <c r="C123" s="21" t="str">
        <f>IF(ISNUMBER('Change in Employment'!J130),TEXT('Change in Employment'!J130, "0"),"")</f>
        <v>5000</v>
      </c>
      <c r="D123" s="104">
        <f>IF(ISNUMBER('Change in Employment'!G130),'Change in Employment'!G130,"")</f>
        <v>0</v>
      </c>
    </row>
    <row r="124" spans="1:4">
      <c r="A124" s="19" t="str">
        <f>TEXT(IF('Change in Employment'!B131&lt;&gt;0,DATE(YEAR('Change in Employment'!B131), MONTH('Change in Employment'!B131), 1), ""), "mm/dd/yyyy")</f>
        <v>02/01/2019</v>
      </c>
      <c r="B124" s="21" t="str">
        <f>IF(ISNUMBER('Change in Employment'!I131), TEXT('Change in Employment'!I131, "0"), "")</f>
        <v>3000</v>
      </c>
      <c r="C124" s="21" t="str">
        <f>IF(ISNUMBER('Change in Employment'!J131),TEXT('Change in Employment'!J131, "0"),"")</f>
        <v>9333</v>
      </c>
      <c r="D124" s="104">
        <f>IF(ISNUMBER('Change in Employment'!G131),'Change in Employment'!G131,"")</f>
        <v>0</v>
      </c>
    </row>
    <row r="125" spans="1:4">
      <c r="A125" s="19" t="str">
        <f>TEXT(IF('Change in Employment'!B132&lt;&gt;0,DATE(YEAR('Change in Employment'!B132), MONTH('Change in Employment'!B132), 1), ""), "mm/dd/yyyy")</f>
        <v>03/01/2019</v>
      </c>
      <c r="B125" s="21" t="str">
        <f>IF(ISNUMBER('Change in Employment'!I132), TEXT('Change in Employment'!I132, "0"), "")</f>
        <v>1000</v>
      </c>
      <c r="C125" s="21" t="str">
        <f>IF(ISNUMBER('Change in Employment'!J132),TEXT('Change in Employment'!J132, "0"),"")</f>
        <v>6667</v>
      </c>
      <c r="D125" s="104">
        <f>IF(ISNUMBER('Change in Employment'!G132),'Change in Employment'!G132,"")</f>
        <v>0</v>
      </c>
    </row>
    <row r="126" spans="1:4">
      <c r="A126" s="19" t="str">
        <f>TEXT(IF('Change in Employment'!B133&lt;&gt;0,DATE(YEAR('Change in Employment'!B133), MONTH('Change in Employment'!B133), 1), ""), "mm/dd/yyyy")</f>
        <v>04/01/2019</v>
      </c>
      <c r="B126" s="21" t="str">
        <f>IF(ISNUMBER('Change in Employment'!I133), TEXT('Change in Employment'!I133, "0"), "")</f>
        <v>14000</v>
      </c>
      <c r="C126" s="21" t="str">
        <f>IF(ISNUMBER('Change in Employment'!J133),TEXT('Change in Employment'!J133, "0"),"")</f>
        <v>6000</v>
      </c>
      <c r="D126" s="104">
        <f>IF(ISNUMBER('Change in Employment'!G133),'Change in Employment'!G133,"")</f>
        <v>0</v>
      </c>
    </row>
    <row r="127" spans="1:4">
      <c r="A127" s="19" t="str">
        <f>TEXT(IF('Change in Employment'!B134&lt;&gt;0,DATE(YEAR('Change in Employment'!B134), MONTH('Change in Employment'!B134), 1), ""), "mm/dd/yyyy")</f>
        <v>05/01/2019</v>
      </c>
      <c r="B127" s="21" t="str">
        <f>IF(ISNUMBER('Change in Employment'!I134), TEXT('Change in Employment'!I134, "0"), "")</f>
        <v>-24000</v>
      </c>
      <c r="C127" s="21" t="str">
        <f>IF(ISNUMBER('Change in Employment'!J134),TEXT('Change in Employment'!J134, "0"),"")</f>
        <v>-3000</v>
      </c>
      <c r="D127" s="104">
        <f>IF(ISNUMBER('Change in Employment'!G134),'Change in Employment'!G134,"")</f>
        <v>0</v>
      </c>
    </row>
    <row r="128" spans="1:4">
      <c r="A128" s="19" t="str">
        <f>TEXT(IF('Change in Employment'!B135&lt;&gt;0,DATE(YEAR('Change in Employment'!B135), MONTH('Change in Employment'!B135), 1), ""), "mm/dd/yyyy")</f>
        <v>06/01/2019</v>
      </c>
      <c r="B128" s="21" t="str">
        <f>IF(ISNUMBER('Change in Employment'!I135), TEXT('Change in Employment'!I135, "0"), "")</f>
        <v>15000</v>
      </c>
      <c r="C128" s="21" t="str">
        <f>IF(ISNUMBER('Change in Employment'!J135),TEXT('Change in Employment'!J135, "0"),"")</f>
        <v>1667</v>
      </c>
      <c r="D128" s="104">
        <f>IF(ISNUMBER('Change in Employment'!G135),'Change in Employment'!G135,"")</f>
        <v>0</v>
      </c>
    </row>
    <row r="129" spans="1:4">
      <c r="A129" s="19" t="str">
        <f>TEXT(IF('Change in Employment'!B136&lt;&gt;0,DATE(YEAR('Change in Employment'!B136), MONTH('Change in Employment'!B136), 1), ""), "mm/dd/yyyy")</f>
        <v>07/01/2019</v>
      </c>
      <c r="B129" s="21" t="str">
        <f>IF(ISNUMBER('Change in Employment'!I136), TEXT('Change in Employment'!I136, "0"), "")</f>
        <v>44000</v>
      </c>
      <c r="C129" s="21" t="str">
        <f>IF(ISNUMBER('Change in Employment'!J136),TEXT('Change in Employment'!J136, "0"),"")</f>
        <v>11667</v>
      </c>
      <c r="D129" s="104">
        <f>IF(ISNUMBER('Change in Employment'!G136),'Change in Employment'!G136,"")</f>
        <v>0</v>
      </c>
    </row>
    <row r="130" spans="1:4">
      <c r="A130" s="19" t="str">
        <f>TEXT(IF('Change in Employment'!B137&lt;&gt;0,DATE(YEAR('Change in Employment'!B137), MONTH('Change in Employment'!B137), 1), ""), "mm/dd/yyyy")</f>
        <v>08/01/2019</v>
      </c>
      <c r="B130" s="21" t="str">
        <f>IF(ISNUMBER('Change in Employment'!I137), TEXT('Change in Employment'!I137, "0"), "")</f>
        <v>29000</v>
      </c>
      <c r="C130" s="21" t="str">
        <f>IF(ISNUMBER('Change in Employment'!J137),TEXT('Change in Employment'!J137, "0"),"")</f>
        <v>29333</v>
      </c>
      <c r="D130" s="104">
        <f>IF(ISNUMBER('Change in Employment'!G137),'Change in Employment'!G137,"")</f>
        <v>0</v>
      </c>
    </row>
    <row r="131" spans="1:4">
      <c r="A131" s="19" t="str">
        <f>TEXT(IF('Change in Employment'!B138&lt;&gt;0,DATE(YEAR('Change in Employment'!B138), MONTH('Change in Employment'!B138), 1), ""), "mm/dd/yyyy")</f>
        <v>09/01/2019</v>
      </c>
      <c r="B131" s="21" t="str">
        <f>IF(ISNUMBER('Change in Employment'!I138), TEXT('Change in Employment'!I138, "0"), "")</f>
        <v>8000</v>
      </c>
      <c r="C131" s="21" t="str">
        <f>IF(ISNUMBER('Change in Employment'!J138),TEXT('Change in Employment'!J138, "0"),"")</f>
        <v>27000</v>
      </c>
      <c r="D131" s="104">
        <f>IF(ISNUMBER('Change in Employment'!G138),'Change in Employment'!G138,"")</f>
        <v>0</v>
      </c>
    </row>
    <row r="132" spans="1:4">
      <c r="A132" s="19" t="str">
        <f>TEXT(IF('Change in Employment'!B139&lt;&gt;0,DATE(YEAR('Change in Employment'!B139), MONTH('Change in Employment'!B139), 1), ""), "mm/dd/yyyy")</f>
        <v>10/01/2019</v>
      </c>
      <c r="B132" s="21" t="str">
        <f>IF(ISNUMBER('Change in Employment'!I139), TEXT('Change in Employment'!I139, "0"), "")</f>
        <v>6000</v>
      </c>
      <c r="C132" s="21" t="str">
        <f>IF(ISNUMBER('Change in Employment'!J139),TEXT('Change in Employment'!J139, "0"),"")</f>
        <v>14333</v>
      </c>
      <c r="D132" s="104">
        <f>IF(ISNUMBER('Change in Employment'!G139),'Change in Employment'!G139,"")</f>
        <v>0</v>
      </c>
    </row>
    <row r="133" spans="1:4">
      <c r="A133" s="19" t="str">
        <f>TEXT(IF('Change in Employment'!B140&lt;&gt;0,DATE(YEAR('Change in Employment'!B140), MONTH('Change in Employment'!B140), 1), ""), "mm/dd/yyyy")</f>
        <v>11/01/2019</v>
      </c>
      <c r="B133" s="21" t="str">
        <f>IF(ISNUMBER('Change in Employment'!I140), TEXT('Change in Employment'!I140, "0"), "")</f>
        <v>15000</v>
      </c>
      <c r="C133" s="21" t="str">
        <f>IF(ISNUMBER('Change in Employment'!J140),TEXT('Change in Employment'!J140, "0"),"")</f>
        <v>9667</v>
      </c>
      <c r="D133" s="104">
        <f>IF(ISNUMBER('Change in Employment'!G140),'Change in Employment'!G140,"")</f>
        <v>0</v>
      </c>
    </row>
    <row r="134" spans="1:4">
      <c r="A134" s="19" t="str">
        <f>TEXT(IF('Change in Employment'!B141&lt;&gt;0,DATE(YEAR('Change in Employment'!B141), MONTH('Change in Employment'!B141), 1), ""), "mm/dd/yyyy")</f>
        <v>12/01/2019</v>
      </c>
      <c r="B134" s="21" t="str">
        <f>IF(ISNUMBER('Change in Employment'!I141), TEXT('Change in Employment'!I141, "0"), "")</f>
        <v>6000</v>
      </c>
      <c r="C134" s="21" t="str">
        <f>IF(ISNUMBER('Change in Employment'!J141),TEXT('Change in Employment'!J141, "0"),"")</f>
        <v>9000</v>
      </c>
      <c r="D134" s="104">
        <f>IF(ISNUMBER('Change in Employment'!G141),'Change in Employment'!G141,"")</f>
        <v>0</v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4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4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4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4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4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4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4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4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4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4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4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4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4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4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4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4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4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4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4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4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4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4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4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4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4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4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4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4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4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4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4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4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4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4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4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4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4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4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4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4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4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4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4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4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4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4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4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4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4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4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4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4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4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4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4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4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4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4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4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4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4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4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4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4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4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4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4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4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4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4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4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4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4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4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4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4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4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4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4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4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4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4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4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4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4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4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4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4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4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4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4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4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4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4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4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4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4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4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4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4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4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4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4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4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4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4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4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4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4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4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4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4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4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4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4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4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4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4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4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4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4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4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4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4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4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4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4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4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4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4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4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4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4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4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4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4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4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4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4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4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4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4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4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4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4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4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4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4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4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4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4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4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4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4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4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4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4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4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4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4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4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4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4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4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4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4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4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4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4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4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4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4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4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4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4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4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4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4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4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4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4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4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4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4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4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4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4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4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4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4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4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4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4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4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4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4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4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4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4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4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4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4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4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4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4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4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4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4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4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4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4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4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4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4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4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4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4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4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4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4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4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4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4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4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4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4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4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4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4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4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4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4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4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4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4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4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4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4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4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4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4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4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4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4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4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4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4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4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4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4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4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4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4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4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4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4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4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4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4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4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4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4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4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4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4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4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4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4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4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4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4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4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4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4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4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4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4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4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4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4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4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4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4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4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4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4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4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4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4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4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4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4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4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4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4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4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4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4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4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4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4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4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4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4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4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4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4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4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4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4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4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4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4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4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4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4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4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4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4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4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4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4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4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4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4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4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4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4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4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4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4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4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4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4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4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4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4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4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4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4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4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4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4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4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4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4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4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4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4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4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4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4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4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4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4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4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4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4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4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4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4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4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4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4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4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4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4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4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4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4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4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4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4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4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4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4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4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4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4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4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4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4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4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4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4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4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4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4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4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4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4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4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4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4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4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4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4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4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4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4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4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4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4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4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4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4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4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4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4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4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4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4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4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4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4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4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4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4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4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4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4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4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4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4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4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4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4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4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4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4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4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4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4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4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4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4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4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4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4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4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4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4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4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4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4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4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4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4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4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4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4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4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4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4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4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4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4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4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4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4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4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4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4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4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4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4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4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4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4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4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4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4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4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4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4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4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4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4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4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4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4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4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4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4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4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4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4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4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4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4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4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4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4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4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4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4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4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4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4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4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4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4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4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4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4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4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4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4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4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4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4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4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4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4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4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4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4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4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4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4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4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4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4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4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4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4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4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4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4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4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4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4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4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4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4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4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4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4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4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4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4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4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4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4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4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4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4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4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4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4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4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4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4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4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4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4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4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4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4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4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4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4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4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4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4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4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4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4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4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4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4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4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4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4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4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4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4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4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4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4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4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4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4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4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4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4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4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4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4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4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4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4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4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4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4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4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4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4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4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4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4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4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4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4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4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4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4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4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4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4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4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4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4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4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4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4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4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4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4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4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4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4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4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4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4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4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4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4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4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4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4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4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4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4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4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4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4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4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4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4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4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4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4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4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4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4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4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4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4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4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4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4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4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4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4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4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4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4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4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4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4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4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4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4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4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4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4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4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4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4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4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4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4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4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4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4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4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4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4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4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4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4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4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4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4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4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4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4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4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4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4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4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4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4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4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4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4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4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4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4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4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4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4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4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4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4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4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4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4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4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4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4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4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4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4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4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4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4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4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4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4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4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4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4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4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4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4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4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4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4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4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4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4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4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4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4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4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4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4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4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4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4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4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4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4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4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4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4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4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4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4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4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4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4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4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4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4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4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4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4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4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4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4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4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4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4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4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4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4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4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4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4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4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4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4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4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4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4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4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4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4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4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4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4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4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4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4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4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4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4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4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4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4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4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4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4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4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4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4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4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4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4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4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4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4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4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4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4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4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4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4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4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4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4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4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4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4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4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4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4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4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4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4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4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4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4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4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4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4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4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4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4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4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4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4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4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4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4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4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4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4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4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4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4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4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4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4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4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4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4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4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4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4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4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4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4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4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4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4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4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4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4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4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4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4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4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4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4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4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4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4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4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4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4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4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4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4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4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4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4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4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4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4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4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4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4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4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4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-4300.0000000001819</v>
      </c>
      <c r="C51" s="19" t="str">
        <f>IFERROR(IF(ISNUMBER('Change in Employment'!M58),TEXT('Change in Employment'!M58, "0"), ""), "")</f>
        <v>-3333</v>
      </c>
      <c r="D51" s="104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-199.9999999998181</v>
      </c>
      <c r="C52" s="19" t="str">
        <f>IFERROR(IF(ISNUMBER('Change in Employment'!M59),TEXT('Change in Employment'!M59, "0"), ""), "")</f>
        <v>-1900</v>
      </c>
      <c r="D52" s="104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-1599.9999999999091</v>
      </c>
      <c r="C53" s="19" t="str">
        <f>IFERROR(IF(ISNUMBER('Change in Employment'!M60),TEXT('Change in Employment'!M60, "0"), ""), "")</f>
        <v>-2033</v>
      </c>
      <c r="D53" s="104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-9200.0000000002728</v>
      </c>
      <c r="C54" s="19" t="str">
        <f>IFERROR(IF(ISNUMBER('Change in Employment'!M61),TEXT('Change in Employment'!M61, "0"), ""), "")</f>
        <v>-3667</v>
      </c>
      <c r="D54" s="104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-7900.0000000000909</v>
      </c>
      <c r="C55" s="19" t="str">
        <f>IFERROR(IF(ISNUMBER('Change in Employment'!M62),TEXT('Change in Employment'!M62, "0"), ""), "")</f>
        <v>-6233</v>
      </c>
      <c r="D55" s="104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-6799.9999999997272</v>
      </c>
      <c r="C56" s="19" t="str">
        <f>IFERROR(IF(ISNUMBER('Change in Employment'!M63),TEXT('Change in Employment'!M63, "0"), ""), "")</f>
        <v>-7967</v>
      </c>
      <c r="D56" s="104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-9000</v>
      </c>
      <c r="C57" s="19" t="str">
        <f>IFERROR(IF(ISNUMBER('Change in Employment'!M64),TEXT('Change in Employment'!M64, "0"), ""), "")</f>
        <v>-7900</v>
      </c>
      <c r="D57" s="104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-6900.0000000000909</v>
      </c>
      <c r="C58" s="19" t="str">
        <f>IFERROR(IF(ISNUMBER('Change in Employment'!M65),TEXT('Change in Employment'!M65, "0"), ""), "")</f>
        <v>-7567</v>
      </c>
      <c r="D58" s="104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-2300.0000000001819</v>
      </c>
      <c r="C59" s="19" t="str">
        <f>IFERROR(IF(ISNUMBER('Change in Employment'!M66),TEXT('Change in Employment'!M66, "0"), ""), "")</f>
        <v>-6067</v>
      </c>
      <c r="D59" s="104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-10899.999999999636</v>
      </c>
      <c r="C60" s="19" t="str">
        <f>IFERROR(IF(ISNUMBER('Change in Employment'!M67),TEXT('Change in Employment'!M67, "0"), ""), "")</f>
        <v>-6700</v>
      </c>
      <c r="D60" s="104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2799.9999999997272</v>
      </c>
      <c r="C61" s="19" t="str">
        <f>IFERROR(IF(ISNUMBER('Change in Employment'!M68),TEXT('Change in Employment'!M68, "0"), ""), "")</f>
        <v>-3467</v>
      </c>
      <c r="D61" s="104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-4400.0000000000909</v>
      </c>
      <c r="C62" s="19" t="str">
        <f>IFERROR(IF(ISNUMBER('Change in Employment'!M69),TEXT('Change in Employment'!M69, "0"), ""), "")</f>
        <v>-4167</v>
      </c>
      <c r="D62" s="104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-3399.9999999996362</v>
      </c>
      <c r="C63" s="19" t="str">
        <f>IFERROR(IF(ISNUMBER('Change in Employment'!M70),TEXT('Change in Employment'!M70, "0"), ""), "")</f>
        <v>-1667</v>
      </c>
      <c r="D63" s="104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-3900.0000000000909</v>
      </c>
      <c r="C64" s="19" t="str">
        <f>IFERROR(IF(ISNUMBER('Change in Employment'!M71),TEXT('Change in Employment'!M71, "0"), ""), "")</f>
        <v>-3900</v>
      </c>
      <c r="D64" s="104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-3100</v>
      </c>
      <c r="D65" s="104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-2400.0000000000909</v>
      </c>
      <c r="C66" s="19" t="str">
        <f>IFERROR(IF(ISNUMBER('Change in Employment'!M73),TEXT('Change in Employment'!M73, "0"), ""), "")</f>
        <v>-2767</v>
      </c>
      <c r="D66" s="104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699.9999999998181</v>
      </c>
      <c r="C67" s="19" t="str">
        <f>IFERROR(IF(ISNUMBER('Change in Employment'!M74),TEXT('Change in Employment'!M74, "0"), ""), "")</f>
        <v>-1233</v>
      </c>
      <c r="D67" s="104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200.00000000027285</v>
      </c>
      <c r="C68" s="19" t="str">
        <f>IFERROR(IF(ISNUMBER('Change in Employment'!M75),TEXT('Change in Employment'!M75, "0"), ""), "")</f>
        <v>-500</v>
      </c>
      <c r="D68" s="104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2599.9999999999091</v>
      </c>
      <c r="C69" s="19" t="str">
        <f>IFERROR(IF(ISNUMBER('Change in Employment'!M76),TEXT('Change in Employment'!M76, "0"), ""), "")</f>
        <v>1167</v>
      </c>
      <c r="D69" s="104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3599.9999999999091</v>
      </c>
      <c r="C70" s="19" t="str">
        <f>IFERROR(IF(ISNUMBER('Change in Employment'!M77),TEXT('Change in Employment'!M77, "0"), ""), "")</f>
        <v>2133</v>
      </c>
      <c r="D70" s="104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-1400.0000000000909</v>
      </c>
      <c r="C71" s="19" t="str">
        <f>IFERROR(IF(ISNUMBER('Change in Employment'!M78),TEXT('Change in Employment'!M78, "0"), ""), "")</f>
        <v>1600</v>
      </c>
      <c r="D71" s="104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100.0000000003638</v>
      </c>
      <c r="C72" s="19" t="str">
        <f>IFERROR(IF(ISNUMBER('Change in Employment'!M79),TEXT('Change in Employment'!M79, "0"), ""), "")</f>
        <v>767</v>
      </c>
      <c r="D72" s="104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3699.9999999998181</v>
      </c>
      <c r="C73" s="19" t="str">
        <f>IFERROR(IF(ISNUMBER('Change in Employment'!M80),TEXT('Change in Employment'!M80, "0"), ""), "")</f>
        <v>800</v>
      </c>
      <c r="D73" s="104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1699.9999999998181</v>
      </c>
      <c r="C74" s="19" t="str">
        <f>IFERROR(IF(ISNUMBER('Change in Employment'!M81),TEXT('Change in Employment'!M81, "0"), ""), "")</f>
        <v>1833</v>
      </c>
      <c r="D74" s="104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3000</v>
      </c>
      <c r="C75" s="19" t="str">
        <f>IFERROR(IF(ISNUMBER('Change in Employment'!M82),TEXT('Change in Employment'!M82, "0"), ""), "")</f>
        <v>2800</v>
      </c>
      <c r="D75" s="104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1800.0000000001819</v>
      </c>
      <c r="C76" s="19" t="str">
        <f>IFERROR(IF(ISNUMBER('Change in Employment'!M83),TEXT('Change in Employment'!M83, "0"), ""), "")</f>
        <v>2167</v>
      </c>
      <c r="D76" s="104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2199.9999999998181</v>
      </c>
      <c r="C77" s="19" t="str">
        <f>IFERROR(IF(ISNUMBER('Change in Employment'!M84),TEXT('Change in Employment'!M84, "0"), ""), "")</f>
        <v>2333</v>
      </c>
      <c r="D77" s="104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1867</v>
      </c>
      <c r="D78" s="104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2899.9999999996362</v>
      </c>
      <c r="C79" s="19" t="str">
        <f>IFERROR(IF(ISNUMBER('Change in Employment'!M86),TEXT('Change in Employment'!M86, "0"), ""), "")</f>
        <v>2233</v>
      </c>
      <c r="D79" s="104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-199.9999999998181</v>
      </c>
      <c r="C80" s="19" t="str">
        <f>IFERROR(IF(ISNUMBER('Change in Employment'!M87),TEXT('Change in Employment'!M87, "0"), ""), "")</f>
        <v>1433</v>
      </c>
      <c r="D80" s="104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3699.9999999998181</v>
      </c>
      <c r="C81" s="19" t="str">
        <f>IFERROR(IF(ISNUMBER('Change in Employment'!M88),TEXT('Change in Employment'!M88, "0"), ""), "")</f>
        <v>2133</v>
      </c>
      <c r="D81" s="104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1400.0000000000909</v>
      </c>
      <c r="C82" s="19" t="str">
        <f>IFERROR(IF(ISNUMBER('Change in Employment'!M89),TEXT('Change in Employment'!M89, "0"), ""), "")</f>
        <v>1633</v>
      </c>
      <c r="D82" s="104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99.999999999909051</v>
      </c>
      <c r="C83" s="19" t="str">
        <f>IFERROR(IF(ISNUMBER('Change in Employment'!M90),TEXT('Change in Employment'!M90, "0"), ""), "")</f>
        <v>1733</v>
      </c>
      <c r="D83" s="104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-3799.9999999997272</v>
      </c>
      <c r="C84" s="19" t="str">
        <f>IFERROR(IF(ISNUMBER('Change in Employment'!M91),TEXT('Change in Employment'!M91, "0"), ""), "")</f>
        <v>-767</v>
      </c>
      <c r="D84" s="104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6199.9999999998181</v>
      </c>
      <c r="C85" s="19" t="str">
        <f>IFERROR(IF(ISNUMBER('Change in Employment'!M92),TEXT('Change in Employment'!M92, "0"), ""), "")</f>
        <v>833</v>
      </c>
      <c r="D85" s="104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6000</v>
      </c>
      <c r="C86" s="19" t="str">
        <f>IFERROR(IF(ISNUMBER('Change in Employment'!M93),TEXT('Change in Employment'!M93, "0"), ""), "")</f>
        <v>2800</v>
      </c>
      <c r="D86" s="104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-199.9999999998181</v>
      </c>
      <c r="C87" s="19" t="str">
        <f>IFERROR(IF(ISNUMBER('Change in Employment'!M94),TEXT('Change in Employment'!M94, "0"), ""), "")</f>
        <v>4000</v>
      </c>
      <c r="D87" s="104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1799.9999999997272</v>
      </c>
      <c r="C88" s="19" t="str">
        <f>IFERROR(IF(ISNUMBER('Change in Employment'!M95),TEXT('Change in Employment'!M95, "0"), ""), "")</f>
        <v>2533</v>
      </c>
      <c r="D88" s="104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3300.0000000001819</v>
      </c>
      <c r="C89" s="19" t="str">
        <f>IFERROR(IF(ISNUMBER('Change in Employment'!M96),TEXT('Change in Employment'!M96, "0"), ""), "")</f>
        <v>1633</v>
      </c>
      <c r="D89" s="104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2599.9999999999091</v>
      </c>
      <c r="C90" s="19" t="str">
        <f>IFERROR(IF(ISNUMBER('Change in Employment'!M97),TEXT('Change in Employment'!M97, "0"), ""), "")</f>
        <v>2567</v>
      </c>
      <c r="D90" s="104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4099.9999999999091</v>
      </c>
      <c r="C91" s="19" t="str">
        <f>IFERROR(IF(ISNUMBER('Change in Employment'!M98),TEXT('Change in Employment'!M98, "0"), ""), "")</f>
        <v>3333</v>
      </c>
      <c r="D91" s="104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4900.0000000000909</v>
      </c>
      <c r="C92" s="19" t="str">
        <f>IFERROR(IF(ISNUMBER('Change in Employment'!M99),TEXT('Change in Employment'!M99, "0"), ""), "")</f>
        <v>3867</v>
      </c>
      <c r="D92" s="104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3900.0000000000909</v>
      </c>
      <c r="C93" s="19" t="str">
        <f>IFERROR(IF(ISNUMBER('Change in Employment'!M100),TEXT('Change in Employment'!M100, "0"), ""), "")</f>
        <v>4300</v>
      </c>
      <c r="D93" s="104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-2099.9999999999091</v>
      </c>
      <c r="C94" s="19" t="str">
        <f>IFERROR(IF(ISNUMBER('Change in Employment'!M101),TEXT('Change in Employment'!M101, "0"), ""), "")</f>
        <v>2233</v>
      </c>
      <c r="D94" s="104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3099.9999999999091</v>
      </c>
      <c r="C95" s="19" t="str">
        <f>IFERROR(IF(ISNUMBER('Change in Employment'!M102),TEXT('Change in Employment'!M102, "0"), ""), "")</f>
        <v>1633</v>
      </c>
      <c r="D95" s="104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1300.0000000001819</v>
      </c>
      <c r="C96" s="19" t="str">
        <f>IFERROR(IF(ISNUMBER('Change in Employment'!M103),TEXT('Change in Employment'!M103, "0"), ""), "")</f>
        <v>767</v>
      </c>
      <c r="D96" s="104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-7100.0000000003638</v>
      </c>
      <c r="C97" s="19" t="str">
        <f>IFERROR(IF(ISNUMBER('Change in Employment'!M104),TEXT('Change in Employment'!M104, "0"), ""), "")</f>
        <v>-900</v>
      </c>
      <c r="D97" s="104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12000</v>
      </c>
      <c r="C98" s="19" t="str">
        <f>IFERROR(IF(ISNUMBER('Change in Employment'!M105),TEXT('Change in Employment'!M105, "0"), ""), "")</f>
        <v>2067</v>
      </c>
      <c r="D98" s="104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-299.99999999972715</v>
      </c>
      <c r="C99" s="19" t="str">
        <f>IFERROR(IF(ISNUMBER('Change in Employment'!M106),TEXT('Change in Employment'!M106, "0"), ""), "")</f>
        <v>1533</v>
      </c>
      <c r="D99" s="104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-1599.9999999999091</v>
      </c>
      <c r="C100" s="19" t="str">
        <f>IFERROR(IF(ISNUMBER('Change in Employment'!M107),TEXT('Change in Employment'!M107, "0"), ""), "")</f>
        <v>3367</v>
      </c>
      <c r="D100" s="104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-4000</v>
      </c>
      <c r="C101" s="19" t="str">
        <f>IFERROR(IF(ISNUMBER('Change in Employment'!M108),TEXT('Change in Employment'!M108, "0"), ""), "")</f>
        <v>-1967</v>
      </c>
      <c r="D101" s="104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-4900.0000000000909</v>
      </c>
      <c r="C102" s="19" t="str">
        <f>IFERROR(IF(ISNUMBER('Change in Employment'!M109),TEXT('Change in Employment'!M109, "0"), ""), "")</f>
        <v>-3500</v>
      </c>
      <c r="D102" s="104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2900.0000000000909</v>
      </c>
      <c r="C103" s="19" t="str">
        <f>IFERROR(IF(ISNUMBER('Change in Employment'!M110),TEXT('Change in Employment'!M110, "0"), ""), "")</f>
        <v>-2000</v>
      </c>
      <c r="D103" s="104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-2000</v>
      </c>
      <c r="C104" s="19" t="str">
        <f>IFERROR(IF(ISNUMBER('Change in Employment'!M111),TEXT('Change in Employment'!M111, "0"), ""), "")</f>
        <v>-1333</v>
      </c>
      <c r="D104" s="104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-1600.0000000003638</v>
      </c>
      <c r="C105" s="19" t="str">
        <f>IFERROR(IF(ISNUMBER('Change in Employment'!M112),TEXT('Change in Employment'!M112, "0"), ""), "")</f>
        <v>-233</v>
      </c>
      <c r="D105" s="104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19">
        <f>IF(ISNUMBER('Change in Employment'!L113),'Change in Employment'!L113, "")</f>
        <v>-199.9999999998181</v>
      </c>
      <c r="C106" s="19" t="str">
        <f>IFERROR(IF(ISNUMBER('Change in Employment'!M113),TEXT('Change in Employment'!M113, "0"), ""), "")</f>
        <v>-1267</v>
      </c>
      <c r="D106" s="104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>09/01/2017</v>
      </c>
      <c r="B107" s="19">
        <f>IF(ISNUMBER('Change in Employment'!L114),'Change in Employment'!L114, "")</f>
        <v>-699.9999999998181</v>
      </c>
      <c r="C107" s="19" t="str">
        <f>IFERROR(IF(ISNUMBER('Change in Employment'!M114),TEXT('Change in Employment'!M114, "0"), ""), "")</f>
        <v>-833</v>
      </c>
      <c r="D107" s="104">
        <f>IF(ISNUMBER('Change in Employment'!G114),'Change in Employment'!G114,"")</f>
        <v>0</v>
      </c>
    </row>
    <row r="108" spans="1:4">
      <c r="A108" s="19" t="str">
        <f>TEXT(IF('Change in Employment'!B115&lt;&gt;0,DATE(YEAR('Change in Employment'!B115), MONTH('Change in Employment'!B115), 1), ""), "mm/dd/yyyy")</f>
        <v>10/01/2017</v>
      </c>
      <c r="B108" s="19">
        <f>IF(ISNUMBER('Change in Employment'!L115),'Change in Employment'!L115, "")</f>
        <v>1199.9999999998181</v>
      </c>
      <c r="C108" s="19" t="str">
        <f>IFERROR(IF(ISNUMBER('Change in Employment'!M115),TEXT('Change in Employment'!M115, "0"), ""), "")</f>
        <v>100</v>
      </c>
      <c r="D108" s="104">
        <f>IF(ISNUMBER('Change in Employment'!G115),'Change in Employment'!G115,"")</f>
        <v>0</v>
      </c>
    </row>
    <row r="109" spans="1:4">
      <c r="A109" s="19" t="str">
        <f>TEXT(IF('Change in Employment'!B116&lt;&gt;0,DATE(YEAR('Change in Employment'!B116), MONTH('Change in Employment'!B116), 1), ""), "mm/dd/yyyy")</f>
        <v>11/01/2017</v>
      </c>
      <c r="B109" s="19">
        <f>IF(ISNUMBER('Change in Employment'!L116),'Change in Employment'!L116, "")</f>
        <v>-3199.9999999998181</v>
      </c>
      <c r="C109" s="19" t="str">
        <f>IFERROR(IF(ISNUMBER('Change in Employment'!M116),TEXT('Change in Employment'!M116, "0"), ""), "")</f>
        <v>-900</v>
      </c>
      <c r="D109" s="104">
        <f>IF(ISNUMBER('Change in Employment'!G116),'Change in Employment'!G116,"")</f>
        <v>0</v>
      </c>
    </row>
    <row r="110" spans="1:4">
      <c r="A110" s="19" t="str">
        <f>TEXT(IF('Change in Employment'!B117&lt;&gt;0,DATE(YEAR('Change in Employment'!B117), MONTH('Change in Employment'!B117), 1), ""), "mm/dd/yyyy")</f>
        <v>12/01/2017</v>
      </c>
      <c r="B110" s="19">
        <f>IF(ISNUMBER('Change in Employment'!L117),'Change in Employment'!L117, "")</f>
        <v>-2000</v>
      </c>
      <c r="C110" s="19" t="str">
        <f>IFERROR(IF(ISNUMBER('Change in Employment'!M117),TEXT('Change in Employment'!M117, "0"), ""), "")</f>
        <v>-1333</v>
      </c>
      <c r="D110" s="104">
        <f>IF(ISNUMBER('Change in Employment'!G117),'Change in Employment'!G117,"")</f>
        <v>0</v>
      </c>
    </row>
    <row r="111" spans="1:4">
      <c r="A111" s="19" t="str">
        <f>TEXT(IF('Change in Employment'!B118&lt;&gt;0,DATE(YEAR('Change in Employment'!B118), MONTH('Change in Employment'!B118), 1), ""), "mm/dd/yyyy")</f>
        <v>01/01/2018</v>
      </c>
      <c r="B111" s="19">
        <f>IF(ISNUMBER('Change in Employment'!L118),'Change in Employment'!L118, "")</f>
        <v>699.9999999998181</v>
      </c>
      <c r="C111" s="19" t="str">
        <f>IFERROR(IF(ISNUMBER('Change in Employment'!M118),TEXT('Change in Employment'!M118, "0"), ""), "")</f>
        <v>-1500</v>
      </c>
      <c r="D111" s="104">
        <f>IF(ISNUMBER('Change in Employment'!G118),'Change in Employment'!G118,"")</f>
        <v>0</v>
      </c>
    </row>
    <row r="112" spans="1:4">
      <c r="A112" s="19" t="str">
        <f>TEXT(IF('Change in Employment'!B119&lt;&gt;0,DATE(YEAR('Change in Employment'!B119), MONTH('Change in Employment'!B119), 1), ""), "mm/dd/yyyy")</f>
        <v>02/01/2018</v>
      </c>
      <c r="B112" s="19">
        <f>IF(ISNUMBER('Change in Employment'!L119),'Change in Employment'!L119, "")</f>
        <v>400.00000000009095</v>
      </c>
      <c r="C112" s="19" t="str">
        <f>IFERROR(IF(ISNUMBER('Change in Employment'!M119),TEXT('Change in Employment'!M119, "0"), ""), "")</f>
        <v>-300</v>
      </c>
      <c r="D112" s="104">
        <f>IF(ISNUMBER('Change in Employment'!G119),'Change in Employment'!G119,"")</f>
        <v>0</v>
      </c>
    </row>
    <row r="113" spans="1:4">
      <c r="A113" s="19" t="str">
        <f>TEXT(IF('Change in Employment'!B120&lt;&gt;0,DATE(YEAR('Change in Employment'!B120), MONTH('Change in Employment'!B120), 1), ""), "mm/dd/yyyy")</f>
        <v>03/01/2018</v>
      </c>
      <c r="B113" s="19">
        <f>IF(ISNUMBER('Change in Employment'!L120),'Change in Employment'!L120, "")</f>
        <v>900.00000000009095</v>
      </c>
      <c r="C113" s="19" t="str">
        <f>IFERROR(IF(ISNUMBER('Change in Employment'!M120),TEXT('Change in Employment'!M120, "0"), ""), "")</f>
        <v>667</v>
      </c>
      <c r="D113" s="104">
        <f>IF(ISNUMBER('Change in Employment'!G120),'Change in Employment'!G120,"")</f>
        <v>0</v>
      </c>
    </row>
    <row r="114" spans="1:4">
      <c r="A114" s="19" t="str">
        <f>TEXT(IF('Change in Employment'!B121&lt;&gt;0,DATE(YEAR('Change in Employment'!B121), MONTH('Change in Employment'!B121), 1), ""), "mm/dd/yyyy")</f>
        <v>04/01/2018</v>
      </c>
      <c r="B114" s="19">
        <f>IF(ISNUMBER('Change in Employment'!L121),'Change in Employment'!L121, "")</f>
        <v>1500</v>
      </c>
      <c r="C114" s="19" t="str">
        <f>IFERROR(IF(ISNUMBER('Change in Employment'!M121),TEXT('Change in Employment'!M121, "0"), ""), "")</f>
        <v>933</v>
      </c>
      <c r="D114" s="104">
        <f>IF(ISNUMBER('Change in Employment'!G121),'Change in Employment'!G121,"")</f>
        <v>0</v>
      </c>
    </row>
    <row r="115" spans="1:4">
      <c r="A115" s="19" t="str">
        <f>TEXT(IF('Change in Employment'!B122&lt;&gt;0,DATE(YEAR('Change in Employment'!B122), MONTH('Change in Employment'!B122), 1), ""), "mm/dd/yyyy")</f>
        <v>05/01/2018</v>
      </c>
      <c r="B115" s="19">
        <f>IF(ISNUMBER('Change in Employment'!L122),'Change in Employment'!L122, "")</f>
        <v>-300.0000000001819</v>
      </c>
      <c r="C115" s="19" t="str">
        <f>IFERROR(IF(ISNUMBER('Change in Employment'!M122),TEXT('Change in Employment'!M122, "0"), ""), "")</f>
        <v>700</v>
      </c>
      <c r="D115" s="104">
        <f>IF(ISNUMBER('Change in Employment'!G122),'Change in Employment'!G122,"")</f>
        <v>0</v>
      </c>
    </row>
    <row r="116" spans="1:4">
      <c r="A116" s="19" t="str">
        <f>TEXT(IF('Change in Employment'!B123&lt;&gt;0,DATE(YEAR('Change in Employment'!B123), MONTH('Change in Employment'!B123), 1), ""), "mm/dd/yyyy")</f>
        <v>06/01/2018</v>
      </c>
      <c r="B116" s="19">
        <f>IF(ISNUMBER('Change in Employment'!L123),'Change in Employment'!L123, "")</f>
        <v>1800.0000000001819</v>
      </c>
      <c r="C116" s="19" t="str">
        <f>IFERROR(IF(ISNUMBER('Change in Employment'!M123),TEXT('Change in Employment'!M123, "0"), ""), "")</f>
        <v>1000</v>
      </c>
      <c r="D116" s="104">
        <f>IF(ISNUMBER('Change in Employment'!G123),'Change in Employment'!G123,"")</f>
        <v>0</v>
      </c>
    </row>
    <row r="117" spans="1:4">
      <c r="A117" s="19" t="str">
        <f>TEXT(IF('Change in Employment'!B124&lt;&gt;0,DATE(YEAR('Change in Employment'!B124), MONTH('Change in Employment'!B124), 1), ""), "mm/dd/yyyy")</f>
        <v>07/01/2018</v>
      </c>
      <c r="B117" s="19">
        <f>IF(ISNUMBER('Change in Employment'!L124),'Change in Employment'!L124, "")</f>
        <v>1799.9999999997272</v>
      </c>
      <c r="C117" s="19" t="str">
        <f>IFERROR(IF(ISNUMBER('Change in Employment'!M124),TEXT('Change in Employment'!M124, "0"), ""), "")</f>
        <v>1100</v>
      </c>
      <c r="D117" s="104">
        <f>IF(ISNUMBER('Change in Employment'!G124),'Change in Employment'!G124,"")</f>
        <v>0</v>
      </c>
    </row>
    <row r="118" spans="1:4">
      <c r="A118" s="19" t="str">
        <f>TEXT(IF('Change in Employment'!B125&lt;&gt;0,DATE(YEAR('Change in Employment'!B125), MONTH('Change in Employment'!B125), 1), ""), "mm/dd/yyyy")</f>
        <v>08/01/2018</v>
      </c>
      <c r="B118" s="19">
        <f>IF(ISNUMBER('Change in Employment'!L125),'Change in Employment'!L125, "")</f>
        <v>500</v>
      </c>
      <c r="C118" s="19" t="str">
        <f>IFERROR(IF(ISNUMBER('Change in Employment'!M125),TEXT('Change in Employment'!M125, "0"), ""), "")</f>
        <v>1367</v>
      </c>
      <c r="D118" s="104">
        <f>IF(ISNUMBER('Change in Employment'!G125),'Change in Employment'!G125,"")</f>
        <v>0</v>
      </c>
    </row>
    <row r="119" spans="1:4">
      <c r="A119" s="19" t="str">
        <f>TEXT(IF('Change in Employment'!B126&lt;&gt;0,DATE(YEAR('Change in Employment'!B126), MONTH('Change in Employment'!B126), 1), ""), "mm/dd/yyyy")</f>
        <v>09/01/2018</v>
      </c>
      <c r="B119" s="19">
        <f>IF(ISNUMBER('Change in Employment'!L126),'Change in Employment'!L126, "")</f>
        <v>800.0000000001819</v>
      </c>
      <c r="C119" s="19" t="str">
        <f>IFERROR(IF(ISNUMBER('Change in Employment'!M126),TEXT('Change in Employment'!M126, "0"), ""), "")</f>
        <v>1033</v>
      </c>
      <c r="D119" s="104">
        <f>IF(ISNUMBER('Change in Employment'!G126),'Change in Employment'!G126,"")</f>
        <v>0</v>
      </c>
    </row>
    <row r="120" spans="1:4">
      <c r="A120" s="19" t="str">
        <f>TEXT(IF('Change in Employment'!B127&lt;&gt;0,DATE(YEAR('Change in Employment'!B127), MONTH('Change in Employment'!B127), 1), ""), "mm/dd/yyyy")</f>
        <v>10/01/2018</v>
      </c>
      <c r="B120" s="19">
        <f>IF(ISNUMBER('Change in Employment'!L127),'Change in Employment'!L127, "")</f>
        <v>2400.0000000000909</v>
      </c>
      <c r="C120" s="19" t="str">
        <f>IFERROR(IF(ISNUMBER('Change in Employment'!M127),TEXT('Change in Employment'!M127, "0"), ""), "")</f>
        <v>1233</v>
      </c>
      <c r="D120" s="104">
        <f>IF(ISNUMBER('Change in Employment'!G127),'Change in Employment'!G127,"")</f>
        <v>0</v>
      </c>
    </row>
    <row r="121" spans="1:4">
      <c r="A121" s="19" t="str">
        <f>TEXT(IF('Change in Employment'!B128&lt;&gt;0,DATE(YEAR('Change in Employment'!B128), MONTH('Change in Employment'!B128), 1), ""), "mm/dd/yyyy")</f>
        <v>11/01/2018</v>
      </c>
      <c r="B121" s="19">
        <f>IF(ISNUMBER('Change in Employment'!L128),'Change in Employment'!L128, "")</f>
        <v>-300.0000000001819</v>
      </c>
      <c r="C121" s="19" t="str">
        <f>IFERROR(IF(ISNUMBER('Change in Employment'!M128),TEXT('Change in Employment'!M128, "0"), ""), "")</f>
        <v>967</v>
      </c>
      <c r="D121" s="104">
        <f>IF(ISNUMBER('Change in Employment'!G128),'Change in Employment'!G128,"")</f>
        <v>0</v>
      </c>
    </row>
    <row r="122" spans="1:4">
      <c r="A122" s="19" t="str">
        <f>TEXT(IF('Change in Employment'!B129&lt;&gt;0,DATE(YEAR('Change in Employment'!B129), MONTH('Change in Employment'!B129), 1), ""), "mm/dd/yyyy")</f>
        <v>12/01/2018</v>
      </c>
      <c r="B122" s="19">
        <f>IF(ISNUMBER('Change in Employment'!L129),'Change in Employment'!L129, "")</f>
        <v>-1099.9999999999091</v>
      </c>
      <c r="C122" s="19" t="str">
        <f>IFERROR(IF(ISNUMBER('Change in Employment'!M129),TEXT('Change in Employment'!M129, "0"), ""), "")</f>
        <v>333</v>
      </c>
      <c r="D122" s="104">
        <f>IF(ISNUMBER('Change in Employment'!G129),'Change in Employment'!G129,"")</f>
        <v>0</v>
      </c>
    </row>
    <row r="123" spans="1:4">
      <c r="A123" s="19" t="str">
        <f>TEXT(IF('Change in Employment'!B130&lt;&gt;0,DATE(YEAR('Change in Employment'!B130), MONTH('Change in Employment'!B130), 1), ""), "mm/dd/yyyy")</f>
        <v>01/01/2019</v>
      </c>
      <c r="B123" s="19">
        <f>IF(ISNUMBER('Change in Employment'!L130),'Change in Employment'!L130, "")</f>
        <v>-500</v>
      </c>
      <c r="C123" s="19" t="str">
        <f>IFERROR(IF(ISNUMBER('Change in Employment'!M130),TEXT('Change in Employment'!M130, "0"), ""), "")</f>
        <v>-633</v>
      </c>
      <c r="D123" s="104">
        <f>IF(ISNUMBER('Change in Employment'!G130),'Change in Employment'!G130,"")</f>
        <v>0</v>
      </c>
    </row>
    <row r="124" spans="1:4">
      <c r="A124" s="19" t="str">
        <f>TEXT(IF('Change in Employment'!B131&lt;&gt;0,DATE(YEAR('Change in Employment'!B131), MONTH('Change in Employment'!B131), 1), ""), "mm/dd/yyyy")</f>
        <v>02/01/2019</v>
      </c>
      <c r="B124" s="19">
        <f>IF(ISNUMBER('Change in Employment'!L131),'Change in Employment'!L131, "")</f>
        <v>5299.9999999997272</v>
      </c>
      <c r="C124" s="19" t="str">
        <f>IFERROR(IF(ISNUMBER('Change in Employment'!M131),TEXT('Change in Employment'!M131, "0"), ""), "")</f>
        <v>1233</v>
      </c>
      <c r="D124" s="104">
        <f>IF(ISNUMBER('Change in Employment'!G131),'Change in Employment'!G131,"")</f>
        <v>0</v>
      </c>
    </row>
    <row r="125" spans="1:4">
      <c r="A125" s="19" t="str">
        <f>TEXT(IF('Change in Employment'!B132&lt;&gt;0,DATE(YEAR('Change in Employment'!B132), MONTH('Change in Employment'!B132), 1), ""), "mm/dd/yyyy")</f>
        <v>03/01/2019</v>
      </c>
      <c r="B125" s="19">
        <f>IF(ISNUMBER('Change in Employment'!L132),'Change in Employment'!L132, "")</f>
        <v>-1500</v>
      </c>
      <c r="C125" s="19" t="str">
        <f>IFERROR(IF(ISNUMBER('Change in Employment'!M132),TEXT('Change in Employment'!M132, "0"), ""), "")</f>
        <v>1100</v>
      </c>
      <c r="D125" s="104">
        <f>IF(ISNUMBER('Change in Employment'!G132),'Change in Employment'!G132,"")</f>
        <v>0</v>
      </c>
    </row>
    <row r="126" spans="1:4">
      <c r="A126" s="19" t="str">
        <f>TEXT(IF('Change in Employment'!B133&lt;&gt;0,DATE(YEAR('Change in Employment'!B133), MONTH('Change in Employment'!B133), 1), ""), "mm/dd/yyyy")</f>
        <v>04/01/2019</v>
      </c>
      <c r="B126" s="19">
        <f>IF(ISNUMBER('Change in Employment'!L133),'Change in Employment'!L133, "")</f>
        <v>6500</v>
      </c>
      <c r="C126" s="19" t="str">
        <f>IFERROR(IF(ISNUMBER('Change in Employment'!M133),TEXT('Change in Employment'!M133, "0"), ""), "")</f>
        <v>3433</v>
      </c>
      <c r="D126" s="104">
        <f>IF(ISNUMBER('Change in Employment'!G133),'Change in Employment'!G133,"")</f>
        <v>0</v>
      </c>
    </row>
    <row r="127" spans="1:4">
      <c r="A127" s="19" t="str">
        <f>TEXT(IF('Change in Employment'!B134&lt;&gt;0,DATE(YEAR('Change in Employment'!B134), MONTH('Change in Employment'!B134), 1), ""), "mm/dd/yyyy")</f>
        <v>05/01/2019</v>
      </c>
      <c r="B127" s="19">
        <f>IF(ISNUMBER('Change in Employment'!L134),'Change in Employment'!L134, "")</f>
        <v>2000</v>
      </c>
      <c r="C127" s="19" t="str">
        <f>IFERROR(IF(ISNUMBER('Change in Employment'!M134),TEXT('Change in Employment'!M134, "0"), ""), "")</f>
        <v>2333</v>
      </c>
      <c r="D127" s="104">
        <f>IF(ISNUMBER('Change in Employment'!G134),'Change in Employment'!G134,"")</f>
        <v>0</v>
      </c>
    </row>
    <row r="128" spans="1:4">
      <c r="A128" s="19" t="str">
        <f>TEXT(IF('Change in Employment'!B135&lt;&gt;0,DATE(YEAR('Change in Employment'!B135), MONTH('Change in Employment'!B135), 1), ""), "mm/dd/yyyy")</f>
        <v>06/01/2019</v>
      </c>
      <c r="B128" s="19">
        <f>IF(ISNUMBER('Change in Employment'!L135),'Change in Employment'!L135, "")</f>
        <v>2600.0000000003638</v>
      </c>
      <c r="C128" s="19" t="str">
        <f>IFERROR(IF(ISNUMBER('Change in Employment'!M135),TEXT('Change in Employment'!M135, "0"), ""), "")</f>
        <v>3700</v>
      </c>
      <c r="D128" s="104">
        <f>IF(ISNUMBER('Change in Employment'!G135),'Change in Employment'!G135,"")</f>
        <v>0</v>
      </c>
    </row>
    <row r="129" spans="1:4">
      <c r="A129" s="19" t="str">
        <f>TEXT(IF('Change in Employment'!B136&lt;&gt;0,DATE(YEAR('Change in Employment'!B136), MONTH('Change in Employment'!B136), 1), ""), "mm/dd/yyyy")</f>
        <v>07/01/2019</v>
      </c>
      <c r="B129" s="19">
        <f>IF(ISNUMBER('Change in Employment'!L136),'Change in Employment'!L136, "")</f>
        <v>1500</v>
      </c>
      <c r="C129" s="19" t="str">
        <f>IFERROR(IF(ISNUMBER('Change in Employment'!M136),TEXT('Change in Employment'!M136, "0"), ""), "")</f>
        <v>2033</v>
      </c>
      <c r="D129" s="104">
        <f>IF(ISNUMBER('Change in Employment'!G136),'Change in Employment'!G136,"")</f>
        <v>0</v>
      </c>
    </row>
    <row r="130" spans="1:4">
      <c r="A130" s="19" t="str">
        <f>TEXT(IF('Change in Employment'!B137&lt;&gt;0,DATE(YEAR('Change in Employment'!B137), MONTH('Change in Employment'!B137), 1), ""), "mm/dd/yyyy")</f>
        <v>08/01/2019</v>
      </c>
      <c r="B130" s="19">
        <f>IF(ISNUMBER('Change in Employment'!L137),'Change in Employment'!L137, "")</f>
        <v>2099.9999999999091</v>
      </c>
      <c r="C130" s="19" t="str">
        <f>IFERROR(IF(ISNUMBER('Change in Employment'!M137),TEXT('Change in Employment'!M137, "0"), ""), "")</f>
        <v>2067</v>
      </c>
      <c r="D130" s="104">
        <f>IF(ISNUMBER('Change in Employment'!G137),'Change in Employment'!G137,"")</f>
        <v>0</v>
      </c>
    </row>
    <row r="131" spans="1:4">
      <c r="A131" s="19" t="str">
        <f>TEXT(IF('Change in Employment'!B138&lt;&gt;0,DATE(YEAR('Change in Employment'!B138), MONTH('Change in Employment'!B138), 1), ""), "mm/dd/yyyy")</f>
        <v>09/01/2019</v>
      </c>
      <c r="B131" s="19">
        <f>IF(ISNUMBER('Change in Employment'!L138),'Change in Employment'!L138, "")</f>
        <v>599.99999999990905</v>
      </c>
      <c r="C131" s="19" t="str">
        <f>IFERROR(IF(ISNUMBER('Change in Employment'!M138),TEXT('Change in Employment'!M138, "0"), ""), "")</f>
        <v>1400</v>
      </c>
      <c r="D131" s="104">
        <f>IF(ISNUMBER('Change in Employment'!G138),'Change in Employment'!G138,"")</f>
        <v>0</v>
      </c>
    </row>
    <row r="132" spans="1:4">
      <c r="A132" s="19" t="str">
        <f>TEXT(IF('Change in Employment'!B139&lt;&gt;0,DATE(YEAR('Change in Employment'!B139), MONTH('Change in Employment'!B139), 1), ""), "mm/dd/yyyy")</f>
        <v>10/01/2019</v>
      </c>
      <c r="B132" s="19">
        <f>IF(ISNUMBER('Change in Employment'!L139),'Change in Employment'!L139, "")</f>
        <v>1800.0000000001819</v>
      </c>
      <c r="C132" s="19" t="str">
        <f>IFERROR(IF(ISNUMBER('Change in Employment'!M139),TEXT('Change in Employment'!M139, "0"), ""), "")</f>
        <v>1500</v>
      </c>
      <c r="D132" s="104">
        <f>IF(ISNUMBER('Change in Employment'!G139),'Change in Employment'!G139,"")</f>
        <v>0</v>
      </c>
    </row>
    <row r="133" spans="1:4">
      <c r="A133" s="19" t="str">
        <f>TEXT(IF('Change in Employment'!B140&lt;&gt;0,DATE(YEAR('Change in Employment'!B140), MONTH('Change in Employment'!B140), 1), ""), "mm/dd/yyyy")</f>
        <v>11/01/2019</v>
      </c>
      <c r="B133" s="19">
        <f>IF(ISNUMBER('Change in Employment'!L140),'Change in Employment'!L140, "")</f>
        <v>3000</v>
      </c>
      <c r="C133" s="19" t="str">
        <f>IFERROR(IF(ISNUMBER('Change in Employment'!M140),TEXT('Change in Employment'!M140, "0"), ""), "")</f>
        <v>1800</v>
      </c>
      <c r="D133" s="104">
        <f>IF(ISNUMBER('Change in Employment'!G140),'Change in Employment'!G140,"")</f>
        <v>0</v>
      </c>
    </row>
    <row r="134" spans="1:4">
      <c r="A134" s="19" t="str">
        <f>TEXT(IF('Change in Employment'!B141&lt;&gt;0,DATE(YEAR('Change in Employment'!B141), MONTH('Change in Employment'!B141), 1), ""), "mm/dd/yyyy")</f>
        <v>12/01/2019</v>
      </c>
      <c r="B134" s="19">
        <f>IF(ISNUMBER('Change in Employment'!L141),'Change in Employment'!L141, "")</f>
        <v>-1200.0000000002728</v>
      </c>
      <c r="C134" s="19" t="str">
        <f>IFERROR(IF(ISNUMBER('Change in Employment'!M141),TEXT('Change in Employment'!M141, "0"), ""), "")</f>
        <v>1200</v>
      </c>
      <c r="D134" s="104">
        <f>IF(ISNUMBER('Change in Employment'!G141),'Change in Employment'!G141,"")</f>
        <v>0</v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4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4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4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4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4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4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4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4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4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4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4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4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4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4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4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4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4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4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4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4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4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4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4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4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4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4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4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4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4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4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4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4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4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4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4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4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4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4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4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4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4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4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4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4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4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4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4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4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4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4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4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4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4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4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4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4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4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4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4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4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4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4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4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4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4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4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4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4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4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4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4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4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4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4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4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4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4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4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4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4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4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4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4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4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4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4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4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4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4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4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4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4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4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4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4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4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4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4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4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4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4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4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4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4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4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4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4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4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4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4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4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4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4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4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4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4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4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4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4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4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4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4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4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4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4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4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4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4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4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4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4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4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4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4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4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4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4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4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4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4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4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4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4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4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4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4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4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4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4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4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4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4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4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4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4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4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4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4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4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4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4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4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4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4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4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4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4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4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4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4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4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4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4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4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4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4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4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4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4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4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4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4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4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4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4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4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4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4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4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4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4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4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4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4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4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4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4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4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4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4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4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4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4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4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4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4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4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4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4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4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4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4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4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4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4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4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4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4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4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4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4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4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4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4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4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4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4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4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4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4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4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4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4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4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4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4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4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4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4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4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4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4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4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4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4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4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4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4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4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4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4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4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4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4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4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4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4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4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4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4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4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4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4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4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4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4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4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4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4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4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4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4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4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4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4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4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4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4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4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4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4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4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4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4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4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4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4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4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4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4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4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4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4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4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4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4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4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4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4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4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4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4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4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4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4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4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4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4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4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4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4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4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4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4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4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4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4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4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4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4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4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4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4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4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4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4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4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4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4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4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4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4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4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4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4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4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4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4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4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4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4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4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4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4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4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4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4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4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4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4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4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4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4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4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4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4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4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4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4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4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4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4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4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4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4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4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4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4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4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4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4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4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4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4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4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4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4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4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4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4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4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4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4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4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4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4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4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4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4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4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4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4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4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4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4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4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4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4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4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4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4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4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4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4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4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4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4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4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4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4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4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4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4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4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4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4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4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4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4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4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4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4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4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4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4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4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4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4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4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4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4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4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4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4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4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4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4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4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4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4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4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4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4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4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4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4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4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4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4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4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4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4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4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4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4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4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4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4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4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4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4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4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4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4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4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4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4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4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4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4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4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4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4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4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4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4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4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4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4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4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4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4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4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4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4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4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4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4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4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4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4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4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4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4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4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4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4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4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4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4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4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4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4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4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4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4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4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4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4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4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4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4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4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4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4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4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4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4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4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4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4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4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4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4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4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4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4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4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4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4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4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4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4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4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4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4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4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4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4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4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4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4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4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4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4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4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4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4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4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4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4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4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4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4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4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4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4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4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4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4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4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4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4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4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4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4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4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4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4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4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4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4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4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4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4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4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4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4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4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4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4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4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4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4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4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4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4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4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4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4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4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4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4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4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4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4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4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4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4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4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4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4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4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4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4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4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4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4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4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4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4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4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4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4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4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4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4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4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4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4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4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4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4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4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4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4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4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4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4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4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4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4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4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4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4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4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4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4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4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4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4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4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4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4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4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4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4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4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4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4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4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4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4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4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4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4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4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4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4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4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4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4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4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4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4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4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4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4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4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4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4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4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4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4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4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4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4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4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4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4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4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4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4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4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4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4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4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4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4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4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4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4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4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4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4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4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4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4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4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4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4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4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4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4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4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4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4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4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4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4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4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4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4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4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4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4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4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4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4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4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4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4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4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4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4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4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4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4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4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4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4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4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4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4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4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4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4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4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4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4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4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4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4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4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4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4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4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4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4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4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4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4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4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4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4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4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4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4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4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4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4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4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4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4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4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4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4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4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4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4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4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4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4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4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4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4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4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4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4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4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4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4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4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4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4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4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4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4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4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4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4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4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4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4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4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4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4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4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4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4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4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4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4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4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4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4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4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4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4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4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4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4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4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4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4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4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4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4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4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4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4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4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4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4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4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4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4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4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4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4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4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4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4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4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4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4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4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4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4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4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4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4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4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4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4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4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4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4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4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4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4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4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4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4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4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4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4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4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4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4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4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4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4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4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4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4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4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4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4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4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4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4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4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4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4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4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4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4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4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4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4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4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4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4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4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4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4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4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4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4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4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4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4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4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4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4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4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4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4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4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4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4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4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4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4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4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4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4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4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4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4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4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4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4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4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4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4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4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4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4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4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4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4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4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4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4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4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4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4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4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4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4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4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4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4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4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4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4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4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4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4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4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4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4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4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4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4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4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4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4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4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4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4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4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FF00"/>
  </sheetPr>
  <dimension ref="A1:C372"/>
  <sheetViews>
    <sheetView workbookViewId="0">
      <selection activeCell="B23" sqref="B23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310.5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315.8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314.2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304.60000000000002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293.8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303.5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305.89999999999998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299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290.39999999999998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283.39999999999998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279.8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281.60000000000002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273.3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268.8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261.8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255.9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252.1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254.3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255.3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252.6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247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253.8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256.2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258.39999999999998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255.7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269.10000000000002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270.7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260.2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274.8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269.2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267.10000000000002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271.5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269.7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269.10000000000002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>1-Jul-17</v>
      </c>
      <c r="B36" s="19">
        <f>IF(ISNUMBER('Real Structures'!C42),'Real Structures'!C42, "")</f>
        <v>265</v>
      </c>
      <c r="C36" s="19">
        <f>IF(ISNUMBER('Real Structures'!D42),'Real Structures'!D42, "")</f>
        <v>0</v>
      </c>
    </row>
    <row r="37" spans="1:3">
      <c r="A37" s="19" t="str">
        <f>TEXT(IF('Real Structures'!B43&lt;&gt;0,'Real Structures'!B43, ""), "d-mmm-yy")</f>
        <v>1-Oct-17</v>
      </c>
      <c r="B37" s="19">
        <f>IF(ISNUMBER('Real Structures'!C43),'Real Structures'!C43, "")</f>
        <v>266.7</v>
      </c>
      <c r="C37" s="19">
        <f>IF(ISNUMBER('Real Structures'!D43),'Real Structures'!D43, "")</f>
        <v>0</v>
      </c>
    </row>
    <row r="38" spans="1:3">
      <c r="A38" s="19" t="str">
        <f>TEXT(IF('Real Structures'!B44&lt;&gt;0,'Real Structures'!B44, ""), "d-mmm-yy")</f>
        <v>1-Jan-18</v>
      </c>
      <c r="B38" s="19">
        <f>IF(ISNUMBER('Real Structures'!C44),'Real Structures'!C44, "")</f>
        <v>268.8</v>
      </c>
      <c r="C38" s="19">
        <f>IF(ISNUMBER('Real Structures'!D44),'Real Structures'!D44, "")</f>
        <v>0</v>
      </c>
    </row>
    <row r="39" spans="1:3">
      <c r="A39" s="19" t="str">
        <f>TEXT(IF('Real Structures'!B45&lt;&gt;0,'Real Structures'!B45, ""), "d-mmm-yy")</f>
        <v>1-Apr-18</v>
      </c>
      <c r="B39" s="19">
        <f>IF(ISNUMBER('Real Structures'!C45),'Real Structures'!C45, "")</f>
        <v>272.10000000000002</v>
      </c>
      <c r="C39" s="19">
        <f>IF(ISNUMBER('Real Structures'!D45),'Real Structures'!D45, "")</f>
        <v>0</v>
      </c>
    </row>
    <row r="40" spans="1:3">
      <c r="A40" s="19" t="str">
        <f>TEXT(IF('Real Structures'!B46&lt;&gt;0,'Real Structures'!B46, ""), "d-mmm-yy")</f>
        <v>1-Jul-18</v>
      </c>
      <c r="B40" s="19">
        <f>IF(ISNUMBER('Real Structures'!C46),'Real Structures'!C46, "")</f>
        <v>272</v>
      </c>
      <c r="C40" s="19">
        <f>IF(ISNUMBER('Real Structures'!D46),'Real Structures'!D46, "")</f>
        <v>0</v>
      </c>
    </row>
    <row r="41" spans="1:3">
      <c r="A41" s="19" t="str">
        <f>TEXT(IF('Real Structures'!B47&lt;&gt;0,'Real Structures'!B47, ""), "d-mmm-yy")</f>
        <v>1-Oct-18</v>
      </c>
      <c r="B41" s="19">
        <f>IF(ISNUMBER('Real Structures'!C47),'Real Structures'!C47, "")</f>
        <v>262.7</v>
      </c>
      <c r="C41" s="19">
        <f>IF(ISNUMBER('Real Structures'!D47),'Real Structures'!D47, "")</f>
        <v>0</v>
      </c>
    </row>
    <row r="42" spans="1:3">
      <c r="A42" s="19" t="str">
        <f>TEXT(IF('Real Structures'!B48&lt;&gt;0,'Real Structures'!B48, ""), "d-mmm-yy")</f>
        <v>1-Jan-19</v>
      </c>
      <c r="B42" s="19">
        <f>IF(ISNUMBER('Real Structures'!C48),'Real Structures'!C48, "")</f>
        <v>272.60000000000002</v>
      </c>
      <c r="C42" s="19">
        <f>IF(ISNUMBER('Real Structures'!D48),'Real Structures'!D48, "")</f>
        <v>0</v>
      </c>
    </row>
    <row r="43" spans="1:3">
      <c r="A43" s="19" t="str">
        <f>TEXT(IF('Real Structures'!B49&lt;&gt;0,'Real Structures'!B49, ""), "d-mmm-yy")</f>
        <v>1-Apr-19</v>
      </c>
      <c r="B43" s="19">
        <f>IF(ISNUMBER('Real Structures'!C49),'Real Structures'!C49, "")</f>
        <v>282</v>
      </c>
      <c r="C43" s="19">
        <f>IF(ISNUMBER('Real Structures'!D49),'Real Structures'!D49, "")</f>
        <v>0</v>
      </c>
    </row>
    <row r="44" spans="1:3">
      <c r="A44" s="19" t="str">
        <f>TEXT(IF('Real Structures'!B50&lt;&gt;0,'Real Structures'!B50, ""), "d-mmm-yy")</f>
        <v>1-Jul-19</v>
      </c>
      <c r="B44" s="19">
        <f>IF(ISNUMBER('Real Structures'!C50),'Real Structures'!C50, "")</f>
        <v>278</v>
      </c>
      <c r="C44" s="19">
        <f>IF(ISNUMBER('Real Structures'!D50),'Real Structures'!D50, "")</f>
        <v>0</v>
      </c>
    </row>
    <row r="45" spans="1:3">
      <c r="A45" s="19" t="str">
        <f>TEXT(IF('Real Structures'!B51&lt;&gt;0,'Real Structures'!B51, ""), "d-mmm-yy")</f>
        <v>1-Oct-19</v>
      </c>
      <c r="B45" s="19">
        <f>IF(ISNUMBER('Real Structures'!C51),'Real Structures'!C51, "")</f>
        <v>282.3</v>
      </c>
      <c r="C45" s="19">
        <f>IF(ISNUMBER('Real Structures'!D51),'Real Structures'!D51, "")</f>
        <v>0</v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0.026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>04/01/2017</v>
      </c>
      <c r="B55" s="19" t="str">
        <f>IF(ISNUMBER('State and Local Taxes'!I68),TEXT('State and Local Taxes'!I68, "0.000"), "")</f>
        <v>0.025</v>
      </c>
      <c r="C55" s="19">
        <f>IF(ISNUMBER('State and Local Taxes'!J68),'State and Local Taxes'!J68, "")</f>
        <v>0</v>
      </c>
    </row>
    <row r="56" spans="1:3">
      <c r="A56" s="19" t="str">
        <f>TEXT(IF('State and Local Taxes'!B69&lt;&gt;0,DATE(YEAR('State and Local Taxes'!B69), MONTH('State and Local Taxes'!B69)-2, 1), ""), "mm/dd/yyyy")</f>
        <v>07/01/2017</v>
      </c>
      <c r="B56" s="19" t="str">
        <f>IF(ISNUMBER('State and Local Taxes'!I69),TEXT('State and Local Taxes'!I69, "0.000"), "")</f>
        <v>0.029</v>
      </c>
      <c r="C56" s="19">
        <f>IF(ISNUMBER('State and Local Taxes'!J69),'State and Local Taxes'!J69, "")</f>
        <v>0</v>
      </c>
    </row>
    <row r="57" spans="1:3">
      <c r="A57" s="19" t="str">
        <f>TEXT(IF('State and Local Taxes'!B70&lt;&gt;0,DATE(YEAR('State and Local Taxes'!B70), MONTH('State and Local Taxes'!B70)-2, 1), ""), "mm/dd/yyyy")</f>
        <v>10/01/2017</v>
      </c>
      <c r="B57" s="19" t="str">
        <f>IF(ISNUMBER('State and Local Taxes'!I70),TEXT('State and Local Taxes'!I70, "0.000"), "")</f>
        <v>0.047</v>
      </c>
      <c r="C57" s="19">
        <f>IF(ISNUMBER('State and Local Taxes'!J70),'State and Local Taxes'!J70, "")</f>
        <v>0</v>
      </c>
    </row>
    <row r="58" spans="1:3">
      <c r="A58" s="19" t="str">
        <f>TEXT(IF('State and Local Taxes'!B71&lt;&gt;0,DATE(YEAR('State and Local Taxes'!B71), MONTH('State and Local Taxes'!B71)-2, 1), ""), "mm/dd/yyyy")</f>
        <v>01/01/2018</v>
      </c>
      <c r="B58" s="19" t="str">
        <f>IF(ISNUMBER('State and Local Taxes'!I71),TEXT('State and Local Taxes'!I71, "0.000"), "")</f>
        <v>0.055</v>
      </c>
      <c r="C58" s="19">
        <f>IF(ISNUMBER('State and Local Taxes'!J71),'State and Local Taxes'!J71, "")</f>
        <v>0</v>
      </c>
    </row>
    <row r="59" spans="1:3">
      <c r="A59" s="19" t="str">
        <f>TEXT(IF('State and Local Taxes'!B72&lt;&gt;0,DATE(YEAR('State and Local Taxes'!B72), MONTH('State and Local Taxes'!B72)-2, 1), ""), "mm/dd/yyyy")</f>
        <v>04/01/2018</v>
      </c>
      <c r="B59" s="19" t="str">
        <f>IF(ISNUMBER('State and Local Taxes'!I72),TEXT('State and Local Taxes'!I72, "0.000"), "")</f>
        <v>0.066</v>
      </c>
      <c r="C59" s="19">
        <f>IF(ISNUMBER('State and Local Taxes'!J72),'State and Local Taxes'!J72, "")</f>
        <v>0</v>
      </c>
    </row>
    <row r="60" spans="1:3">
      <c r="A60" s="19" t="str">
        <f>TEXT(IF('State and Local Taxes'!B73&lt;&gt;0,DATE(YEAR('State and Local Taxes'!B73), MONTH('State and Local Taxes'!B73)-2, 1), ""), "mm/dd/yyyy")</f>
        <v>07/01/2018</v>
      </c>
      <c r="B60" s="19" t="str">
        <f>IF(ISNUMBER('State and Local Taxes'!I73),TEXT('State and Local Taxes'!I73, "0.000"), "")</f>
        <v>0.066</v>
      </c>
      <c r="C60" s="19">
        <f>IF(ISNUMBER('State and Local Taxes'!J73),'State and Local Taxes'!J73, "")</f>
        <v>0</v>
      </c>
    </row>
    <row r="61" spans="1:3">
      <c r="A61" s="19" t="str">
        <f>TEXT(IF('State and Local Taxes'!B74&lt;&gt;0,DATE(YEAR('State and Local Taxes'!B74), MONTH('State and Local Taxes'!B74)-2, 1), ""), "mm/dd/yyyy")</f>
        <v>10/01/2018</v>
      </c>
      <c r="B61" s="19" t="str">
        <f>IF(ISNUMBER('State and Local Taxes'!I74),TEXT('State and Local Taxes'!I74, "0.000"), "")</f>
        <v>0.044</v>
      </c>
      <c r="C61" s="19">
        <f>IF(ISNUMBER('State and Local Taxes'!J74),'State and Local Taxes'!J74, "")</f>
        <v>0</v>
      </c>
    </row>
    <row r="62" spans="1:3">
      <c r="A62" s="19" t="str">
        <f>TEXT(IF('State and Local Taxes'!B75&lt;&gt;0,DATE(YEAR('State and Local Taxes'!B75), MONTH('State and Local Taxes'!B75)-2, 1), ""), "mm/dd/yyyy")</f>
        <v>01/01/2019</v>
      </c>
      <c r="B62" s="19" t="str">
        <f>IF(ISNUMBER('State and Local Taxes'!I75),TEXT('State and Local Taxes'!I75, "0.000"), "")</f>
        <v>0.039</v>
      </c>
      <c r="C62" s="19">
        <f>IF(ISNUMBER('State and Local Taxes'!J75),'State and Local Taxes'!J75, "")</f>
        <v>0</v>
      </c>
    </row>
    <row r="63" spans="1:3">
      <c r="A63" s="19" t="str">
        <f>TEXT(IF('State and Local Taxes'!B76&lt;&gt;0,DATE(YEAR('State and Local Taxes'!B76), MONTH('State and Local Taxes'!B76)-2, 1), ""), "mm/dd/yyyy")</f>
        <v>04/01/2019</v>
      </c>
      <c r="B63" s="19" t="str">
        <f>IF(ISNUMBER('State and Local Taxes'!I76),TEXT('State and Local Taxes'!I76, "0.000"), "")</f>
        <v>0.051</v>
      </c>
      <c r="C63" s="19">
        <f>IF(ISNUMBER('State and Local Taxes'!J76),'State and Local Taxes'!J76, "")</f>
        <v>0</v>
      </c>
    </row>
    <row r="64" spans="1:3">
      <c r="A64" s="19" t="str">
        <f>TEXT(IF('State and Local Taxes'!B77&lt;&gt;0,DATE(YEAR('State and Local Taxes'!B77), MONTH('State and Local Taxes'!B77)-2, 1), ""), "mm/dd/yyyy")</f>
        <v>07/01/2019</v>
      </c>
      <c r="B64" s="19" t="str">
        <f>IF(ISNUMBER('State and Local Taxes'!I77),TEXT('State and Local Taxes'!I77, "0.000"), "")</f>
        <v>0.055</v>
      </c>
      <c r="C64" s="19">
        <f>IF(ISNUMBER('State and Local Taxes'!J77),'State and Local Taxes'!J77, "")</f>
        <v>0</v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17.56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20.22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17.58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20.18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18.06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19.65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18.52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21.17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19.13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21.65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18.65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22.51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16.98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22.86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16.88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21.57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17.21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22.19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16.99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21.88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17.92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21.06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17.69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20.71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17.84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20.59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17.50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21.24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17.31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21.73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17.01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21.53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17.04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20.80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17.54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20.37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17.88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20.05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18.27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19.63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18.69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18.95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19.28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18.50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19.28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17.95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20.02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17.68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18.92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17.70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17.11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18.56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15.80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19.14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15.63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19.07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16.78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19.26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17.65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19.47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17.97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19.09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17.12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20.23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14.59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24.37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14.58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23.30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14.95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23.39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15.26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21.96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16.71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20.81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17.43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20.23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17.96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20.40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17.61</v>
      </c>
      <c r="C41" s="19" t="str">
        <f ca="1">IFERROR(IF(ISNUMBER('Revenues &amp; Outlays in GDP'!C47),TEXT('Revenues &amp; Outlays in GDP'!C47, "0.00"),""), "")</f>
        <v/>
      </c>
      <c r="D41" s="19" t="str">
        <f>IFERROR(IF(ISNUMBER('Revenues &amp; Outlays in GDP'!H47),TEXT('Revenues &amp; Outlays in GDP'!H47, "0.00"),""), "")</f>
        <v>20.76</v>
      </c>
      <c r="E41" s="19" t="str">
        <f ca="1">IFERROR(IF(ISNUMBER('Revenues &amp; Outlays in GDP'!D47),TEXT('Revenues &amp; Outlays in GDP'!D47, "0.00"),""), "")</f>
        <v/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>17.19</v>
      </c>
      <c r="C42" s="19" t="str">
        <f ca="1">IFERROR(IF(ISNUMBER('Revenues &amp; Outlays in GDP'!C48),TEXT('Revenues &amp; Outlays in GDP'!C48, "0.00"),""), "")</f>
        <v/>
      </c>
      <c r="D42" s="19" t="str">
        <f>IFERROR(IF(ISNUMBER('Revenues &amp; Outlays in GDP'!H48),TEXT('Revenues &amp; Outlays in GDP'!H48, "0.00"),""), "")</f>
        <v>20.64</v>
      </c>
      <c r="E42" s="19" t="str">
        <f ca="1">IFERROR(IF(ISNUMBER('Revenues &amp; Outlays in GDP'!D48),TEXT('Revenues &amp; Outlays in GDP'!D48, "0.00"),""), "")</f>
        <v/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>16.38</v>
      </c>
      <c r="C43" s="19" t="str">
        <f ca="1">IFERROR(IF(ISNUMBER('Revenues &amp; Outlays in GDP'!C49),TEXT('Revenues &amp; Outlays in GDP'!C49, "0.00"),""), "")</f>
        <v/>
      </c>
      <c r="D43" s="19" t="str">
        <f>IFERROR(IF(ISNUMBER('Revenues &amp; Outlays in GDP'!H49),TEXT('Revenues &amp; Outlays in GDP'!H49, "0.00"),""), "")</f>
        <v>20.21</v>
      </c>
      <c r="E43" s="19" t="str">
        <f ca="1">IFERROR(IF(ISNUMBER('Revenues &amp; Outlays in GDP'!D49),TEXT('Revenues &amp; Outlays in GDP'!D49, "0.00"),""), "")</f>
        <v/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>16.32</v>
      </c>
      <c r="C44" s="19" t="str">
        <f ca="1">IFERROR(IF(ISNUMBER('Revenues &amp; Outlays in GDP'!C50),TEXT('Revenues &amp; Outlays in GDP'!C50, "0.00"),""), "")</f>
        <v>16.30</v>
      </c>
      <c r="D44" s="19" t="str">
        <f>IFERROR(IF(ISNUMBER('Revenues &amp; Outlays in GDP'!H50),TEXT('Revenues &amp; Outlays in GDP'!H50, "0.00"),""), "")</f>
        <v>20.96</v>
      </c>
      <c r="E44" s="19" t="str">
        <f ca="1">IFERROR(IF(ISNUMBER('Revenues &amp; Outlays in GDP'!D50),TEXT('Revenues &amp; Outlays in GDP'!D50, "0.00"),""), "")</f>
        <v>21.00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16.40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21.00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16.60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20.90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16.70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21.40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17.00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21.50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17.00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21.50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17.10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22.10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17.60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22.40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-5.88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-4.98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-4.89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-3.14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-3.02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-2.75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-3.75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-4.42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-4.53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-3.76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-2.83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-2.17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0.78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1.33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2.34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1.22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-1.46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-3.35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-3.43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-2.48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-1.82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-1.13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-9.79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-8.72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-8.44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-6.71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-4.09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-2.80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-2.44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/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/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/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-4.60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-4.60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-4.30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-4.70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-4.50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-4.50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-4.90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-4.80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/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/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/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79.20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80.80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82.00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83.90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85.60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87.30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89.40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91.20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1.31</v>
      </c>
      <c r="G2" s="19" t="str">
        <f>IFERROR(IF(ISNUMBER('Spending by Category'!H8),TEXT('Spending by Category'!H8,"0.00"), ""), "")</f>
        <v>3.96</v>
      </c>
      <c r="H2" s="19" t="str">
        <f>IFERROR(IF(ISNUMBER('Spending by Category'!I8),TEXT('Spending by Category'!I8,"0.00"), ""), "")</f>
        <v>1.45</v>
      </c>
      <c r="I2" s="19" t="str">
        <f>IFERROR(IF(ISNUMBER('Spending by Category'!J8),TEXT('Spending by Category'!J8,"0.00"), ""), "")</f>
        <v>13.98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4.07</v>
      </c>
      <c r="H3" s="19" t="str">
        <f>IFERROR(IF(ISNUMBER('Spending by Category'!I9),TEXT('Spending by Category'!I9,"0.00"), ""), "")</f>
        <v>1.50</v>
      </c>
      <c r="I3" s="19" t="str">
        <f>IFERROR(IF(ISNUMBER('Spending by Category'!J9),TEXT('Spending by Category'!J9,"0.00"), ""), "")</f>
        <v>13.82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1.48</v>
      </c>
      <c r="I4" s="19" t="str">
        <f>IFERROR(IF(ISNUMBER('Spending by Category'!J10),TEXT('Spending by Category'!J10,"0.00"), ""), "")</f>
        <v>13.09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4.07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13.01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4.00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12.40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1.72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13.37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1.86</v>
      </c>
      <c r="G8" s="19" t="str">
        <f>IFERROR(IF(ISNUMBER('Spending by Category'!H14),TEXT('Spending by Category'!H14,"0.00"), ""), "")</f>
        <v>4.40</v>
      </c>
      <c r="H8" s="19" t="str">
        <f>IFERROR(IF(ISNUMBER('Spending by Category'!I14),TEXT('Spending by Category'!I14,"0.00"), ""), "")</f>
        <v>2.20</v>
      </c>
      <c r="I8" s="19" t="str">
        <f>IFERROR(IF(ISNUMBER('Spending by Category'!J14),TEXT('Spending by Category'!J14,"0.00"), ""), "")</f>
        <v>13.20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13.29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2.11</v>
      </c>
      <c r="G10" s="19" t="str">
        <f>IFERROR(IF(ISNUMBER('Spending by Category'!H16),TEXT('Spending by Category'!H16,"0.00"), ""), "")</f>
        <v>4.77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13.45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4.46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12.24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3.04</v>
      </c>
      <c r="I12" s="19" t="str">
        <f>IFERROR(IF(ISNUMBER('Spending by Category'!J18),TEXT('Spending by Category'!J18,"0.00"), ""), "")</f>
        <v>12.62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4.34</v>
      </c>
      <c r="H13" s="19" t="str">
        <f>IFERROR(IF(ISNUMBER('Spending by Category'!I19),TEXT('Spending by Category'!I19,"0.00"), ""), "")</f>
        <v>3.01</v>
      </c>
      <c r="I13" s="19" t="str">
        <f>IFERROR(IF(ISNUMBER('Spending by Category'!J19),TEXT('Spending by Category'!J19,"0.00"), ""), "")</f>
        <v>12.34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4.30</v>
      </c>
      <c r="H14" s="19" t="str">
        <f>IFERROR(IF(ISNUMBER('Spending by Category'!I20),TEXT('Spending by Category'!I20,"0.00"), ""), "")</f>
        <v>2.91</v>
      </c>
      <c r="I14" s="19" t="str">
        <f>IFERROR(IF(ISNUMBER('Spending by Category'!J20),TEXT('Spending by Category'!J20,"0.00"), ""), "")</f>
        <v>11.60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2.26</v>
      </c>
      <c r="G15" s="19" t="str">
        <f>IFERROR(IF(ISNUMBER('Spending by Category'!H21),TEXT('Spending by Category'!H21,"0.00"), ""), "")</f>
        <v>4.22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11.28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2.30</v>
      </c>
      <c r="G16" s="19" t="str">
        <f>IFERROR(IF(ISNUMBER('Spending by Category'!H22),TEXT('Spending by Category'!H22,"0.00"), ""), "")</f>
        <v>4.15</v>
      </c>
      <c r="H16" s="19" t="str">
        <f>IFERROR(IF(ISNUMBER('Spending by Category'!I22),TEXT('Spending by Category'!I22,"0.00"), ""), "")</f>
        <v>3.04</v>
      </c>
      <c r="I16" s="19" t="str">
        <f>IFERROR(IF(ISNUMBER('Spending by Category'!J22),TEXT('Spending by Category'!J22,"0.00"), ""), "")</f>
        <v>11.10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4.18</v>
      </c>
      <c r="H17" s="19" t="str">
        <f>IFERROR(IF(ISNUMBER('Spending by Category'!I23),TEXT('Spending by Category'!I23,"0.00"), ""), "")</f>
        <v>3.13</v>
      </c>
      <c r="I17" s="19" t="str">
        <f>IFERROR(IF(ISNUMBER('Spending by Category'!J23),TEXT('Spending by Category'!J23,"0.00"), ""), "")</f>
        <v>11.43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2.74</v>
      </c>
      <c r="G18" s="19" t="str">
        <f>IFERROR(IF(ISNUMBER('Spending by Category'!H24),TEXT('Spending by Category'!H24,"0.00"), ""), "")</f>
        <v>4.38</v>
      </c>
      <c r="H18" s="19" t="str">
        <f>IFERROR(IF(ISNUMBER('Spending by Category'!I24),TEXT('Spending by Category'!I24,"0.00"), ""), "")</f>
        <v>3.19</v>
      </c>
      <c r="I18" s="19" t="str">
        <f>IFERROR(IF(ISNUMBER('Spending by Category'!J24),TEXT('Spending by Category'!J24,"0.00"), ""), "")</f>
        <v>11.43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4.44</v>
      </c>
      <c r="H19" s="19" t="str">
        <f>IFERROR(IF(ISNUMBER('Spending by Category'!I25),TEXT('Spending by Category'!I25,"0.00"), ""), "")</f>
        <v>3.11</v>
      </c>
      <c r="I19" s="19" t="str">
        <f>IFERROR(IF(ISNUMBER('Spending by Category'!J25),TEXT('Spending by Category'!J25,"0.00"), ""), "")</f>
        <v>10.91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3.23</v>
      </c>
      <c r="G20" s="19" t="str">
        <f>IFERROR(IF(ISNUMBER('Spending by Category'!H26),TEXT('Spending by Category'!H26,"0.00"), ""), "")</f>
        <v>4.46</v>
      </c>
      <c r="H20" s="19" t="str">
        <f>IFERROR(IF(ISNUMBER('Spending by Category'!I26),TEXT('Spending by Category'!I26,"0.00"), ""), "")</f>
        <v>2.93</v>
      </c>
      <c r="I20" s="19" t="str">
        <f>IFERROR(IF(ISNUMBER('Spending by Category'!J26),TEXT('Spending by Category'!J26,"0.00"), ""), "")</f>
        <v>10.18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3.37</v>
      </c>
      <c r="G21" s="19" t="str">
        <f>IFERROR(IF(ISNUMBER('Spending by Category'!H27),TEXT('Spending by Category'!H27,"0.00"), ""), "")</f>
        <v>4.42</v>
      </c>
      <c r="H21" s="19" t="str">
        <f>IFERROR(IF(ISNUMBER('Spending by Category'!I27),TEXT('Spending by Category'!I27,"0.00"), ""), "")</f>
        <v>2.83</v>
      </c>
      <c r="I21" s="19" t="str">
        <f>IFERROR(IF(ISNUMBER('Spending by Category'!J27),TEXT('Spending by Category'!J27,"0.00"), ""), "")</f>
        <v>9.76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3.52</v>
      </c>
      <c r="G22" s="19" t="str">
        <f>IFERROR(IF(ISNUMBER('Spending by Category'!H28),TEXT('Spending by Category'!H28,"0.00"), ""), "")</f>
        <v>4.41</v>
      </c>
      <c r="H22" s="19" t="str">
        <f>IFERROR(IF(ISNUMBER('Spending by Category'!I28),TEXT('Spending by Category'!I28,"0.00"), ""), "")</f>
        <v>3.07</v>
      </c>
      <c r="I22" s="19" t="str">
        <f>IFERROR(IF(ISNUMBER('Spending by Category'!J28),TEXT('Spending by Category'!J28,"0.00"), ""), "")</f>
        <v>9.05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3.56</v>
      </c>
      <c r="G23" s="19" t="str">
        <f>IFERROR(IF(ISNUMBER('Spending by Category'!H29),TEXT('Spending by Category'!H29,"0.00"), ""), "")</f>
        <v>4.37</v>
      </c>
      <c r="H23" s="19" t="str">
        <f>IFERROR(IF(ISNUMBER('Spending by Category'!I29),TEXT('Spending by Category'!I29,"0.00"), ""), "")</f>
        <v>3.03</v>
      </c>
      <c r="I23" s="19" t="str">
        <f>IFERROR(IF(ISNUMBER('Spending by Category'!J29),TEXT('Spending by Category'!J29,"0.00"), ""), "")</f>
        <v>8.67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3.59</v>
      </c>
      <c r="G24" s="19" t="str">
        <f>IFERROR(IF(ISNUMBER('Spending by Category'!H30),TEXT('Spending by Category'!H30,"0.00"), ""), "")</f>
        <v>4.29</v>
      </c>
      <c r="H24" s="19" t="str">
        <f>IFERROR(IF(ISNUMBER('Spending by Category'!I30),TEXT('Spending by Category'!I30,"0.00"), ""), "")</f>
        <v>2.89</v>
      </c>
      <c r="I24" s="19" t="str">
        <f>IFERROR(IF(ISNUMBER('Spending by Category'!J30),TEXT('Spending by Category'!J30,"0.00"), ""), "")</f>
        <v>8.18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3.50</v>
      </c>
      <c r="G25" s="19" t="str">
        <f>IFERROR(IF(ISNUMBER('Spending by Category'!H31),TEXT('Spending by Category'!H31,"0.00"), ""), "")</f>
        <v>4.21</v>
      </c>
      <c r="H25" s="19" t="str">
        <f>IFERROR(IF(ISNUMBER('Spending by Category'!I31),TEXT('Spending by Category'!I31,"0.00"), ""), "")</f>
        <v>2.70</v>
      </c>
      <c r="I25" s="19" t="str">
        <f>IFERROR(IF(ISNUMBER('Spending by Category'!J31),TEXT('Spending by Category'!J31,"0.00"), ""), "")</f>
        <v>8.10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3.35</v>
      </c>
      <c r="G26" s="19" t="str">
        <f>IFERROR(IF(ISNUMBER('Spending by Category'!H32),TEXT('Spending by Category'!H32,"0.00"), ""), "")</f>
        <v>4.08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8.10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3.30</v>
      </c>
      <c r="G27" s="19" t="str">
        <f>IFERROR(IF(ISNUMBER('Spending by Category'!H33),TEXT('Spending by Category'!H33,"0.00"), ""), "")</f>
        <v>4.01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8.16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3.49</v>
      </c>
      <c r="G28" s="19" t="str">
        <f>IFERROR(IF(ISNUMBER('Spending by Category'!H34),TEXT('Spending by Category'!H34,"0.00"), ""), "")</f>
        <v>4.08</v>
      </c>
      <c r="H28" s="19" t="str">
        <f>IFERROR(IF(ISNUMBER('Spending by Category'!I34),TEXT('Spending by Category'!I34,"0.00"), ""), "")</f>
        <v>1.96</v>
      </c>
      <c r="I28" s="19" t="str">
        <f>IFERROR(IF(ISNUMBER('Spending by Category'!J34),TEXT('Spending by Category'!J34,"0.00"), ""), "")</f>
        <v>8.17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3.70</v>
      </c>
      <c r="G29" s="19" t="str">
        <f>IFERROR(IF(ISNUMBER('Spending by Category'!H35),TEXT('Spending by Category'!H35,"0.00"), ""), "")</f>
        <v>4.17</v>
      </c>
      <c r="H29" s="19" t="str">
        <f>IFERROR(IF(ISNUMBER('Spending by Category'!I35),TEXT('Spending by Category'!I35,"0.00"), ""), "")</f>
        <v>1.58</v>
      </c>
      <c r="I29" s="19" t="str">
        <f>IFERROR(IF(ISNUMBER('Spending by Category'!J35),TEXT('Spending by Category'!J35,"0.00"), ""), "")</f>
        <v>9.11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3.85</v>
      </c>
      <c r="G30" s="19" t="str">
        <f>IFERROR(IF(ISNUMBER('Spending by Category'!H36),TEXT('Spending by Category'!H36,"0.00"), ""), "")</f>
        <v>4.17</v>
      </c>
      <c r="H30" s="19" t="str">
        <f>IFERROR(IF(ISNUMBER('Spending by Category'!I36),TEXT('Spending by Category'!I36,"0.00"), ""), "")</f>
        <v>1.36</v>
      </c>
      <c r="I30" s="19" t="str">
        <f>IFERROR(IF(ISNUMBER('Spending by Category'!J36),TEXT('Spending by Category'!J36,"0.00"), ""), "")</f>
        <v>9.76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3.94</v>
      </c>
      <c r="G31" s="19" t="str">
        <f>IFERROR(IF(ISNUMBER('Spending by Category'!H37),TEXT('Spending by Category'!H37,"0.00"), ""), "")</f>
        <v>4.09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9.71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4.03</v>
      </c>
      <c r="G32" s="19" t="str">
        <f>IFERROR(IF(ISNUMBER('Spending by Category'!H38),TEXT('Spending by Category'!H38,"0.00"), ""), "")</f>
        <v>4.04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9.76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4.09</v>
      </c>
      <c r="G33" s="19" t="str">
        <f>IFERROR(IF(ISNUMBER('Spending by Category'!H39),TEXT('Spending by Category'!H39,"0.00"), ""), "")</f>
        <v>3.99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9.73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4.39</v>
      </c>
      <c r="G34" s="19" t="str">
        <f>IFERROR(IF(ISNUMBER('Spending by Category'!H40),TEXT('Spending by Category'!H40,"0.00"), ""), "")</f>
        <v>4.07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8.98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9.91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5.20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13.18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5.35</v>
      </c>
      <c r="G37" s="19" t="str">
        <f>IFERROR(IF(ISNUMBER('Spending by Category'!H43),TEXT('Spending by Category'!H43,"0.00"), ""), "")</f>
        <v>4.72</v>
      </c>
      <c r="H37" s="19" t="str">
        <f>IFERROR(IF(ISNUMBER('Spending by Category'!I43),TEXT('Spending by Category'!I43,"0.00"), ""), "")</f>
        <v>1.32</v>
      </c>
      <c r="I37" s="19" t="str">
        <f>IFERROR(IF(ISNUMBER('Spending by Category'!J43),TEXT('Spending by Category'!J43,"0.00"), ""), "")</f>
        <v>11.91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5.42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1.49</v>
      </c>
      <c r="I38" s="19" t="str">
        <f>IFERROR(IF(ISNUMBER('Spending by Category'!J44),TEXT('Spending by Category'!J44,"0.00"), ""), "")</f>
        <v>11.77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4.99</v>
      </c>
      <c r="G39" s="19" t="str">
        <f>IFERROR(IF(ISNUMBER('Spending by Category'!H45),TEXT('Spending by Category'!H45,"0.00"), ""), "")</f>
        <v>4.78</v>
      </c>
      <c r="H39" s="19" t="str">
        <f>IFERROR(IF(ISNUMBER('Spending by Category'!I45),TEXT('Spending by Category'!I45,"0.00"), ""), "")</f>
        <v>1.37</v>
      </c>
      <c r="I39" s="19" t="str">
        <f>IFERROR(IF(ISNUMBER('Spending by Category'!J45),TEXT('Spending by Category'!J45,"0.00"), ""), "")</f>
        <v>10.82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5.12</v>
      </c>
      <c r="G40" s="19" t="str">
        <f>IFERROR(IF(ISNUMBER('Spending by Category'!H46),TEXT('Spending by Category'!H46,"0.00"), ""), "")</f>
        <v>4.87</v>
      </c>
      <c r="H40" s="19" t="str">
        <f>IFERROR(IF(ISNUMBER('Spending by Category'!I46),TEXT('Spending by Category'!I46,"0.00"), ""), "")</f>
        <v>1.33</v>
      </c>
      <c r="I40" s="19" t="str">
        <f>IFERROR(IF(ISNUMBER('Spending by Category'!J46),TEXT('Spending by Category'!J46,"0.00"), ""), "")</f>
        <v>9.49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5.20</v>
      </c>
      <c r="G41" s="19" t="str">
        <f>IFERROR(IF(ISNUMBER('Spending by Category'!H47),TEXT('Spending by Category'!H47,"0.00"), ""), "")</f>
        <v>4.87</v>
      </c>
      <c r="H41" s="19" t="str">
        <f>IFERROR(IF(ISNUMBER('Spending by Category'!I47),TEXT('Spending by Category'!I47,"0.00"), ""), "")</f>
        <v>1.32</v>
      </c>
      <c r="I41" s="19" t="str">
        <f>IFERROR(IF(ISNUMBER('Spending by Category'!J47),TEXT('Spending by Category'!J47,"0.00"), ""), "")</f>
        <v>8.83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5.44</v>
      </c>
      <c r="G42" s="19" t="str">
        <f>IFERROR(IF(ISNUMBER('Spending by Category'!H48),TEXT('Spending by Category'!H48,"0.00"), ""), "")</f>
        <v>4.87</v>
      </c>
      <c r="H42" s="19" t="str">
        <f>IFERROR(IF(ISNUMBER('Spending by Category'!I48),TEXT('Spending by Category'!I48,"0.00"), ""), "")</f>
        <v>1.23</v>
      </c>
      <c r="I42" s="19" t="str">
        <f>IFERROR(IF(ISNUMBER('Spending by Category'!J48),TEXT('Spending by Category'!J48,"0.00"), ""), "")</f>
        <v>8.86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5.72</v>
      </c>
      <c r="G43" s="19" t="str">
        <f>IFERROR(IF(ISNUMBER('Spending by Category'!H49),TEXT('Spending by Category'!H49,"0.00"), ""), "")</f>
        <v>4.91</v>
      </c>
      <c r="H43" s="19" t="str">
        <f>IFERROR(IF(ISNUMBER('Spending by Category'!I49),TEXT('Spending by Category'!I49,"0.00"), ""), "")</f>
        <v>1.29</v>
      </c>
      <c r="I43" s="19" t="str">
        <f>IFERROR(IF(ISNUMBER('Spending by Category'!J49),TEXT('Spending by Category'!J49,"0.00"), ""), "")</f>
        <v>8.85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>5.58</v>
      </c>
      <c r="G44" s="19" t="str">
        <f>IFERROR(IF(ISNUMBER('Spending by Category'!H50),TEXT('Spending by Category'!H50,"0.00"), ""), "")</f>
        <v>4.87</v>
      </c>
      <c r="H44" s="19" t="str">
        <f>IFERROR(IF(ISNUMBER('Spending by Category'!I50),TEXT('Spending by Category'!I50,"0.00"), ""), "")</f>
        <v>1.36</v>
      </c>
      <c r="I44" s="19" t="str">
        <f>IFERROR(IF(ISNUMBER('Spending by Category'!J50),TEXT('Spending by Category'!J50,"0.00"), ""), "")</f>
        <v>8.83</v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5.20</v>
      </c>
      <c r="C45" s="19" t="str">
        <f>IFERROR(IF(ISNUMBER('Spending by Category'!D51),TEXT('Spending by Category'!D51,"0.00"), ""), "")</f>
        <v>4.90</v>
      </c>
      <c r="D45" s="19" t="str">
        <f>IFERROR(IF(ISNUMBER('Spending by Category'!E51),TEXT('Spending by Category'!E51,"0.00"), ""), "")</f>
        <v>1.60</v>
      </c>
      <c r="E45" s="19" t="str">
        <f>IFERROR(IF(ISNUMBER('Spending by Category'!F51),TEXT('Spending by Category'!F51,"0.00"), ""), "")</f>
        <v>8.90</v>
      </c>
      <c r="F45" s="19" t="str">
        <f>IFERROR(IF(ISNUMBER('Spending by Category'!G51),TEXT('Spending by Category'!G51,"0.00"), ""), "")</f>
        <v>5.38</v>
      </c>
      <c r="G45" s="19" t="str">
        <f>IFERROR(IF(ISNUMBER('Spending by Category'!H51),TEXT('Spending by Category'!H51,"0.00"), ""), "")</f>
        <v>4.83</v>
      </c>
      <c r="H45" s="19" t="str">
        <f>IFERROR(IF(ISNUMBER('Spending by Category'!I51),TEXT('Spending by Category'!I51,"0.00"), ""), "")</f>
        <v>1.60</v>
      </c>
      <c r="I45" s="19" t="str">
        <f>IFERROR(IF(ISNUMBER('Spending by Category'!J51),TEXT('Spending by Category'!J51,"0.00"), ""), "")</f>
        <v>8.40</v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5.30</v>
      </c>
      <c r="C46" s="19" t="str">
        <f>IFERROR(IF(ISNUMBER('Spending by Category'!D52),TEXT('Spending by Category'!D52,"0.00"), ""), "")</f>
        <v>4.90</v>
      </c>
      <c r="D46" s="19" t="str">
        <f>IFERROR(IF(ISNUMBER('Spending by Category'!E52),TEXT('Spending by Category'!E52,"0.00"), ""), "")</f>
        <v>1.80</v>
      </c>
      <c r="E46" s="19" t="str">
        <f>IFERROR(IF(ISNUMBER('Spending by Category'!F52),TEXT('Spending by Category'!F52,"0.00"), ""), "")</f>
        <v>8.80</v>
      </c>
      <c r="F46" s="19" t="str">
        <f>IFERROR(IF(ISNUMBER('Spending by Category'!G52),TEXT('Spending by Category'!G52,"0.00"), ""), "")</f>
        <v>5.58</v>
      </c>
      <c r="G46" s="19" t="str">
        <f>IFERROR(IF(ISNUMBER('Spending by Category'!H52),TEXT('Spending by Category'!H52,"0.00"), ""), "")</f>
        <v>4.89</v>
      </c>
      <c r="H46" s="19" t="str">
        <f>IFERROR(IF(ISNUMBER('Spending by Category'!I52),TEXT('Spending by Category'!I52,"0.00"), ""), "")</f>
        <v>1.77</v>
      </c>
      <c r="I46" s="19" t="str">
        <f>IFERROR(IF(ISNUMBER('Spending by Category'!J52),TEXT('Spending by Category'!J52,"0.00"), ""), "")</f>
        <v>8.71</v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5.20</v>
      </c>
      <c r="C47" s="19" t="str">
        <f>IFERROR(IF(ISNUMBER('Spending by Category'!D53),TEXT('Spending by Category'!D53,"0.00"), ""), "")</f>
        <v>5.00</v>
      </c>
      <c r="D47" s="19" t="str">
        <f>IFERROR(IF(ISNUMBER('Spending by Category'!E53),TEXT('Spending by Category'!E53,"0.00"), ""), "")</f>
        <v>2.10</v>
      </c>
      <c r="E47" s="19" t="str">
        <f>IFERROR(IF(ISNUMBER('Spending by Category'!F53),TEXT('Spending by Category'!F53,"0.00"), ""), "")</f>
        <v>8.40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5.40</v>
      </c>
      <c r="C48" s="19" t="str">
        <f>IFERROR(IF(ISNUMBER('Spending by Category'!D54),TEXT('Spending by Category'!D54,"0.00"), ""), "")</f>
        <v>5.10</v>
      </c>
      <c r="D48" s="19" t="str">
        <f>IFERROR(IF(ISNUMBER('Spending by Category'!E54),TEXT('Spending by Category'!E54,"0.00"), ""), "")</f>
        <v>2.30</v>
      </c>
      <c r="E48" s="19" t="str">
        <f>IFERROR(IF(ISNUMBER('Spending by Category'!F54),TEXT('Spending by Category'!F54,"0.00"), ""), "")</f>
        <v>8.20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5.60</v>
      </c>
      <c r="C49" s="19" t="str">
        <f>IFERROR(IF(ISNUMBER('Spending by Category'!D55),TEXT('Spending by Category'!D55,"0.00"), ""), "")</f>
        <v>5.20</v>
      </c>
      <c r="D49" s="19" t="str">
        <f>IFERROR(IF(ISNUMBER('Spending by Category'!E55),TEXT('Spending by Category'!E55,"0.00"), ""), "")</f>
        <v>2.40</v>
      </c>
      <c r="E49" s="19" t="str">
        <f>IFERROR(IF(ISNUMBER('Spending by Category'!F55),TEXT('Spending by Category'!F55,"0.00"), ""), "")</f>
        <v>8.10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5.70</v>
      </c>
      <c r="C50" s="19" t="str">
        <f>IFERROR(IF(ISNUMBER('Spending by Category'!D56),TEXT('Spending by Category'!D56,"0.00"), ""), "")</f>
        <v>5.30</v>
      </c>
      <c r="D50" s="19" t="str">
        <f>IFERROR(IF(ISNUMBER('Spending by Category'!E56),TEXT('Spending by Category'!E56,"0.00"), ""), "")</f>
        <v>2.60</v>
      </c>
      <c r="E50" s="19" t="str">
        <f>IFERROR(IF(ISNUMBER('Spending by Category'!F56),TEXT('Spending by Category'!F56,"0.00"), ""), "")</f>
        <v>7.90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5.80</v>
      </c>
      <c r="C51" s="19" t="str">
        <f>IFERROR(IF(ISNUMBER('Spending by Category'!D57),TEXT('Spending by Category'!D57,"0.00"), ""), "")</f>
        <v>5.40</v>
      </c>
      <c r="D51" s="19" t="str">
        <f>IFERROR(IF(ISNUMBER('Spending by Category'!E57),TEXT('Spending by Category'!E57,"0.00"), ""), "")</f>
        <v>2.70</v>
      </c>
      <c r="E51" s="19" t="str">
        <f>IFERROR(IF(ISNUMBER('Spending by Category'!F57),TEXT('Spending by Category'!F57,"0.00"), ""), "")</f>
        <v>7.80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6.00</v>
      </c>
      <c r="C52" s="19" t="str">
        <f>IFERROR(IF(ISNUMBER('Spending by Category'!D58),TEXT('Spending by Category'!D58,"0.00"), ""), "")</f>
        <v>5.50</v>
      </c>
      <c r="D52" s="19" t="str">
        <f>IFERROR(IF(ISNUMBER('Spending by Category'!E58),TEXT('Spending by Category'!E58,"0.00"), ""), "")</f>
        <v>2.70</v>
      </c>
      <c r="E52" s="19" t="str">
        <f>IFERROR(IF(ISNUMBER('Spending by Category'!F58),TEXT('Spending by Category'!F58,"0.00"), ""), "")</f>
        <v>7.60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6.10</v>
      </c>
      <c r="C53" s="19" t="str">
        <f>IFERROR(IF(ISNUMBER('Spending by Category'!D59),TEXT('Spending by Category'!D59,"0.00"), ""), "")</f>
        <v>5.60</v>
      </c>
      <c r="D53" s="19" t="str">
        <f>IFERROR(IF(ISNUMBER('Spending by Category'!E59),TEXT('Spending by Category'!E59,"0.00"), ""), "")</f>
        <v>2.80</v>
      </c>
      <c r="E53" s="19" t="str">
        <f>IFERROR(IF(ISNUMBER('Spending by Category'!F59),TEXT('Spending by Category'!F59,"0.00"), ""), "")</f>
        <v>7.60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6.40</v>
      </c>
      <c r="C54" s="19" t="str">
        <f>IFERROR(IF(ISNUMBER('Spending by Category'!D60),TEXT('Spending by Category'!D60,"0.00"), ""), "")</f>
        <v>5.70</v>
      </c>
      <c r="D54" s="19" t="str">
        <f>IFERROR(IF(ISNUMBER('Spending by Category'!E60),TEXT('Spending by Category'!E60,"0.00"), ""), "")</f>
        <v>2.80</v>
      </c>
      <c r="E54" s="19" t="str">
        <f>IFERROR(IF(ISNUMBER('Spending by Category'!F60),TEXT('Spending by Category'!F60,"0.00"), ""), "")</f>
        <v>7.40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6.50</v>
      </c>
      <c r="C55" s="19" t="str">
        <f>IFERROR(IF(ISNUMBER('Spending by Category'!D61),TEXT('Spending by Category'!D61,"0.00"), ""), "")</f>
        <v>5.80</v>
      </c>
      <c r="D55" s="19" t="str">
        <f>IFERROR(IF(ISNUMBER('Spending by Category'!E61),TEXT('Spending by Category'!E61,"0.00"), ""), "")</f>
        <v>2.90</v>
      </c>
      <c r="E55" s="19" t="str">
        <f>IFERROR(IF(ISNUMBER('Spending by Category'!F61),TEXT('Spending by Category'!F61,"0.00"), ""), "")</f>
        <v>7.30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6.60</v>
      </c>
      <c r="C56" s="19" t="str">
        <f>IFERROR(IF(ISNUMBER('Spending by Category'!D62),TEXT('Spending by Category'!D62,"0.00"), ""), "")</f>
        <v>5.90</v>
      </c>
      <c r="D56" s="19" t="str">
        <f>IFERROR(IF(ISNUMBER('Spending by Category'!E62),TEXT('Spending by Category'!E62,"0.00"), ""), "")</f>
        <v>3.00</v>
      </c>
      <c r="E56" s="19" t="str">
        <f>IFERROR(IF(ISNUMBER('Spending by Category'!F62),TEXT('Spending by Category'!F62,"0.00"), ""), "")</f>
        <v>7.30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6.90</v>
      </c>
      <c r="C57" s="19" t="str">
        <f>IFERROR(IF(ISNUMBER('Spending by Category'!D63),TEXT('Spending by Category'!D63,"0.00"), ""), "")</f>
        <v>6.00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7.20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7.00</v>
      </c>
      <c r="C58" s="19" t="str">
        <f>IFERROR(IF(ISNUMBER('Spending by Category'!D64),TEXT('Spending by Category'!D64,"0.00"), ""), "")</f>
        <v>6.10</v>
      </c>
      <c r="D58" s="19" t="str">
        <f>IFERROR(IF(ISNUMBER('Spending by Category'!E64),TEXT('Spending by Category'!E64,"0.00"), ""), "")</f>
        <v>3.10</v>
      </c>
      <c r="E58" s="19" t="str">
        <f>IFERROR(IF(ISNUMBER('Spending by Category'!F64),TEXT('Spending by Category'!F64,"0.00"), ""), "")</f>
        <v>7.20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7.20</v>
      </c>
      <c r="C59" s="19" t="str">
        <f>IFERROR(IF(ISNUMBER('Spending by Category'!D65),TEXT('Spending by Category'!D65,"0.00"), ""), "")</f>
        <v>6.10</v>
      </c>
      <c r="D59" s="19" t="str">
        <f>IFERROR(IF(ISNUMBER('Spending by Category'!E65),TEXT('Spending by Category'!E65,"0.00"), ""), "")</f>
        <v>3.20</v>
      </c>
      <c r="E59" s="19" t="str">
        <f>IFERROR(IF(ISNUMBER('Spending by Category'!F65),TEXT('Spending by Category'!F65,"0.00"), ""), "")</f>
        <v>7.20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7.30</v>
      </c>
      <c r="C60" s="19" t="str">
        <f>IFERROR(IF(ISNUMBER('Spending by Category'!D66),TEXT('Spending by Category'!D66,"0.00"), ""), "")</f>
        <v>6.10</v>
      </c>
      <c r="D60" s="19" t="str">
        <f>IFERROR(IF(ISNUMBER('Spending by Category'!E66),TEXT('Spending by Category'!E66,"0.00"), ""), "")</f>
        <v>3.30</v>
      </c>
      <c r="E60" s="19" t="str">
        <f>IFERROR(IF(ISNUMBER('Spending by Category'!F66),TEXT('Spending by Category'!F66,"0.00"), ""), "")</f>
        <v>7.20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7.40</v>
      </c>
      <c r="C61" s="19" t="str">
        <f>IFERROR(IF(ISNUMBER('Spending by Category'!D67),TEXT('Spending by Category'!D67,"0.00"), ""), "")</f>
        <v>6.20</v>
      </c>
      <c r="D61" s="19" t="str">
        <f>IFERROR(IF(ISNUMBER('Spending by Category'!E67),TEXT('Spending by Category'!E67,"0.00"), ""), "")</f>
        <v>3.40</v>
      </c>
      <c r="E61" s="19" t="str">
        <f>IFERROR(IF(ISNUMBER('Spending by Category'!F67),TEXT('Spending by Category'!F67,"0.00"), ""), "")</f>
        <v>7.20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7.60</v>
      </c>
      <c r="C62" s="19" t="str">
        <f>IFERROR(IF(ISNUMBER('Spending by Category'!D68),TEXT('Spending by Category'!D68,"0.00"), ""), "")</f>
        <v>6.20</v>
      </c>
      <c r="D62" s="19" t="str">
        <f>IFERROR(IF(ISNUMBER('Spending by Category'!E68),TEXT('Spending by Category'!E68,"0.00"), ""), "")</f>
        <v>3.50</v>
      </c>
      <c r="E62" s="19" t="str">
        <f>IFERROR(IF(ISNUMBER('Spending by Category'!F68),TEXT('Spending by Category'!F68,"0.00"), ""), "")</f>
        <v>7.20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182888-3009-4AAF-804D-3A33F09AC1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c5d118-ba7b-4807-b700-df6f95cfff50"/>
    <ds:schemaRef ds:uri="66951ee6-cd93-49c7-9437-e871b2a117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22385F-14F2-4395-94D1-6A0AFB9BF29C}">
  <ds:schemaRefs>
    <ds:schemaRef ds:uri="cac5d118-ba7b-4807-b700-df6f95cfff50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66951ee6-cd93-49c7-9437-e871b2a117d6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64004F4-AF35-4DAA-9A3D-3BAC6015EA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13</vt:i4>
      </vt:variant>
    </vt:vector>
  </HeadingPairs>
  <TitlesOfParts>
    <vt:vector size="33" baseType="lpstr">
      <vt:lpstr>Master</vt:lpstr>
      <vt:lpstr>Panel_JobsandConstruction</vt:lpstr>
      <vt:lpstr>Panel_TaxesandSpending</vt:lpstr>
      <vt:lpstr>Panel_theLongerRun</vt:lpstr>
      <vt:lpstr>Change in Employment</vt:lpstr>
      <vt:lpstr>Sheet1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Finn Schuele</cp:lastModifiedBy>
  <cp:lastPrinted>2017-01-30T16:08:07Z</cp:lastPrinted>
  <dcterms:created xsi:type="dcterms:W3CDTF">2014-07-22T13:55:17Z</dcterms:created>
  <dcterms:modified xsi:type="dcterms:W3CDTF">2020-02-02T20:41:14Z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