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65" windowWidth="18720" windowHeight="11790" firstSheet="2" activeTab="5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E8" i="7" l="1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J87" i="3" s="1"/>
  <c r="C80" i="17" s="1"/>
  <c r="I85" i="3"/>
  <c r="I84" i="3"/>
  <c r="B77" i="17" s="1"/>
  <c r="I83" i="3"/>
  <c r="I82" i="3"/>
  <c r="B75" i="17" s="1"/>
  <c r="I81" i="3"/>
  <c r="B74" i="17" s="1"/>
  <c r="I80" i="3"/>
  <c r="A1" i="3"/>
  <c r="J101" i="3"/>
  <c r="J117" i="3"/>
  <c r="J133" i="3"/>
  <c r="J95" i="3"/>
  <c r="J103" i="3"/>
  <c r="J111" i="3"/>
  <c r="J119" i="3"/>
  <c r="J127" i="3"/>
  <c r="M91" i="3"/>
  <c r="M99" i="3"/>
  <c r="M107" i="3"/>
  <c r="M115" i="3"/>
  <c r="M123" i="3"/>
  <c r="M131" i="3"/>
  <c r="J88" i="3"/>
  <c r="C81" i="17" s="1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C2" i="24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79" i="17" l="1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41" i="4" l="1"/>
  <c r="I39" i="4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I55" i="4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  <c r="B36" i="21"/>
  <c r="B26" i="21"/>
  <c r="B42" i="21"/>
  <c r="B28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<sst xmlns="http://schemas.openxmlformats.org/spreadsheetml/2006/main" count="714" uniqueCount="430">
  <si>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</si>
  <si>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</si>
  <si>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</si>
  <si>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</si>
  <si>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</si>
  <si>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</si>
  <si>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</si>
  <si>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</si>
  <si>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</si>
  <si>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</si>
  <si>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</si>
  <si>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</si>
  <si>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</si>
  <si>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</si>
  <si>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</si>
  <si>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</si>
  <si>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</si>
  <si>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</si>
  <si>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</si>
  <si>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</si>
  <si>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</si>
  <si>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</si>
  <si>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</si>
  <si>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</si>
  <si>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</si>
  <si>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</si>
  <si>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</si>
  <si>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</si>
  <si>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</si>
  <si>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</si>
  <si>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</si>
  <si>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</si>
  <si>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</si>
  <si>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</si>
  <si>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</si>
  <si>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</si>
  <si>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</si>
  <si>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</si>
  <si>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</si>
  <si>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</si>
  <si>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</si>
  <si>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</si>
  <si>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</si>
  <si>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</si>
  <si>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</si>
  <si>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</si>
  <si>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</si>
  <si>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</si>
  <si>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</si>
  <si>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</si>
  <si>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</si>
  <si>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</si>
  <si>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</si>
  <si>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</si>
  <si>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</si>
  <si>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</si>
  <si>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</si>
  <si>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</si>
  <si>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</si>
  <si>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</si>
  <si>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</si>
  <si>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</si>
  <si>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</si>
  <si>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</si>
  <si>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</si>
  <si>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</si>
  <si>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</si>
  <si>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</si>
  <si>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</si>
  <si>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</si>
  <si>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</si>
  <si>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</si>
  <si>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</si>
  <si>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</si>
  <si>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</si>
  <si>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</si>
  <si>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</si>
  <si>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</si>
  <si>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</si>
  <si>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</si>
  <si>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</si>
  <si>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</si>
  <si>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</si>
  <si>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</si>
  <si>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</si>
  <si>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</si>
  <si>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</si>
  <si>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</si>
  <si>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</si>
  <si>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</si>
  <si>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</si>
  <si>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</si>
  <si>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</si>
  <si>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</si>
  <si>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</si>
  <si>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</si>
  <si>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</si>
  <si>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</si>
  <si>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</si>
  <si>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</si>
  <si>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</si>
  <si>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</si>
  <si>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</si>
  <si>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</si>
  <si>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</si>
  <si>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</si>
  <si>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</si>
  <si>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</si>
  <si>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</si>
  <si>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</si>
  <si>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</si>
  <si>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</si>
  <si>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</si>
  <si>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</si>
  <si>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</si>
  <si>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</si>
  <si>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</si>
  <si>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</si>
  <si>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</si>
  <si>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</si>
  <si>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</si>
  <si>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</si>
  <si>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</si>
  <si>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</si>
  <si>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</si>
  <si>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</si>
  <si>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</si>
  <si>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</si>
  <si>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</si>
  <si>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</si>
  <si>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</si>
  <si>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</si>
  <si>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</si>
  <si>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</si>
  <si>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</si>
  <si>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</si>
  <si>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</si>
  <si>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</si>
  <si>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</si>
  <si>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</si>
  <si>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</si>
  <si>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</si>
  <si>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</si>
  <si>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</si>
  <si>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</si>
  <si>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</si>
  <si>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</si>
  <si>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</si>
  <si>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</si>
  <si>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</si>
  <si>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</si>
  <si>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</si>
  <si>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</si>
  <si>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</si>
  <si>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</si>
  <si>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</si>
  <si>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</si>
  <si>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</si>
  <si>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</si>
  <si>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</si>
  <si>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</si>
  <si>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</si>
  <si>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</si>
  <si>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</si>
  <si>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</si>
  <si>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</si>
  <si>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</si>
  <si>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</si>
  <si>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</si>
  <si>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</si>
  <si>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</si>
  <si>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</si>
  <si>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</si>
  <si>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</si>
  <si>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</si>
  <si>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</si>
  <si>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</si>
  <si>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</si>
  <si>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</si>
  <si>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</si>
  <si>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</si>
  <si>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</si>
  <si>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</si>
  <si>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</si>
  <si>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</si>
  <si>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</si>
  <si>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</si>
  <si>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</si>
  <si>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</si>
  <si>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</si>
  <si>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</si>
  <si>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</si>
  <si>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</si>
  <si>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</si>
  <si>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</si>
  <si>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</si>
  <si>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</si>
  <si>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</si>
  <si>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</si>
  <si>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</si>
  <si>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</si>
  <si>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</si>
  <si>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</si>
  <si>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</si>
  <si>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</si>
  <si>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</si>
  <si>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</si>
  <si>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</si>
  <si>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</si>
  <si>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</si>
  <si>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</si>
  <si>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</si>
  <si>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</si>
  <si>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</si>
  <si>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</si>
  <si>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</si>
  <si>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</si>
  <si>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</si>
  <si>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</si>
  <si>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</si>
  <si>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</si>
  <si>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</si>
  <si>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</si>
  <si>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</si>
  <si>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</si>
  <si>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</si>
  <si>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</si>
  <si>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</si>
  <si>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</si>
  <si>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</si>
  <si>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</si>
  <si>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</si>
  <si>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</si>
  <si>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</si>
  <si>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</si>
  <si>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</si>
  <si>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</si>
  <si>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</si>
  <si>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</si>
  <si>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</si>
  <si>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</si>
  <si>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</si>
  <si>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</si>
  <si>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</si>
  <si>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</si>
  <si>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</si>
  <si>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</si>
  <si>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</si>
  <si>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</si>
  <si>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</si>
  <si>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</si>
  <si>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</si>
  <si>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</si>
  <si>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</si>
  <si>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</si>
  <si>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</si>
  <si>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</si>
  <si>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</si>
  <si>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</si>
  <si>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</si>
  <si>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</si>
  <si>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</si>
  <si>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</si>
  <si>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</si>
  <si>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</si>
  <si>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</si>
  <si>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</si>
  <si>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</si>
  <si>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</si>
  <si>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</si>
  <si>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</si>
  <si>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</si>
  <si>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</si>
  <si>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</si>
  <si>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</si>
  <si>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</si>
  <si>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</si>
  <si>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</si>
  <si>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</si>
  <si>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</si>
  <si>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</si>
  <si>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</si>
  <si>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</si>
  <si>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</si>
  <si>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</si>
  <si>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</si>
  <si>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</si>
  <si>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</si>
  <si>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</si>
  <si>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</si>
  <si>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</si>
  <si>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</si>
  <si>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</si>
  <si>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</si>
  <si>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</si>
  <si>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</si>
  <si>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</si>
  <si>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</si>
  <si>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</si>
  <si>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</si>
  <si>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</si>
  <si>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</si>
  <si>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</si>
  <si>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</si>
  <si>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</si>
  <si>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</si>
  <si>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</si>
  <si>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</si>
  <si>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</si>
  <si>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</si>
  <si>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</si>
  <si>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</si>
  <si>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</si>
  <si>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</si>
  <si>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</si>
  <si>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</si>
  <si>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</si>
  <si>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</si>
  <si>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</si>
  <si>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</si>
  <si>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</si>
  <si>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</si>
  <si>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</si>
  <si>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</si>
  <si>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</si>
  <si>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</si>
  <si>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</si>
  <si>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</si>
  <si>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</si>
  <si>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</si>
  <si>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</si>
  <si>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</si>
  <si>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</si>
  <si>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</si>
  <si>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</si>
  <si>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</si>
  <si>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</si>
  <si>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</si>
  <si>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</si>
  <si>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</si>
  <si>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</si>
  <si>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</si>
  <si>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</si>
  <si>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</si>
  <si>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</si>
  <si>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</si>
  <si>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</si>
  <si>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</si>
  <si>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</si>
  <si>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</si>
  <si>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</si>
  <si>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</si>
  <si>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</si>
  <si>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</si>
  <si>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 xml:space="preserve">National Bureau of Economic Research </t>
  </si>
  <si>
    <t>201411</t>
  </si>
  <si>
    <t>RecessionDummy</t>
  </si>
  <si>
    <t xml:space="preserve">NBER </t>
  </si>
  <si>
    <t>.excel_first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</si>
  <si>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</si>
  <si>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</si>
  <si>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</si>
  <si>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</si>
  <si>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</si>
  <si>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</si>
  <si>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</si>
  <si>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</si>
  <si>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 Click on the Get Data Button (Below) -- This copies in the updated CBO data</t>
  </si>
  <si>
    <t xml:space="preserve">Q4-2014 </t>
  </si>
  <si>
    <t xml:space="preserve">Jan-26-2015 15:53 </t>
  </si>
  <si>
    <t xml:space="preserve">1965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</si>
  <si>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</si>
  <si>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</si>
  <si>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</si>
  <si>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</si>
  <si>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</si>
  <si>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</si>
  <si>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</si>
  <si>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</si>
  <si>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</si>
  <si>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</si>
  <si>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</si>
  <si>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</si>
  <si>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</si>
  <si>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</si>
  <si>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</si>
  <si>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</si>
  <si>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</si>
  <si>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</si>
  <si>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</si>
  <si>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</si>
  <si>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</si>
  <si>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</si>
  <si>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</si>
  <si>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</si>
  <si>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</si>
  <si>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</si>
  <si>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</si>
  <si>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</si>
  <si>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</si>
  <si>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</si>
  <si>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</si>
  <si>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</si>
  <si>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</si>
  <si>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</si>
  <si>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</si>
  <si>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</si>
  <si>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 xml:space="preserve">Mar-24-2015 11:28 </t>
  </si>
  <si>
    <t xml:space="preserve">Mar-09-2015 12:08 </t>
  </si>
  <si>
    <t xml:space="preserve">Q1-2015 </t>
  </si>
  <si>
    <t xml:space="preserve">Apr-08-2015 17:57 </t>
  </si>
  <si>
    <t>Q1-2015</t>
  </si>
  <si>
    <t>201503</t>
  </si>
  <si>
    <t xml:space="preserve">2015 [Q1-2015] </t>
  </si>
  <si>
    <t>2015-Q1</t>
  </si>
  <si>
    <t xml:space="preserve">Apr-29-2015 10:29 </t>
  </si>
  <si>
    <t xml:space="preserve">May-08-2015 08:31 </t>
  </si>
  <si>
    <t xml:space="preserve">May-08-2015 08:34 </t>
  </si>
  <si>
    <t xml:space="preserve">May-01-2015 08:41 </t>
  </si>
  <si>
    <t>201504</t>
  </si>
  <si>
    <t>9.1</t>
  </si>
  <si>
    <t>7.8</t>
  </si>
  <si>
    <t>14.2</t>
  </si>
  <si>
    <t>6.8</t>
  </si>
  <si>
    <t>-4.1</t>
  </si>
  <si>
    <t>4.4</t>
  </si>
  <si>
    <t>7.0</t>
  </si>
  <si>
    <t>21.1</t>
  </si>
  <si>
    <t>0.0</t>
  </si>
  <si>
    <t>13.0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</si>
</sst>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3000</c:v>
                </c:pt>
                <c:pt idx="76">
                  <c:v>2000</c:v>
                </c:pt>
                <c:pt idx="77">
                  <c:v>-8000</c:v>
                </c:pt>
                <c:pt idx="78">
                  <c:v>8000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4667648"/>
        <c:axId val="21467033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3333.3333333333335</c:v>
                </c:pt>
                <c:pt idx="76">
                  <c:v>4000</c:v>
                </c:pt>
                <c:pt idx="77">
                  <c:v>-1000</c:v>
                </c:pt>
                <c:pt idx="78">
                  <c:v>666.66666666666663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67648"/>
        <c:axId val="214670336"/>
      </c:lineChart>
      <c:dateAx>
        <c:axId val="2146676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4670336"/>
        <c:crosses val="autoZero"/>
        <c:auto val="1"/>
        <c:lblOffset val="100"/>
        <c:baseTimeUnit val="months"/>
        <c:majorUnit val="1"/>
        <c:majorTimeUnit val="years"/>
      </c:dateAx>
      <c:valAx>
        <c:axId val="21467033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466764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799.99999999972715</c:v>
                </c:pt>
                <c:pt idx="75">
                  <c:v>2099.9999999999091</c:v>
                </c:pt>
                <c:pt idx="76">
                  <c:v>-699.9999999998181</c:v>
                </c:pt>
                <c:pt idx="77">
                  <c:v>-699.9999999998181</c:v>
                </c:pt>
                <c:pt idx="78">
                  <c:v>699.9999999998181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24332032"/>
        <c:axId val="24821798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633.33333333336361</c:v>
                </c:pt>
                <c:pt idx="75" formatCode="0.00">
                  <c:v>1533.333333333303</c:v>
                </c:pt>
                <c:pt idx="76" formatCode="0.00">
                  <c:v>733.33333333327266</c:v>
                </c:pt>
                <c:pt idx="77" formatCode="0.00">
                  <c:v>233.33333333342429</c:v>
                </c:pt>
                <c:pt idx="78" formatCode="0.00">
                  <c:v>-233.33333333327269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32032"/>
        <c:axId val="248217984"/>
      </c:lineChart>
      <c:dateAx>
        <c:axId val="22433203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48217984"/>
        <c:crosses val="autoZero"/>
        <c:auto val="1"/>
        <c:lblOffset val="100"/>
        <c:baseTimeUnit val="months"/>
        <c:majorUnit val="1"/>
        <c:majorTimeUnit val="years"/>
      </c:dateAx>
      <c:valAx>
        <c:axId val="24821798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24332032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235.6</c:v>
                </c:pt>
                <c:pt idx="24">
                  <c:v>225.6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825920"/>
        <c:axId val="292085760"/>
      </c:lineChart>
      <c:dateAx>
        <c:axId val="2918259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92085760"/>
        <c:crosses val="autoZero"/>
        <c:auto val="1"/>
        <c:lblOffset val="100"/>
        <c:baseTimeUnit val="months"/>
        <c:majorUnit val="1"/>
        <c:majorTimeUnit val="years"/>
      </c:dateAx>
      <c:valAx>
        <c:axId val="29208576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9182592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5.3421603493966519E-2</c:v>
                </c:pt>
                <c:pt idx="38">
                  <c:v>5.9204329449360937E-2</c:v>
                </c:pt>
                <c:pt idx="39">
                  <c:v>5.9181463988524252E-2</c:v>
                </c:pt>
                <c:pt idx="40">
                  <c:v>4.880943454203901E-2</c:v>
                </c:pt>
                <c:pt idx="41">
                  <c:v>3.3813280376157218E-2</c:v>
                </c:pt>
                <c:pt idx="42">
                  <c:v>2.3580911994081966E-2</c:v>
                </c:pt>
                <c:pt idx="43">
                  <c:v>2.7133746753766619E-2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38368"/>
        <c:axId val="203285248"/>
      </c:lineChart>
      <c:dateAx>
        <c:axId val="29573836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3285248"/>
        <c:crossesAt val="0"/>
        <c:auto val="1"/>
        <c:lblOffset val="100"/>
        <c:baseTimeUnit val="months"/>
        <c:majorUnit val="1"/>
        <c:majorTimeUnit val="years"/>
      </c:dateAx>
      <c:valAx>
        <c:axId val="2032852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9573836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45152"/>
        <c:axId val="214546688"/>
      </c:lineChart>
      <c:dateAx>
        <c:axId val="21454515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546688"/>
        <c:crosses val="autoZero"/>
        <c:auto val="1"/>
        <c:lblOffset val="100"/>
        <c:baseTimeUnit val="months"/>
        <c:majorUnit val="10"/>
        <c:majorTimeUnit val="years"/>
      </c:dateAx>
      <c:valAx>
        <c:axId val="214546688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454515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73.2</c:v>
                </c:pt>
                <c:pt idx="43">
                  <c:v>72.900000000000006</c:v>
                </c:pt>
                <c:pt idx="44">
                  <c:v>73.099999999999994</c:v>
                </c:pt>
                <c:pt idx="45">
                  <c:v>73.5</c:v>
                </c:pt>
                <c:pt idx="46">
                  <c:v>74</c:v>
                </c:pt>
                <c:pt idx="47">
                  <c:v>74.900000000000006</c:v>
                </c:pt>
                <c:pt idx="48">
                  <c:v>75.7</c:v>
                </c:pt>
                <c:pt idx="49">
                  <c:v>76.2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62016"/>
        <c:axId val="217080192"/>
      </c:lineChart>
      <c:dateAx>
        <c:axId val="217062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80192"/>
        <c:crosses val="autoZero"/>
        <c:auto val="1"/>
        <c:lblOffset val="100"/>
        <c:baseTimeUnit val="months"/>
        <c:majorUnit val="5"/>
        <c:majorTimeUnit val="years"/>
      </c:dateAx>
      <c:valAx>
        <c:axId val="217080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6201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-2.8</c:v>
                </c:pt>
                <c:pt idx="40">
                  <c:v>-2.7</c:v>
                </c:pt>
                <c:pt idx="41">
                  <c:v>-2.4</c:v>
                </c:pt>
                <c:pt idx="42">
                  <c:v>-2.2999999999999998</c:v>
                </c:pt>
                <c:pt idx="43">
                  <c:v>-2.4</c:v>
                </c:pt>
                <c:pt idx="44">
                  <c:v>-2.8</c:v>
                </c:pt>
                <c:pt idx="45">
                  <c:v>-3.1</c:v>
                </c:pt>
                <c:pt idx="46">
                  <c:v>-3.3</c:v>
                </c:pt>
                <c:pt idx="47">
                  <c:v>-3.7</c:v>
                </c:pt>
                <c:pt idx="48">
                  <c:v>-3.6</c:v>
                </c:pt>
                <c:pt idx="49">
                  <c:v>-3.4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98496"/>
        <c:axId val="217100288"/>
      </c:lineChart>
      <c:dateAx>
        <c:axId val="217098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00288"/>
        <c:crossesAt val="0"/>
        <c:auto val="1"/>
        <c:lblOffset val="100"/>
        <c:baseTimeUnit val="months"/>
        <c:majorUnit val="5"/>
        <c:majorTimeUnit val="years"/>
      </c:dateAx>
      <c:valAx>
        <c:axId val="21710028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098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18.3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20.399999999999999</c:v>
                </c:pt>
                <c:pt idx="41">
                  <c:v>20.8</c:v>
                </c:pt>
                <c:pt idx="42">
                  <c:v>20.6</c:v>
                </c:pt>
                <c:pt idx="43">
                  <c:v>20.5</c:v>
                </c:pt>
                <c:pt idx="44">
                  <c:v>20.9</c:v>
                </c:pt>
                <c:pt idx="45">
                  <c:v>21.2</c:v>
                </c:pt>
                <c:pt idx="46">
                  <c:v>21.4</c:v>
                </c:pt>
                <c:pt idx="47">
                  <c:v>21.8</c:v>
                </c:pt>
                <c:pt idx="48">
                  <c:v>21.8</c:v>
                </c:pt>
                <c:pt idx="49">
                  <c:v>21.7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17824"/>
        <c:axId val="217119360"/>
      </c:lineChart>
      <c:dateAx>
        <c:axId val="2171178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19360"/>
        <c:crosses val="autoZero"/>
        <c:auto val="1"/>
        <c:lblOffset val="100"/>
        <c:baseTimeUnit val="months"/>
        <c:majorUnit val="5"/>
        <c:majorTimeUnit val="years"/>
      </c:dateAx>
      <c:valAx>
        <c:axId val="217119360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11782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4" sqref="A4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400</v>
      </c>
    </row>
    <row r="3" spans="1:2">
      <c r="A3" s="25" t="s">
        <v>399</v>
      </c>
    </row>
    <row r="4" spans="1:2">
      <c r="A4" s="25" t="s">
        <v>346</v>
      </c>
    </row>
    <row r="5" spans="1:2">
      <c r="A5" s="25" t="s">
        <v>367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9" t="s">
        <v>274</v>
      </c>
      <c r="E9" s="119"/>
      <c r="F9" s="119"/>
      <c r="G9" s="119" t="s">
        <v>328</v>
      </c>
      <c r="H9" s="119"/>
      <c r="I9" s="120"/>
    </row>
    <row r="10" spans="1:9">
      <c r="A10" s="80"/>
      <c r="B10" s="81"/>
      <c r="C10" s="81"/>
      <c r="D10" s="119"/>
      <c r="E10" s="119"/>
      <c r="F10" s="119"/>
      <c r="G10" s="119"/>
      <c r="H10" s="119"/>
      <c r="I10" s="120"/>
    </row>
    <row r="11" spans="1:9">
      <c r="A11" s="74" t="s">
        <v>122</v>
      </c>
      <c r="B11" s="69"/>
      <c r="C11" s="69"/>
      <c r="D11" s="69"/>
      <c r="E11" s="105">
        <v>3170</v>
      </c>
      <c r="F11" s="71"/>
      <c r="G11" s="94"/>
      <c r="H11" s="98" t="s">
        <v>420</v>
      </c>
      <c r="I11" s="95"/>
    </row>
    <row r="12" spans="1:9">
      <c r="A12" s="73" t="s">
        <v>123</v>
      </c>
      <c r="B12" s="69"/>
      <c r="C12" s="69"/>
      <c r="D12" s="69"/>
      <c r="E12" s="105">
        <v>2543</v>
      </c>
      <c r="F12" s="71"/>
      <c r="G12" s="72"/>
      <c r="H12" s="98" t="s">
        <v>421</v>
      </c>
      <c r="I12" s="95"/>
    </row>
    <row r="13" spans="1:9">
      <c r="A13" s="73" t="s">
        <v>124</v>
      </c>
      <c r="B13" s="69"/>
      <c r="C13" s="69"/>
      <c r="D13" s="69"/>
      <c r="E13" s="105">
        <v>626</v>
      </c>
      <c r="F13" s="71"/>
      <c r="G13" s="72"/>
      <c r="H13" s="98" t="s">
        <v>422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3640</v>
      </c>
      <c r="F15" s="71"/>
      <c r="G15" s="72"/>
      <c r="H15" s="98" t="s">
        <v>423</v>
      </c>
      <c r="I15" s="95"/>
    </row>
    <row r="16" spans="1:9">
      <c r="A16" s="73" t="s">
        <v>128</v>
      </c>
      <c r="B16" s="69"/>
      <c r="C16" s="69"/>
      <c r="D16" s="69"/>
      <c r="E16" s="105">
        <v>565</v>
      </c>
      <c r="F16" s="71"/>
      <c r="G16" s="72"/>
      <c r="H16" s="98" t="s">
        <v>424</v>
      </c>
      <c r="I16" s="95"/>
    </row>
    <row r="17" spans="1:9">
      <c r="A17" s="73" t="s">
        <v>126</v>
      </c>
      <c r="B17" s="69"/>
      <c r="C17" s="69"/>
      <c r="D17" s="69"/>
      <c r="E17" s="105">
        <v>862</v>
      </c>
      <c r="F17" s="71"/>
      <c r="G17" s="72"/>
      <c r="H17" s="98" t="s">
        <v>425</v>
      </c>
      <c r="I17" s="95"/>
    </row>
    <row r="18" spans="1:9">
      <c r="A18" s="73" t="s">
        <v>125</v>
      </c>
      <c r="B18" s="69"/>
      <c r="C18" s="69"/>
      <c r="D18" s="69"/>
      <c r="E18" s="105">
        <v>532</v>
      </c>
      <c r="F18" s="71"/>
      <c r="G18" s="72"/>
      <c r="H18" s="98" t="s">
        <v>426</v>
      </c>
      <c r="I18" s="95"/>
    </row>
    <row r="19" spans="1:9">
      <c r="A19" s="73" t="s">
        <v>120</v>
      </c>
      <c r="B19" s="69"/>
      <c r="C19" s="69"/>
      <c r="D19" s="69"/>
      <c r="E19" s="105">
        <v>338</v>
      </c>
      <c r="F19" s="71"/>
      <c r="G19" s="72"/>
      <c r="H19" s="98" t="s">
        <v>427</v>
      </c>
      <c r="I19" s="95"/>
    </row>
    <row r="20" spans="1:9">
      <c r="A20" s="73" t="s">
        <v>121</v>
      </c>
      <c r="B20" s="69"/>
      <c r="C20" s="69"/>
      <c r="D20" s="69"/>
      <c r="E20" s="105">
        <v>255</v>
      </c>
      <c r="F20" s="71"/>
      <c r="G20" s="72"/>
      <c r="H20" s="98" t="s">
        <v>428</v>
      </c>
      <c r="I20" s="95"/>
    </row>
    <row r="21" spans="1:9">
      <c r="A21" s="75" t="s">
        <v>127</v>
      </c>
      <c r="B21" s="76"/>
      <c r="C21" s="76"/>
      <c r="D21" s="76"/>
      <c r="E21" s="107">
        <v>1088</v>
      </c>
      <c r="F21" s="78"/>
      <c r="G21" s="79"/>
      <c r="H21" s="100" t="s">
        <v>429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8" t="s">
        <v>329</v>
      </c>
      <c r="D1" s="118"/>
      <c r="E1" s="118"/>
      <c r="F1" s="118"/>
      <c r="G1" s="118"/>
      <c r="H1" s="91"/>
      <c r="I1" s="91"/>
    </row>
    <row r="2" spans="1:9" ht="15" customHeight="1">
      <c r="A2" s="91"/>
      <c r="B2" s="91"/>
      <c r="C2" s="118"/>
      <c r="D2" s="118"/>
      <c r="E2" s="118"/>
      <c r="F2" s="118"/>
      <c r="G2" s="118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46" zoomScale="85" zoomScaleNormal="85" workbookViewId="0">
      <selection activeCell="B85" sqref="B85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201505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361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362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357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416</v>
      </c>
      <c r="D6" t="s">
        <v>416</v>
      </c>
      <c r="E6" t="s">
        <v>416</v>
      </c>
      <c r="F6" t="s">
        <v>417</v>
      </c>
      <c r="G6" s="20" t="s">
        <v>418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355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403</v>
      </c>
      <c r="B81" s="13">
        <v>42004</v>
      </c>
      <c r="C81" s="14">
        <v>5079</v>
      </c>
      <c r="D81" s="14">
        <v>14091</v>
      </c>
      <c r="E81" s="23">
        <v>2134.6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799.99999999972715</v>
      </c>
      <c r="M81" s="63">
        <f t="shared" si="7"/>
        <v>633.33333333336361</v>
      </c>
      <c r="N81" s="15"/>
      <c r="R81" s="14"/>
    </row>
    <row r="82" spans="1:18">
      <c r="A82" s="8" t="s">
        <v>404</v>
      </c>
      <c r="B82" s="13">
        <v>42035</v>
      </c>
      <c r="C82" s="14">
        <v>5081</v>
      </c>
      <c r="D82" s="14">
        <v>14092</v>
      </c>
      <c r="E82" s="23">
        <v>2136.6999999999998</v>
      </c>
      <c r="F82" s="14">
        <v>0</v>
      </c>
      <c r="G82" s="14">
        <v>0</v>
      </c>
      <c r="H82" s="14"/>
      <c r="I82" s="31">
        <f t="shared" si="4"/>
        <v>3000</v>
      </c>
      <c r="J82" s="31">
        <f t="shared" si="5"/>
        <v>3333.3333333333335</v>
      </c>
      <c r="K82" s="35"/>
      <c r="L82" s="38">
        <f t="shared" si="6"/>
        <v>2099.9999999999091</v>
      </c>
      <c r="M82" s="63">
        <f t="shared" si="7"/>
        <v>1533.333333333303</v>
      </c>
      <c r="N82" s="15"/>
      <c r="R82" s="23"/>
    </row>
    <row r="83" spans="1:18">
      <c r="A83" s="8" t="s">
        <v>406</v>
      </c>
      <c r="B83" s="13">
        <v>42063</v>
      </c>
      <c r="C83" s="14">
        <v>5086</v>
      </c>
      <c r="D83" s="14">
        <v>14089</v>
      </c>
      <c r="E83" s="23">
        <v>2136</v>
      </c>
      <c r="F83" s="14">
        <v>0</v>
      </c>
      <c r="G83" s="14">
        <v>0</v>
      </c>
      <c r="H83" s="14"/>
      <c r="I83" s="31">
        <f t="shared" si="4"/>
        <v>2000</v>
      </c>
      <c r="J83" s="31">
        <f t="shared" si="5"/>
        <v>4000</v>
      </c>
      <c r="K83" s="35"/>
      <c r="L83" s="38">
        <f t="shared" si="6"/>
        <v>-699.9999999998181</v>
      </c>
      <c r="M83" s="63">
        <f t="shared" si="7"/>
        <v>733.33333333327266</v>
      </c>
      <c r="N83" s="15"/>
      <c r="R83" s="14"/>
    </row>
    <row r="84" spans="1:18">
      <c r="A84" s="8" t="s">
        <v>412</v>
      </c>
      <c r="B84" s="13">
        <v>42094</v>
      </c>
      <c r="C84" s="14">
        <v>5082</v>
      </c>
      <c r="D84" s="14">
        <v>14085</v>
      </c>
      <c r="E84" s="23">
        <v>2135.3000000000002</v>
      </c>
      <c r="F84" s="14">
        <v>0</v>
      </c>
      <c r="G84" s="14">
        <v>0</v>
      </c>
      <c r="H84" s="14"/>
      <c r="I84" s="31">
        <f t="shared" si="4"/>
        <v>-8000</v>
      </c>
      <c r="J84" s="31">
        <f t="shared" si="5"/>
        <v>-1000</v>
      </c>
      <c r="K84" s="35"/>
      <c r="L84" s="38">
        <f t="shared" si="6"/>
        <v>-699.9999999998181</v>
      </c>
      <c r="M84" s="63">
        <f t="shared" si="7"/>
        <v>233.33333333342429</v>
      </c>
      <c r="N84" s="15"/>
      <c r="R84" s="23"/>
    </row>
    <row r="85" spans="1:18">
      <c r="A85" s="8" t="s">
        <v>419</v>
      </c>
      <c r="B85" s="13">
        <v>42124</v>
      </c>
      <c r="C85" s="14">
        <v>5083</v>
      </c>
      <c r="D85" s="14">
        <v>14092</v>
      </c>
      <c r="E85" s="23">
        <v>2136</v>
      </c>
      <c r="F85" s="14">
        <v>0</v>
      </c>
      <c r="G85" s="14">
        <v>0</v>
      </c>
      <c r="H85" s="14"/>
      <c r="I85" s="31">
        <f t="shared" si="4"/>
        <v>8000</v>
      </c>
      <c r="J85" s="31">
        <f t="shared" si="5"/>
        <v>666.66666666666663</v>
      </c>
      <c r="K85" s="35"/>
      <c r="L85" s="38">
        <f t="shared" si="6"/>
        <v>699.9999999998181</v>
      </c>
      <c r="M85" s="63">
        <f t="shared" si="7"/>
        <v>-233.33333333327269</v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abSelected="1" zoomScale="85" zoomScaleNormal="85" workbookViewId="0">
      <selection activeCell="A3" sqref="A3:D7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/>
      <c r="L2" s="20"/>
      <c r="M2" s="21"/>
    </row>
    <row r="3" spans="1:13">
      <c r="A3" s="20" t="s">
        <v>372</v>
      </c>
      <c r="B3" s="26" t="s">
        <v>358</v>
      </c>
      <c r="C3" s="23" t="s">
        <v>371</v>
      </c>
      <c r="D3" s="21" t="s">
        <v>360</v>
      </c>
      <c r="K3" s="20"/>
      <c r="L3" s="20"/>
      <c r="M3" s="20"/>
    </row>
    <row r="4" spans="1:13">
      <c r="A4" s="20" t="s">
        <v>7</v>
      </c>
      <c r="C4" s="23" t="s">
        <v>398</v>
      </c>
      <c r="D4" s="26" t="s">
        <v>363</v>
      </c>
      <c r="K4" s="20"/>
      <c r="L4" s="20"/>
      <c r="M4" s="20"/>
    </row>
    <row r="5" spans="1:13">
      <c r="A5" s="20" t="s">
        <v>16</v>
      </c>
      <c r="B5" s="27"/>
      <c r="C5" s="28" t="s">
        <v>397</v>
      </c>
      <c r="D5" s="27" t="s">
        <v>359</v>
      </c>
      <c r="F5" s="27"/>
      <c r="H5" s="27"/>
      <c r="K5" s="19"/>
      <c r="L5" s="19"/>
      <c r="M5" s="19"/>
    </row>
    <row r="6" spans="1:13">
      <c r="A6" s="20" t="s">
        <v>17</v>
      </c>
      <c r="C6" s="23" t="s">
        <v>409</v>
      </c>
      <c r="D6" s="26" t="s">
        <v>409</v>
      </c>
      <c r="L6" s="108"/>
      <c r="M6" s="14"/>
    </row>
    <row r="7" spans="1:13">
      <c r="A7" s="20" t="s">
        <v>353</v>
      </c>
      <c r="C7" s="23" t="s">
        <v>396</v>
      </c>
      <c r="D7" s="26" t="s">
        <v>354</v>
      </c>
      <c r="L7" s="108"/>
      <c r="M7" s="14"/>
    </row>
    <row r="8" spans="1:13">
      <c r="A8" s="20" t="s">
        <v>373</v>
      </c>
      <c r="B8" s="26">
        <v>39814</v>
      </c>
      <c r="C8" s="23">
        <v>288.7</v>
      </c>
      <c r="D8" s="14">
        <v>1</v>
      </c>
      <c r="L8" s="108"/>
      <c r="M8" s="14"/>
    </row>
    <row r="9" spans="1:13">
      <c r="A9" s="20" t="s">
        <v>374</v>
      </c>
      <c r="B9" s="26">
        <v>39904</v>
      </c>
      <c r="C9" s="23">
        <v>294.7</v>
      </c>
      <c r="D9" s="14">
        <v>1</v>
      </c>
      <c r="L9" s="108"/>
      <c r="M9" s="14"/>
    </row>
    <row r="10" spans="1:13">
      <c r="A10" s="20" t="s">
        <v>375</v>
      </c>
      <c r="B10" s="26">
        <v>39995</v>
      </c>
      <c r="C10" s="23">
        <v>293.3</v>
      </c>
      <c r="D10" s="14">
        <v>0</v>
      </c>
      <c r="L10" s="108"/>
      <c r="M10" s="14"/>
    </row>
    <row r="11" spans="1:13">
      <c r="A11" s="20" t="s">
        <v>376</v>
      </c>
      <c r="B11" s="26">
        <v>40087</v>
      </c>
      <c r="C11" s="23">
        <v>282.39999999999998</v>
      </c>
      <c r="D11" s="14">
        <v>0</v>
      </c>
      <c r="L11" s="108"/>
      <c r="M11" s="14"/>
    </row>
    <row r="12" spans="1:13">
      <c r="A12" s="20" t="s">
        <v>377</v>
      </c>
      <c r="B12" s="26">
        <v>40179</v>
      </c>
      <c r="C12" s="23">
        <v>273.60000000000002</v>
      </c>
      <c r="D12" s="14">
        <v>0</v>
      </c>
      <c r="L12" s="108"/>
      <c r="M12" s="14"/>
    </row>
    <row r="13" spans="1:13">
      <c r="A13" s="20" t="s">
        <v>378</v>
      </c>
      <c r="B13" s="26">
        <v>40269</v>
      </c>
      <c r="C13" s="23">
        <v>284.2</v>
      </c>
      <c r="D13" s="14">
        <v>0</v>
      </c>
      <c r="L13" s="108"/>
      <c r="M13" s="14"/>
    </row>
    <row r="14" spans="1:13">
      <c r="A14" s="20" t="s">
        <v>379</v>
      </c>
      <c r="B14" s="26">
        <v>40360</v>
      </c>
      <c r="C14" s="23">
        <v>285.60000000000002</v>
      </c>
      <c r="D14" s="14">
        <v>0</v>
      </c>
      <c r="L14" s="108"/>
      <c r="M14" s="14"/>
    </row>
    <row r="15" spans="1:13">
      <c r="A15" s="20" t="s">
        <v>380</v>
      </c>
      <c r="B15" s="26">
        <v>40452</v>
      </c>
      <c r="C15" s="23">
        <v>274.5</v>
      </c>
      <c r="D15" s="14">
        <v>0</v>
      </c>
      <c r="L15" s="108"/>
      <c r="M15" s="14"/>
    </row>
    <row r="16" spans="1:13">
      <c r="A16" s="20" t="s">
        <v>381</v>
      </c>
      <c r="B16" s="26">
        <v>40544</v>
      </c>
      <c r="C16" s="23">
        <v>265.7</v>
      </c>
      <c r="D16" s="14">
        <v>0</v>
      </c>
      <c r="L16" s="108"/>
      <c r="M16" s="14"/>
    </row>
    <row r="17" spans="1:13">
      <c r="A17" s="20" t="s">
        <v>382</v>
      </c>
      <c r="B17" s="26">
        <v>40634</v>
      </c>
      <c r="C17" s="23">
        <v>261.39999999999998</v>
      </c>
      <c r="D17" s="14">
        <v>0</v>
      </c>
      <c r="L17" s="108"/>
      <c r="M17" s="14"/>
    </row>
    <row r="18" spans="1:13">
      <c r="A18" s="20" t="s">
        <v>383</v>
      </c>
      <c r="B18" s="26">
        <v>40725</v>
      </c>
      <c r="C18" s="23">
        <v>258.60000000000002</v>
      </c>
      <c r="D18" s="14">
        <v>0</v>
      </c>
      <c r="L18" s="108"/>
      <c r="M18" s="14"/>
    </row>
    <row r="19" spans="1:13">
      <c r="A19" s="20" t="s">
        <v>384</v>
      </c>
      <c r="B19" s="26">
        <v>40817</v>
      </c>
      <c r="C19" s="23">
        <v>257.89999999999998</v>
      </c>
      <c r="D19" s="14">
        <v>0</v>
      </c>
      <c r="L19" s="108"/>
      <c r="M19" s="14"/>
    </row>
    <row r="20" spans="1:13">
      <c r="A20" s="20" t="s">
        <v>385</v>
      </c>
      <c r="B20" s="26">
        <v>40909</v>
      </c>
      <c r="C20" s="23">
        <v>249.2</v>
      </c>
      <c r="D20" s="14">
        <v>0</v>
      </c>
      <c r="L20" s="108"/>
      <c r="M20" s="14"/>
    </row>
    <row r="21" spans="1:13">
      <c r="A21" s="20" t="s">
        <v>386</v>
      </c>
      <c r="B21" s="26">
        <v>41000</v>
      </c>
      <c r="C21" s="23">
        <v>247.1</v>
      </c>
      <c r="D21" s="14">
        <v>0</v>
      </c>
      <c r="L21" s="108"/>
      <c r="M21" s="14"/>
    </row>
    <row r="22" spans="1:13">
      <c r="A22" s="20" t="s">
        <v>387</v>
      </c>
      <c r="B22" s="26">
        <v>41091</v>
      </c>
      <c r="C22" s="23">
        <v>240.5</v>
      </c>
      <c r="D22" s="14">
        <v>0</v>
      </c>
      <c r="L22" s="108"/>
      <c r="M22" s="14"/>
    </row>
    <row r="23" spans="1:13">
      <c r="A23" s="20" t="s">
        <v>388</v>
      </c>
      <c r="B23" s="26">
        <v>41183</v>
      </c>
      <c r="C23" s="23">
        <v>233.4</v>
      </c>
      <c r="D23" s="14">
        <v>0</v>
      </c>
      <c r="L23" s="108"/>
      <c r="M23" s="14"/>
    </row>
    <row r="24" spans="1:13">
      <c r="A24" s="20" t="s">
        <v>389</v>
      </c>
      <c r="B24" s="26">
        <v>41275</v>
      </c>
      <c r="C24" s="23">
        <v>228.6</v>
      </c>
      <c r="D24" s="14">
        <v>0</v>
      </c>
      <c r="L24" s="108"/>
      <c r="M24" s="14"/>
    </row>
    <row r="25" spans="1:13">
      <c r="A25" s="20" t="s">
        <v>390</v>
      </c>
      <c r="B25" s="26">
        <v>41365</v>
      </c>
      <c r="C25" s="23">
        <v>233.7</v>
      </c>
      <c r="D25" s="14">
        <v>0</v>
      </c>
      <c r="L25" s="108"/>
      <c r="M25" s="14"/>
    </row>
    <row r="26" spans="1:13">
      <c r="A26" s="20" t="s">
        <v>391</v>
      </c>
      <c r="B26" s="26">
        <v>41456</v>
      </c>
      <c r="C26" s="23">
        <v>233</v>
      </c>
      <c r="D26" s="14">
        <v>0</v>
      </c>
      <c r="L26" s="108"/>
      <c r="M26" s="14"/>
    </row>
    <row r="27" spans="1:13">
      <c r="A27" s="20" t="s">
        <v>392</v>
      </c>
      <c r="B27" s="26">
        <v>41548</v>
      </c>
      <c r="C27" s="23">
        <v>231.2</v>
      </c>
      <c r="D27" s="14">
        <v>0</v>
      </c>
      <c r="L27" s="108"/>
      <c r="M27" s="14"/>
    </row>
    <row r="28" spans="1:13">
      <c r="A28" s="20" t="s">
        <v>393</v>
      </c>
      <c r="B28" s="26">
        <v>41640</v>
      </c>
      <c r="C28" s="23">
        <v>223.6</v>
      </c>
      <c r="D28" s="14">
        <v>0</v>
      </c>
      <c r="L28" s="108"/>
      <c r="M28" s="14"/>
    </row>
    <row r="29" spans="1:13">
      <c r="A29" s="20" t="s">
        <v>394</v>
      </c>
      <c r="B29" s="26">
        <v>41730</v>
      </c>
      <c r="C29" s="23">
        <v>232.9</v>
      </c>
      <c r="D29" s="14">
        <v>0</v>
      </c>
      <c r="L29" s="108"/>
      <c r="M29" s="14"/>
    </row>
    <row r="30" spans="1:13">
      <c r="A30" s="20" t="s">
        <v>395</v>
      </c>
      <c r="B30" s="26">
        <v>41821</v>
      </c>
      <c r="C30" s="23">
        <v>233.7</v>
      </c>
      <c r="D30" s="14">
        <v>0</v>
      </c>
      <c r="L30" s="108"/>
      <c r="M30" s="14"/>
    </row>
    <row r="31" spans="1:13">
      <c r="A31" s="20" t="s">
        <v>405</v>
      </c>
      <c r="B31" s="26">
        <v>41913</v>
      </c>
      <c r="C31" s="23">
        <v>235.6</v>
      </c>
      <c r="D31" s="14">
        <v>0</v>
      </c>
    </row>
    <row r="32" spans="1:13">
      <c r="A32" s="20" t="s">
        <v>414</v>
      </c>
      <c r="B32" s="26">
        <v>42005</v>
      </c>
      <c r="C32" s="23">
        <v>225.6</v>
      </c>
      <c r="D32" s="14">
        <v>0</v>
      </c>
    </row>
    <row r="33" spans="2:4">
      <c r="D33" s="109"/>
    </row>
    <row r="34" spans="2:4">
      <c r="D34" s="109"/>
    </row>
    <row r="35" spans="2:4">
      <c r="D35" s="109"/>
    </row>
    <row r="36" spans="2:4">
      <c r="D36" s="109"/>
    </row>
    <row r="37" spans="2:4">
      <c r="D37" s="109"/>
    </row>
    <row r="38" spans="2:4">
      <c r="D38" s="109"/>
    </row>
    <row r="39" spans="2:4">
      <c r="D39" s="109"/>
    </row>
    <row r="40" spans="2:4">
      <c r="D40" s="109"/>
    </row>
    <row r="41" spans="2:4">
      <c r="D41" s="109"/>
    </row>
    <row r="42" spans="2:4">
      <c r="D42" s="109"/>
    </row>
    <row r="43" spans="2:4">
      <c r="D43" s="109"/>
    </row>
    <row r="44" spans="2:4">
      <c r="D44" s="109"/>
    </row>
    <row r="45" spans="2:4">
      <c r="D45" s="109"/>
    </row>
    <row r="46" spans="2:4">
      <c r="B46" s="40"/>
      <c r="C46" s="32"/>
      <c r="D46" s="109"/>
    </row>
    <row r="47" spans="2:4">
      <c r="B47" s="40"/>
      <c r="C47" s="32"/>
      <c r="D47" s="109"/>
    </row>
    <row r="48" spans="2:4">
      <c r="B48" s="40"/>
      <c r="C48" s="32"/>
      <c r="D48" s="109"/>
    </row>
    <row r="49" spans="2:4">
      <c r="B49" s="40"/>
      <c r="C49" s="32"/>
      <c r="D49" s="109"/>
    </row>
    <row r="50" spans="2:4">
      <c r="B50" s="40"/>
      <c r="C50" s="32"/>
      <c r="D50" s="109"/>
    </row>
    <row r="51" spans="2:4">
      <c r="B51" s="40"/>
      <c r="C51" s="32"/>
      <c r="D51" s="109"/>
    </row>
    <row r="52" spans="2:4">
      <c r="B52" s="40"/>
      <c r="C52" s="32"/>
      <c r="D52" s="109"/>
    </row>
    <row r="53" spans="2:4">
      <c r="B53" s="40"/>
      <c r="C53" s="32"/>
      <c r="D53" s="109"/>
    </row>
    <row r="54" spans="2:4">
      <c r="B54" s="40"/>
      <c r="C54" s="32"/>
      <c r="D54" s="109"/>
    </row>
    <row r="55" spans="2:4">
      <c r="B55" s="40"/>
      <c r="C55" s="32"/>
      <c r="D55" s="109"/>
    </row>
    <row r="56" spans="2:4">
      <c r="B56" s="40"/>
      <c r="C56" s="32"/>
      <c r="D56" s="109"/>
    </row>
    <row r="57" spans="2:4">
      <c r="B57" s="40"/>
      <c r="C57" s="32"/>
      <c r="D57" s="109"/>
    </row>
    <row r="58" spans="2:4">
      <c r="B58" s="40"/>
      <c r="C58" s="32"/>
      <c r="D58" s="109"/>
    </row>
    <row r="59" spans="2:4">
      <c r="B59" s="40"/>
      <c r="C59" s="32"/>
      <c r="D59" s="109"/>
    </row>
    <row r="60" spans="2:4">
      <c r="B60" s="40"/>
      <c r="C60" s="32"/>
      <c r="D60" s="109"/>
    </row>
    <row r="61" spans="2:4">
      <c r="B61" s="40"/>
      <c r="C61" s="32"/>
      <c r="D61" s="109"/>
    </row>
    <row r="62" spans="2:4">
      <c r="B62" s="40"/>
      <c r="C62" s="32"/>
      <c r="D62" s="109"/>
    </row>
    <row r="63" spans="2:4">
      <c r="B63" s="40"/>
      <c r="C63" s="32"/>
      <c r="D63" s="109"/>
    </row>
    <row r="64" spans="2:4">
      <c r="B64" s="40"/>
      <c r="C64" s="32"/>
      <c r="D64" s="109"/>
    </row>
    <row r="65" spans="2:4">
      <c r="B65" s="40"/>
      <c r="C65" s="32"/>
      <c r="D65" s="109"/>
    </row>
    <row r="66" spans="2:4">
      <c r="B66" s="40"/>
      <c r="C66" s="32"/>
      <c r="D66" s="109"/>
    </row>
    <row r="67" spans="2:4">
      <c r="B67" s="40"/>
      <c r="C67" s="32"/>
      <c r="D67" s="109"/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topLeftCell="A19" zoomScale="70" zoomScaleNormal="70" workbookViewId="0">
      <selection activeCell="C2" sqref="C2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360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363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357</v>
      </c>
    </row>
    <row r="5" spans="1:10">
      <c r="A5" s="11" t="s">
        <v>24</v>
      </c>
      <c r="C5" t="s">
        <v>407</v>
      </c>
      <c r="D5" t="s">
        <v>407</v>
      </c>
      <c r="E5" t="s">
        <v>407</v>
      </c>
      <c r="F5" t="s">
        <v>407</v>
      </c>
      <c r="H5" s="56" t="s">
        <v>152</v>
      </c>
      <c r="J5" s="19" t="s">
        <v>410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359</v>
      </c>
    </row>
    <row r="7" spans="1:10">
      <c r="A7" s="11" t="s">
        <v>17</v>
      </c>
      <c r="B7" s="13"/>
      <c r="C7" s="14" t="s">
        <v>368</v>
      </c>
      <c r="D7" s="14" t="s">
        <v>368</v>
      </c>
      <c r="E7" s="14" t="s">
        <v>368</v>
      </c>
      <c r="F7" t="s">
        <v>368</v>
      </c>
      <c r="J7" t="s">
        <v>409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115676</v>
      </c>
      <c r="D51" s="14">
        <v>81219</v>
      </c>
      <c r="E51" s="14">
        <v>12456</v>
      </c>
      <c r="F51" s="14">
        <v>79115</v>
      </c>
      <c r="G51" s="41">
        <f t="shared" si="0"/>
        <v>288.46600000000001</v>
      </c>
      <c r="H51" s="20">
        <f t="shared" si="1"/>
        <v>6.7321318232440808E-2</v>
      </c>
      <c r="I51" s="29">
        <f t="shared" si="2"/>
        <v>4.396817543122844E-2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113642</v>
      </c>
      <c r="E52" s="14">
        <v>20254</v>
      </c>
      <c r="F52" s="14">
        <v>85663</v>
      </c>
      <c r="G52" s="41">
        <f t="shared" si="0"/>
        <v>310.79000000000002</v>
      </c>
      <c r="H52" s="20">
        <f t="shared" si="1"/>
        <v>7.0161906795127127E-2</v>
      </c>
      <c r="I52" s="29">
        <f t="shared" si="2"/>
        <v>5.3421603493966519E-2</v>
      </c>
      <c r="J52" s="14">
        <v>0</v>
      </c>
    </row>
    <row r="53" spans="1:11">
      <c r="A53" s="11" t="s">
        <v>295</v>
      </c>
      <c r="B53" s="42">
        <v>41547</v>
      </c>
      <c r="C53" s="14">
        <v>97811</v>
      </c>
      <c r="D53" s="14">
        <v>74299</v>
      </c>
      <c r="E53" s="14">
        <v>10849</v>
      </c>
      <c r="F53" s="14">
        <v>82570</v>
      </c>
      <c r="G53" s="41">
        <f t="shared" si="0"/>
        <v>265.529</v>
      </c>
      <c r="H53" s="20">
        <f t="shared" si="1"/>
        <v>7.1735901451428052E-2</v>
      </c>
      <c r="I53" s="29">
        <f t="shared" si="2"/>
        <v>5.9204329449360937E-2</v>
      </c>
      <c r="J53" s="14">
        <v>0</v>
      </c>
    </row>
    <row r="54" spans="1:11">
      <c r="A54" s="11" t="s">
        <v>296</v>
      </c>
      <c r="B54" s="42">
        <v>41639</v>
      </c>
      <c r="C54" s="14">
        <v>180243</v>
      </c>
      <c r="D54" s="14">
        <v>77709</v>
      </c>
      <c r="E54" s="14">
        <v>10409</v>
      </c>
      <c r="F54" s="14">
        <v>85874</v>
      </c>
      <c r="G54" s="41">
        <f t="shared" si="0"/>
        <v>354.23500000000001</v>
      </c>
      <c r="H54" s="20">
        <f t="shared" si="1"/>
        <v>2.7506729475101022E-2</v>
      </c>
      <c r="I54" s="29">
        <f t="shared" si="2"/>
        <v>5.9181463988524252E-2</v>
      </c>
      <c r="J54" s="14">
        <v>0</v>
      </c>
    </row>
    <row r="55" spans="1:11">
      <c r="A55" s="11" t="s">
        <v>297</v>
      </c>
      <c r="B55" s="42">
        <v>41729</v>
      </c>
      <c r="C55" s="14">
        <v>116718</v>
      </c>
      <c r="D55" s="14">
        <v>81403</v>
      </c>
      <c r="E55" s="14">
        <v>13881</v>
      </c>
      <c r="F55" s="14">
        <v>83916</v>
      </c>
      <c r="G55" s="41">
        <f t="shared" si="0"/>
        <v>295.91800000000001</v>
      </c>
      <c r="H55" s="20">
        <f t="shared" si="1"/>
        <v>2.5833200446499838E-2</v>
      </c>
      <c r="I55" s="29">
        <f t="shared" si="2"/>
        <v>4.880943454203901E-2</v>
      </c>
      <c r="J55" s="14">
        <v>0</v>
      </c>
    </row>
    <row r="56" spans="1:11">
      <c r="A56" s="11" t="s">
        <v>298</v>
      </c>
      <c r="B56" s="13">
        <v>41820</v>
      </c>
      <c r="C56" s="14">
        <v>94234</v>
      </c>
      <c r="D56" s="14">
        <v>106878</v>
      </c>
      <c r="E56" s="14">
        <v>20013</v>
      </c>
      <c r="F56" s="14">
        <v>92828</v>
      </c>
      <c r="G56" s="41">
        <f t="shared" si="0"/>
        <v>313.95299999999997</v>
      </c>
      <c r="H56" s="20">
        <f t="shared" si="1"/>
        <v>1.0177290131599959E-2</v>
      </c>
      <c r="I56" s="29">
        <f t="shared" si="2"/>
        <v>3.3813280376157218E-2</v>
      </c>
      <c r="J56" s="14">
        <v>0</v>
      </c>
    </row>
    <row r="57" spans="1:11">
      <c r="A57" s="11" t="s">
        <v>401</v>
      </c>
      <c r="B57" s="13">
        <v>41912</v>
      </c>
      <c r="C57" s="14">
        <v>99200</v>
      </c>
      <c r="D57" s="14">
        <v>77151</v>
      </c>
      <c r="E57" s="14">
        <v>11512</v>
      </c>
      <c r="F57" s="14">
        <v>85846</v>
      </c>
      <c r="G57" s="41">
        <f t="shared" si="0"/>
        <v>273.709</v>
      </c>
      <c r="H57" s="20">
        <f t="shared" si="1"/>
        <v>3.0806427923127044E-2</v>
      </c>
      <c r="I57" s="29">
        <f t="shared" si="2"/>
        <v>2.3580911994081966E-2</v>
      </c>
      <c r="J57" s="14">
        <v>0</v>
      </c>
    </row>
    <row r="58" spans="1:11">
      <c r="A58" s="11" t="s">
        <v>402</v>
      </c>
      <c r="B58" s="13">
        <v>42004</v>
      </c>
      <c r="C58" s="14">
        <v>187522</v>
      </c>
      <c r="D58" s="14">
        <v>84240</v>
      </c>
      <c r="E58" s="14">
        <v>11676</v>
      </c>
      <c r="F58" s="14">
        <v>85575</v>
      </c>
      <c r="G58" s="41">
        <f t="shared" ref="G58:G121" si="3">SUM(C58:F58)/1000</f>
        <v>369.01299999999998</v>
      </c>
      <c r="H58" s="20">
        <f>IFERROR(G58/G54-1, "")</f>
        <v>4.1718068513839635E-2</v>
      </c>
      <c r="I58" s="29">
        <f>IFERROR(IF(H55&lt;&gt;-1, IF(H56&lt;&gt;-1, IF(H57&lt;&gt;-1, IF(H58&lt;&gt;-1, AVERAGE(H55:H58), ""), ""), ""), ""), "")</f>
        <v>2.7133746753766619E-2</v>
      </c>
      <c r="J58" s="14">
        <v>0</v>
      </c>
    </row>
    <row r="59" spans="1:11">
      <c r="A59" s="11" t="s">
        <v>411</v>
      </c>
      <c r="B59" s="13">
        <v>42094</v>
      </c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J59" s="14">
        <v>0</v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>
        <f t="shared" si="4"/>
        <v>-1</v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19" zoomScale="85" zoomScaleNormal="85" workbookViewId="0">
      <selection activeCell="I5" sqref="I5"/>
    </sheetView>
  </sheetViews>
  <sheetFormatPr defaultRowHeight="15"/>
  <cols>
    <col min="1" max="2" width="9.140625" style="16"/>
    <col min="3" max="4" width="9.140625" style="115"/>
    <col min="5" max="6" width="9.140625" style="20"/>
  </cols>
  <sheetData>
    <row r="1" spans="1:16" s="19" customFormat="1">
      <c r="D1" s="114">
        <f ca="1">YEAR(TODAY())</f>
        <v>2015</v>
      </c>
      <c r="G1" s="19" t="s">
        <v>105</v>
      </c>
    </row>
    <row r="2" spans="1:16">
      <c r="C2" s="115" t="s">
        <v>107</v>
      </c>
      <c r="E2" s="20" t="s">
        <v>107</v>
      </c>
      <c r="G2" s="16" t="s">
        <v>106</v>
      </c>
      <c r="H2" s="16"/>
    </row>
    <row r="3" spans="1:16">
      <c r="C3" s="115" t="s">
        <v>108</v>
      </c>
      <c r="D3" s="115" t="s">
        <v>103</v>
      </c>
      <c r="E3" s="20" t="s">
        <v>108</v>
      </c>
      <c r="F3" s="20" t="s">
        <v>103</v>
      </c>
      <c r="G3" s="16" t="s">
        <v>104</v>
      </c>
      <c r="H3" s="16" t="s">
        <v>103</v>
      </c>
    </row>
    <row r="4" spans="1:16">
      <c r="A4" s="22" t="s">
        <v>276</v>
      </c>
      <c r="B4" s="22" t="s">
        <v>358</v>
      </c>
      <c r="C4" s="116"/>
      <c r="D4" s="116"/>
      <c r="E4" s="21" t="s">
        <v>111</v>
      </c>
      <c r="F4" s="21" t="s">
        <v>112</v>
      </c>
      <c r="G4" s="17" t="s">
        <v>109</v>
      </c>
      <c r="H4" s="17" t="s">
        <v>110</v>
      </c>
      <c r="I4" s="111" t="s">
        <v>365</v>
      </c>
    </row>
    <row r="5" spans="1:16">
      <c r="A5" s="16" t="s">
        <v>7</v>
      </c>
      <c r="E5" s="20" t="s">
        <v>115</v>
      </c>
      <c r="F5" s="20" t="s">
        <v>116</v>
      </c>
      <c r="G5" t="s">
        <v>113</v>
      </c>
      <c r="H5" t="s">
        <v>114</v>
      </c>
      <c r="I5" t="s">
        <v>364</v>
      </c>
    </row>
    <row r="6" spans="1:16">
      <c r="A6" s="16" t="s">
        <v>20</v>
      </c>
      <c r="E6" s="20" t="s">
        <v>22</v>
      </c>
      <c r="F6" s="20" t="s">
        <v>22</v>
      </c>
      <c r="G6" t="s">
        <v>22</v>
      </c>
      <c r="H6" t="s">
        <v>22</v>
      </c>
      <c r="I6" t="s">
        <v>357</v>
      </c>
    </row>
    <row r="7" spans="1:16">
      <c r="A7" s="16" t="s">
        <v>24</v>
      </c>
      <c r="E7" s="20" t="s">
        <v>408</v>
      </c>
      <c r="F7" s="20" t="s">
        <v>408</v>
      </c>
      <c r="G7" t="s">
        <v>369</v>
      </c>
      <c r="H7" t="s">
        <v>369</v>
      </c>
      <c r="I7" t="s">
        <v>410</v>
      </c>
    </row>
    <row r="8" spans="1:16">
      <c r="A8" s="16" t="s">
        <v>28</v>
      </c>
      <c r="B8" s="43">
        <v>27395</v>
      </c>
      <c r="C8" s="117" t="e">
        <f ca="1">IF(YEAR($B8)&lt;$D$1-1, #N/A, E8)</f>
        <v>#N/A</v>
      </c>
      <c r="D8" s="117" t="e">
        <f ca="1">IF(YEAR($B8)&lt;$D$1-1, #N/A, F8)</f>
        <v>#N/A</v>
      </c>
      <c r="E8" s="32" t="e">
        <v>#N/A</v>
      </c>
      <c r="F8" s="32" t="e">
        <v>#N/A</v>
      </c>
      <c r="G8" s="44">
        <v>17.327999999999999</v>
      </c>
      <c r="H8" s="44">
        <v>20.634</v>
      </c>
      <c r="I8" s="14">
        <v>1</v>
      </c>
      <c r="J8">
        <f>IFERROR(IF(I8&gt;0, 1, 0), 0)</f>
        <v>1</v>
      </c>
    </row>
    <row r="9" spans="1:16">
      <c r="A9" s="16" t="s">
        <v>29</v>
      </c>
      <c r="B9" s="43">
        <v>27760</v>
      </c>
      <c r="C9" s="117" t="e">
        <f t="shared" ref="C9:C57" ca="1" si="0">IF(YEAR($B9)&lt;$D$1-1, #N/A, E9)</f>
        <v>#N/A</v>
      </c>
      <c r="D9" s="117" t="e">
        <f t="shared" ref="D9:D57" ca="1" si="1">IF(YEAR($B9)&lt;$D$1-1, #N/A, F9)</f>
        <v>#N/A</v>
      </c>
      <c r="E9" s="32" t="e">
        <v>#N/A</v>
      </c>
      <c r="F9" s="32" t="e">
        <v>#N/A</v>
      </c>
      <c r="G9" s="44">
        <v>16.649000000000001</v>
      </c>
      <c r="H9" s="44">
        <v>20.766999999999999</v>
      </c>
      <c r="I9" s="14">
        <v>0</v>
      </c>
      <c r="J9" s="20">
        <f t="shared" ref="J9:J57" si="2">IFERROR(IF(I9&gt;0, 1, 0), 0)</f>
        <v>0</v>
      </c>
    </row>
    <row r="10" spans="1:16">
      <c r="A10" s="16" t="s">
        <v>30</v>
      </c>
      <c r="B10" s="43">
        <v>28126</v>
      </c>
      <c r="C10" s="117" t="e">
        <f t="shared" ca="1" si="0"/>
        <v>#N/A</v>
      </c>
      <c r="D10" s="117" t="e">
        <f t="shared" ca="1" si="1"/>
        <v>#N/A</v>
      </c>
      <c r="E10" s="32" t="e">
        <v>#N/A</v>
      </c>
      <c r="F10" s="32" t="e">
        <v>#N/A</v>
      </c>
      <c r="G10" s="44">
        <v>17.529</v>
      </c>
      <c r="H10" s="44">
        <v>20.175000000000001</v>
      </c>
      <c r="I10" s="14">
        <v>0</v>
      </c>
      <c r="J10" s="20">
        <f t="shared" si="2"/>
        <v>0</v>
      </c>
    </row>
    <row r="11" spans="1:16">
      <c r="A11" s="16" t="s">
        <v>31</v>
      </c>
      <c r="B11" s="43">
        <v>28491</v>
      </c>
      <c r="C11" s="117" t="e">
        <f t="shared" ca="1" si="0"/>
        <v>#N/A</v>
      </c>
      <c r="D11" s="117" t="e">
        <f t="shared" ca="1" si="1"/>
        <v>#N/A</v>
      </c>
      <c r="E11" s="32" t="e">
        <v>#N/A</v>
      </c>
      <c r="F11" s="32" t="e">
        <v>#N/A</v>
      </c>
      <c r="G11" s="44">
        <v>17.538</v>
      </c>
      <c r="H11" s="44">
        <v>20.135999999999999</v>
      </c>
      <c r="I11" s="14">
        <v>0</v>
      </c>
      <c r="J11" s="20">
        <f t="shared" si="2"/>
        <v>0</v>
      </c>
    </row>
    <row r="12" spans="1:16">
      <c r="A12" s="16" t="s">
        <v>32</v>
      </c>
      <c r="B12" s="43">
        <v>28856</v>
      </c>
      <c r="C12" s="117" t="e">
        <f t="shared" ca="1" si="0"/>
        <v>#N/A</v>
      </c>
      <c r="D12" s="117" t="e">
        <f t="shared" ca="1" si="1"/>
        <v>#N/A</v>
      </c>
      <c r="E12" s="32" t="e">
        <v>#N/A</v>
      </c>
      <c r="F12" s="32" t="e">
        <v>#N/A</v>
      </c>
      <c r="G12" s="44">
        <v>18.027000000000001</v>
      </c>
      <c r="H12" s="44">
        <v>19.611999999999998</v>
      </c>
      <c r="I12" s="14">
        <v>0</v>
      </c>
      <c r="J12" s="20">
        <f t="shared" si="2"/>
        <v>0</v>
      </c>
      <c r="K12" s="19"/>
      <c r="L12" s="19"/>
      <c r="M12" s="19"/>
      <c r="N12" s="19"/>
      <c r="O12" s="19"/>
      <c r="P12" s="19"/>
    </row>
    <row r="13" spans="1:16">
      <c r="A13" s="16" t="s">
        <v>33</v>
      </c>
      <c r="B13" s="43">
        <v>29221</v>
      </c>
      <c r="C13" s="117" t="e">
        <f t="shared" ca="1" si="0"/>
        <v>#N/A</v>
      </c>
      <c r="D13" s="117" t="e">
        <f t="shared" ca="1" si="1"/>
        <v>#N/A</v>
      </c>
      <c r="E13" s="32" t="e">
        <v>#N/A</v>
      </c>
      <c r="F13" s="32" t="e">
        <v>#N/A</v>
      </c>
      <c r="G13" s="44">
        <v>18.489999999999998</v>
      </c>
      <c r="H13" s="44">
        <v>21.129000000000001</v>
      </c>
      <c r="I13" s="14">
        <v>2</v>
      </c>
      <c r="J13" s="20">
        <f t="shared" si="2"/>
        <v>1</v>
      </c>
      <c r="K13" s="19"/>
      <c r="L13" s="19"/>
      <c r="M13" s="19"/>
      <c r="N13" s="19"/>
      <c r="O13" s="19"/>
      <c r="P13" s="19"/>
    </row>
    <row r="14" spans="1:16">
      <c r="A14" s="16" t="s">
        <v>34</v>
      </c>
      <c r="B14" s="43">
        <v>29587</v>
      </c>
      <c r="C14" s="117" t="e">
        <f t="shared" ca="1" si="0"/>
        <v>#N/A</v>
      </c>
      <c r="D14" s="117" t="e">
        <f t="shared" ca="1" si="1"/>
        <v>#N/A</v>
      </c>
      <c r="E14" s="32" t="e">
        <v>#N/A</v>
      </c>
      <c r="F14" s="32" t="e">
        <v>#N/A</v>
      </c>
      <c r="G14" s="44">
        <v>19.094999999999999</v>
      </c>
      <c r="H14" s="44">
        <v>21.611000000000001</v>
      </c>
      <c r="I14" s="14">
        <v>1</v>
      </c>
      <c r="J14" s="20">
        <f t="shared" si="2"/>
        <v>1</v>
      </c>
    </row>
    <row r="15" spans="1:16">
      <c r="A15" s="16" t="s">
        <v>35</v>
      </c>
      <c r="B15" s="43">
        <v>29952</v>
      </c>
      <c r="C15" s="117" t="e">
        <f t="shared" ca="1" si="0"/>
        <v>#N/A</v>
      </c>
      <c r="D15" s="117" t="e">
        <f t="shared" ca="1" si="1"/>
        <v>#N/A</v>
      </c>
      <c r="E15" s="32" t="e">
        <v>#N/A</v>
      </c>
      <c r="F15" s="32" t="e">
        <v>#N/A</v>
      </c>
      <c r="G15" s="44">
        <v>18.641999999999999</v>
      </c>
      <c r="H15" s="44">
        <v>22.503</v>
      </c>
      <c r="I15" s="14">
        <v>4</v>
      </c>
      <c r="J15" s="20">
        <f t="shared" si="2"/>
        <v>1</v>
      </c>
    </row>
    <row r="16" spans="1:16">
      <c r="A16" s="16" t="s">
        <v>36</v>
      </c>
      <c r="B16" s="43">
        <v>30317</v>
      </c>
      <c r="C16" s="117" t="e">
        <f t="shared" ca="1" si="0"/>
        <v>#N/A</v>
      </c>
      <c r="D16" s="117" t="e">
        <f t="shared" ca="1" si="1"/>
        <v>#N/A</v>
      </c>
      <c r="E16" s="32" t="e">
        <v>#N/A</v>
      </c>
      <c r="F16" s="32" t="e">
        <v>#N/A</v>
      </c>
      <c r="G16" s="44">
        <v>16.96</v>
      </c>
      <c r="H16" s="44">
        <v>22.827999999999999</v>
      </c>
      <c r="I16" s="14">
        <v>0</v>
      </c>
      <c r="J16" s="20">
        <f t="shared" si="2"/>
        <v>0</v>
      </c>
    </row>
    <row r="17" spans="1:10">
      <c r="A17" s="16" t="s">
        <v>37</v>
      </c>
      <c r="B17" s="43">
        <v>30682</v>
      </c>
      <c r="C17" s="117" t="e">
        <f t="shared" ca="1" si="0"/>
        <v>#N/A</v>
      </c>
      <c r="D17" s="117" t="e">
        <f t="shared" ca="1" si="1"/>
        <v>#N/A</v>
      </c>
      <c r="E17" s="32" t="e">
        <v>#N/A</v>
      </c>
      <c r="F17" s="32" t="e">
        <v>#N/A</v>
      </c>
      <c r="G17" s="44">
        <v>16.86</v>
      </c>
      <c r="H17" s="44">
        <v>21.548999999999999</v>
      </c>
      <c r="I17" s="14">
        <v>0</v>
      </c>
      <c r="J17" s="20">
        <f t="shared" si="2"/>
        <v>0</v>
      </c>
    </row>
    <row r="18" spans="1:10">
      <c r="A18" s="16" t="s">
        <v>38</v>
      </c>
      <c r="B18" s="43">
        <v>31048</v>
      </c>
      <c r="C18" s="117" t="e">
        <f t="shared" ca="1" si="0"/>
        <v>#N/A</v>
      </c>
      <c r="D18" s="117" t="e">
        <f t="shared" ca="1" si="1"/>
        <v>#N/A</v>
      </c>
      <c r="E18" s="32" t="e">
        <v>#N/A</v>
      </c>
      <c r="F18" s="32" t="e">
        <v>#N/A</v>
      </c>
      <c r="G18" s="44">
        <v>17.189</v>
      </c>
      <c r="H18" s="44">
        <v>22.161000000000001</v>
      </c>
      <c r="I18" s="14">
        <v>0</v>
      </c>
      <c r="J18" s="20">
        <f t="shared" si="2"/>
        <v>0</v>
      </c>
    </row>
    <row r="19" spans="1:10">
      <c r="A19" s="16" t="s">
        <v>39</v>
      </c>
      <c r="B19" s="43">
        <v>31413</v>
      </c>
      <c r="C19" s="117" t="e">
        <f t="shared" ca="1" si="0"/>
        <v>#N/A</v>
      </c>
      <c r="D19" s="117" t="e">
        <f t="shared" ca="1" si="1"/>
        <v>#N/A</v>
      </c>
      <c r="E19" s="32" t="e">
        <v>#N/A</v>
      </c>
      <c r="F19" s="32" t="e">
        <v>#N/A</v>
      </c>
      <c r="G19" s="44">
        <v>16.956</v>
      </c>
      <c r="H19" s="44">
        <v>21.834</v>
      </c>
      <c r="I19" s="14">
        <v>0</v>
      </c>
      <c r="J19" s="20">
        <f t="shared" si="2"/>
        <v>0</v>
      </c>
    </row>
    <row r="20" spans="1:10">
      <c r="A20" s="16" t="s">
        <v>40</v>
      </c>
      <c r="B20" s="43">
        <v>31778</v>
      </c>
      <c r="C20" s="117" t="e">
        <f t="shared" ca="1" si="0"/>
        <v>#N/A</v>
      </c>
      <c r="D20" s="117" t="e">
        <f t="shared" ca="1" si="1"/>
        <v>#N/A</v>
      </c>
      <c r="E20" s="32" t="e">
        <v>#N/A</v>
      </c>
      <c r="F20" s="32" t="e">
        <v>#N/A</v>
      </c>
      <c r="G20" s="44">
        <v>17.864999999999998</v>
      </c>
      <c r="H20" s="44">
        <v>20.995999999999999</v>
      </c>
      <c r="I20" s="14">
        <v>0</v>
      </c>
      <c r="J20" s="20">
        <f t="shared" si="2"/>
        <v>0</v>
      </c>
    </row>
    <row r="21" spans="1:10">
      <c r="A21" s="16" t="s">
        <v>41</v>
      </c>
      <c r="B21" s="43">
        <v>32143</v>
      </c>
      <c r="C21" s="117" t="e">
        <f t="shared" ca="1" si="0"/>
        <v>#N/A</v>
      </c>
      <c r="D21" s="117" t="e">
        <f t="shared" ca="1" si="1"/>
        <v>#N/A</v>
      </c>
      <c r="E21" s="32" t="e">
        <v>#N/A</v>
      </c>
      <c r="F21" s="32" t="e">
        <v>#N/A</v>
      </c>
      <c r="G21" s="44">
        <v>17.638000000000002</v>
      </c>
      <c r="H21" s="44">
        <v>20.648</v>
      </c>
      <c r="I21" s="14">
        <v>0</v>
      </c>
      <c r="J21" s="20">
        <f t="shared" si="2"/>
        <v>0</v>
      </c>
    </row>
    <row r="22" spans="1:10">
      <c r="A22" s="16" t="s">
        <v>42</v>
      </c>
      <c r="B22" s="43">
        <v>32509</v>
      </c>
      <c r="C22" s="117" t="e">
        <f t="shared" ca="1" si="0"/>
        <v>#N/A</v>
      </c>
      <c r="D22" s="117" t="e">
        <f t="shared" ca="1" si="1"/>
        <v>#N/A</v>
      </c>
      <c r="E22" s="32" t="e">
        <v>#N/A</v>
      </c>
      <c r="F22" s="32" t="e">
        <v>#N/A</v>
      </c>
      <c r="G22" s="44">
        <v>17.794</v>
      </c>
      <c r="H22" s="44">
        <v>20.533999999999999</v>
      </c>
      <c r="I22" s="14">
        <v>0</v>
      </c>
      <c r="J22" s="20">
        <f t="shared" si="2"/>
        <v>0</v>
      </c>
    </row>
    <row r="23" spans="1:10">
      <c r="A23" s="16" t="s">
        <v>43</v>
      </c>
      <c r="B23" s="43">
        <v>32874</v>
      </c>
      <c r="C23" s="117" t="e">
        <f t="shared" ca="1" si="0"/>
        <v>#N/A</v>
      </c>
      <c r="D23" s="117" t="e">
        <f t="shared" ca="1" si="1"/>
        <v>#N/A</v>
      </c>
      <c r="E23" s="32" t="e">
        <v>#N/A</v>
      </c>
      <c r="F23" s="32" t="e">
        <v>#N/A</v>
      </c>
      <c r="G23" s="44">
        <v>17.448</v>
      </c>
      <c r="H23" s="44">
        <v>21.184999999999999</v>
      </c>
      <c r="I23" s="14">
        <v>1</v>
      </c>
      <c r="J23" s="20">
        <f t="shared" si="2"/>
        <v>1</v>
      </c>
    </row>
    <row r="24" spans="1:10">
      <c r="A24" s="16" t="s">
        <v>44</v>
      </c>
      <c r="B24" s="43">
        <v>33239</v>
      </c>
      <c r="C24" s="117" t="e">
        <f t="shared" ca="1" si="0"/>
        <v>#N/A</v>
      </c>
      <c r="D24" s="117" t="e">
        <f t="shared" ca="1" si="1"/>
        <v>#N/A</v>
      </c>
      <c r="E24" s="32" t="e">
        <v>#N/A</v>
      </c>
      <c r="F24" s="32" t="e">
        <v>#N/A</v>
      </c>
      <c r="G24" s="44">
        <v>17.265999999999998</v>
      </c>
      <c r="H24" s="44">
        <v>21.672999999999998</v>
      </c>
      <c r="I24" s="14">
        <v>1</v>
      </c>
      <c r="J24" s="20">
        <f t="shared" si="2"/>
        <v>1</v>
      </c>
    </row>
    <row r="25" spans="1:10">
      <c r="A25" s="16" t="s">
        <v>45</v>
      </c>
      <c r="B25" s="43">
        <v>33604</v>
      </c>
      <c r="C25" s="117" t="e">
        <f t="shared" ca="1" si="0"/>
        <v>#N/A</v>
      </c>
      <c r="D25" s="117" t="e">
        <f t="shared" ca="1" si="1"/>
        <v>#N/A</v>
      </c>
      <c r="E25" s="32" t="e">
        <v>#N/A</v>
      </c>
      <c r="F25" s="32" t="e">
        <v>#N/A</v>
      </c>
      <c r="G25" s="44">
        <v>16.957999999999998</v>
      </c>
      <c r="H25" s="44">
        <v>21.47</v>
      </c>
      <c r="I25" s="14">
        <v>0</v>
      </c>
      <c r="J25" s="20">
        <f t="shared" si="2"/>
        <v>0</v>
      </c>
    </row>
    <row r="26" spans="1:10">
      <c r="A26" s="16" t="s">
        <v>46</v>
      </c>
      <c r="B26" s="43">
        <v>33970</v>
      </c>
      <c r="C26" s="117" t="e">
        <f t="shared" ca="1" si="0"/>
        <v>#N/A</v>
      </c>
      <c r="D26" s="117" t="e">
        <f t="shared" ca="1" si="1"/>
        <v>#N/A</v>
      </c>
      <c r="E26" s="32" t="e">
        <v>#N/A</v>
      </c>
      <c r="F26" s="32" t="e">
        <v>#N/A</v>
      </c>
      <c r="G26" s="44">
        <v>16.988</v>
      </c>
      <c r="H26" s="44">
        <v>20.742000000000001</v>
      </c>
      <c r="I26" s="14">
        <v>0</v>
      </c>
      <c r="J26" s="20">
        <f t="shared" si="2"/>
        <v>0</v>
      </c>
    </row>
    <row r="27" spans="1:10">
      <c r="A27" s="16" t="s">
        <v>47</v>
      </c>
      <c r="B27" s="43">
        <v>34335</v>
      </c>
      <c r="C27" s="117" t="e">
        <f t="shared" ca="1" si="0"/>
        <v>#N/A</v>
      </c>
      <c r="D27" s="117" t="e">
        <f t="shared" ca="1" si="1"/>
        <v>#N/A</v>
      </c>
      <c r="E27" s="32" t="e">
        <v>#N/A</v>
      </c>
      <c r="F27" s="32" t="e">
        <v>#N/A</v>
      </c>
      <c r="G27" s="44">
        <v>17.484999999999999</v>
      </c>
      <c r="H27" s="44">
        <v>20.308</v>
      </c>
      <c r="I27" s="14">
        <v>0</v>
      </c>
      <c r="J27" s="20">
        <f t="shared" si="2"/>
        <v>0</v>
      </c>
    </row>
    <row r="28" spans="1:10">
      <c r="A28" s="16" t="s">
        <v>48</v>
      </c>
      <c r="B28" s="43">
        <v>34700</v>
      </c>
      <c r="C28" s="117" t="e">
        <f t="shared" ca="1" si="0"/>
        <v>#N/A</v>
      </c>
      <c r="D28" s="117" t="e">
        <f t="shared" ca="1" si="1"/>
        <v>#N/A</v>
      </c>
      <c r="E28" s="32" t="e">
        <v>#N/A</v>
      </c>
      <c r="F28" s="32" t="e">
        <v>#N/A</v>
      </c>
      <c r="G28" s="44">
        <v>17.826000000000001</v>
      </c>
      <c r="H28" s="44">
        <v>19.988</v>
      </c>
      <c r="I28" s="14">
        <v>0</v>
      </c>
      <c r="J28" s="20">
        <f t="shared" si="2"/>
        <v>0</v>
      </c>
    </row>
    <row r="29" spans="1:10">
      <c r="A29" s="16" t="s">
        <v>49</v>
      </c>
      <c r="B29" s="43">
        <v>35065</v>
      </c>
      <c r="C29" s="117" t="e">
        <f t="shared" ca="1" si="0"/>
        <v>#N/A</v>
      </c>
      <c r="D29" s="117" t="e">
        <f t="shared" ca="1" si="1"/>
        <v>#N/A</v>
      </c>
      <c r="E29" s="32" t="e">
        <v>#N/A</v>
      </c>
      <c r="F29" s="32" t="e">
        <v>#N/A</v>
      </c>
      <c r="G29" s="44">
        <v>18.213000000000001</v>
      </c>
      <c r="H29" s="44">
        <v>19.559000000000001</v>
      </c>
      <c r="I29" s="14">
        <v>0</v>
      </c>
      <c r="J29" s="20">
        <f t="shared" si="2"/>
        <v>0</v>
      </c>
    </row>
    <row r="30" spans="1:10">
      <c r="A30" s="16" t="s">
        <v>50</v>
      </c>
      <c r="B30" s="43">
        <v>35431</v>
      </c>
      <c r="C30" s="117" t="e">
        <f t="shared" ca="1" si="0"/>
        <v>#N/A</v>
      </c>
      <c r="D30" s="117" t="e">
        <f t="shared" ca="1" si="1"/>
        <v>#N/A</v>
      </c>
      <c r="E30" s="32" t="e">
        <v>#N/A</v>
      </c>
      <c r="F30" s="32" t="e">
        <v>#N/A</v>
      </c>
      <c r="G30" s="44">
        <v>18.616</v>
      </c>
      <c r="H30" s="44">
        <v>18.873999999999999</v>
      </c>
      <c r="I30" s="14">
        <v>0</v>
      </c>
      <c r="J30" s="20">
        <f t="shared" si="2"/>
        <v>0</v>
      </c>
    </row>
    <row r="31" spans="1:10">
      <c r="A31" s="16" t="s">
        <v>51</v>
      </c>
      <c r="B31" s="43">
        <v>35796</v>
      </c>
      <c r="C31" s="117" t="e">
        <f t="shared" ca="1" si="0"/>
        <v>#N/A</v>
      </c>
      <c r="D31" s="117" t="e">
        <f t="shared" ca="1" si="1"/>
        <v>#N/A</v>
      </c>
      <c r="E31" s="32" t="e">
        <v>#N/A</v>
      </c>
      <c r="F31" s="32" t="e">
        <v>#N/A</v>
      </c>
      <c r="G31" s="44">
        <v>19.227</v>
      </c>
      <c r="H31" s="44">
        <v>18.452999999999999</v>
      </c>
      <c r="I31" s="14">
        <v>0</v>
      </c>
      <c r="J31" s="20">
        <f t="shared" si="2"/>
        <v>0</v>
      </c>
    </row>
    <row r="32" spans="1:10">
      <c r="A32" s="16" t="s">
        <v>52</v>
      </c>
      <c r="B32" s="43">
        <v>36161</v>
      </c>
      <c r="C32" s="117" t="e">
        <f t="shared" ca="1" si="0"/>
        <v>#N/A</v>
      </c>
      <c r="D32" s="117" t="e">
        <f t="shared" ca="1" si="1"/>
        <v>#N/A</v>
      </c>
      <c r="E32" s="32" t="e">
        <v>#N/A</v>
      </c>
      <c r="F32" s="32" t="e">
        <v>#N/A</v>
      </c>
      <c r="G32" s="44">
        <v>19.215</v>
      </c>
      <c r="H32" s="44">
        <v>17.893999999999998</v>
      </c>
      <c r="I32" s="14">
        <v>0</v>
      </c>
      <c r="J32" s="20">
        <f t="shared" si="2"/>
        <v>0</v>
      </c>
    </row>
    <row r="33" spans="1:10">
      <c r="A33" s="16" t="s">
        <v>53</v>
      </c>
      <c r="B33" s="43">
        <v>36526</v>
      </c>
      <c r="C33" s="117" t="e">
        <f t="shared" ca="1" si="0"/>
        <v>#N/A</v>
      </c>
      <c r="D33" s="117" t="e">
        <f t="shared" ca="1" si="1"/>
        <v>#N/A</v>
      </c>
      <c r="E33" s="32" t="e">
        <v>#N/A</v>
      </c>
      <c r="F33" s="32" t="e">
        <v>#N/A</v>
      </c>
      <c r="G33" s="44">
        <v>19.956</v>
      </c>
      <c r="H33" s="44">
        <v>17.628</v>
      </c>
      <c r="I33" s="14">
        <v>0</v>
      </c>
      <c r="J33" s="20">
        <f t="shared" si="2"/>
        <v>0</v>
      </c>
    </row>
    <row r="34" spans="1:10">
      <c r="A34" s="16" t="s">
        <v>54</v>
      </c>
      <c r="B34" s="43">
        <v>36892</v>
      </c>
      <c r="C34" s="117" t="e">
        <f t="shared" ca="1" si="0"/>
        <v>#N/A</v>
      </c>
      <c r="D34" s="117" t="e">
        <f t="shared" ca="1" si="1"/>
        <v>#N/A</v>
      </c>
      <c r="E34" s="32" t="e">
        <v>#N/A</v>
      </c>
      <c r="F34" s="32" t="e">
        <v>#N/A</v>
      </c>
      <c r="G34" s="44">
        <v>18.847000000000001</v>
      </c>
      <c r="H34" s="44">
        <v>17.632999999999999</v>
      </c>
      <c r="I34" s="14">
        <v>3</v>
      </c>
      <c r="J34" s="20">
        <f t="shared" si="2"/>
        <v>1</v>
      </c>
    </row>
    <row r="35" spans="1:10">
      <c r="A35" s="16" t="s">
        <v>55</v>
      </c>
      <c r="B35" s="43">
        <v>37257</v>
      </c>
      <c r="C35" s="117" t="e">
        <f t="shared" ca="1" si="0"/>
        <v>#N/A</v>
      </c>
      <c r="D35" s="117" t="e">
        <f t="shared" ca="1" si="1"/>
        <v>#N/A</v>
      </c>
      <c r="E35" s="32" t="e">
        <v>#N/A</v>
      </c>
      <c r="F35" s="32" t="e">
        <v>#N/A</v>
      </c>
      <c r="G35" s="44">
        <v>17.036999999999999</v>
      </c>
      <c r="H35" s="44">
        <v>18.488</v>
      </c>
      <c r="I35" s="14">
        <v>0</v>
      </c>
      <c r="J35" s="20">
        <f t="shared" si="2"/>
        <v>0</v>
      </c>
    </row>
    <row r="36" spans="1:10">
      <c r="A36" s="16" t="s">
        <v>56</v>
      </c>
      <c r="B36" s="43">
        <v>37622</v>
      </c>
      <c r="C36" s="117" t="e">
        <f t="shared" ca="1" si="0"/>
        <v>#N/A</v>
      </c>
      <c r="D36" s="117" t="e">
        <f t="shared" ca="1" si="1"/>
        <v>#N/A</v>
      </c>
      <c r="E36" s="32" t="e">
        <v>#N/A</v>
      </c>
      <c r="F36" s="32" t="e">
        <v>#N/A</v>
      </c>
      <c r="G36" s="44">
        <v>15.728</v>
      </c>
      <c r="H36" s="44">
        <v>19.059000000000001</v>
      </c>
      <c r="I36" s="14">
        <v>0</v>
      </c>
      <c r="J36" s="20">
        <f t="shared" si="2"/>
        <v>0</v>
      </c>
    </row>
    <row r="37" spans="1:10">
      <c r="A37" s="16" t="s">
        <v>57</v>
      </c>
      <c r="B37" s="43">
        <v>37987</v>
      </c>
      <c r="C37" s="117" t="e">
        <f t="shared" ca="1" si="0"/>
        <v>#N/A</v>
      </c>
      <c r="D37" s="117" t="e">
        <f t="shared" ca="1" si="1"/>
        <v>#N/A</v>
      </c>
      <c r="E37" s="32" t="e">
        <v>#N/A</v>
      </c>
      <c r="F37" s="32" t="e">
        <v>#N/A</v>
      </c>
      <c r="G37" s="44">
        <v>15.553000000000001</v>
      </c>
      <c r="H37" s="44">
        <v>18.966999999999999</v>
      </c>
      <c r="I37" s="14">
        <v>0</v>
      </c>
      <c r="J37" s="20">
        <f t="shared" si="2"/>
        <v>0</v>
      </c>
    </row>
    <row r="38" spans="1:10">
      <c r="A38" s="16" t="s">
        <v>58</v>
      </c>
      <c r="B38" s="43">
        <v>38353</v>
      </c>
      <c r="C38" s="117" t="e">
        <f t="shared" ca="1" si="0"/>
        <v>#N/A</v>
      </c>
      <c r="D38" s="117" t="e">
        <f t="shared" ca="1" si="1"/>
        <v>#N/A</v>
      </c>
      <c r="E38" s="32" t="e">
        <v>#N/A</v>
      </c>
      <c r="F38" s="32" t="e">
        <v>#N/A</v>
      </c>
      <c r="G38" s="44">
        <v>16.709</v>
      </c>
      <c r="H38" s="44">
        <v>19.178999999999998</v>
      </c>
      <c r="I38" s="14">
        <v>0</v>
      </c>
      <c r="J38" s="20">
        <f t="shared" si="2"/>
        <v>0</v>
      </c>
    </row>
    <row r="39" spans="1:10">
      <c r="A39" s="16" t="s">
        <v>59</v>
      </c>
      <c r="B39" s="43">
        <v>38718</v>
      </c>
      <c r="C39" s="117" t="e">
        <f t="shared" ca="1" si="0"/>
        <v>#N/A</v>
      </c>
      <c r="D39" s="117" t="e">
        <f t="shared" ca="1" si="1"/>
        <v>#N/A</v>
      </c>
      <c r="E39" s="32" t="e">
        <v>#N/A</v>
      </c>
      <c r="F39" s="32" t="e">
        <v>#N/A</v>
      </c>
      <c r="G39" s="44">
        <v>17.588000000000001</v>
      </c>
      <c r="H39" s="44">
        <v>19.402000000000001</v>
      </c>
      <c r="I39" s="14">
        <v>0</v>
      </c>
      <c r="J39" s="20">
        <f t="shared" si="2"/>
        <v>0</v>
      </c>
    </row>
    <row r="40" spans="1:10">
      <c r="A40" s="16" t="s">
        <v>60</v>
      </c>
      <c r="B40" s="43">
        <v>39083</v>
      </c>
      <c r="C40" s="117" t="e">
        <f t="shared" ca="1" si="0"/>
        <v>#N/A</v>
      </c>
      <c r="D40" s="117" t="e">
        <f t="shared" ca="1" si="1"/>
        <v>#N/A</v>
      </c>
      <c r="E40" s="32" t="e">
        <v>#N/A</v>
      </c>
      <c r="F40" s="32" t="e">
        <v>#N/A</v>
      </c>
      <c r="G40" s="44">
        <v>17.928999999999998</v>
      </c>
      <c r="H40" s="44">
        <v>19.050999999999998</v>
      </c>
      <c r="I40" s="14">
        <v>0</v>
      </c>
      <c r="J40" s="20">
        <f t="shared" si="2"/>
        <v>0</v>
      </c>
    </row>
    <row r="41" spans="1:10">
      <c r="A41" s="16" t="s">
        <v>61</v>
      </c>
      <c r="B41" s="43">
        <v>39448</v>
      </c>
      <c r="C41" s="117" t="e">
        <f t="shared" ca="1" si="0"/>
        <v>#N/A</v>
      </c>
      <c r="D41" s="117" t="e">
        <f t="shared" ca="1" si="1"/>
        <v>#N/A</v>
      </c>
      <c r="E41" s="32" t="e">
        <v>#N/A</v>
      </c>
      <c r="F41" s="32" t="e">
        <v>#N/A</v>
      </c>
      <c r="G41" s="44">
        <v>17.109000000000002</v>
      </c>
      <c r="H41" s="44">
        <v>20.216999999999999</v>
      </c>
      <c r="I41" s="14">
        <v>4</v>
      </c>
      <c r="J41" s="20">
        <f t="shared" si="2"/>
        <v>1</v>
      </c>
    </row>
    <row r="42" spans="1:10">
      <c r="A42" s="16" t="s">
        <v>62</v>
      </c>
      <c r="B42" s="43">
        <v>39814</v>
      </c>
      <c r="C42" s="117" t="e">
        <f t="shared" ca="1" si="0"/>
        <v>#N/A</v>
      </c>
      <c r="D42" s="117" t="e">
        <f t="shared" ca="1" si="1"/>
        <v>#N/A</v>
      </c>
      <c r="E42" s="32" t="e">
        <v>#N/A</v>
      </c>
      <c r="F42" s="32" t="e">
        <v>#N/A</v>
      </c>
      <c r="G42" s="44">
        <v>14.603</v>
      </c>
      <c r="H42" s="44">
        <v>24.404</v>
      </c>
      <c r="I42" s="14">
        <v>2</v>
      </c>
      <c r="J42" s="20">
        <f t="shared" si="2"/>
        <v>1</v>
      </c>
    </row>
    <row r="43" spans="1:10">
      <c r="A43" s="16" t="s">
        <v>63</v>
      </c>
      <c r="B43" s="43">
        <v>40179</v>
      </c>
      <c r="C43" s="117" t="e">
        <f t="shared" ca="1" si="0"/>
        <v>#N/A</v>
      </c>
      <c r="D43" s="117" t="e">
        <f t="shared" ca="1" si="1"/>
        <v>#N/A</v>
      </c>
      <c r="E43" s="32" t="e">
        <v>#N/A</v>
      </c>
      <c r="F43" s="32" t="e">
        <v>#N/A</v>
      </c>
      <c r="G43" s="44">
        <v>14.614000000000001</v>
      </c>
      <c r="H43" s="44">
        <v>23.361000000000001</v>
      </c>
      <c r="I43" s="14">
        <v>0</v>
      </c>
      <c r="J43" s="20">
        <f t="shared" si="2"/>
        <v>0</v>
      </c>
    </row>
    <row r="44" spans="1:10">
      <c r="A44" s="16" t="s">
        <v>64</v>
      </c>
      <c r="B44" s="43">
        <v>40544</v>
      </c>
      <c r="C44" s="117" t="e">
        <f t="shared" ca="1" si="0"/>
        <v>#N/A</v>
      </c>
      <c r="D44" s="117" t="e">
        <f t="shared" ca="1" si="1"/>
        <v>#N/A</v>
      </c>
      <c r="E44" s="32" t="e">
        <v>#N/A</v>
      </c>
      <c r="F44" s="32" t="e">
        <v>#N/A</v>
      </c>
      <c r="G44" s="44">
        <v>14.978</v>
      </c>
      <c r="H44" s="44">
        <v>23.428000000000001</v>
      </c>
      <c r="I44" s="14">
        <v>0</v>
      </c>
      <c r="J44" s="20">
        <f t="shared" si="2"/>
        <v>0</v>
      </c>
    </row>
    <row r="45" spans="1:10">
      <c r="A45" s="16" t="s">
        <v>65</v>
      </c>
      <c r="B45" s="43">
        <v>40909</v>
      </c>
      <c r="C45" s="117" t="e">
        <f t="shared" ca="1" si="0"/>
        <v>#N/A</v>
      </c>
      <c r="D45" s="117" t="e">
        <f t="shared" ca="1" si="1"/>
        <v>#N/A</v>
      </c>
      <c r="E45" s="32">
        <v>15.2</v>
      </c>
      <c r="F45" s="32">
        <v>22</v>
      </c>
      <c r="G45" s="44">
        <v>15.287000000000001</v>
      </c>
      <c r="H45" s="44">
        <v>22.07</v>
      </c>
      <c r="I45" s="14">
        <v>0</v>
      </c>
      <c r="J45" s="20">
        <f t="shared" si="2"/>
        <v>0</v>
      </c>
    </row>
    <row r="46" spans="1:10">
      <c r="A46" s="16" t="s">
        <v>66</v>
      </c>
      <c r="B46" s="43">
        <v>41275</v>
      </c>
      <c r="C46" s="117" t="e">
        <f t="shared" ca="1" si="0"/>
        <v>#N/A</v>
      </c>
      <c r="D46" s="117" t="e">
        <f t="shared" ca="1" si="1"/>
        <v>#N/A</v>
      </c>
      <c r="E46" s="32">
        <v>16.7</v>
      </c>
      <c r="F46" s="32">
        <v>20.8</v>
      </c>
      <c r="G46" s="44">
        <v>16.736000000000001</v>
      </c>
      <c r="H46" s="44">
        <v>20.834</v>
      </c>
      <c r="I46" s="14">
        <v>0</v>
      </c>
      <c r="J46" s="20">
        <f t="shared" si="2"/>
        <v>0</v>
      </c>
    </row>
    <row r="47" spans="1:10">
      <c r="A47" s="16" t="s">
        <v>67</v>
      </c>
      <c r="B47" s="43">
        <v>41640</v>
      </c>
      <c r="C47" s="117">
        <f t="shared" ca="1" si="0"/>
        <v>17.5</v>
      </c>
      <c r="D47" s="117">
        <f t="shared" ca="1" si="1"/>
        <v>20.3</v>
      </c>
      <c r="E47" s="32">
        <v>17.5</v>
      </c>
      <c r="F47" s="32">
        <v>20.3</v>
      </c>
      <c r="G47" s="44">
        <v>17.510999999999999</v>
      </c>
      <c r="H47" s="44">
        <v>20.312000000000001</v>
      </c>
      <c r="I47" s="14">
        <v>0</v>
      </c>
      <c r="J47" s="20">
        <f t="shared" si="2"/>
        <v>0</v>
      </c>
    </row>
    <row r="48" spans="1:10">
      <c r="A48" s="16" t="s">
        <v>68</v>
      </c>
      <c r="B48" s="43">
        <v>42005</v>
      </c>
      <c r="C48" s="117">
        <f t="shared" ca="1" si="0"/>
        <v>17.7</v>
      </c>
      <c r="D48" s="117">
        <f t="shared" ca="1" si="1"/>
        <v>20.399999999999999</v>
      </c>
      <c r="E48" s="32">
        <v>17.7</v>
      </c>
      <c r="F48" s="32">
        <v>20.399999999999999</v>
      </c>
      <c r="G48" s="44" t="e">
        <v>#N/A</v>
      </c>
      <c r="H48" s="44" t="e">
        <v>#N/A</v>
      </c>
      <c r="I48" s="14">
        <v>0</v>
      </c>
      <c r="J48" s="20">
        <f t="shared" si="2"/>
        <v>0</v>
      </c>
    </row>
    <row r="49" spans="1:10">
      <c r="A49" s="16" t="s">
        <v>69</v>
      </c>
      <c r="B49" s="43">
        <v>42370</v>
      </c>
      <c r="C49" s="117">
        <f t="shared" ca="1" si="0"/>
        <v>18.399999999999999</v>
      </c>
      <c r="D49" s="117">
        <f t="shared" ca="1" si="1"/>
        <v>20.8</v>
      </c>
      <c r="E49" s="32">
        <v>18.399999999999999</v>
      </c>
      <c r="F49" s="32">
        <v>20.8</v>
      </c>
      <c r="G49" s="44" t="e">
        <v>#N/A</v>
      </c>
      <c r="H49" s="44" t="e">
        <v>#N/A</v>
      </c>
      <c r="I49" s="14" t="e">
        <v>#N/A</v>
      </c>
      <c r="J49" s="20">
        <f t="shared" si="2"/>
        <v>0</v>
      </c>
    </row>
    <row r="50" spans="1:10">
      <c r="A50" s="16" t="s">
        <v>70</v>
      </c>
      <c r="B50" s="43">
        <v>42736</v>
      </c>
      <c r="C50" s="117">
        <f t="shared" ca="1" si="0"/>
        <v>18.3</v>
      </c>
      <c r="D50" s="117">
        <f t="shared" ca="1" si="1"/>
        <v>20.6</v>
      </c>
      <c r="E50" s="32">
        <v>18.3</v>
      </c>
      <c r="F50" s="32">
        <v>20.6</v>
      </c>
      <c r="G50" s="44" t="e">
        <v>#N/A</v>
      </c>
      <c r="H50" s="44" t="e">
        <v>#N/A</v>
      </c>
      <c r="I50" s="14" t="e">
        <v>#N/A</v>
      </c>
      <c r="J50" s="20">
        <f t="shared" si="2"/>
        <v>0</v>
      </c>
    </row>
    <row r="51" spans="1:10">
      <c r="A51" s="16" t="s">
        <v>71</v>
      </c>
      <c r="B51" s="43">
        <v>43101</v>
      </c>
      <c r="C51" s="117">
        <f t="shared" ca="1" si="0"/>
        <v>18.100000000000001</v>
      </c>
      <c r="D51" s="117">
        <f t="shared" ca="1" si="1"/>
        <v>20.5</v>
      </c>
      <c r="E51" s="32">
        <v>18.100000000000001</v>
      </c>
      <c r="F51" s="32">
        <v>20.5</v>
      </c>
      <c r="G51" s="44" t="e">
        <v>#N/A</v>
      </c>
      <c r="H51" s="44" t="e">
        <v>#N/A</v>
      </c>
      <c r="I51" s="14" t="e">
        <v>#N/A</v>
      </c>
      <c r="J51" s="20">
        <f t="shared" si="2"/>
        <v>0</v>
      </c>
    </row>
    <row r="52" spans="1:10">
      <c r="A52" s="16" t="s">
        <v>72</v>
      </c>
      <c r="B52" s="43">
        <v>43466</v>
      </c>
      <c r="C52" s="117">
        <f t="shared" ca="1" si="0"/>
        <v>18.100000000000001</v>
      </c>
      <c r="D52" s="117">
        <f t="shared" ca="1" si="1"/>
        <v>20.9</v>
      </c>
      <c r="E52" s="32">
        <v>18.100000000000001</v>
      </c>
      <c r="F52" s="32">
        <v>20.9</v>
      </c>
      <c r="G52" s="44" t="e">
        <v>#N/A</v>
      </c>
      <c r="H52" s="44" t="e">
        <v>#N/A</v>
      </c>
      <c r="I52" s="14" t="e">
        <v>#N/A</v>
      </c>
      <c r="J52" s="20">
        <f t="shared" si="2"/>
        <v>0</v>
      </c>
    </row>
    <row r="53" spans="1:10">
      <c r="A53" s="16" t="s">
        <v>73</v>
      </c>
      <c r="B53" s="43">
        <v>43831</v>
      </c>
      <c r="C53" s="117">
        <f t="shared" ca="1" si="0"/>
        <v>18.100000000000001</v>
      </c>
      <c r="D53" s="117">
        <f t="shared" ca="1" si="1"/>
        <v>21.2</v>
      </c>
      <c r="E53" s="32">
        <v>18.100000000000001</v>
      </c>
      <c r="F53" s="32">
        <v>21.2</v>
      </c>
      <c r="G53" s="44" t="e">
        <v>#N/A</v>
      </c>
      <c r="H53" s="44" t="e">
        <v>#N/A</v>
      </c>
      <c r="I53" s="14" t="e">
        <v>#N/A</v>
      </c>
      <c r="J53" s="20">
        <f t="shared" si="2"/>
        <v>0</v>
      </c>
    </row>
    <row r="54" spans="1:10">
      <c r="A54" s="16" t="s">
        <v>74</v>
      </c>
      <c r="B54" s="43">
        <v>44197</v>
      </c>
      <c r="C54" s="117">
        <f t="shared" ca="1" si="0"/>
        <v>18.100000000000001</v>
      </c>
      <c r="D54" s="117">
        <f t="shared" ca="1" si="1"/>
        <v>21.4</v>
      </c>
      <c r="E54" s="32">
        <v>18.100000000000001</v>
      </c>
      <c r="F54" s="32">
        <v>21.4</v>
      </c>
      <c r="G54" s="44" t="e">
        <v>#N/A</v>
      </c>
      <c r="H54" s="44" t="e">
        <v>#N/A</v>
      </c>
      <c r="I54" s="14" t="e">
        <v>#N/A</v>
      </c>
      <c r="J54" s="20">
        <f t="shared" si="2"/>
        <v>0</v>
      </c>
    </row>
    <row r="55" spans="1:10">
      <c r="A55" s="16" t="s">
        <v>75</v>
      </c>
      <c r="B55" s="43">
        <v>44562</v>
      </c>
      <c r="C55" s="117">
        <f t="shared" ca="1" si="0"/>
        <v>18.100000000000001</v>
      </c>
      <c r="D55" s="117">
        <f t="shared" ca="1" si="1"/>
        <v>21.8</v>
      </c>
      <c r="E55" s="32">
        <v>18.100000000000001</v>
      </c>
      <c r="F55" s="32">
        <v>21.8</v>
      </c>
      <c r="G55" s="44" t="e">
        <v>#N/A</v>
      </c>
      <c r="H55" s="44" t="e">
        <v>#N/A</v>
      </c>
      <c r="I55" s="14" t="e">
        <v>#N/A</v>
      </c>
      <c r="J55" s="20">
        <f t="shared" si="2"/>
        <v>0</v>
      </c>
    </row>
    <row r="56" spans="1:10">
      <c r="A56" s="16" t="s">
        <v>76</v>
      </c>
      <c r="B56" s="43">
        <v>44927</v>
      </c>
      <c r="C56" s="117">
        <f t="shared" ca="1" si="0"/>
        <v>18.2</v>
      </c>
      <c r="D56" s="117">
        <f t="shared" ca="1" si="1"/>
        <v>21.8</v>
      </c>
      <c r="E56" s="32">
        <v>18.2</v>
      </c>
      <c r="F56" s="32">
        <v>21.8</v>
      </c>
      <c r="G56" s="44" t="e">
        <v>#N/A</v>
      </c>
      <c r="H56" s="44" t="e">
        <v>#N/A</v>
      </c>
      <c r="I56" s="14" t="e">
        <v>#N/A</v>
      </c>
      <c r="J56" s="20">
        <f t="shared" si="2"/>
        <v>0</v>
      </c>
    </row>
    <row r="57" spans="1:10">
      <c r="A57" s="16" t="s">
        <v>77</v>
      </c>
      <c r="B57" s="43">
        <v>45292</v>
      </c>
      <c r="C57" s="117">
        <f t="shared" ca="1" si="0"/>
        <v>18.2</v>
      </c>
      <c r="D57" s="117">
        <f t="shared" ca="1" si="1"/>
        <v>21.7</v>
      </c>
      <c r="E57" s="32">
        <v>18.2</v>
      </c>
      <c r="F57" s="32">
        <v>21.7</v>
      </c>
      <c r="G57" s="44" t="e">
        <v>#N/A</v>
      </c>
      <c r="H57" s="44" t="e">
        <v>#N/A</v>
      </c>
      <c r="I57" s="14" t="e">
        <v>#N/A</v>
      </c>
      <c r="J57" s="20">
        <f t="shared" si="2"/>
        <v>0</v>
      </c>
    </row>
    <row r="58" spans="1:10">
      <c r="J58" s="20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G4" sqref="G4"/>
    </sheetView>
  </sheetViews>
  <sheetFormatPr defaultRowHeight="15"/>
  <cols>
    <col min="1" max="2" width="9.140625" style="16"/>
    <col min="3" max="3" width="64.85546875" bestFit="1" customWidth="1"/>
    <col min="4" max="4" width="60.85546875" style="20" bestFit="1" customWidth="1"/>
    <col min="5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E1" s="114">
        <f ca="1">YEAR(TODAY())</f>
        <v>2015</v>
      </c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358</v>
      </c>
      <c r="C3" s="45" t="s">
        <v>340</v>
      </c>
      <c r="D3" s="21" t="s">
        <v>342</v>
      </c>
      <c r="E3" s="21"/>
      <c r="F3" s="17"/>
      <c r="G3" s="111" t="s">
        <v>365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364</v>
      </c>
    </row>
    <row r="5" spans="1:10">
      <c r="A5" s="16" t="s">
        <v>20</v>
      </c>
      <c r="C5" s="19" t="s">
        <v>22</v>
      </c>
      <c r="D5" s="19" t="s">
        <v>22</v>
      </c>
      <c r="G5" t="s">
        <v>357</v>
      </c>
    </row>
    <row r="6" spans="1:10">
      <c r="A6" s="16" t="s">
        <v>24</v>
      </c>
      <c r="C6" s="19" t="s">
        <v>369</v>
      </c>
      <c r="D6" s="19" t="s">
        <v>415</v>
      </c>
      <c r="E6" s="20" t="s">
        <v>135</v>
      </c>
      <c r="F6" t="s">
        <v>136</v>
      </c>
      <c r="G6" t="s">
        <v>410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 ca="1">IF(YEAR(B7)&lt;$E$1-1,#N/A,D7)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ca="1" si="1">IF(YEAR(B8)&lt;$E$1-1,#N/A,D8)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ca="1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ca="1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ca="1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ca="1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ca="1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ca="1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ca="1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ca="1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ca="1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ca="1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ca="1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ca="1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ca="1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ca="1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ca="1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ca="1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ca="1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ca="1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ca="1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ca="1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ca="1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ca="1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ca="1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ca="1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ca="1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ca="1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ca="1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ca="1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ca="1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ca="1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ca="1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ca="1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ca="1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ca="1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ca="1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ca="1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 t="e">
        <f t="shared" ca="1" si="1"/>
        <v>#N/A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ca="1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-2.7</v>
      </c>
      <c r="E47" s="102" t="e">
        <f t="shared" si="0"/>
        <v>#N/A</v>
      </c>
      <c r="F47" s="102">
        <f t="shared" ca="1" si="1"/>
        <v>-2.7</v>
      </c>
      <c r="G47" s="14">
        <v>0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-2.4</v>
      </c>
      <c r="E48" s="102" t="e">
        <f t="shared" si="0"/>
        <v>#N/A</v>
      </c>
      <c r="F48" s="102">
        <f t="shared" ca="1" si="1"/>
        <v>-2.4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-2.2999999999999998</v>
      </c>
      <c r="E49" s="102" t="e">
        <f t="shared" si="0"/>
        <v>#N/A</v>
      </c>
      <c r="F49" s="102">
        <f t="shared" ca="1" si="1"/>
        <v>-2.2999999999999998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-2.4</v>
      </c>
      <c r="E50" s="102" t="e">
        <f t="shared" si="0"/>
        <v>#N/A</v>
      </c>
      <c r="F50" s="102">
        <f t="shared" ca="1" si="1"/>
        <v>-2.4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-2.8</v>
      </c>
      <c r="E51" s="102" t="e">
        <f t="shared" si="0"/>
        <v>#N/A</v>
      </c>
      <c r="F51" s="102">
        <f t="shared" ca="1" si="1"/>
        <v>-2.8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-3.1</v>
      </c>
      <c r="E52" s="102" t="e">
        <f t="shared" si="0"/>
        <v>#N/A</v>
      </c>
      <c r="F52" s="102">
        <f t="shared" ca="1" si="1"/>
        <v>-3.1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-3.3</v>
      </c>
      <c r="E53" s="102" t="e">
        <f t="shared" si="0"/>
        <v>#N/A</v>
      </c>
      <c r="F53" s="102">
        <f t="shared" ca="1" si="1"/>
        <v>-3.3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-3.7</v>
      </c>
      <c r="E54" s="102" t="e">
        <f t="shared" si="0"/>
        <v>#N/A</v>
      </c>
      <c r="F54" s="102">
        <f t="shared" ca="1" si="1"/>
        <v>-3.7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-3.6</v>
      </c>
      <c r="E55" s="102" t="e">
        <f t="shared" si="0"/>
        <v>#N/A</v>
      </c>
      <c r="F55" s="102">
        <f t="shared" ca="1" si="1"/>
        <v>-3.6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-3.4</v>
      </c>
      <c r="E56" s="102" t="e">
        <f t="shared" si="0"/>
        <v>#N/A</v>
      </c>
      <c r="F56" s="102">
        <f t="shared" ca="1" si="1"/>
        <v>-3.4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3" max="3" width="22.28515625" customWidth="1"/>
    <col min="7" max="7" width="9.140625" style="29"/>
  </cols>
  <sheetData>
    <row r="1" spans="1:7">
      <c r="C1" s="20" t="s">
        <v>117</v>
      </c>
      <c r="E1" s="114">
        <f ca="1">YEAR(TODAY())</f>
        <v>2015</v>
      </c>
    </row>
    <row r="2" spans="1:7">
      <c r="A2" s="22" t="s">
        <v>276</v>
      </c>
      <c r="B2" s="22" t="s">
        <v>358</v>
      </c>
      <c r="C2" s="21" t="s">
        <v>118</v>
      </c>
      <c r="F2" s="111" t="s">
        <v>365</v>
      </c>
    </row>
    <row r="3" spans="1:7" ht="60">
      <c r="A3" s="20" t="s">
        <v>7</v>
      </c>
      <c r="C3" s="113" t="s">
        <v>119</v>
      </c>
      <c r="F3" t="s">
        <v>364</v>
      </c>
    </row>
    <row r="4" spans="1:7">
      <c r="A4" s="20" t="s">
        <v>20</v>
      </c>
      <c r="C4" t="s">
        <v>22</v>
      </c>
      <c r="F4" t="s">
        <v>357</v>
      </c>
    </row>
    <row r="5" spans="1:7">
      <c r="A5" s="20" t="s">
        <v>24</v>
      </c>
      <c r="C5" t="s">
        <v>415</v>
      </c>
      <c r="D5" t="s">
        <v>137</v>
      </c>
      <c r="E5" t="s">
        <v>138</v>
      </c>
      <c r="F5" t="s">
        <v>410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 ca="1">IF(YEAR(B6)&lt;$E$1-1,#N/A,C6)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ca="1" si="1">IF(YEAR(B7)&lt;$E$1-1,#N/A,C7)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ca="1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ca="1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ca="1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ca="1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ca="1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ca="1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ca="1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ca="1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ca="1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ca="1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ca="1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ca="1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ca="1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ca="1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ca="1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ca="1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ca="1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ca="1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ca="1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ca="1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ca="1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ca="1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ca="1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ca="1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ca="1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ca="1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ca="1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ca="1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ca="1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ca="1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ca="1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ca="1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ca="1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ca="1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ca="1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ca="1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ca="1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ca="1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ca="1" si="1"/>
        <v>74.2</v>
      </c>
      <c r="F46" s="14">
        <v>0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ca="1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73.2</v>
      </c>
      <c r="D48" s="29" t="e">
        <f t="shared" si="0"/>
        <v>#N/A</v>
      </c>
      <c r="E48" s="31">
        <f t="shared" ca="1" si="1"/>
        <v>73.2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72.900000000000006</v>
      </c>
      <c r="D49" s="29" t="e">
        <f t="shared" si="0"/>
        <v>#N/A</v>
      </c>
      <c r="E49" s="31">
        <f t="shared" ca="1" si="1"/>
        <v>72.900000000000006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ca="1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73.5</v>
      </c>
      <c r="D51" s="29" t="e">
        <f t="shared" si="0"/>
        <v>#N/A</v>
      </c>
      <c r="E51" s="31">
        <f t="shared" ca="1" si="1"/>
        <v>73.5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74</v>
      </c>
      <c r="D52" s="29" t="e">
        <f t="shared" si="0"/>
        <v>#N/A</v>
      </c>
      <c r="E52" s="31">
        <f t="shared" ca="1" si="1"/>
        <v>74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74.900000000000006</v>
      </c>
      <c r="D53" s="29" t="e">
        <f t="shared" si="0"/>
        <v>#N/A</v>
      </c>
      <c r="E53" s="31">
        <f t="shared" ca="1" si="1"/>
        <v>74.900000000000006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75.7</v>
      </c>
      <c r="D54" s="29" t="e">
        <f t="shared" si="0"/>
        <v>#N/A</v>
      </c>
      <c r="E54" s="31">
        <f t="shared" ca="1" si="1"/>
        <v>75.7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76.2</v>
      </c>
      <c r="D55" s="29" t="e">
        <f t="shared" si="0"/>
        <v>#N/A</v>
      </c>
      <c r="E55" s="31">
        <f t="shared" ca="1" si="1"/>
        <v>76.2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9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358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365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364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370</v>
      </c>
      <c r="I3" s="7" t="s">
        <v>370</v>
      </c>
      <c r="M3" s="2" t="s">
        <v>366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413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357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369</v>
      </c>
      <c r="I6" s="7" t="s">
        <v>369</v>
      </c>
      <c r="M6" s="2" t="s">
        <v>410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>
        <v>0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I39" sqref="I3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356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3000</v>
      </c>
      <c r="C75" s="22" t="str">
        <f>IF(ISNUMBER('Change in Employment'!J82),TEXT('Change in Employment'!J82, "0"),"")</f>
        <v>3333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2" t="str">
        <f>IF(ISNUMBER('Change in Employment'!I83), TEXT('Change in Employment'!I83, "0"), "")</f>
        <v>2000</v>
      </c>
      <c r="C76" s="22" t="str">
        <f>IF(ISNUMBER('Change in Employment'!J83),TEXT('Change in Employment'!J83, "0"),"")</f>
        <v>4000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2" t="str">
        <f>IF(ISNUMBER('Change in Employment'!I84), TEXT('Change in Employment'!I84, "0"), "")</f>
        <v>-8000</v>
      </c>
      <c r="C77" s="22" t="str">
        <f>IF(ISNUMBER('Change in Employment'!J84),TEXT('Change in Employment'!J84, "0"),"")</f>
        <v>-1000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2" t="str">
        <f>IF(ISNUMBER('Change in Employment'!I85), TEXT('Change in Employment'!I85, "0"), "")</f>
        <v>8000</v>
      </c>
      <c r="C78" s="22" t="str">
        <f>IF(ISNUMBER('Change in Employment'!J85),TEXT('Change in Employment'!J85, "0"),"")</f>
        <v>667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356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799.99999999972715</v>
      </c>
      <c r="C74" s="20" t="str">
        <f>IFERROR(IF(ISNUMBER('Change in Employment'!M81),TEXT('Change in Employment'!M81, "0"), ""), "")</f>
        <v>633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2099.9999999999091</v>
      </c>
      <c r="C75" s="20" t="str">
        <f>IFERROR(IF(ISNUMBER('Change in Employment'!M82),TEXT('Change in Employment'!M82, "0"), ""), "")</f>
        <v>1533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>02/01/2015</v>
      </c>
      <c r="B76" s="20">
        <f>IF(ISNUMBER('Change in Employment'!L83),'Change in Employment'!L83, "")</f>
        <v>-699.9999999998181</v>
      </c>
      <c r="C76" s="20" t="str">
        <f>IFERROR(IF(ISNUMBER('Change in Employment'!M83),TEXT('Change in Employment'!M83, "0"), ""), "")</f>
        <v>733</v>
      </c>
      <c r="D76" s="110">
        <f>IF(ISNUMBER('Change in Employment'!G83),'Change in Employment'!G83,"")</f>
        <v>0</v>
      </c>
    </row>
    <row r="77" spans="1:4">
      <c r="A77" s="20" t="str">
        <f>TEXT(IF('Change in Employment'!B84&lt;&gt;0,DATE(YEAR('Change in Employment'!B84), MONTH('Change in Employment'!B84), 1), ""), "mm/dd/yyyy")</f>
        <v>03/01/2015</v>
      </c>
      <c r="B77" s="20">
        <f>IF(ISNUMBER('Change in Employment'!L84),'Change in Employment'!L84, "")</f>
        <v>-699.9999999998181</v>
      </c>
      <c r="C77" s="20" t="str">
        <f>IFERROR(IF(ISNUMBER('Change in Employment'!M84),TEXT('Change in Employment'!M84, "0"), ""), "")</f>
        <v>233</v>
      </c>
      <c r="D77" s="110">
        <f>IF(ISNUMBER('Change in Employment'!G84),'Change in Employment'!G84,"")</f>
        <v>0</v>
      </c>
    </row>
    <row r="78" spans="1:4">
      <c r="A78" s="20" t="str">
        <f>TEXT(IF('Change in Employment'!B85&lt;&gt;0,DATE(YEAR('Change in Employment'!B85), MONTH('Change in Employment'!B85), 1), ""), "mm/dd/yyyy")</f>
        <v>04/01/2015</v>
      </c>
      <c r="B78" s="20">
        <f>IF(ISNUMBER('Change in Employment'!L85),'Change in Employment'!L85, "")</f>
        <v>699.9999999998181</v>
      </c>
      <c r="C78" s="20" t="str">
        <f>IFERROR(IF(ISNUMBER('Change in Employment'!M85),TEXT('Change in Employment'!M85, "0"), ""), "")</f>
        <v>-233</v>
      </c>
      <c r="D78" s="110">
        <f>IF(ISNUMBER('Change in Employment'!G85),'Change in Employment'!G85,"")</f>
        <v>0</v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356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235.6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>1-Jan-15</v>
      </c>
      <c r="B26" s="20">
        <f>IF(ISNUMBER('Real Structures'!C32),'Real Structures'!C32, "")</f>
        <v>225.6</v>
      </c>
      <c r="C26" s="20">
        <f>IF(ISNUMBER('Real Structures'!D32),'Real Structures'!D32, "")</f>
        <v>0</v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356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0.059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0.049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0.024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>0.027</v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>01/01/2015</v>
      </c>
      <c r="B46" s="20" t="str">
        <f>IF(ISNUMBER('State and Local Taxes'!I59),TEXT('State and Local Taxes'!I59, "0.000"), "")</f>
        <v/>
      </c>
      <c r="C46" s="20">
        <f>IF(ISNUMBER('State and Local Taxes'!J59),'State and Local Taxes'!J59, "")</f>
        <v>0</v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356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GDP'!G8),TEXT('Revenues &amp; Outlays in GDP'!G8, "0.00"),""), "")</f>
        <v>17.33</v>
      </c>
      <c r="C2" s="20" t="str">
        <f ca="1">IFERROR(IF(ISNUMBER('Revenues &amp; Outlays in GDP'!C8),TEXT('Revenues &amp; Outlays in GDP'!C8, "0.00"),""), "")</f>
        <v/>
      </c>
      <c r="D2" s="20" t="str">
        <f>IFERROR(IF(ISNUMBER('Revenues &amp; Outlays in GDP'!H8),TEXT('Revenues &amp; Outlays in GDP'!H8, "0.00"),""), "")</f>
        <v>20.63</v>
      </c>
      <c r="E2" s="20" t="str">
        <f ca="1">IFERROR(IF(ISNUMBER('Revenues &amp; Outlays in GDP'!D8),TEXT('Revenues &amp; Outlays in GDP'!D8, "0.00"),""), "")</f>
        <v/>
      </c>
      <c r="F2" s="20">
        <f>IFERROR(IF(ISNUMBER('Revenues &amp; Outlays in GDP'!B8), 'Revenues &amp; Outlays in GDP'!J8,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GDP'!G9),TEXT('Revenues &amp; Outlays in GDP'!G9, "0.00"),""), "")</f>
        <v>16.65</v>
      </c>
      <c r="C3" s="20" t="str">
        <f ca="1">IFERROR(IF(ISNUMBER('Revenues &amp; Outlays in GDP'!C9),TEXT('Revenues &amp; Outlays in GDP'!C9, "0.00"),""), "")</f>
        <v/>
      </c>
      <c r="D3" s="20" t="str">
        <f>IFERROR(IF(ISNUMBER('Revenues &amp; Outlays in GDP'!H9),TEXT('Revenues &amp; Outlays in GDP'!H9, "0.00"),""), "")</f>
        <v>20.77</v>
      </c>
      <c r="E3" s="20" t="str">
        <f ca="1">IFERROR(IF(ISNUMBER('Revenues &amp; Outlays in GDP'!D9),TEXT('Revenues &amp; Outlays in GDP'!D9, "0.00"),""), "")</f>
        <v/>
      </c>
      <c r="F3" s="20">
        <f>IFERROR(IF(ISNUMBER('Revenues &amp; Outlays in GDP'!B9), 'Revenues &amp; Outlays in GDP'!J9,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GDP'!G10),TEXT('Revenues &amp; Outlays in GDP'!G10, "0.00"),""), "")</f>
        <v>17.53</v>
      </c>
      <c r="C4" s="20" t="str">
        <f ca="1">IFERROR(IF(ISNUMBER('Revenues &amp; Outlays in GDP'!C10),TEXT('Revenues &amp; Outlays in GDP'!C10, "0.00"),""), "")</f>
        <v/>
      </c>
      <c r="D4" s="20" t="str">
        <f>IFERROR(IF(ISNUMBER('Revenues &amp; Outlays in GDP'!H10),TEXT('Revenues &amp; Outlays in GDP'!H10, "0.00"),""), "")</f>
        <v>20.18</v>
      </c>
      <c r="E4" s="20" t="str">
        <f ca="1">IFERROR(IF(ISNUMBER('Revenues &amp; Outlays in GDP'!D10),TEXT('Revenues &amp; Outlays in GDP'!D10, "0.00"),""), "")</f>
        <v/>
      </c>
      <c r="F4" s="20">
        <f>IFERROR(IF(ISNUMBER('Revenues &amp; Outlays in GDP'!B10), 'Revenues &amp; Outlays in GDP'!J10,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GDP'!G11),TEXT('Revenues &amp; Outlays in GDP'!G11, "0.00"),""), "")</f>
        <v>17.54</v>
      </c>
      <c r="C5" s="20" t="str">
        <f ca="1">IFERROR(IF(ISNUMBER('Revenues &amp; Outlays in GDP'!C11),TEXT('Revenues &amp; Outlays in GDP'!C11, "0.00"),""), "")</f>
        <v/>
      </c>
      <c r="D5" s="20" t="str">
        <f>IFERROR(IF(ISNUMBER('Revenues &amp; Outlays in GDP'!H11),TEXT('Revenues &amp; Outlays in GDP'!H11, "0.00"),""), "")</f>
        <v>20.14</v>
      </c>
      <c r="E5" s="20" t="str">
        <f ca="1">IFERROR(IF(ISNUMBER('Revenues &amp; Outlays in GDP'!D11),TEXT('Revenues &amp; Outlays in GDP'!D11, "0.00"),""), "")</f>
        <v/>
      </c>
      <c r="F5" s="20">
        <f>IFERROR(IF(ISNUMBER('Revenues &amp; Outlays in GDP'!B11), 'Revenues &amp; Outlays in GDP'!J11,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GDP'!G12),TEXT('Revenues &amp; Outlays in GDP'!G12, "0.00"),""), "")</f>
        <v>18.03</v>
      </c>
      <c r="C6" s="20" t="str">
        <f ca="1">IFERROR(IF(ISNUMBER('Revenues &amp; Outlays in GDP'!C12),TEXT('Revenues &amp; Outlays in GDP'!C12, "0.00"),""), "")</f>
        <v/>
      </c>
      <c r="D6" s="20" t="str">
        <f>IFERROR(IF(ISNUMBER('Revenues &amp; Outlays in GDP'!H12),TEXT('Revenues &amp; Outlays in GDP'!H12, "0.00"),""), "")</f>
        <v>19.61</v>
      </c>
      <c r="E6" s="20" t="str">
        <f ca="1">IFERROR(IF(ISNUMBER('Revenues &amp; Outlays in GDP'!D12),TEXT('Revenues &amp; Outlays in GDP'!D12, "0.00"),""), "")</f>
        <v/>
      </c>
      <c r="F6" s="20">
        <f>IFERROR(IF(ISNUMBER('Revenues &amp; Outlays in GDP'!B12), 'Revenues &amp; Outlays in GDP'!J12,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GDP'!G13),TEXT('Revenues &amp; Outlays in GDP'!G13, "0.00"),""), "")</f>
        <v>18.49</v>
      </c>
      <c r="C7" s="20" t="str">
        <f ca="1">IFERROR(IF(ISNUMBER('Revenues &amp; Outlays in GDP'!C13),TEXT('Revenues &amp; Outlays in GDP'!C13, "0.00"),""), "")</f>
        <v/>
      </c>
      <c r="D7" s="20" t="str">
        <f>IFERROR(IF(ISNUMBER('Revenues &amp; Outlays in GDP'!H13),TEXT('Revenues &amp; Outlays in GDP'!H13, "0.00"),""), "")</f>
        <v>21.13</v>
      </c>
      <c r="E7" s="20" t="str">
        <f ca="1">IFERROR(IF(ISNUMBER('Revenues &amp; Outlays in GDP'!D13),TEXT('Revenues &amp; Outlays in GDP'!D13, "0.00"),""), "")</f>
        <v/>
      </c>
      <c r="F7" s="20">
        <f>IFERROR(IF(ISNUMBER('Revenues &amp; Outlays in GDP'!B13), 'Revenues &amp; Outlays in GDP'!J13,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GDP'!G14),TEXT('Revenues &amp; Outlays in GDP'!G14, "0.00"),""), "")</f>
        <v>19.10</v>
      </c>
      <c r="C8" s="20" t="str">
        <f ca="1">IFERROR(IF(ISNUMBER('Revenues &amp; Outlays in GDP'!C14),TEXT('Revenues &amp; Outlays in GDP'!C14, "0.00"),""), "")</f>
        <v/>
      </c>
      <c r="D8" s="20" t="str">
        <f>IFERROR(IF(ISNUMBER('Revenues &amp; Outlays in GDP'!H14),TEXT('Revenues &amp; Outlays in GDP'!H14, "0.00"),""), "")</f>
        <v>21.61</v>
      </c>
      <c r="E8" s="20" t="str">
        <f ca="1">IFERROR(IF(ISNUMBER('Revenues &amp; Outlays in GDP'!D14),TEXT('Revenues &amp; Outlays in GDP'!D14, "0.00"),""), "")</f>
        <v/>
      </c>
      <c r="F8" s="20">
        <f>IFERROR(IF(ISNUMBER('Revenues &amp; Outlays in GDP'!B14), 'Revenues &amp; Outlays in GDP'!J14,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GDP'!G15),TEXT('Revenues &amp; Outlays in GDP'!G15, "0.00"),""), "")</f>
        <v>18.64</v>
      </c>
      <c r="C9" s="20" t="str">
        <f ca="1">IFERROR(IF(ISNUMBER('Revenues &amp; Outlays in GDP'!C15),TEXT('Revenues &amp; Outlays in GDP'!C15, "0.00"),""), "")</f>
        <v/>
      </c>
      <c r="D9" s="20" t="str">
        <f>IFERROR(IF(ISNUMBER('Revenues &amp; Outlays in GDP'!H15),TEXT('Revenues &amp; Outlays in GDP'!H15, "0.00"),""), "")</f>
        <v>22.50</v>
      </c>
      <c r="E9" s="20" t="str">
        <f ca="1">IFERROR(IF(ISNUMBER('Revenues &amp; Outlays in GDP'!D15),TEXT('Revenues &amp; Outlays in GDP'!D15, "0.00"),""), "")</f>
        <v/>
      </c>
      <c r="F9" s="20">
        <f>IFERROR(IF(ISNUMBER('Revenues &amp; Outlays in GDP'!B15), 'Revenues &amp; Outlays in GDP'!J15,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GDP'!G16),TEXT('Revenues &amp; Outlays in GDP'!G16, "0.00"),""), "")</f>
        <v>16.96</v>
      </c>
      <c r="C10" s="20" t="str">
        <f ca="1">IFERROR(IF(ISNUMBER('Revenues &amp; Outlays in GDP'!C16),TEXT('Revenues &amp; Outlays in GDP'!C16, "0.00"),""), "")</f>
        <v/>
      </c>
      <c r="D10" s="20" t="str">
        <f>IFERROR(IF(ISNUMBER('Revenues &amp; Outlays in GDP'!H16),TEXT('Revenues &amp; Outlays in GDP'!H16, "0.00"),""), "")</f>
        <v>22.83</v>
      </c>
      <c r="E10" s="20" t="str">
        <f ca="1">IFERROR(IF(ISNUMBER('Revenues &amp; Outlays in GDP'!D16),TEXT('Revenues &amp; Outlays in GDP'!D16, "0.00"),""), "")</f>
        <v/>
      </c>
      <c r="F10" s="20">
        <f>IFERROR(IF(ISNUMBER('Revenues &amp; Outlays in GDP'!B16), 'Revenues &amp; Outlays in GDP'!J16,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GDP'!G17),TEXT('Revenues &amp; Outlays in GDP'!G17, "0.00"),""), "")</f>
        <v>16.86</v>
      </c>
      <c r="C11" s="20" t="str">
        <f ca="1">IFERROR(IF(ISNUMBER('Revenues &amp; Outlays in GDP'!C17),TEXT('Revenues &amp; Outlays in GDP'!C17, "0.00"),""), "")</f>
        <v/>
      </c>
      <c r="D11" s="20" t="str">
        <f>IFERROR(IF(ISNUMBER('Revenues &amp; Outlays in GDP'!H17),TEXT('Revenues &amp; Outlays in GDP'!H17, "0.00"),""), "")</f>
        <v>21.55</v>
      </c>
      <c r="E11" s="20" t="str">
        <f ca="1">IFERROR(IF(ISNUMBER('Revenues &amp; Outlays in GDP'!D17),TEXT('Revenues &amp; Outlays in GDP'!D17, "0.00"),""), "")</f>
        <v/>
      </c>
      <c r="F11" s="20">
        <f>IFERROR(IF(ISNUMBER('Revenues &amp; Outlays in GDP'!B17), 'Revenues &amp; Outlays in GDP'!J17,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GDP'!G18),TEXT('Revenues &amp; Outlays in GDP'!G18, "0.00"),""), "")</f>
        <v>17.19</v>
      </c>
      <c r="C12" s="20" t="str">
        <f ca="1">IFERROR(IF(ISNUMBER('Revenues &amp; Outlays in GDP'!C18),TEXT('Revenues &amp; Outlays in GDP'!C18, "0.00"),""), "")</f>
        <v/>
      </c>
      <c r="D12" s="20" t="str">
        <f>IFERROR(IF(ISNUMBER('Revenues &amp; Outlays in GDP'!H18),TEXT('Revenues &amp; Outlays in GDP'!H18, "0.00"),""), "")</f>
        <v>22.16</v>
      </c>
      <c r="E12" s="20" t="str">
        <f ca="1">IFERROR(IF(ISNUMBER('Revenues &amp; Outlays in GDP'!D18),TEXT('Revenues &amp; Outlays in GDP'!D18, "0.00"),""), "")</f>
        <v/>
      </c>
      <c r="F12" s="20">
        <f>IFERROR(IF(ISNUMBER('Revenues &amp; Outlays in GDP'!B18), 'Revenues &amp; Outlays in GDP'!J18,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GDP'!G19),TEXT('Revenues &amp; Outlays in GDP'!G19, "0.00"),""), "")</f>
        <v>16.96</v>
      </c>
      <c r="C13" s="20" t="str">
        <f ca="1">IFERROR(IF(ISNUMBER('Revenues &amp; Outlays in GDP'!C19),TEXT('Revenues &amp; Outlays in GDP'!C19, "0.00"),""), "")</f>
        <v/>
      </c>
      <c r="D13" s="20" t="str">
        <f>IFERROR(IF(ISNUMBER('Revenues &amp; Outlays in GDP'!H19),TEXT('Revenues &amp; Outlays in GDP'!H19, "0.00"),""), "")</f>
        <v>21.83</v>
      </c>
      <c r="E13" s="20" t="str">
        <f ca="1">IFERROR(IF(ISNUMBER('Revenues &amp; Outlays in GDP'!D19),TEXT('Revenues &amp; Outlays in GDP'!D19, "0.00"),""), "")</f>
        <v/>
      </c>
      <c r="F13" s="20">
        <f>IFERROR(IF(ISNUMBER('Revenues &amp; Outlays in GDP'!B19), 'Revenues &amp; Outlays in GDP'!J19,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GDP'!G20),TEXT('Revenues &amp; Outlays in GDP'!G20, "0.00"),""), "")</f>
        <v>17.87</v>
      </c>
      <c r="C14" s="20" t="str">
        <f ca="1">IFERROR(IF(ISNUMBER('Revenues &amp; Outlays in GDP'!C20),TEXT('Revenues &amp; Outlays in GDP'!C20, "0.00"),""), "")</f>
        <v/>
      </c>
      <c r="D14" s="20" t="str">
        <f>IFERROR(IF(ISNUMBER('Revenues &amp; Outlays in GDP'!H20),TEXT('Revenues &amp; Outlays in GDP'!H20, "0.00"),""), "")</f>
        <v>21.00</v>
      </c>
      <c r="E14" s="20" t="str">
        <f ca="1">IFERROR(IF(ISNUMBER('Revenues &amp; Outlays in GDP'!D20),TEXT('Revenues &amp; Outlays in GDP'!D20, "0.00"),""), "")</f>
        <v/>
      </c>
      <c r="F14" s="20">
        <f>IFERROR(IF(ISNUMBER('Revenues &amp; Outlays in GDP'!B20), 'Revenues &amp; Outlays in GDP'!J20,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GDP'!G21),TEXT('Revenues &amp; Outlays in GDP'!G21, "0.00"),""), "")</f>
        <v>17.64</v>
      </c>
      <c r="C15" s="20" t="str">
        <f ca="1">IFERROR(IF(ISNUMBER('Revenues &amp; Outlays in GDP'!C21),TEXT('Revenues &amp; Outlays in GDP'!C21, "0.00"),""), "")</f>
        <v/>
      </c>
      <c r="D15" s="20" t="str">
        <f>IFERROR(IF(ISNUMBER('Revenues &amp; Outlays in GDP'!H21),TEXT('Revenues &amp; Outlays in GDP'!H21, "0.00"),""), "")</f>
        <v>20.65</v>
      </c>
      <c r="E15" s="20" t="str">
        <f ca="1">IFERROR(IF(ISNUMBER('Revenues &amp; Outlays in GDP'!D21),TEXT('Revenues &amp; Outlays in GDP'!D21, "0.00"),""), "")</f>
        <v/>
      </c>
      <c r="F15" s="20">
        <f>IFERROR(IF(ISNUMBER('Revenues &amp; Outlays in GDP'!B21), 'Revenues &amp; Outlays in GDP'!J21,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GDP'!G22),TEXT('Revenues &amp; Outlays in GDP'!G22, "0.00"),""), "")</f>
        <v>17.79</v>
      </c>
      <c r="C16" s="20" t="str">
        <f ca="1">IFERROR(IF(ISNUMBER('Revenues &amp; Outlays in GDP'!C22),TEXT('Revenues &amp; Outlays in GDP'!C22, "0.00"),""), "")</f>
        <v/>
      </c>
      <c r="D16" s="20" t="str">
        <f>IFERROR(IF(ISNUMBER('Revenues &amp; Outlays in GDP'!H22),TEXT('Revenues &amp; Outlays in GDP'!H22, "0.00"),""), "")</f>
        <v>20.53</v>
      </c>
      <c r="E16" s="20" t="str">
        <f ca="1">IFERROR(IF(ISNUMBER('Revenues &amp; Outlays in GDP'!D22),TEXT('Revenues &amp; Outlays in GDP'!D22, "0.00"),""), "")</f>
        <v/>
      </c>
      <c r="F16" s="20">
        <f>IFERROR(IF(ISNUMBER('Revenues &amp; Outlays in GDP'!B22), 'Revenues &amp; Outlays in GDP'!J22,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GDP'!G23),TEXT('Revenues &amp; Outlays in GDP'!G23, "0.00"),""), "")</f>
        <v>17.45</v>
      </c>
      <c r="C17" s="20" t="str">
        <f ca="1">IFERROR(IF(ISNUMBER('Revenues &amp; Outlays in GDP'!C23),TEXT('Revenues &amp; Outlays in GDP'!C23, "0.00"),""), "")</f>
        <v/>
      </c>
      <c r="D17" s="20" t="str">
        <f>IFERROR(IF(ISNUMBER('Revenues &amp; Outlays in GDP'!H23),TEXT('Revenues &amp; Outlays in GDP'!H23, "0.00"),""), "")</f>
        <v>21.19</v>
      </c>
      <c r="E17" s="20" t="str">
        <f ca="1">IFERROR(IF(ISNUMBER('Revenues &amp; Outlays in GDP'!D23),TEXT('Revenues &amp; Outlays in GDP'!D23, "0.00"),""), "")</f>
        <v/>
      </c>
      <c r="F17" s="20">
        <f>IFERROR(IF(ISNUMBER('Revenues &amp; Outlays in GDP'!B23), 'Revenues &amp; Outlays in GDP'!J23,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GDP'!G24),TEXT('Revenues &amp; Outlays in GDP'!G24, "0.00"),""), "")</f>
        <v>17.27</v>
      </c>
      <c r="C18" s="20" t="str">
        <f ca="1">IFERROR(IF(ISNUMBER('Revenues &amp; Outlays in GDP'!C24),TEXT('Revenues &amp; Outlays in GDP'!C24, "0.00"),""), "")</f>
        <v/>
      </c>
      <c r="D18" s="20" t="str">
        <f>IFERROR(IF(ISNUMBER('Revenues &amp; Outlays in GDP'!H24),TEXT('Revenues &amp; Outlays in GDP'!H24, "0.00"),""), "")</f>
        <v>21.67</v>
      </c>
      <c r="E18" s="20" t="str">
        <f ca="1">IFERROR(IF(ISNUMBER('Revenues &amp; Outlays in GDP'!D24),TEXT('Revenues &amp; Outlays in GDP'!D24, "0.00"),""), "")</f>
        <v/>
      </c>
      <c r="F18" s="20">
        <f>IFERROR(IF(ISNUMBER('Revenues &amp; Outlays in GDP'!B24), 'Revenues &amp; Outlays in GDP'!J24,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GDP'!G25),TEXT('Revenues &amp; Outlays in GDP'!G25, "0.00"),""), "")</f>
        <v>16.96</v>
      </c>
      <c r="C19" s="20" t="str">
        <f ca="1">IFERROR(IF(ISNUMBER('Revenues &amp; Outlays in GDP'!C25),TEXT('Revenues &amp; Outlays in GDP'!C25, "0.00"),""), "")</f>
        <v/>
      </c>
      <c r="D19" s="20" t="str">
        <f>IFERROR(IF(ISNUMBER('Revenues &amp; Outlays in GDP'!H25),TEXT('Revenues &amp; Outlays in GDP'!H25, "0.00"),""), "")</f>
        <v>21.47</v>
      </c>
      <c r="E19" s="20" t="str">
        <f ca="1">IFERROR(IF(ISNUMBER('Revenues &amp; Outlays in GDP'!D25),TEXT('Revenues &amp; Outlays in GDP'!D25, "0.00"),""), "")</f>
        <v/>
      </c>
      <c r="F19" s="20">
        <f>IFERROR(IF(ISNUMBER('Revenues &amp; Outlays in GDP'!B25), 'Revenues &amp; Outlays in GDP'!J25,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GDP'!G26),TEXT('Revenues &amp; Outlays in GDP'!G26, "0.00"),""), "")</f>
        <v>16.99</v>
      </c>
      <c r="C20" s="20" t="str">
        <f ca="1">IFERROR(IF(ISNUMBER('Revenues &amp; Outlays in GDP'!C26),TEXT('Revenues &amp; Outlays in GDP'!C26, "0.00"),""), "")</f>
        <v/>
      </c>
      <c r="D20" s="20" t="str">
        <f>IFERROR(IF(ISNUMBER('Revenues &amp; Outlays in GDP'!H26),TEXT('Revenues &amp; Outlays in GDP'!H26, "0.00"),""), "")</f>
        <v>20.74</v>
      </c>
      <c r="E20" s="20" t="str">
        <f ca="1">IFERROR(IF(ISNUMBER('Revenues &amp; Outlays in GDP'!D26),TEXT('Revenues &amp; Outlays in GDP'!D26, "0.00"),""), "")</f>
        <v/>
      </c>
      <c r="F20" s="20">
        <f>IFERROR(IF(ISNUMBER('Revenues &amp; Outlays in GDP'!B26), 'Revenues &amp; Outlays in GDP'!J26,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GDP'!G27),TEXT('Revenues &amp; Outlays in GDP'!G27, "0.00"),""), "")</f>
        <v>17.49</v>
      </c>
      <c r="C21" s="20" t="str">
        <f ca="1">IFERROR(IF(ISNUMBER('Revenues &amp; Outlays in GDP'!C27),TEXT('Revenues &amp; Outlays in GDP'!C27, "0.00"),""), "")</f>
        <v/>
      </c>
      <c r="D21" s="20" t="str">
        <f>IFERROR(IF(ISNUMBER('Revenues &amp; Outlays in GDP'!H27),TEXT('Revenues &amp; Outlays in GDP'!H27, "0.00"),""), "")</f>
        <v>20.31</v>
      </c>
      <c r="E21" s="20" t="str">
        <f ca="1">IFERROR(IF(ISNUMBER('Revenues &amp; Outlays in GDP'!D27),TEXT('Revenues &amp; Outlays in GDP'!D27, "0.00"),""), "")</f>
        <v/>
      </c>
      <c r="F21" s="20">
        <f>IFERROR(IF(ISNUMBER('Revenues &amp; Outlays in GDP'!B27), 'Revenues &amp; Outlays in GDP'!J27,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GDP'!G28),TEXT('Revenues &amp; Outlays in GDP'!G28, "0.00"),""), "")</f>
        <v>17.83</v>
      </c>
      <c r="C22" s="20" t="str">
        <f ca="1">IFERROR(IF(ISNUMBER('Revenues &amp; Outlays in GDP'!C28),TEXT('Revenues &amp; Outlays in GDP'!C28, "0.00"),""), "")</f>
        <v/>
      </c>
      <c r="D22" s="20" t="str">
        <f>IFERROR(IF(ISNUMBER('Revenues &amp; Outlays in GDP'!H28),TEXT('Revenues &amp; Outlays in GDP'!H28, "0.00"),""), "")</f>
        <v>19.99</v>
      </c>
      <c r="E22" s="20" t="str">
        <f ca="1">IFERROR(IF(ISNUMBER('Revenues &amp; Outlays in GDP'!D28),TEXT('Revenues &amp; Outlays in GDP'!D28, "0.00"),""), "")</f>
        <v/>
      </c>
      <c r="F22" s="20">
        <f>IFERROR(IF(ISNUMBER('Revenues &amp; Outlays in GDP'!B28), 'Revenues &amp; Outlays in GDP'!J28,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GDP'!G29),TEXT('Revenues &amp; Outlays in GDP'!G29, "0.00"),""), "")</f>
        <v>18.21</v>
      </c>
      <c r="C23" s="20" t="str">
        <f ca="1">IFERROR(IF(ISNUMBER('Revenues &amp; Outlays in GDP'!C29),TEXT('Revenues &amp; Outlays in GDP'!C29, "0.00"),""), "")</f>
        <v/>
      </c>
      <c r="D23" s="20" t="str">
        <f>IFERROR(IF(ISNUMBER('Revenues &amp; Outlays in GDP'!H29),TEXT('Revenues &amp; Outlays in GDP'!H29, "0.00"),""), "")</f>
        <v>19.56</v>
      </c>
      <c r="E23" s="20" t="str">
        <f ca="1">IFERROR(IF(ISNUMBER('Revenues &amp; Outlays in GDP'!D29),TEXT('Revenues &amp; Outlays in GDP'!D29, "0.00"),""), "")</f>
        <v/>
      </c>
      <c r="F23" s="20">
        <f>IFERROR(IF(ISNUMBER('Revenues &amp; Outlays in GDP'!B29), 'Revenues &amp; Outlays in GDP'!J29,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GDP'!G30),TEXT('Revenues &amp; Outlays in GDP'!G30, "0.00"),""), "")</f>
        <v>18.62</v>
      </c>
      <c r="C24" s="20" t="str">
        <f ca="1">IFERROR(IF(ISNUMBER('Revenues &amp; Outlays in GDP'!C30),TEXT('Revenues &amp; Outlays in GDP'!C30, "0.00"),""), "")</f>
        <v/>
      </c>
      <c r="D24" s="20" t="str">
        <f>IFERROR(IF(ISNUMBER('Revenues &amp; Outlays in GDP'!H30),TEXT('Revenues &amp; Outlays in GDP'!H30, "0.00"),""), "")</f>
        <v>18.87</v>
      </c>
      <c r="E24" s="20" t="str">
        <f ca="1">IFERROR(IF(ISNUMBER('Revenues &amp; Outlays in GDP'!D30),TEXT('Revenues &amp; Outlays in GDP'!D30, "0.00"),""), "")</f>
        <v/>
      </c>
      <c r="F24" s="20">
        <f>IFERROR(IF(ISNUMBER('Revenues &amp; Outlays in GDP'!B30), 'Revenues &amp; Outlays in GDP'!J30,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GDP'!G31),TEXT('Revenues &amp; Outlays in GDP'!G31, "0.00"),""), "")</f>
        <v>19.23</v>
      </c>
      <c r="C25" s="20" t="str">
        <f ca="1">IFERROR(IF(ISNUMBER('Revenues &amp; Outlays in GDP'!C31),TEXT('Revenues &amp; Outlays in GDP'!C31, "0.00"),""), "")</f>
        <v/>
      </c>
      <c r="D25" s="20" t="str">
        <f>IFERROR(IF(ISNUMBER('Revenues &amp; Outlays in GDP'!H31),TEXT('Revenues &amp; Outlays in GDP'!H31, "0.00"),""), "")</f>
        <v>18.45</v>
      </c>
      <c r="E25" s="20" t="str">
        <f ca="1">IFERROR(IF(ISNUMBER('Revenues &amp; Outlays in GDP'!D31),TEXT('Revenues &amp; Outlays in GDP'!D31, "0.00"),""), "")</f>
        <v/>
      </c>
      <c r="F25" s="20">
        <f>IFERROR(IF(ISNUMBER('Revenues &amp; Outlays in GDP'!B31), 'Revenues &amp; Outlays in GDP'!J31,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GDP'!G32),TEXT('Revenues &amp; Outlays in GDP'!G32, "0.00"),""), "")</f>
        <v>19.22</v>
      </c>
      <c r="C26" s="20" t="str">
        <f ca="1">IFERROR(IF(ISNUMBER('Revenues &amp; Outlays in GDP'!C32),TEXT('Revenues &amp; Outlays in GDP'!C32, "0.00"),""), "")</f>
        <v/>
      </c>
      <c r="D26" s="20" t="str">
        <f>IFERROR(IF(ISNUMBER('Revenues &amp; Outlays in GDP'!H32),TEXT('Revenues &amp; Outlays in GDP'!H32, "0.00"),""), "")</f>
        <v>17.89</v>
      </c>
      <c r="E26" s="20" t="str">
        <f ca="1">IFERROR(IF(ISNUMBER('Revenues &amp; Outlays in GDP'!D32),TEXT('Revenues &amp; Outlays in GDP'!D32, "0.00"),""), "")</f>
        <v/>
      </c>
      <c r="F26" s="20">
        <f>IFERROR(IF(ISNUMBER('Revenues &amp; Outlays in GDP'!B32), 'Revenues &amp; Outlays in GDP'!J32,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GDP'!G33),TEXT('Revenues &amp; Outlays in GDP'!G33, "0.00"),""), "")</f>
        <v>19.96</v>
      </c>
      <c r="C27" s="20" t="str">
        <f ca="1">IFERROR(IF(ISNUMBER('Revenues &amp; Outlays in GDP'!C33),TEXT('Revenues &amp; Outlays in GDP'!C33, "0.00"),""), "")</f>
        <v/>
      </c>
      <c r="D27" s="20" t="str">
        <f>IFERROR(IF(ISNUMBER('Revenues &amp; Outlays in GDP'!H33),TEXT('Revenues &amp; Outlays in GDP'!H33, "0.00"),""), "")</f>
        <v>17.63</v>
      </c>
      <c r="E27" s="20" t="str">
        <f ca="1">IFERROR(IF(ISNUMBER('Revenues &amp; Outlays in GDP'!D33),TEXT('Revenues &amp; Outlays in GDP'!D33, "0.00"),""), "")</f>
        <v/>
      </c>
      <c r="F27" s="20">
        <f>IFERROR(IF(ISNUMBER('Revenues &amp; Outlays in GDP'!B33), 'Revenues &amp; Outlays in GDP'!J33,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GDP'!G34),TEXT('Revenues &amp; Outlays in GDP'!G34, "0.00"),""), "")</f>
        <v>18.85</v>
      </c>
      <c r="C28" s="20" t="str">
        <f ca="1">IFERROR(IF(ISNUMBER('Revenues &amp; Outlays in GDP'!C34),TEXT('Revenues &amp; Outlays in GDP'!C34, "0.00"),""), "")</f>
        <v/>
      </c>
      <c r="D28" s="20" t="str">
        <f>IFERROR(IF(ISNUMBER('Revenues &amp; Outlays in GDP'!H34),TEXT('Revenues &amp; Outlays in GDP'!H34, "0.00"),""), "")</f>
        <v>17.63</v>
      </c>
      <c r="E28" s="20" t="str">
        <f ca="1">IFERROR(IF(ISNUMBER('Revenues &amp; Outlays in GDP'!D34),TEXT('Revenues &amp; Outlays in GDP'!D34, "0.00"),""), "")</f>
        <v/>
      </c>
      <c r="F28" s="20">
        <f>IFERROR(IF(ISNUMBER('Revenues &amp; Outlays in GDP'!B34), 'Revenues &amp; Outlays in GDP'!J34,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GDP'!G35),TEXT('Revenues &amp; Outlays in GDP'!G35, "0.00"),""), "")</f>
        <v>17.04</v>
      </c>
      <c r="C29" s="20" t="str">
        <f ca="1">IFERROR(IF(ISNUMBER('Revenues &amp; Outlays in GDP'!C35),TEXT('Revenues &amp; Outlays in GDP'!C35, "0.00"),""), "")</f>
        <v/>
      </c>
      <c r="D29" s="20" t="str">
        <f>IFERROR(IF(ISNUMBER('Revenues &amp; Outlays in GDP'!H35),TEXT('Revenues &amp; Outlays in GDP'!H35, "0.00"),""), "")</f>
        <v>18.49</v>
      </c>
      <c r="E29" s="20" t="str">
        <f ca="1">IFERROR(IF(ISNUMBER('Revenues &amp; Outlays in GDP'!D35),TEXT('Revenues &amp; Outlays in GDP'!D35, "0.00"),""), "")</f>
        <v/>
      </c>
      <c r="F29" s="20">
        <f>IFERROR(IF(ISNUMBER('Revenues &amp; Outlays in GDP'!B35), 'Revenues &amp; Outlays in GDP'!J35,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GDP'!G36),TEXT('Revenues &amp; Outlays in GDP'!G36, "0.00"),""), "")</f>
        <v>15.73</v>
      </c>
      <c r="C30" s="20" t="str">
        <f ca="1">IFERROR(IF(ISNUMBER('Revenues &amp; Outlays in GDP'!C36),TEXT('Revenues &amp; Outlays in GDP'!C36, "0.00"),""), "")</f>
        <v/>
      </c>
      <c r="D30" s="20" t="str">
        <f>IFERROR(IF(ISNUMBER('Revenues &amp; Outlays in GDP'!H36),TEXT('Revenues &amp; Outlays in GDP'!H36, "0.00"),""), "")</f>
        <v>19.06</v>
      </c>
      <c r="E30" s="20" t="str">
        <f ca="1">IFERROR(IF(ISNUMBER('Revenues &amp; Outlays in GDP'!D36),TEXT('Revenues &amp; Outlays in GDP'!D36, "0.00"),""), "")</f>
        <v/>
      </c>
      <c r="F30" s="20">
        <f>IFERROR(IF(ISNUMBER('Revenues &amp; Outlays in GDP'!B36), 'Revenues &amp; Outlays in GDP'!J36,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GDP'!G37),TEXT('Revenues &amp; Outlays in GDP'!G37, "0.00"),""), "")</f>
        <v>15.55</v>
      </c>
      <c r="C31" s="20" t="str">
        <f ca="1">IFERROR(IF(ISNUMBER('Revenues &amp; Outlays in GDP'!C37),TEXT('Revenues &amp; Outlays in GDP'!C37, "0.00"),""), "")</f>
        <v/>
      </c>
      <c r="D31" s="20" t="str">
        <f>IFERROR(IF(ISNUMBER('Revenues &amp; Outlays in GDP'!H37),TEXT('Revenues &amp; Outlays in GDP'!H37, "0.00"),""), "")</f>
        <v>18.97</v>
      </c>
      <c r="E31" s="20" t="str">
        <f ca="1">IFERROR(IF(ISNUMBER('Revenues &amp; Outlays in GDP'!D37),TEXT('Revenues &amp; Outlays in GDP'!D37, "0.00"),""), "")</f>
        <v/>
      </c>
      <c r="F31" s="20">
        <f>IFERROR(IF(ISNUMBER('Revenues &amp; Outlays in GDP'!B37), 'Revenues &amp; Outlays in GDP'!J37,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GDP'!G38),TEXT('Revenues &amp; Outlays in GDP'!G38, "0.00"),""), "")</f>
        <v>16.71</v>
      </c>
      <c r="C32" s="20" t="str">
        <f ca="1">IFERROR(IF(ISNUMBER('Revenues &amp; Outlays in GDP'!C38),TEXT('Revenues &amp; Outlays in GDP'!C38, "0.00"),""), "")</f>
        <v/>
      </c>
      <c r="D32" s="20" t="str">
        <f>IFERROR(IF(ISNUMBER('Revenues &amp; Outlays in GDP'!H38),TEXT('Revenues &amp; Outlays in GDP'!H38, "0.00"),""), "")</f>
        <v>19.18</v>
      </c>
      <c r="E32" s="20" t="str">
        <f ca="1">IFERROR(IF(ISNUMBER('Revenues &amp; Outlays in GDP'!D38),TEXT('Revenues &amp; Outlays in GDP'!D38, "0.00"),""), "")</f>
        <v/>
      </c>
      <c r="F32" s="20">
        <f>IFERROR(IF(ISNUMBER('Revenues &amp; Outlays in GDP'!B38), 'Revenues &amp; Outlays in GDP'!J38,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GDP'!G39),TEXT('Revenues &amp; Outlays in GDP'!G39, "0.00"),""), "")</f>
        <v>17.59</v>
      </c>
      <c r="C33" s="20" t="str">
        <f ca="1">IFERROR(IF(ISNUMBER('Revenues &amp; Outlays in GDP'!C39),TEXT('Revenues &amp; Outlays in GDP'!C39, "0.00"),""), "")</f>
        <v/>
      </c>
      <c r="D33" s="20" t="str">
        <f>IFERROR(IF(ISNUMBER('Revenues &amp; Outlays in GDP'!H39),TEXT('Revenues &amp; Outlays in GDP'!H39, "0.00"),""), "")</f>
        <v>19.40</v>
      </c>
      <c r="E33" s="20" t="str">
        <f ca="1">IFERROR(IF(ISNUMBER('Revenues &amp; Outlays in GDP'!D39),TEXT('Revenues &amp; Outlays in GDP'!D39, "0.00"),""), "")</f>
        <v/>
      </c>
      <c r="F33" s="20">
        <f>IFERROR(IF(ISNUMBER('Revenues &amp; Outlays in GDP'!B39), 'Revenues &amp; Outlays in GDP'!J39,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GDP'!G40),TEXT('Revenues &amp; Outlays in GDP'!G40, "0.00"),""), "")</f>
        <v>17.93</v>
      </c>
      <c r="C34" s="20" t="str">
        <f ca="1">IFERROR(IF(ISNUMBER('Revenues &amp; Outlays in GDP'!C40),TEXT('Revenues &amp; Outlays in GDP'!C40, "0.00"),""), "")</f>
        <v/>
      </c>
      <c r="D34" s="20" t="str">
        <f>IFERROR(IF(ISNUMBER('Revenues &amp; Outlays in GDP'!H40),TEXT('Revenues &amp; Outlays in GDP'!H40, "0.00"),""), "")</f>
        <v>19.05</v>
      </c>
      <c r="E34" s="20" t="str">
        <f ca="1">IFERROR(IF(ISNUMBER('Revenues &amp; Outlays in GDP'!D40),TEXT('Revenues &amp; Outlays in GDP'!D40, "0.00"),""), "")</f>
        <v/>
      </c>
      <c r="F34" s="20">
        <f>IFERROR(IF(ISNUMBER('Revenues &amp; Outlays in GDP'!B40), 'Revenues &amp; Outlays in GDP'!J40,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GDP'!G41),TEXT('Revenues &amp; Outlays in GDP'!G41, "0.00"),""), "")</f>
        <v>17.11</v>
      </c>
      <c r="C35" s="20" t="str">
        <f ca="1">IFERROR(IF(ISNUMBER('Revenues &amp; Outlays in GDP'!C41),TEXT('Revenues &amp; Outlays in GDP'!C41, "0.00"),""), "")</f>
        <v/>
      </c>
      <c r="D35" s="20" t="str">
        <f>IFERROR(IF(ISNUMBER('Revenues &amp; Outlays in GDP'!H41),TEXT('Revenues &amp; Outlays in GDP'!H41, "0.00"),""), "")</f>
        <v>20.22</v>
      </c>
      <c r="E35" s="20" t="str">
        <f ca="1">IFERROR(IF(ISNUMBER('Revenues &amp; Outlays in GDP'!D41),TEXT('Revenues &amp; Outlays in GDP'!D41, "0.00"),""), "")</f>
        <v/>
      </c>
      <c r="F35" s="20">
        <f>IFERROR(IF(ISNUMBER('Revenues &amp; Outlays in GDP'!B41), 'Revenues &amp; Outlays in GDP'!J41,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GDP'!G42),TEXT('Revenues &amp; Outlays in GDP'!G42, "0.00"),""), "")</f>
        <v>14.60</v>
      </c>
      <c r="C36" s="20" t="str">
        <f ca="1">IFERROR(IF(ISNUMBER('Revenues &amp; Outlays in GDP'!C42),TEXT('Revenues &amp; Outlays in GDP'!C42, "0.00"),""), "")</f>
        <v/>
      </c>
      <c r="D36" s="20" t="str">
        <f>IFERROR(IF(ISNUMBER('Revenues &amp; Outlays in GDP'!H42),TEXT('Revenues &amp; Outlays in GDP'!H42, "0.00"),""), "")</f>
        <v>24.40</v>
      </c>
      <c r="E36" s="20" t="str">
        <f ca="1">IFERROR(IF(ISNUMBER('Revenues &amp; Outlays in GDP'!D42),TEXT('Revenues &amp; Outlays in GDP'!D42, "0.00"),""), "")</f>
        <v/>
      </c>
      <c r="F36" s="20">
        <f>IFERROR(IF(ISNUMBER('Revenues &amp; Outlays in GDP'!B42), 'Revenues &amp; Outlays in GDP'!J42,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GDP'!G43),TEXT('Revenues &amp; Outlays in GDP'!G43, "0.00"),""), "")</f>
        <v>14.61</v>
      </c>
      <c r="C37" s="20" t="str">
        <f ca="1">IFERROR(IF(ISNUMBER('Revenues &amp; Outlays in GDP'!C43),TEXT('Revenues &amp; Outlays in GDP'!C43, "0.00"),""), "")</f>
        <v/>
      </c>
      <c r="D37" s="20" t="str">
        <f>IFERROR(IF(ISNUMBER('Revenues &amp; Outlays in GDP'!H43),TEXT('Revenues &amp; Outlays in GDP'!H43, "0.00"),""), "")</f>
        <v>23.36</v>
      </c>
      <c r="E37" s="20" t="str">
        <f ca="1">IFERROR(IF(ISNUMBER('Revenues &amp; Outlays in GDP'!D43),TEXT('Revenues &amp; Outlays in GDP'!D43, "0.00"),""), "")</f>
        <v/>
      </c>
      <c r="F37" s="20">
        <f>IFERROR(IF(ISNUMBER('Revenues &amp; Outlays in GDP'!B43), 'Revenues &amp; Outlays in GDP'!J43,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GDP'!G44),TEXT('Revenues &amp; Outlays in GDP'!G44, "0.00"),""), "")</f>
        <v>14.98</v>
      </c>
      <c r="C38" s="20" t="str">
        <f ca="1">IFERROR(IF(ISNUMBER('Revenues &amp; Outlays in GDP'!C44),TEXT('Revenues &amp; Outlays in GDP'!C44, "0.00"),""), "")</f>
        <v/>
      </c>
      <c r="D38" s="20" t="str">
        <f>IFERROR(IF(ISNUMBER('Revenues &amp; Outlays in GDP'!H44),TEXT('Revenues &amp; Outlays in GDP'!H44, "0.00"),""), "")</f>
        <v>23.43</v>
      </c>
      <c r="E38" s="20" t="str">
        <f ca="1">IFERROR(IF(ISNUMBER('Revenues &amp; Outlays in GDP'!D44),TEXT('Revenues &amp; Outlays in GDP'!D44, "0.00"),""), "")</f>
        <v/>
      </c>
      <c r="F38" s="20">
        <f>IFERROR(IF(ISNUMBER('Revenues &amp; Outlays in GDP'!B44), 'Revenues &amp; Outlays in GDP'!J44,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GDP'!G45),TEXT('Revenues &amp; Outlays in GDP'!G45, "0.00"),""), "")</f>
        <v>15.29</v>
      </c>
      <c r="C39" s="20" t="str">
        <f ca="1">IFERROR(IF(ISNUMBER('Revenues &amp; Outlays in GDP'!C45),TEXT('Revenues &amp; Outlays in GDP'!C45, "0.00"),""), "")</f>
        <v/>
      </c>
      <c r="D39" s="20" t="str">
        <f>IFERROR(IF(ISNUMBER('Revenues &amp; Outlays in GDP'!H45),TEXT('Revenues &amp; Outlays in GDP'!H45, "0.00"),""), "")</f>
        <v>22.07</v>
      </c>
      <c r="E39" s="20" t="str">
        <f ca="1">IFERROR(IF(ISNUMBER('Revenues &amp; Outlays in GDP'!D45),TEXT('Revenues &amp; Outlays in GDP'!D45, "0.00"),""), "")</f>
        <v/>
      </c>
      <c r="F39" s="20">
        <f>IFERROR(IF(ISNUMBER('Revenues &amp; Outlays in GDP'!B45), 'Revenues &amp; Outlays in GDP'!J45,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GDP'!G46),TEXT('Revenues &amp; Outlays in GDP'!G46, "0.00"),""), "")</f>
        <v>16.74</v>
      </c>
      <c r="C40" s="20" t="str">
        <f ca="1">IFERROR(IF(ISNUMBER('Revenues &amp; Outlays in GDP'!C46),TEXT('Revenues &amp; Outlays in GDP'!C46, "0.00"),""), "")</f>
        <v/>
      </c>
      <c r="D40" s="20" t="str">
        <f>IFERROR(IF(ISNUMBER('Revenues &amp; Outlays in GDP'!H46),TEXT('Revenues &amp; Outlays in GDP'!H46, "0.00"),""), "")</f>
        <v>20.83</v>
      </c>
      <c r="E40" s="20" t="str">
        <f ca="1">IFERROR(IF(ISNUMBER('Revenues &amp; Outlays in GDP'!D46),TEXT('Revenues &amp; Outlays in GDP'!D46, "0.00"),""), "")</f>
        <v/>
      </c>
      <c r="F40" s="20">
        <f>IFERROR(IF(ISNUMBER('Revenues &amp; Outlays in GDP'!B46), 'Revenues &amp; Outlays in GDP'!J46,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GDP'!G47),TEXT('Revenues &amp; Outlays in GDP'!G47, "0.00"),""), "")</f>
        <v>17.51</v>
      </c>
      <c r="C41" s="20" t="str">
        <f ca="1">IFERROR(IF(ISNUMBER('Revenues &amp; Outlays in GDP'!C47),TEXT('Revenues &amp; Outlays in GDP'!C47, "0.00"),""), "")</f>
        <v>17.50</v>
      </c>
      <c r="D41" s="20" t="str">
        <f>IFERROR(IF(ISNUMBER('Revenues &amp; Outlays in GDP'!H47),TEXT('Revenues &amp; Outlays in GDP'!H47, "0.00"),""), "")</f>
        <v>20.31</v>
      </c>
      <c r="E41" s="20" t="str">
        <f ca="1">IFERROR(IF(ISNUMBER('Revenues &amp; Outlays in GDP'!D47),TEXT('Revenues &amp; Outlays in GDP'!D47, "0.00"),""), "")</f>
        <v>20.30</v>
      </c>
      <c r="F41" s="20">
        <f>IFERROR(IF(ISNUMBER('Revenues &amp; Outlays in GDP'!B47), 'Revenues &amp; Outlays in GDP'!J47,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GDP'!G48),TEXT('Revenues &amp; Outlays in GDP'!G48, "0.00"),""), "")</f>
        <v/>
      </c>
      <c r="C42" s="20" t="str">
        <f ca="1">IFERROR(IF(ISNUMBER('Revenues &amp; Outlays in GDP'!C48),TEXT('Revenues &amp; Outlays in GDP'!C48, "0.00"),""), "")</f>
        <v>17.70</v>
      </c>
      <c r="D42" s="20" t="str">
        <f>IFERROR(IF(ISNUMBER('Revenues &amp; Outlays in GDP'!H48),TEXT('Revenues &amp; Outlays in GDP'!H48, "0.00"),""), "")</f>
        <v/>
      </c>
      <c r="E42" s="20" t="str">
        <f ca="1">IFERROR(IF(ISNUMBER('Revenues &amp; Outlays in GDP'!D48),TEXT('Revenues &amp; Outlays in GDP'!D48, "0.00"),""), "")</f>
        <v>20.40</v>
      </c>
      <c r="F42" s="20">
        <f>IFERROR(IF(ISNUMBER('Revenues &amp; Outlays in GDP'!B48), 'Revenues &amp; Outlays in GDP'!J48,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GDP'!G49),TEXT('Revenues &amp; Outlays in GDP'!G49, "0.00"),""), "")</f>
        <v/>
      </c>
      <c r="C43" s="20" t="str">
        <f ca="1">IFERROR(IF(ISNUMBER('Revenues &amp; Outlays in GDP'!C49),TEXT('Revenues &amp; Outlays in GDP'!C49, "0.00"),""), "")</f>
        <v>18.40</v>
      </c>
      <c r="D43" s="20" t="str">
        <f>IFERROR(IF(ISNUMBER('Revenues &amp; Outlays in GDP'!H49),TEXT('Revenues &amp; Outlays in GDP'!H49, "0.00"),""), "")</f>
        <v/>
      </c>
      <c r="E43" s="20" t="str">
        <f ca="1">IFERROR(IF(ISNUMBER('Revenues &amp; Outlays in GDP'!D49),TEXT('Revenues &amp; Outlays in GDP'!D49, "0.00"),""), "")</f>
        <v>20.80</v>
      </c>
      <c r="F43" s="20">
        <f>IFERROR(IF(ISNUMBER('Revenues &amp; Outlays in GDP'!B49), 'Revenues &amp; Outlays in GDP'!J49,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GDP'!G50),TEXT('Revenues &amp; Outlays in GDP'!G50, "0.00"),""), "")</f>
        <v/>
      </c>
      <c r="C44" s="20" t="str">
        <f ca="1">IFERROR(IF(ISNUMBER('Revenues &amp; Outlays in GDP'!C50),TEXT('Revenues &amp; Outlays in GDP'!C50, "0.00"),""), "")</f>
        <v>18.30</v>
      </c>
      <c r="D44" s="20" t="str">
        <f>IFERROR(IF(ISNUMBER('Revenues &amp; Outlays in GDP'!H50),TEXT('Revenues &amp; Outlays in GDP'!H50, "0.00"),""), "")</f>
        <v/>
      </c>
      <c r="E44" s="20" t="str">
        <f ca="1">IFERROR(IF(ISNUMBER('Revenues &amp; Outlays in GDP'!D50),TEXT('Revenues &amp; Outlays in GDP'!D50, "0.00"),""), "")</f>
        <v>20.60</v>
      </c>
      <c r="F44" s="20">
        <f>IFERROR(IF(ISNUMBER('Revenues &amp; Outlays in GDP'!B50), 'Revenues &amp; Outlays in GDP'!J50,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GDP'!G51),TEXT('Revenues &amp; Outlays in GDP'!G51, "0.00"),""), "")</f>
        <v/>
      </c>
      <c r="C45" s="20" t="str">
        <f ca="1">IFERROR(IF(ISNUMBER('Revenues &amp; Outlays in GDP'!C51),TEXT('Revenues &amp; Outlays in GDP'!C51, "0.00"),""), "")</f>
        <v>18.10</v>
      </c>
      <c r="D45" s="20" t="str">
        <f>IFERROR(IF(ISNUMBER('Revenues &amp; Outlays in GDP'!H51),TEXT('Revenues &amp; Outlays in GDP'!H51, "0.00"),""), "")</f>
        <v/>
      </c>
      <c r="E45" s="20" t="str">
        <f ca="1">IFERROR(IF(ISNUMBER('Revenues &amp; Outlays in GDP'!D51),TEXT('Revenues &amp; Outlays in GDP'!D51, "0.00"),""), "")</f>
        <v>20.50</v>
      </c>
      <c r="F45" s="20">
        <f>IFERROR(IF(ISNUMBER('Revenues &amp; Outlays in GDP'!B51), 'Revenues &amp; Outlays in GDP'!J51,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GDP'!G52),TEXT('Revenues &amp; Outlays in GDP'!G52, "0.00"),""), "")</f>
        <v/>
      </c>
      <c r="C46" s="20" t="str">
        <f ca="1">IFERROR(IF(ISNUMBER('Revenues &amp; Outlays in GDP'!C52),TEXT('Revenues &amp; Outlays in GDP'!C52, "0.00"),""), "")</f>
        <v>18.10</v>
      </c>
      <c r="D46" s="20" t="str">
        <f>IFERROR(IF(ISNUMBER('Revenues &amp; Outlays in GDP'!H52),TEXT('Revenues &amp; Outlays in GDP'!H52, "0.00"),""), "")</f>
        <v/>
      </c>
      <c r="E46" s="20" t="str">
        <f ca="1">IFERROR(IF(ISNUMBER('Revenues &amp; Outlays in GDP'!D52),TEXT('Revenues &amp; Outlays in GDP'!D52, "0.00"),""), "")</f>
        <v>20.90</v>
      </c>
      <c r="F46" s="20">
        <f>IFERROR(IF(ISNUMBER('Revenues &amp; Outlays in GDP'!B52), 'Revenues &amp; Outlays in GDP'!J52,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GDP'!G53),TEXT('Revenues &amp; Outlays in GDP'!G53, "0.00"),""), "")</f>
        <v/>
      </c>
      <c r="C47" s="20" t="str">
        <f ca="1">IFERROR(IF(ISNUMBER('Revenues &amp; Outlays in GDP'!C53),TEXT('Revenues &amp; Outlays in GDP'!C53, "0.00"),""), "")</f>
        <v>18.10</v>
      </c>
      <c r="D47" s="20" t="str">
        <f>IFERROR(IF(ISNUMBER('Revenues &amp; Outlays in GDP'!H53),TEXT('Revenues &amp; Outlays in GDP'!H53, "0.00"),""), "")</f>
        <v/>
      </c>
      <c r="E47" s="20" t="str">
        <f ca="1">IFERROR(IF(ISNUMBER('Revenues &amp; Outlays in GDP'!D53),TEXT('Revenues &amp; Outlays in GDP'!D53, "0.00"),""), "")</f>
        <v>21.20</v>
      </c>
      <c r="F47" s="20">
        <f>IFERROR(IF(ISNUMBER('Revenues &amp; Outlays in GDP'!B53), 'Revenues &amp; Outlays in GDP'!J53,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GDP'!G54),TEXT('Revenues &amp; Outlays in GDP'!G54, "0.00"),""), "")</f>
        <v/>
      </c>
      <c r="C48" s="20" t="str">
        <f ca="1">IFERROR(IF(ISNUMBER('Revenues &amp; Outlays in GDP'!C54),TEXT('Revenues &amp; Outlays in GDP'!C54, "0.00"),""), "")</f>
        <v>18.10</v>
      </c>
      <c r="D48" s="20" t="str">
        <f>IFERROR(IF(ISNUMBER('Revenues &amp; Outlays in GDP'!H54),TEXT('Revenues &amp; Outlays in GDP'!H54, "0.00"),""), "")</f>
        <v/>
      </c>
      <c r="E48" s="20" t="str">
        <f ca="1">IFERROR(IF(ISNUMBER('Revenues &amp; Outlays in GDP'!D54),TEXT('Revenues &amp; Outlays in GDP'!D54, "0.00"),""), "")</f>
        <v>21.40</v>
      </c>
      <c r="F48" s="20">
        <f>IFERROR(IF(ISNUMBER('Revenues &amp; Outlays in GDP'!B54), 'Revenues &amp; Outlays in GDP'!J54,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GDP'!G55),TEXT('Revenues &amp; Outlays in GDP'!G55, "0.00"),""), "")</f>
        <v/>
      </c>
      <c r="C49" s="20" t="str">
        <f ca="1">IFERROR(IF(ISNUMBER('Revenues &amp; Outlays in GDP'!C55),TEXT('Revenues &amp; Outlays in GDP'!C55, "0.00"),""), "")</f>
        <v>18.10</v>
      </c>
      <c r="D49" s="20" t="str">
        <f>IFERROR(IF(ISNUMBER('Revenues &amp; Outlays in GDP'!H55),TEXT('Revenues &amp; Outlays in GDP'!H55, "0.00"),""), "")</f>
        <v/>
      </c>
      <c r="E49" s="20" t="str">
        <f ca="1">IFERROR(IF(ISNUMBER('Revenues &amp; Outlays in GDP'!D55),TEXT('Revenues &amp; Outlays in GDP'!D55, "0.00"),""), "")</f>
        <v>21.80</v>
      </c>
      <c r="F49" s="20">
        <f>IFERROR(IF(ISNUMBER('Revenues &amp; Outlays in GDP'!B55), 'Revenues &amp; Outlays in GDP'!J55,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GDP'!G56),TEXT('Revenues &amp; Outlays in GDP'!G56, "0.00"),""), "")</f>
        <v/>
      </c>
      <c r="C50" s="20" t="str">
        <f ca="1">IFERROR(IF(ISNUMBER('Revenues &amp; Outlays in GDP'!C56),TEXT('Revenues &amp; Outlays in GDP'!C56, "0.00"),""), "")</f>
        <v>18.20</v>
      </c>
      <c r="D50" s="20" t="str">
        <f>IFERROR(IF(ISNUMBER('Revenues &amp; Outlays in GDP'!H56),TEXT('Revenues &amp; Outlays in GDP'!H56, "0.00"),""), "")</f>
        <v/>
      </c>
      <c r="E50" s="20" t="str">
        <f ca="1">IFERROR(IF(ISNUMBER('Revenues &amp; Outlays in GDP'!D56),TEXT('Revenues &amp; Outlays in GDP'!D56, "0.00"),""), "")</f>
        <v>21.80</v>
      </c>
      <c r="F50" s="20">
        <f>IFERROR(IF(ISNUMBER('Revenues &amp; Outlays in GDP'!B56), 'Revenues &amp; Outlays in GDP'!J56,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GDP'!G57),TEXT('Revenues &amp; Outlays in GDP'!G57, "0.00"),""), "")</f>
        <v/>
      </c>
      <c r="C51" s="20" t="str">
        <f ca="1">IFERROR(IF(ISNUMBER('Revenues &amp; Outlays in GDP'!C57),TEXT('Revenues &amp; Outlays in GDP'!C57, "0.00"),""), "")</f>
        <v>18.20</v>
      </c>
      <c r="D51" s="20" t="str">
        <f>IFERROR(IF(ISNUMBER('Revenues &amp; Outlays in GDP'!H57),TEXT('Revenues &amp; Outlays in GDP'!H57, "0.00"),""), "")</f>
        <v/>
      </c>
      <c r="E51" s="20" t="str">
        <f ca="1">IFERROR(IF(ISNUMBER('Revenues &amp; Outlays in GDP'!D57),TEXT('Revenues &amp; Outlays in GDP'!D57, "0.00"),""), "")</f>
        <v>21.70</v>
      </c>
      <c r="F51" s="20">
        <f>IFERROR(IF(ISNUMBER('Revenues &amp; Outlays in GDP'!B57), 'Revenues &amp; Outlays in GDP'!J57,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GDP'!G58),TEXT('Revenues &amp; Outlays in GDP'!G58,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GDP'!H58),TEXT('Revenues &amp; Outlays in GDP'!H58,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GDP'!J58,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GDP'!G59),TEXT('Revenues &amp; Outlays in GDP'!G59,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GDP'!H59),TEXT('Revenues &amp; Outlays in GDP'!H59,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GDP'!J59,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GDP'!G60),TEXT('Revenues &amp; Outlays in GDP'!G60,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GDP'!H60),TEXT('Revenues &amp; Outlays in GDP'!H60,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GDP'!J60,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GDP'!G61),TEXT('Revenues &amp; Outlays in GDP'!G61,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GDP'!H61),TEXT('Revenues &amp; Outlays in GDP'!H61,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GDP'!J61,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GDP'!G62),TEXT('Revenues &amp; Outlays in GDP'!G62,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GDP'!H62),TEXT('Revenues &amp; Outlays in GDP'!H62,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GDP'!J62,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GDP'!G63),TEXT('Revenues &amp; Outlays in GDP'!G63,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GDP'!H63),TEXT('Revenues &amp; Outlays in GDP'!H63,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GDP'!J63,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GDP'!G64),TEXT('Revenues &amp; Outlays in GDP'!G64,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GDP'!H64),TEXT('Revenues &amp; Outlays in GDP'!H64,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GDP'!J64,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GDP'!G65),TEXT('Revenues &amp; Outlays in GDP'!G65,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GDP'!H65),TEXT('Revenues &amp; Outlays in GDP'!H65,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GDP'!J65,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GDP'!G66),TEXT('Revenues &amp; Outlays in GDP'!G66,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GDP'!H66),TEXT('Revenues &amp; Outlays in GDP'!H66,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GDP'!J66,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GDP'!G67),TEXT('Revenues &amp; Outlays in GDP'!G67,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GDP'!H67),TEXT('Revenues &amp; Outlays in GDP'!H67,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GDP'!J67,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GDP'!G68),TEXT('Revenues &amp; Outlays in GDP'!G68,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GDP'!H68),TEXT('Revenues &amp; Outlays in GDP'!H68,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GDP'!J68,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GDP'!G69),TEXT('Revenues &amp; Outlays in GDP'!G69,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GDP'!H69),TEXT('Revenues &amp; Outlays in GDP'!H69,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GDP'!J69,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GDP'!G70),TEXT('Revenues &amp; Outlays in GDP'!G70,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GDP'!H70),TEXT('Revenues &amp; Outlays in GDP'!H70,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GDP'!J70,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GDP'!G71),TEXT('Revenues &amp; Outlays in GDP'!G71,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GDP'!H71),TEXT('Revenues &amp; Outlays in GDP'!H71,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GDP'!J71,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GDP'!G72),TEXT('Revenues &amp; Outlays in GDP'!G72,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GDP'!H72),TEXT('Revenues &amp; Outlays in GDP'!H72,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GDP'!J72,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GDP'!G73),TEXT('Revenues &amp; Outlays in GDP'!G73,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GDP'!H73),TEXT('Revenues &amp; Outlays in GDP'!H73,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GDP'!J73,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GDP'!G74),TEXT('Revenues &amp; Outlays in GDP'!G74,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GDP'!H74),TEXT('Revenues &amp; Outlays in GDP'!H74,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GDP'!J74,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GDP'!G75),TEXT('Revenues &amp; Outlays in GDP'!G75,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GDP'!H75),TEXT('Revenues &amp; Outlays in GDP'!H75,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GDP'!J75,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GDP'!G76),TEXT('Revenues &amp; Outlays in GDP'!G76,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GDP'!H76),TEXT('Revenues &amp; Outlays in GDP'!H76,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GDP'!J76,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GDP'!G77),TEXT('Revenues &amp; Outlays in GDP'!G77,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GDP'!H77),TEXT('Revenues &amp; Outlays in GDP'!H77,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GDP'!J77,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GDP'!G78),TEXT('Revenues &amp; Outlays in GDP'!G78,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GDP'!H78),TEXT('Revenues &amp; Outlays in GDP'!H78,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GDP'!J78,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GDP'!G79),TEXT('Revenues &amp; Outlays in GDP'!G79,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GDP'!H79),TEXT('Revenues &amp; Outlays in GDP'!H79,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GDP'!J79,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GDP'!G80),TEXT('Revenues &amp; Outlays in GDP'!G80,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GDP'!H80),TEXT('Revenues &amp; Outlays in GDP'!H80,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GDP'!J80,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GDP'!G81),TEXT('Revenues &amp; Outlays in GDP'!G81,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GDP'!H81),TEXT('Revenues &amp; Outlays in GDP'!H81,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GDP'!J81,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GDP'!G82),TEXT('Revenues &amp; Outlays in GDP'!G82,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GDP'!H82),TEXT('Revenues &amp; Outlays in GDP'!H82,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GDP'!J82,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GDP'!G83),TEXT('Revenues &amp; Outlays in GDP'!G83,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GDP'!H83),TEXT('Revenues &amp; Outlays in GDP'!H83,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GDP'!J83,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GDP'!G84),TEXT('Revenues &amp; Outlays in GDP'!G84,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GDP'!H84),TEXT('Revenues &amp; Outlays in GDP'!H84,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GDP'!J84,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GDP'!G85),TEXT('Revenues &amp; Outlays in GDP'!G85,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GDP'!H85),TEXT('Revenues &amp; Outlays in GDP'!H85,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GDP'!J85,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GDP'!G86),TEXT('Revenues &amp; Outlays in GDP'!G86,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GDP'!H86),TEXT('Revenues &amp; Outlays in GDP'!H86,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GDP'!J86,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GDP'!G87),TEXT('Revenues &amp; Outlays in GDP'!G87,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GDP'!H87),TEXT('Revenues &amp; Outlays in GDP'!H87,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GDP'!J87,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GDP'!G88),TEXT('Revenues &amp; Outlays in GDP'!G88,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GDP'!H88),TEXT('Revenues &amp; Outlays in GDP'!H88,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GDP'!J88,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GDP'!G89),TEXT('Revenues &amp; Outlays in GDP'!G89,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GDP'!H89),TEXT('Revenues &amp; Outlays in GDP'!H89,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GDP'!J89,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GDP'!G90),TEXT('Revenues &amp; Outlays in GDP'!G90,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GDP'!H90),TEXT('Revenues &amp; Outlays in GDP'!H90,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GDP'!J90,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GDP'!G91),TEXT('Revenues &amp; Outlays in GDP'!G91,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GDP'!H91),TEXT('Revenues &amp; Outlays in GDP'!H91,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GDP'!J91,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GDP'!G92),TEXT('Revenues &amp; Outlays in GDP'!G92,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GDP'!H92),TEXT('Revenues &amp; Outlays in GDP'!H92,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GDP'!J92,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GDP'!G93),TEXT('Revenues &amp; Outlays in GDP'!G93,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GDP'!H93),TEXT('Revenues &amp; Outlays in GDP'!H93,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GDP'!J93,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GDP'!G94),TEXT('Revenues &amp; Outlays in GDP'!G94,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GDP'!H94),TEXT('Revenues &amp; Outlays in GDP'!H94,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GDP'!J94,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GDP'!G95),TEXT('Revenues &amp; Outlays in GDP'!G95,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GDP'!H95),TEXT('Revenues &amp; Outlays in GDP'!H95,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GDP'!J95,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GDP'!G96),TEXT('Revenues &amp; Outlays in GDP'!G96,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GDP'!H96),TEXT('Revenues &amp; Outlays in GDP'!H96,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GDP'!J96,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GDP'!G97),TEXT('Revenues &amp; Outlays in GDP'!G97,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GDP'!H97),TEXT('Revenues &amp; Outlays in GDP'!H97,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GDP'!J97,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GDP'!G98),TEXT('Revenues &amp; Outlays in GDP'!G98,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GDP'!H98),TEXT('Revenues &amp; Outlays in GDP'!H98,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GDP'!J98,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GDP'!G99),TEXT('Revenues &amp; Outlays in GDP'!G99,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GDP'!H99),TEXT('Revenues &amp; Outlays in GDP'!H99,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GDP'!J99,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GDP'!G100),TEXT('Revenues &amp; Outlays in GDP'!G100,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GDP'!H100),TEXT('Revenues &amp; Outlays in GDP'!H100,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GDP'!J100,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GDP'!G101),TEXT('Revenues &amp; Outlays in GDP'!G101,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GDP'!H101),TEXT('Revenues &amp; Outlays in GDP'!H101,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GDP'!J101,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GDP'!G102),TEXT('Revenues &amp; Outlays in GDP'!G102,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GDP'!H102),TEXT('Revenues &amp; Outlays in GDP'!H102,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GDP'!J102,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GDP'!G103),TEXT('Revenues &amp; Outlays in GDP'!G103,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GDP'!H103),TEXT('Revenues &amp; Outlays in GDP'!H103,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GDP'!J103,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GDP'!G104),TEXT('Revenues &amp; Outlays in GDP'!G104,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GDP'!H104),TEXT('Revenues &amp; Outlays in GDP'!H104,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GDP'!J104,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GDP'!G105),TEXT('Revenues &amp; Outlays in GDP'!G105,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GDP'!H105),TEXT('Revenues &amp; Outlays in GDP'!H105,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GDP'!J105,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GDP'!G106),TEXT('Revenues &amp; Outlays in GDP'!G106,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GDP'!H106),TEXT('Revenues &amp; Outlays in GDP'!H106,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GDP'!J106,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GDP'!G107),TEXT('Revenues &amp; Outlays in GDP'!G107,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GDP'!H107),TEXT('Revenues &amp; Outlays in GDP'!H107,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GDP'!J107,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GDP'!G108),TEXT('Revenues &amp; Outlays in GDP'!G108,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GDP'!H108),TEXT('Revenues &amp; Outlays in GDP'!H108,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GDP'!J108,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GDP'!G109),TEXT('Revenues &amp; Outlays in GDP'!G109,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GDP'!H109),TEXT('Revenues &amp; Outlays in GDP'!H109,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GDP'!J109,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GDP'!G110),TEXT('Revenues &amp; Outlays in GDP'!G110,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GDP'!H110),TEXT('Revenues &amp; Outlays in GDP'!H110,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GDP'!J110,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GDP'!G111),TEXT('Revenues &amp; Outlays in GDP'!G111,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GDP'!H111),TEXT('Revenues &amp; Outlays in GDP'!H111,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GDP'!J111,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GDP'!G112),TEXT('Revenues &amp; Outlays in GDP'!G112,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GDP'!H112),TEXT('Revenues &amp; Outlays in GDP'!H112,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GDP'!J112,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GDP'!G113),TEXT('Revenues &amp; Outlays in GDP'!G113,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GDP'!H113),TEXT('Revenues &amp; Outlays in GDP'!H113,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GDP'!J113,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GDP'!G114),TEXT('Revenues &amp; Outlays in GDP'!G114,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GDP'!H114),TEXT('Revenues &amp; Outlays in GDP'!H114,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GDP'!J114,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GDP'!G115),TEXT('Revenues &amp; Outlays in GDP'!G115,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GDP'!H115),TEXT('Revenues &amp; Outlays in GDP'!H115,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GDP'!J115,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GDP'!G116),TEXT('Revenues &amp; Outlays in GDP'!G116,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GDP'!H116),TEXT('Revenues &amp; Outlays in GDP'!H116,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GDP'!J116,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GDP'!G117),TEXT('Revenues &amp; Outlays in GDP'!G117,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GDP'!H117),TEXT('Revenues &amp; Outlays in GDP'!H117,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GDP'!J117,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GDP'!G118),TEXT('Revenues &amp; Outlays in GDP'!G118,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GDP'!H118),TEXT('Revenues &amp; Outlays in GDP'!H118,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GDP'!J118,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GDP'!G119),TEXT('Revenues &amp; Outlays in GDP'!G119,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GDP'!H119),TEXT('Revenues &amp; Outlays in GDP'!H119,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GDP'!J119,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GDP'!G120),TEXT('Revenues &amp; Outlays in GDP'!G120,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GDP'!H120),TEXT('Revenues &amp; Outlays in GDP'!H120,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GDP'!J120,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GDP'!G121),TEXT('Revenues &amp; Outlays in GDP'!G121,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GDP'!H121),TEXT('Revenues &amp; Outlays in GDP'!H121,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GDP'!J121,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GDP'!G122),TEXT('Revenues &amp; Outlays in GDP'!G122,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GDP'!H122),TEXT('Revenues &amp; Outlays in GDP'!H122,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GDP'!J122,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GDP'!G123),TEXT('Revenues &amp; Outlays in GDP'!G123,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GDP'!H123),TEXT('Revenues &amp; Outlays in GDP'!H123,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GDP'!J123,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GDP'!G124),TEXT('Revenues &amp; Outlays in GDP'!G124,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GDP'!H124),TEXT('Revenues &amp; Outlays in GDP'!H124,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GDP'!J124,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GDP'!G125),TEXT('Revenues &amp; Outlays in GDP'!G125,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GDP'!H125),TEXT('Revenues &amp; Outlays in GDP'!H125,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GDP'!J125,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GDP'!G126),TEXT('Revenues &amp; Outlays in GDP'!G126,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GDP'!H126),TEXT('Revenues &amp; Outlays in GDP'!H126,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GDP'!J126,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GDP'!G127),TEXT('Revenues &amp; Outlays in GDP'!G127,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GDP'!H127),TEXT('Revenues &amp; Outlays in GDP'!H127,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GDP'!J127,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GDP'!G128),TEXT('Revenues &amp; Outlays in GDP'!G128,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GDP'!H128),TEXT('Revenues &amp; Outlays in GDP'!H128,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GDP'!J128,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GDP'!G129),TEXT('Revenues &amp; Outlays in GDP'!G129,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GDP'!H129),TEXT('Revenues &amp; Outlays in GDP'!H129,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GDP'!J129,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GDP'!G130),TEXT('Revenues &amp; Outlays in GDP'!G130,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GDP'!H130),TEXT('Revenues &amp; Outlays in GDP'!H130,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GDP'!J130,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GDP'!G131),TEXT('Revenues &amp; Outlays in GDP'!G131,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GDP'!H131),TEXT('Revenues &amp; Outlays in GDP'!H131,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GDP'!J131,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GDP'!G132),TEXT('Revenues &amp; Outlays in GDP'!G132,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GDP'!H132),TEXT('Revenues &amp; Outlays in GDP'!H132,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GDP'!J132,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GDP'!G133),TEXT('Revenues &amp; Outlays in GDP'!G133,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GDP'!H133),TEXT('Revenues &amp; Outlays in GDP'!H133,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GDP'!J133,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GDP'!G134),TEXT('Revenues &amp; Outlays in GDP'!G134,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GDP'!H134),TEXT('Revenues &amp; Outlays in GDP'!H134,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GDP'!J134,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GDP'!G135),TEXT('Revenues &amp; Outlays in GDP'!G135,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GDP'!H135),TEXT('Revenues &amp; Outlays in GDP'!H135,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GDP'!J135,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GDP'!G136),TEXT('Revenues &amp; Outlays in GDP'!G136,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GDP'!H136),TEXT('Revenues &amp; Outlays in GDP'!H136,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GDP'!J136,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GDP'!G137),TEXT('Revenues &amp; Outlays in GDP'!G137,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GDP'!H137),TEXT('Revenues &amp; Outlays in GDP'!H137,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GDP'!J137,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GDP'!G138),TEXT('Revenues &amp; Outlays in GDP'!G138,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GDP'!H138),TEXT('Revenues &amp; Outlays in GDP'!H138,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GDP'!J138,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GDP'!G139),TEXT('Revenues &amp; Outlays in GDP'!G139,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GDP'!H139),TEXT('Revenues &amp; Outlays in GDP'!H139,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GDP'!J139,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GDP'!G140),TEXT('Revenues &amp; Outlays in GDP'!G140,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GDP'!H140),TEXT('Revenues &amp; Outlays in GDP'!H140,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GDP'!J140,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GDP'!G141),TEXT('Revenues &amp; Outlays in GDP'!G141,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GDP'!H141),TEXT('Revenues &amp; Outlays in GDP'!H141,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GDP'!J141,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GDP'!G142),TEXT('Revenues &amp; Outlays in GDP'!G142,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GDP'!H142),TEXT('Revenues &amp; Outlays in GDP'!H142,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GDP'!J142,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GDP'!G143),TEXT('Revenues &amp; Outlays in GDP'!G143,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GDP'!H143),TEXT('Revenues &amp; Outlays in GDP'!H143,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GDP'!J143,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GDP'!G144),TEXT('Revenues &amp; Outlays in GDP'!G144,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GDP'!H144),TEXT('Revenues &amp; Outlays in GDP'!H144,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GDP'!J144,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GDP'!G145),TEXT('Revenues &amp; Outlays in GDP'!G145,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GDP'!H145),TEXT('Revenues &amp; Outlays in GDP'!H145,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GDP'!J145,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GDP'!G146),TEXT('Revenues &amp; Outlays in GDP'!G146,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GDP'!H146),TEXT('Revenues &amp; Outlays in GDP'!H146,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GDP'!J146,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GDP'!G147),TEXT('Revenues &amp; Outlays in GDP'!G147,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GDP'!H147),TEXT('Revenues &amp; Outlays in GDP'!H147,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GDP'!J147,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GDP'!G148),TEXT('Revenues &amp; Outlays in GDP'!G148,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GDP'!H148),TEXT('Revenues &amp; Outlays in GDP'!H148,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GDP'!J148,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GDP'!G149),TEXT('Revenues &amp; Outlays in GDP'!G149,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GDP'!H149),TEXT('Revenues &amp; Outlays in GDP'!H149,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GDP'!J149,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GDP'!G150),TEXT('Revenues &amp; Outlays in GDP'!G150,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GDP'!H150),TEXT('Revenues &amp; Outlays in GDP'!H150,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GDP'!J150,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GDP'!G151),TEXT('Revenues &amp; Outlays in GDP'!G151,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GDP'!H151),TEXT('Revenues &amp; Outlays in GDP'!H151,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GDP'!J151,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GDP'!G152),TEXT('Revenues &amp; Outlays in GDP'!G152,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GDP'!H152),TEXT('Revenues &amp; Outlays in GDP'!H152,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GDP'!J152,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GDP'!G153),TEXT('Revenues &amp; Outlays in GDP'!G153,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GDP'!H153),TEXT('Revenues &amp; Outlays in GDP'!H153,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GDP'!J153,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GDP'!G154),TEXT('Revenues &amp; Outlays in GDP'!G154,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GDP'!H154),TEXT('Revenues &amp; Outlays in GDP'!H154,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GDP'!J154,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GDP'!G155),TEXT('Revenues &amp; Outlays in GDP'!G155,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GDP'!H155),TEXT('Revenues &amp; Outlays in GDP'!H155,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GDP'!J155,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GDP'!G156),TEXT('Revenues &amp; Outlays in GDP'!G156,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GDP'!H156),TEXT('Revenues &amp; Outlays in GDP'!H156,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GDP'!J156,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GDP'!G157),TEXT('Revenues &amp; Outlays in GDP'!G157,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GDP'!H157),TEXT('Revenues &amp; Outlays in GDP'!H157,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GDP'!J157,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GDP'!G158),TEXT('Revenues &amp; Outlays in GDP'!G158,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GDP'!H158),TEXT('Revenues &amp; Outlays in GDP'!H158,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GDP'!J158,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GDP'!G159),TEXT('Revenues &amp; Outlays in GDP'!G159,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GDP'!H159),TEXT('Revenues &amp; Outlays in GDP'!H159,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GDP'!J159,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GDP'!G160),TEXT('Revenues &amp; Outlays in GDP'!G160,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GDP'!H160),TEXT('Revenues &amp; Outlays in GDP'!H160,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GDP'!J160,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GDP'!G161),TEXT('Revenues &amp; Outlays in GDP'!G161,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GDP'!H161),TEXT('Revenues &amp; Outlays in GDP'!H161,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GDP'!J161,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GDP'!G162),TEXT('Revenues &amp; Outlays in GDP'!G162,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GDP'!H162),TEXT('Revenues &amp; Outlays in GDP'!H162,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GDP'!J162,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GDP'!G163),TEXT('Revenues &amp; Outlays in GDP'!G163,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GDP'!H163),TEXT('Revenues &amp; Outlays in GDP'!H163,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GDP'!J163,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GDP'!G164),TEXT('Revenues &amp; Outlays in GDP'!G164,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GDP'!H164),TEXT('Revenues &amp; Outlays in GDP'!H164,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GDP'!J164,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GDP'!G165),TEXT('Revenues &amp; Outlays in GDP'!G165,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GDP'!H165),TEXT('Revenues &amp; Outlays in GDP'!H165,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GDP'!J165,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GDP'!G166),TEXT('Revenues &amp; Outlays in GDP'!G166,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GDP'!H166),TEXT('Revenues &amp; Outlays in GDP'!H166,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GDP'!J166,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GDP'!G167),TEXT('Revenues &amp; Outlays in GDP'!G167,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GDP'!H167),TEXT('Revenues &amp; Outlays in GDP'!H167,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GDP'!J167,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GDP'!G168),TEXT('Revenues &amp; Outlays in GDP'!G168,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GDP'!H168),TEXT('Revenues &amp; Outlays in GDP'!H168,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GDP'!J168,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GDP'!G169),TEXT('Revenues &amp; Outlays in GDP'!G169,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GDP'!H169),TEXT('Revenues &amp; Outlays in GDP'!H169,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GDP'!J169,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GDP'!G170),TEXT('Revenues &amp; Outlays in GDP'!G170,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GDP'!H170),TEXT('Revenues &amp; Outlays in GDP'!H170,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GDP'!J170,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GDP'!G171),TEXT('Revenues &amp; Outlays in GDP'!G171,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GDP'!H171),TEXT('Revenues &amp; Outlays in GDP'!H171,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GDP'!J171,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GDP'!G172),TEXT('Revenues &amp; Outlays in GDP'!G172,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GDP'!H172),TEXT('Revenues &amp; Outlays in GDP'!H172,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GDP'!J172,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GDP'!G173),TEXT('Revenues &amp; Outlays in GDP'!G173,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GDP'!H173),TEXT('Revenues &amp; Outlays in GDP'!H173,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GDP'!J173,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GDP'!G174),TEXT('Revenues &amp; Outlays in GDP'!G174,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GDP'!H174),TEXT('Revenues &amp; Outlays in GDP'!H174,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GDP'!J174,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GDP'!G175),TEXT('Revenues &amp; Outlays in GDP'!G175,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GDP'!H175),TEXT('Revenues &amp; Outlays in GDP'!H175,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GDP'!J175,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GDP'!G176),TEXT('Revenues &amp; Outlays in GDP'!G176,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GDP'!H176),TEXT('Revenues &amp; Outlays in GDP'!H176,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GDP'!J176,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GDP'!G177),TEXT('Revenues &amp; Outlays in GDP'!G177,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GDP'!H177),TEXT('Revenues &amp; Outlays in GDP'!H177,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GDP'!J177,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GDP'!G178),TEXT('Revenues &amp; Outlays in GDP'!G178,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GDP'!H178),TEXT('Revenues &amp; Outlays in GDP'!H178,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GDP'!J178,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GDP'!G179),TEXT('Revenues &amp; Outlays in GDP'!G179,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GDP'!H179),TEXT('Revenues &amp; Outlays in GDP'!H179,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GDP'!J179,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GDP'!G180),TEXT('Revenues &amp; Outlays in GDP'!G180,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GDP'!H180),TEXT('Revenues &amp; Outlays in GDP'!H180,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GDP'!J180,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GDP'!G181),TEXT('Revenues &amp; Outlays in GDP'!G181,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GDP'!H181),TEXT('Revenues &amp; Outlays in GDP'!H181,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GDP'!J181,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GDP'!G182),TEXT('Revenues &amp; Outlays in GDP'!G182,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GDP'!H182),TEXT('Revenues &amp; Outlays in GDP'!H182,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GDP'!J182,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GDP'!G183),TEXT('Revenues &amp; Outlays in GDP'!G183,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GDP'!H183),TEXT('Revenues &amp; Outlays in GDP'!H183,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GDP'!J183,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GDP'!G184),TEXT('Revenues &amp; Outlays in GDP'!G184,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GDP'!H184),TEXT('Revenues &amp; Outlays in GDP'!H184,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GDP'!J184,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GDP'!G185),TEXT('Revenues &amp; Outlays in GDP'!G185,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GDP'!H185),TEXT('Revenues &amp; Outlays in GDP'!H185,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GDP'!J185,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GDP'!G186),TEXT('Revenues &amp; Outlays in GDP'!G186,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GDP'!H186),TEXT('Revenues &amp; Outlays in GDP'!H186,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GDP'!J186,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GDP'!G187),TEXT('Revenues &amp; Outlays in GDP'!G187,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GDP'!H187),TEXT('Revenues &amp; Outlays in GDP'!H187,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GDP'!J187,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GDP'!G188),TEXT('Revenues &amp; Outlays in GDP'!G188,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GDP'!H188),TEXT('Revenues &amp; Outlays in GDP'!H188,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GDP'!J188,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GDP'!G189),TEXT('Revenues &amp; Outlays in GDP'!G189,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GDP'!H189),TEXT('Revenues &amp; Outlays in GDP'!H189,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GDP'!J189,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GDP'!G190),TEXT('Revenues &amp; Outlays in GDP'!G190,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GDP'!H190),TEXT('Revenues &amp; Outlays in GDP'!H190,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GDP'!J190,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GDP'!G191),TEXT('Revenues &amp; Outlays in GDP'!G191,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GDP'!H191),TEXT('Revenues &amp; Outlays in GDP'!H191,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GDP'!J191,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GDP'!G192),TEXT('Revenues &amp; Outlays in GDP'!G192,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GDP'!H192),TEXT('Revenues &amp; Outlays in GDP'!H192,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GDP'!J192,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GDP'!G193),TEXT('Revenues &amp; Outlays in GDP'!G193,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GDP'!H193),TEXT('Revenues &amp; Outlays in GDP'!H193,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GDP'!J193,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GDP'!G194),TEXT('Revenues &amp; Outlays in GDP'!G194,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GDP'!H194),TEXT('Revenues &amp; Outlays in GDP'!H194,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GDP'!J194,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GDP'!G195),TEXT('Revenues &amp; Outlays in GDP'!G195,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GDP'!H195),TEXT('Revenues &amp; Outlays in GDP'!H195,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GDP'!J195,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GDP'!G196),TEXT('Revenues &amp; Outlays in GDP'!G196,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GDP'!H196),TEXT('Revenues &amp; Outlays in GDP'!H196,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GDP'!J196,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GDP'!G197),TEXT('Revenues &amp; Outlays in GDP'!G197,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GDP'!H197),TEXT('Revenues &amp; Outlays in GDP'!H197,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GDP'!J197,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GDP'!G198),TEXT('Revenues &amp; Outlays in GDP'!G198,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GDP'!H198),TEXT('Revenues &amp; Outlays in GDP'!H198,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GDP'!J198,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GDP'!G199),TEXT('Revenues &amp; Outlays in GDP'!G199,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GDP'!H199),TEXT('Revenues &amp; Outlays in GDP'!H199,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GDP'!J199,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GDP'!G200),TEXT('Revenues &amp; Outlays in GDP'!G200,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GDP'!H200),TEXT('Revenues &amp; Outlays in GDP'!H200,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GDP'!J200,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GDP'!G201),TEXT('Revenues &amp; Outlays in GDP'!G201,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GDP'!H201),TEXT('Revenues &amp; Outlays in GDP'!H201,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GDP'!J201,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GDP'!G202),TEXT('Revenues &amp; Outlays in GDP'!G202,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GDP'!H202),TEXT('Revenues &amp; Outlays in GDP'!H202,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GDP'!J202,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GDP'!G203),TEXT('Revenues &amp; Outlays in GDP'!G203,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GDP'!H203),TEXT('Revenues &amp; Outlays in GDP'!H203,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GDP'!J203,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GDP'!G204),TEXT('Revenues &amp; Outlays in GDP'!G204,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GDP'!H204),TEXT('Revenues &amp; Outlays in GDP'!H204,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GDP'!J204,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GDP'!G205),TEXT('Revenues &amp; Outlays in GDP'!G205,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GDP'!H205),TEXT('Revenues &amp; Outlays in GDP'!H205,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GDP'!J205,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GDP'!G206),TEXT('Revenues &amp; Outlays in GDP'!G206,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GDP'!H206),TEXT('Revenues &amp; Outlays in GDP'!H206,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GDP'!J206,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GDP'!G207),TEXT('Revenues &amp; Outlays in GDP'!G207,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GDP'!H207),TEXT('Revenues &amp; Outlays in GDP'!H207,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GDP'!J207,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GDP'!G208),TEXT('Revenues &amp; Outlays in GDP'!G208,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GDP'!H208),TEXT('Revenues &amp; Outlays in GDP'!H208,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GDP'!J208,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GDP'!G209),TEXT('Revenues &amp; Outlays in GDP'!G209,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GDP'!H209),TEXT('Revenues &amp; Outlays in GDP'!H209,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GDP'!J209,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GDP'!G210),TEXT('Revenues &amp; Outlays in GDP'!G210,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GDP'!H210),TEXT('Revenues &amp; Outlays in GDP'!H210,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GDP'!J210,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GDP'!G211),TEXT('Revenues &amp; Outlays in GDP'!G211,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GDP'!H211),TEXT('Revenues &amp; Outlays in GDP'!H211,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GDP'!J211,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GDP'!G212),TEXT('Revenues &amp; Outlays in GDP'!G212,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GDP'!H212),TEXT('Revenues &amp; Outlays in GDP'!H212,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GDP'!J212,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GDP'!G213),TEXT('Revenues &amp; Outlays in GDP'!G213,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GDP'!H213),TEXT('Revenues &amp; Outlays in GDP'!H213,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GDP'!J213,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GDP'!G214),TEXT('Revenues &amp; Outlays in GDP'!G214,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GDP'!H214),TEXT('Revenues &amp; Outlays in GDP'!H214,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GDP'!J214,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GDP'!G215),TEXT('Revenues &amp; Outlays in GDP'!G215,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GDP'!H215),TEXT('Revenues &amp; Outlays in GDP'!H215,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GDP'!J215,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GDP'!G216),TEXT('Revenues &amp; Outlays in GDP'!G216,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GDP'!H216),TEXT('Revenues &amp; Outlays in GDP'!H216,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GDP'!J216,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GDP'!G217),TEXT('Revenues &amp; Outlays in GDP'!G217,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GDP'!H217),TEXT('Revenues &amp; Outlays in GDP'!H217,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GDP'!J217,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GDP'!G218),TEXT('Revenues &amp; Outlays in GDP'!G218,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GDP'!H218),TEXT('Revenues &amp; Outlays in GDP'!H218,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GDP'!J218,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GDP'!G219),TEXT('Revenues &amp; Outlays in GDP'!G219,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GDP'!H219),TEXT('Revenues &amp; Outlays in GDP'!H219,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GDP'!J219,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GDP'!G220),TEXT('Revenues &amp; Outlays in GDP'!G220,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GDP'!H220),TEXT('Revenues &amp; Outlays in GDP'!H220,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GDP'!J220,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GDP'!G221),TEXT('Revenues &amp; Outlays in GDP'!G221,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GDP'!H221),TEXT('Revenues &amp; Outlays in GDP'!H221,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GDP'!J221,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GDP'!G222),TEXT('Revenues &amp; Outlays in GDP'!G222,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GDP'!H222),TEXT('Revenues &amp; Outlays in GDP'!H222,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GDP'!J222,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GDP'!G223),TEXT('Revenues &amp; Outlays in GDP'!G223,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GDP'!H223),TEXT('Revenues &amp; Outlays in GDP'!H223,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GDP'!J223,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GDP'!G224),TEXT('Revenues &amp; Outlays in GDP'!G224,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GDP'!H224),TEXT('Revenues &amp; Outlays in GDP'!H224,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GDP'!J224,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GDP'!G225),TEXT('Revenues &amp; Outlays in GDP'!G225,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GDP'!H225),TEXT('Revenues &amp; Outlays in GDP'!H225,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GDP'!J225,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GDP'!G226),TEXT('Revenues &amp; Outlays in GDP'!G226,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GDP'!H226),TEXT('Revenues &amp; Outlays in GDP'!H226,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GDP'!J226,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GDP'!G227),TEXT('Revenues &amp; Outlays in GDP'!G227,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GDP'!H227),TEXT('Revenues &amp; Outlays in GDP'!H227,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GDP'!J227,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GDP'!G228),TEXT('Revenues &amp; Outlays in GDP'!G228,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GDP'!H228),TEXT('Revenues &amp; Outlays in GDP'!H228,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GDP'!J228,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GDP'!G229),TEXT('Revenues &amp; Outlays in GDP'!G229,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GDP'!H229),TEXT('Revenues &amp; Outlays in GDP'!H229,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GDP'!J229,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GDP'!G230),TEXT('Revenues &amp; Outlays in GDP'!G230,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GDP'!H230),TEXT('Revenues &amp; Outlays in GDP'!H230,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GDP'!J230,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GDP'!G231),TEXT('Revenues &amp; Outlays in GDP'!G231,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GDP'!H231),TEXT('Revenues &amp; Outlays in GDP'!H231,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GDP'!J231,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GDP'!G232),TEXT('Revenues &amp; Outlays in GDP'!G232,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GDP'!H232),TEXT('Revenues &amp; Outlays in GDP'!H232,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GDP'!J232,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GDP'!G233),TEXT('Revenues &amp; Outlays in GDP'!G233,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GDP'!H233),TEXT('Revenues &amp; Outlays in GDP'!H233,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GDP'!J233,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GDP'!G234),TEXT('Revenues &amp; Outlays in GDP'!G234,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GDP'!H234),TEXT('Revenues &amp; Outlays in GDP'!H234,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GDP'!J234,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GDP'!G235),TEXT('Revenues &amp; Outlays in GDP'!G235,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GDP'!H235),TEXT('Revenues &amp; Outlays in GDP'!H235,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GDP'!J235,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GDP'!G236),TEXT('Revenues &amp; Outlays in GDP'!G236,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GDP'!H236),TEXT('Revenues &amp; Outlays in GDP'!H236,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GDP'!J236,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GDP'!G237),TEXT('Revenues &amp; Outlays in GDP'!G237,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GDP'!H237),TEXT('Revenues &amp; Outlays in GDP'!H237,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GDP'!J237,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GDP'!G238),TEXT('Revenues &amp; Outlays in GDP'!G238,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GDP'!H238),TEXT('Revenues &amp; Outlays in GDP'!H238,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GDP'!J238,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GDP'!G239),TEXT('Revenues &amp; Outlays in GDP'!G239,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GDP'!H239),TEXT('Revenues &amp; Outlays in GDP'!H239,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GDP'!J239,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GDP'!G240),TEXT('Revenues &amp; Outlays in GDP'!G240,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GDP'!H240),TEXT('Revenues &amp; Outlays in GDP'!H240,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GDP'!J240,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GDP'!G241),TEXT('Revenues &amp; Outlays in GDP'!G241,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GDP'!H241),TEXT('Revenues &amp; Outlays in GDP'!H241,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GDP'!J241,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GDP'!G242),TEXT('Revenues &amp; Outlays in GDP'!G242,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GDP'!H242),TEXT('Revenues &amp; Outlays in GDP'!H242,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GDP'!J242,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GDP'!G243),TEXT('Revenues &amp; Outlays in GDP'!G243,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GDP'!H243),TEXT('Revenues &amp; Outlays in GDP'!H243,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GDP'!J243,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GDP'!G244),TEXT('Revenues &amp; Outlays in GDP'!G244,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GDP'!H244),TEXT('Revenues &amp; Outlays in GDP'!H244,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GDP'!J244,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GDP'!G245),TEXT('Revenues &amp; Outlays in GDP'!G245,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GDP'!H245),TEXT('Revenues &amp; Outlays in GDP'!H245,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GDP'!J245,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GDP'!G246),TEXT('Revenues &amp; Outlays in GDP'!G246,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GDP'!H246),TEXT('Revenues &amp; Outlays in GDP'!H246,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GDP'!J246,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GDP'!G247),TEXT('Revenues &amp; Outlays in GDP'!G247,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GDP'!H247),TEXT('Revenues &amp; Outlays in GDP'!H247,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GDP'!J247,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GDP'!G248),TEXT('Revenues &amp; Outlays in GDP'!G248,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GDP'!H248),TEXT('Revenues &amp; Outlays in GDP'!H248,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GDP'!J248,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GDP'!G249),TEXT('Revenues &amp; Outlays in GDP'!G249,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GDP'!H249),TEXT('Revenues &amp; Outlays in GDP'!H249,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GDP'!J249,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GDP'!G250),TEXT('Revenues &amp; Outlays in GDP'!G250,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GDP'!H250),TEXT('Revenues &amp; Outlays in GDP'!H250,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GDP'!J250,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GDP'!G251),TEXT('Revenues &amp; Outlays in GDP'!G251,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GDP'!H251),TEXT('Revenues &amp; Outlays in GDP'!H251,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GDP'!J251,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GDP'!G252),TEXT('Revenues &amp; Outlays in GDP'!G252,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GDP'!H252),TEXT('Revenues &amp; Outlays in GDP'!H252,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GDP'!J252,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GDP'!G253),TEXT('Revenues &amp; Outlays in GDP'!G253,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GDP'!H253),TEXT('Revenues &amp; Outlays in GDP'!H253,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GDP'!J253,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GDP'!G254),TEXT('Revenues &amp; Outlays in GDP'!G254,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GDP'!H254),TEXT('Revenues &amp; Outlays in GDP'!H254,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GDP'!J254,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GDP'!G255),TEXT('Revenues &amp; Outlays in GDP'!G255,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GDP'!H255),TEXT('Revenues &amp; Outlays in GDP'!H255,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GDP'!J255,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GDP'!G256),TEXT('Revenues &amp; Outlays in GDP'!G256,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GDP'!H256),TEXT('Revenues &amp; Outlays in GDP'!H256,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GDP'!J256,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GDP'!G257),TEXT('Revenues &amp; Outlays in GDP'!G257,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GDP'!H257),TEXT('Revenues &amp; Outlays in GDP'!H257,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GDP'!J257,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GDP'!G258),TEXT('Revenues &amp; Outlays in GDP'!G258,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GDP'!H258),TEXT('Revenues &amp; Outlays in GDP'!H258,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GDP'!J258,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GDP'!G259),TEXT('Revenues &amp; Outlays in GDP'!G259,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GDP'!H259),TEXT('Revenues &amp; Outlays in GDP'!H259,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GDP'!J259,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GDP'!G260),TEXT('Revenues &amp; Outlays in GDP'!G260,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GDP'!H260),TEXT('Revenues &amp; Outlays in GDP'!H260,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GDP'!J260,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GDP'!G261),TEXT('Revenues &amp; Outlays in GDP'!G261,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GDP'!H261),TEXT('Revenues &amp; Outlays in GDP'!H261,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GDP'!J261,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GDP'!G262),TEXT('Revenues &amp; Outlays in GDP'!G262,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GDP'!H262),TEXT('Revenues &amp; Outlays in GDP'!H262,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GDP'!J262,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GDP'!G263),TEXT('Revenues &amp; Outlays in GDP'!G263,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GDP'!H263),TEXT('Revenues &amp; Outlays in GDP'!H263,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GDP'!J263,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GDP'!G264),TEXT('Revenues &amp; Outlays in GDP'!G264,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GDP'!H264),TEXT('Revenues &amp; Outlays in GDP'!H264,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GDP'!J264,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GDP'!G265),TEXT('Revenues &amp; Outlays in GDP'!G265,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GDP'!H265),TEXT('Revenues &amp; Outlays in GDP'!H265,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GDP'!J265,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GDP'!G266),TEXT('Revenues &amp; Outlays in GDP'!G266,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GDP'!H266),TEXT('Revenues &amp; Outlays in GDP'!H266,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GDP'!J266,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GDP'!G267),TEXT('Revenues &amp; Outlays in GDP'!G267,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GDP'!H267),TEXT('Revenues &amp; Outlays in GDP'!H267,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GDP'!J267,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GDP'!G268),TEXT('Revenues &amp; Outlays in GDP'!G268,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GDP'!H268),TEXT('Revenues &amp; Outlays in GDP'!H268,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GDP'!J268,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GDP'!G269),TEXT('Revenues &amp; Outlays in GDP'!G269,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GDP'!H269),TEXT('Revenues &amp; Outlays in GDP'!H269,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GDP'!J269,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GDP'!G270),TEXT('Revenues &amp; Outlays in GDP'!G270,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GDP'!H270),TEXT('Revenues &amp; Outlays in GDP'!H270,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GDP'!J270,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GDP'!G271),TEXT('Revenues &amp; Outlays in GDP'!G271,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GDP'!H271),TEXT('Revenues &amp; Outlays in GDP'!H271,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GDP'!J271,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GDP'!G272),TEXT('Revenues &amp; Outlays in GDP'!G272,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GDP'!H272),TEXT('Revenues &amp; Outlays in GDP'!H272,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GDP'!J272,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GDP'!G273),TEXT('Revenues &amp; Outlays in GDP'!G273,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GDP'!H273),TEXT('Revenues &amp; Outlays in GDP'!H273,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GDP'!J273,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GDP'!G274),TEXT('Revenues &amp; Outlays in GDP'!G274,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GDP'!H274),TEXT('Revenues &amp; Outlays in GDP'!H274,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GDP'!J274,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GDP'!G275),TEXT('Revenues &amp; Outlays in GDP'!G275,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GDP'!H275),TEXT('Revenues &amp; Outlays in GDP'!H275,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GDP'!J275,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GDP'!G276),TEXT('Revenues &amp; Outlays in GDP'!G276,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GDP'!H276),TEXT('Revenues &amp; Outlays in GDP'!H276,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GDP'!J276,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GDP'!G277),TEXT('Revenues &amp; Outlays in GDP'!G277,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GDP'!H277),TEXT('Revenues &amp; Outlays in GDP'!H277,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GDP'!J277,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GDP'!G278),TEXT('Revenues &amp; Outlays in GDP'!G278,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GDP'!H278),TEXT('Revenues &amp; Outlays in GDP'!H278,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GDP'!J278,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GDP'!G279),TEXT('Revenues &amp; Outlays in GDP'!G279,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GDP'!H279),TEXT('Revenues &amp; Outlays in GDP'!H279,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GDP'!J279,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GDP'!G280),TEXT('Revenues &amp; Outlays in GDP'!G280,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GDP'!H280),TEXT('Revenues &amp; Outlays in GDP'!H280,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GDP'!J280,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GDP'!G281),TEXT('Revenues &amp; Outlays in GDP'!G281,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GDP'!H281),TEXT('Revenues &amp; Outlays in GDP'!H281,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GDP'!J281,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GDP'!G282),TEXT('Revenues &amp; Outlays in GDP'!G282,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GDP'!H282),TEXT('Revenues &amp; Outlays in GDP'!H282,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GDP'!J282,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GDP'!G283),TEXT('Revenues &amp; Outlays in GDP'!G283,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GDP'!H283),TEXT('Revenues &amp; Outlays in GDP'!H283,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GDP'!J283,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GDP'!G284),TEXT('Revenues &amp; Outlays in GDP'!G284,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GDP'!H284),TEXT('Revenues &amp; Outlays in GDP'!H284,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GDP'!J284,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GDP'!G285),TEXT('Revenues &amp; Outlays in GDP'!G285,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GDP'!H285),TEXT('Revenues &amp; Outlays in GDP'!H285,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GDP'!J285,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GDP'!G286),TEXT('Revenues &amp; Outlays in GDP'!G286,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GDP'!H286),TEXT('Revenues &amp; Outlays in GDP'!H286,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GDP'!J286,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GDP'!G287),TEXT('Revenues &amp; Outlays in GDP'!G287,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GDP'!H287),TEXT('Revenues &amp; Outlays in GDP'!H287,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GDP'!J287,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GDP'!G288),TEXT('Revenues &amp; Outlays in GDP'!G288,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GDP'!H288),TEXT('Revenues &amp; Outlays in GDP'!H288,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GDP'!J288,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GDP'!G289),TEXT('Revenues &amp; Outlays in GDP'!G289,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GDP'!H289),TEXT('Revenues &amp; Outlays in GDP'!H289,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GDP'!J289,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GDP'!G290),TEXT('Revenues &amp; Outlays in GDP'!G290,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GDP'!H290),TEXT('Revenues &amp; Outlays in GDP'!H290,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GDP'!J290,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GDP'!G291),TEXT('Revenues &amp; Outlays in GDP'!G291,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GDP'!H291),TEXT('Revenues &amp; Outlays in GDP'!H291,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GDP'!J291,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GDP'!G292),TEXT('Revenues &amp; Outlays in GDP'!G292,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GDP'!H292),TEXT('Revenues &amp; Outlays in GDP'!H292,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GDP'!J292,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GDP'!G293),TEXT('Revenues &amp; Outlays in GDP'!G293,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GDP'!H293),TEXT('Revenues &amp; Outlays in GDP'!H293,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GDP'!J293,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GDP'!G294),TEXT('Revenues &amp; Outlays in GDP'!G294,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GDP'!H294),TEXT('Revenues &amp; Outlays in GDP'!H294,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GDP'!J294,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GDP'!G295),TEXT('Revenues &amp; Outlays in GDP'!G295,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GDP'!H295),TEXT('Revenues &amp; Outlays in GDP'!H295,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GDP'!J295,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GDP'!G296),TEXT('Revenues &amp; Outlays in GDP'!G296,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GDP'!H296),TEXT('Revenues &amp; Outlays in GDP'!H296,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GDP'!J296,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GDP'!G297),TEXT('Revenues &amp; Outlays in GDP'!G297,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GDP'!H297),TEXT('Revenues &amp; Outlays in GDP'!H297,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GDP'!J297,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GDP'!G298),TEXT('Revenues &amp; Outlays in GDP'!G298,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GDP'!H298),TEXT('Revenues &amp; Outlays in GDP'!H298,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GDP'!J298,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GDP'!G299),TEXT('Revenues &amp; Outlays in GDP'!G299,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GDP'!H299),TEXT('Revenues &amp; Outlays in GDP'!H299,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GDP'!J299,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GDP'!G300),TEXT('Revenues &amp; Outlays in GDP'!G300,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GDP'!H300),TEXT('Revenues &amp; Outlays in GDP'!H300,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GDP'!J300,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GDP'!G301),TEXT('Revenues &amp; Outlays in GDP'!G301,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GDP'!H301),TEXT('Revenues &amp; Outlays in GDP'!H301,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GDP'!J301,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GDP'!G302),TEXT('Revenues &amp; Outlays in GDP'!G302,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GDP'!H302),TEXT('Revenues &amp; Outlays in GDP'!H302,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GDP'!J302,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GDP'!G303),TEXT('Revenues &amp; Outlays in GDP'!G303,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GDP'!H303),TEXT('Revenues &amp; Outlays in GDP'!H303,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GDP'!J303,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GDP'!G304),TEXT('Revenues &amp; Outlays in GDP'!G304,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GDP'!H304),TEXT('Revenues &amp; Outlays in GDP'!H304,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GDP'!J304,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GDP'!G305),TEXT('Revenues &amp; Outlays in GDP'!G305,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GDP'!H305),TEXT('Revenues &amp; Outlays in GDP'!H305,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GDP'!J305,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GDP'!G306),TEXT('Revenues &amp; Outlays in GDP'!G306,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GDP'!H306),TEXT('Revenues &amp; Outlays in GDP'!H306,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GDP'!J306,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GDP'!G307),TEXT('Revenues &amp; Outlays in GDP'!G307,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GDP'!H307),TEXT('Revenues &amp; Outlays in GDP'!H307,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GDP'!J307,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GDP'!G308),TEXT('Revenues &amp; Outlays in GDP'!G308,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GDP'!H308),TEXT('Revenues &amp; Outlays in GDP'!H308,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GDP'!J308,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GDP'!G309),TEXT('Revenues &amp; Outlays in GDP'!G309,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GDP'!H309),TEXT('Revenues &amp; Outlays in GDP'!H309,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GDP'!J309,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GDP'!G310),TEXT('Revenues &amp; Outlays in GDP'!G310,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GDP'!H310),TEXT('Revenues &amp; Outlays in GDP'!H310,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GDP'!J310,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GDP'!G311),TEXT('Revenues &amp; Outlays in GDP'!G311,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GDP'!H311),TEXT('Revenues &amp; Outlays in GDP'!H311,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GDP'!J311,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GDP'!G312),TEXT('Revenues &amp; Outlays in GDP'!G312,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GDP'!H312),TEXT('Revenues &amp; Outlays in GDP'!H312,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GDP'!J312,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GDP'!G313),TEXT('Revenues &amp; Outlays in GDP'!G313,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GDP'!H313),TEXT('Revenues &amp; Outlays in GDP'!H313,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GDP'!J313,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GDP'!G314),TEXT('Revenues &amp; Outlays in GDP'!G314,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GDP'!H314),TEXT('Revenues &amp; Outlays in GDP'!H314,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GDP'!J314,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GDP'!G315),TEXT('Revenues &amp; Outlays in GDP'!G315,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GDP'!H315),TEXT('Revenues &amp; Outlays in GDP'!H315,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GDP'!J315,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GDP'!G316),TEXT('Revenues &amp; Outlays in GDP'!G316,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GDP'!H316),TEXT('Revenues &amp; Outlays in GDP'!H316,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GDP'!J316,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GDP'!G317),TEXT('Revenues &amp; Outlays in GDP'!G317,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GDP'!H317),TEXT('Revenues &amp; Outlays in GDP'!H317,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GDP'!J317,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GDP'!G318),TEXT('Revenues &amp; Outlays in GDP'!G318,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GDP'!H318),TEXT('Revenues &amp; Outlays in GDP'!H318,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GDP'!J318,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GDP'!G319),TEXT('Revenues &amp; Outlays in GDP'!G319,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GDP'!H319),TEXT('Revenues &amp; Outlays in GDP'!H319,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GDP'!J319,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GDP'!G320),TEXT('Revenues &amp; Outlays in GDP'!G320,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GDP'!H320),TEXT('Revenues &amp; Outlays in GDP'!H320,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GDP'!J320,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GDP'!G321),TEXT('Revenues &amp; Outlays in GDP'!G321,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GDP'!H321),TEXT('Revenues &amp; Outlays in GDP'!H321,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GDP'!J321,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GDP'!G322),TEXT('Revenues &amp; Outlays in GDP'!G322,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GDP'!H322),TEXT('Revenues &amp; Outlays in GDP'!H322,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GDP'!J322,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GDP'!G323),TEXT('Revenues &amp; Outlays in GDP'!G323,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GDP'!H323),TEXT('Revenues &amp; Outlays in GDP'!H323,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GDP'!J323,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GDP'!G324),TEXT('Revenues &amp; Outlays in GDP'!G324,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GDP'!H324),TEXT('Revenues &amp; Outlays in GDP'!H324,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GDP'!J324,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GDP'!G325),TEXT('Revenues &amp; Outlays in GDP'!G325,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GDP'!H325),TEXT('Revenues &amp; Outlays in GDP'!H325,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GDP'!J325,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GDP'!G326),TEXT('Revenues &amp; Outlays in GDP'!G326,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GDP'!H326),TEXT('Revenues &amp; Outlays in GDP'!H326,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GDP'!J326,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GDP'!G327),TEXT('Revenues &amp; Outlays in GDP'!G327,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GDP'!H327),TEXT('Revenues &amp; Outlays in GDP'!H327,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GDP'!J327,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GDP'!G328),TEXT('Revenues &amp; Outlays in GDP'!G328,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GDP'!H328),TEXT('Revenues &amp; Outlays in GDP'!H328,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GDP'!J328,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GDP'!G329),TEXT('Revenues &amp; Outlays in GDP'!G329,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GDP'!H329),TEXT('Revenues &amp; Outlays in GDP'!H329,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GDP'!J329,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GDP'!G330),TEXT('Revenues &amp; Outlays in GDP'!G330,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GDP'!H330),TEXT('Revenues &amp; Outlays in GDP'!H330,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GDP'!J330,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GDP'!G331),TEXT('Revenues &amp; Outlays in GDP'!G331,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GDP'!H331),TEXT('Revenues &amp; Outlays in GDP'!H331,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GDP'!J331,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GDP'!G332),TEXT('Revenues &amp; Outlays in GDP'!G332,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GDP'!H332),TEXT('Revenues &amp; Outlays in GDP'!H332,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GDP'!J332,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GDP'!G333),TEXT('Revenues &amp; Outlays in GDP'!G333,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GDP'!H333),TEXT('Revenues &amp; Outlays in GDP'!H333,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GDP'!J333,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GDP'!G334),TEXT('Revenues &amp; Outlays in GDP'!G334,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GDP'!H334),TEXT('Revenues &amp; Outlays in GDP'!H334,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GDP'!J334,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GDP'!G335),TEXT('Revenues &amp; Outlays in GDP'!G335,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GDP'!H335),TEXT('Revenues &amp; Outlays in GDP'!H335,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GDP'!J335,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GDP'!G336),TEXT('Revenues &amp; Outlays in GDP'!G336,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GDP'!H336),TEXT('Revenues &amp; Outlays in GDP'!H336,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GDP'!J336,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GDP'!G337),TEXT('Revenues &amp; Outlays in GDP'!G337,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GDP'!H337),TEXT('Revenues &amp; Outlays in GDP'!H337,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GDP'!J337,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GDP'!G338),TEXT('Revenues &amp; Outlays in GDP'!G338,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GDP'!H338),TEXT('Revenues &amp; Outlays in GDP'!H338,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GDP'!J338,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GDP'!G339),TEXT('Revenues &amp; Outlays in GDP'!G339,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GDP'!H339),TEXT('Revenues &amp; Outlays in GDP'!H339,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GDP'!J339,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GDP'!G340),TEXT('Revenues &amp; Outlays in GDP'!G340,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GDP'!H340),TEXT('Revenues &amp; Outlays in GDP'!H340,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GDP'!J340,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GDP'!G341),TEXT('Revenues &amp; Outlays in GDP'!G341,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GDP'!H341),TEXT('Revenues &amp; Outlays in GDP'!H341,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GDP'!J341,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GDP'!G342),TEXT('Revenues &amp; Outlays in GDP'!G342,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GDP'!H342),TEXT('Revenues &amp; Outlays in GDP'!H342,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GDP'!J342,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GDP'!G343),TEXT('Revenues &amp; Outlays in GDP'!G343,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GDP'!H343),TEXT('Revenues &amp; Outlays in GDP'!H343,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GDP'!J343,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GDP'!G344),TEXT('Revenues &amp; Outlays in GDP'!G344,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GDP'!H344),TEXT('Revenues &amp; Outlays in GDP'!H344,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GDP'!J344,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GDP'!G345),TEXT('Revenues &amp; Outlays in GDP'!G345,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GDP'!H345),TEXT('Revenues &amp; Outlays in GDP'!H345,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GDP'!J345,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GDP'!G346),TEXT('Revenues &amp; Outlays in GDP'!G346,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GDP'!H346),TEXT('Revenues &amp; Outlays in GDP'!H346,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GDP'!J346,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GDP'!G347),TEXT('Revenues &amp; Outlays in GDP'!G347,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GDP'!H347),TEXT('Revenues &amp; Outlays in GDP'!H347,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GDP'!J347,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GDP'!G348),TEXT('Revenues &amp; Outlays in GDP'!G348,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GDP'!H348),TEXT('Revenues &amp; Outlays in GDP'!H348,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GDP'!J348,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GDP'!G349),TEXT('Revenues &amp; Outlays in GDP'!G349,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GDP'!H349),TEXT('Revenues &amp; Outlays in GDP'!H349,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GDP'!J349,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GDP'!G350),TEXT('Revenues &amp; Outlays in GDP'!G350,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GDP'!H350),TEXT('Revenues &amp; Outlays in GDP'!H350,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GDP'!J350,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GDP'!G351),TEXT('Revenues &amp; Outlays in GDP'!G351,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GDP'!H351),TEXT('Revenues &amp; Outlays in GDP'!H351,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GDP'!J351,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GDP'!G352),TEXT('Revenues &amp; Outlays in GDP'!G352,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GDP'!H352),TEXT('Revenues &amp; Outlays in GDP'!H352,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GDP'!J352,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GDP'!G353),TEXT('Revenues &amp; Outlays in GDP'!G353,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GDP'!H353),TEXT('Revenues &amp; Outlays in GDP'!H353,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GDP'!J353,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GDP'!G354),TEXT('Revenues &amp; Outlays in GDP'!G354,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GDP'!H354),TEXT('Revenues &amp; Outlays in GDP'!H354,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GDP'!J354,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GDP'!G355),TEXT('Revenues &amp; Outlays in GDP'!G355,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GDP'!H355),TEXT('Revenues &amp; Outlays in GDP'!H355,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GDP'!J355,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GDP'!G356),TEXT('Revenues &amp; Outlays in GDP'!G356,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GDP'!H356),TEXT('Revenues &amp; Outlays in GDP'!H356,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GDP'!J356,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GDP'!G357),TEXT('Revenues &amp; Outlays in GDP'!G357,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GDP'!H357),TEXT('Revenues &amp; Outlays in GDP'!H357,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GDP'!J357,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GDP'!G358),TEXT('Revenues &amp; Outlays in GDP'!G358,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GDP'!H358),TEXT('Revenues &amp; Outlays in GDP'!H358,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GDP'!J358,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GDP'!G359),TEXT('Revenues &amp; Outlays in GDP'!G359,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GDP'!H359),TEXT('Revenues &amp; Outlays in GDP'!H359,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GDP'!J359,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GDP'!G360),TEXT('Revenues &amp; Outlays in GDP'!G360,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GDP'!H360),TEXT('Revenues &amp; Outlays in GDP'!H360,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GDP'!J360,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GDP'!G361),TEXT('Revenues &amp; Outlays in GDP'!G361,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GDP'!H361),TEXT('Revenues &amp; Outlays in GDP'!H361,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GDP'!J361,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GDP'!G362),TEXT('Revenues &amp; Outlays in GDP'!G362,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GDP'!H362),TEXT('Revenues &amp; Outlays in GDP'!H362,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GDP'!J362,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GDP'!G363),TEXT('Revenues &amp; Outlays in GDP'!G363,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GDP'!H363),TEXT('Revenues &amp; Outlays in GDP'!H363,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GDP'!J363,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GDP'!G364),TEXT('Revenues &amp; Outlays in GDP'!G364,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GDP'!H364),TEXT('Revenues &amp; Outlays in GDP'!H364,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GDP'!J364,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GDP'!G365),TEXT('Revenues &amp; Outlays in GDP'!G365,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GDP'!H365),TEXT('Revenues &amp; Outlays in GDP'!H365,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GDP'!J365,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GDP'!G366),TEXT('Revenues &amp; Outlays in GDP'!G366,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GDP'!H366),TEXT('Revenues &amp; Outlays in GDP'!H366,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GDP'!J366,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GDP'!G367),TEXT('Revenues &amp; Outlays in GDP'!G367,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GDP'!H367),TEXT('Revenues &amp; Outlays in GDP'!H367,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GDP'!J367,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GDP'!G368),TEXT('Revenues &amp; Outlays in GDP'!G368,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GDP'!H368),TEXT('Revenues &amp; Outlays in GDP'!H368,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GDP'!J368,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GDP'!G369),TEXT('Revenues &amp; Outlays in GDP'!G369,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GDP'!H369),TEXT('Revenues &amp; Outlays in GDP'!H369,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GDP'!J369,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GDP'!G370),TEXT('Revenues &amp; Outlays in GDP'!G370,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GDP'!H370),TEXT('Revenues &amp; Outlays in GDP'!H370,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GDP'!J370,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GDP'!G371),TEXT('Revenues &amp; Outlays in GDP'!G371,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GDP'!H371),TEXT('Revenues &amp; Outlays in GDP'!H371,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GDP'!J371,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GDP'!G372),TEXT('Revenues &amp; Outlays in GDP'!G372,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GDP'!H372),TEXT('Revenues &amp; Outlays in GDP'!H372,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GDP'!J372,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GDP'!G373),TEXT('Revenues &amp; Outlays in GDP'!G373,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GDP'!H373),TEXT('Revenues &amp; Outlays in GDP'!H373,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GDP'!J373,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GDP'!G374),TEXT('Revenues &amp; Outlays in GDP'!G374,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GDP'!H374),TEXT('Revenues &amp; Outlays in GDP'!H374,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GDP'!J374,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GDP'!G375),TEXT('Revenues &amp; Outlays in GDP'!G375,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GDP'!H375),TEXT('Revenues &amp; Outlays in GDP'!H375,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GDP'!J375,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GDP'!G376),TEXT('Revenues &amp; Outlays in GDP'!G376,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GDP'!H376),TEXT('Revenues &amp; Outlays in GDP'!H376,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GDP'!J376,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GDP'!G377),TEXT('Revenues &amp; Outlays in GDP'!G377,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GDP'!H377),TEXT('Revenues &amp; Outlays in GDP'!H377,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GDP'!J377,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GDP'!G378),TEXT('Revenues &amp; Outlays in GDP'!G378,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GDP'!H378),TEXT('Revenues &amp; Outlays in GDP'!H378,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GDP'!J378,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GDP'!G379),TEXT('Revenues &amp; Outlays in GDP'!G379,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GDP'!H379),TEXT('Revenues &amp; Outlays in GDP'!H379,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GDP'!J379,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GDP'!G380),TEXT('Revenues &amp; Outlays in GDP'!G380,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GDP'!H380),TEXT('Revenues &amp; Outlays in GDP'!H380,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GDP'!J380,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GDP'!G381),TEXT('Revenues &amp; Outlays in GDP'!G381,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GDP'!H381),TEXT('Revenues &amp; Outlays in GDP'!H381,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GDP'!J381,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GDP'!G382),TEXT('Revenues &amp; Outlays in GDP'!G382,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GDP'!H382),TEXT('Revenues &amp; Outlays in GDP'!H382,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GDP'!J382,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GDP'!G383),TEXT('Revenues &amp; Outlays in GDP'!G383,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GDP'!H383),TEXT('Revenues &amp; Outlays in GDP'!H383,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GDP'!J383,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GDP'!G384),TEXT('Revenues &amp; Outlays in GDP'!G384,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GDP'!H384),TEXT('Revenues &amp; Outlays in GDP'!H384,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GDP'!J384,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GDP'!G385),TEXT('Revenues &amp; Outlays in GDP'!G385,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GDP'!H385),TEXT('Revenues &amp; Outlays in GDP'!H385,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GDP'!J385,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GDP'!G386),TEXT('Revenues &amp; Outlays in GDP'!G386,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GDP'!H386),TEXT('Revenues &amp; Outlays in GDP'!H386,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GDP'!J386,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GDP'!G387),TEXT('Revenues &amp; Outlays in GDP'!G387,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GDP'!H387),TEXT('Revenues &amp; Outlays in GDP'!H387,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GDP'!J387,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GDP'!G388),TEXT('Revenues &amp; Outlays in GDP'!G388,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GDP'!H388),TEXT('Revenues &amp; Outlays in GDP'!H388,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GDP'!J388,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GDP'!G389),TEXT('Revenues &amp; Outlays in GDP'!G389,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GDP'!H389),TEXT('Revenues &amp; Outlays in GDP'!H389,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GDP'!J389,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GDP'!G390),TEXT('Revenues &amp; Outlays in GDP'!G390,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GDP'!H390),TEXT('Revenues &amp; Outlays in GDP'!H390,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GDP'!J390,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GDP'!G391),TEXT('Revenues &amp; Outlays in GDP'!G391,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GDP'!H391),TEXT('Revenues &amp; Outlays in GDP'!H391,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GDP'!J391,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GDP'!G392),TEXT('Revenues &amp; Outlays in GDP'!G392,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GDP'!H392),TEXT('Revenues &amp; Outlays in GDP'!H392,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GDP'!J392,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GDP'!G393),TEXT('Revenues &amp; Outlays in GDP'!G393,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GDP'!H393),TEXT('Revenues &amp; Outlays in GDP'!H393,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GDP'!J393,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GDP'!G394),TEXT('Revenues &amp; Outlays in GDP'!G394,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GDP'!H394),TEXT('Revenues &amp; Outlays in GDP'!H394,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GDP'!J394,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GDP'!G395),TEXT('Revenues &amp; Outlays in GDP'!G395,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GDP'!H395),TEXT('Revenues &amp; Outlays in GDP'!H395,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GDP'!J395,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GDP'!G396),TEXT('Revenues &amp; Outlays in GDP'!G396,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GDP'!H396),TEXT('Revenues &amp; Outlays in GDP'!H396,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GDP'!J396,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GDP'!G397),TEXT('Revenues &amp; Outlays in GDP'!G397,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GDP'!H397),TEXT('Revenues &amp; Outlays in GDP'!H397,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GDP'!J397,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GDP'!G398),TEXT('Revenues &amp; Outlays in GDP'!G398,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GDP'!H398),TEXT('Revenues &amp; Outlays in GDP'!H398,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GDP'!J398,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GDP'!G399),TEXT('Revenues &amp; Outlays in GDP'!G399,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GDP'!H399),TEXT('Revenues &amp; Outlays in GDP'!H399,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GDP'!J399,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GDP'!G400),TEXT('Revenues &amp; Outlays in GDP'!G400,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GDP'!H400),TEXT('Revenues &amp; Outlays in GDP'!H400,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GDP'!J400,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GDP'!G401),TEXT('Revenues &amp; Outlays in GDP'!G401,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GDP'!H401),TEXT('Revenues &amp; Outlays in GDP'!H401,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GDP'!J401,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GDP'!G402),TEXT('Revenues &amp; Outlays in GDP'!G402,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GDP'!H402),TEXT('Revenues &amp; Outlays in GDP'!H402,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GDP'!J402,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GDP'!G403),TEXT('Revenues &amp; Outlays in GDP'!G403,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GDP'!H403),TEXT('Revenues &amp; Outlays in GDP'!H403,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GDP'!J403,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GDP'!G404),TEXT('Revenues &amp; Outlays in GDP'!G404,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GDP'!H404),TEXT('Revenues &amp; Outlays in GDP'!H404,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GDP'!J404,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GDP'!G405),TEXT('Revenues &amp; Outlays in GDP'!G405,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GDP'!H405),TEXT('Revenues &amp; Outlays in GDP'!H405,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GDP'!J405,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GDP'!G406),TEXT('Revenues &amp; Outlays in GDP'!G406,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GDP'!H406),TEXT('Revenues &amp; Outlays in GDP'!H406,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GDP'!J406,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GDP'!G407),TEXT('Revenues &amp; Outlays in GDP'!G407,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GDP'!H407),TEXT('Revenues &amp; Outlays in GDP'!H407,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GDP'!J407,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GDP'!G408),TEXT('Revenues &amp; Outlays in GDP'!G408,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GDP'!H408),TEXT('Revenues &amp; Outlays in GDP'!H408,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GDP'!J408,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GDP'!G409),TEXT('Revenues &amp; Outlays in GDP'!G409,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GDP'!H409),TEXT('Revenues &amp; Outlays in GDP'!H409,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GDP'!J409,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GDP'!G410),TEXT('Revenues &amp; Outlays in GDP'!G410,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GDP'!H410),TEXT('Revenues &amp; Outlays in GDP'!H410,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GDP'!J410,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GDP'!G411),TEXT('Revenues &amp; Outlays in GDP'!G411,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GDP'!H411),TEXT('Revenues &amp; Outlays in GDP'!H411,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GDP'!J411,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GDP'!G412),TEXT('Revenues &amp; Outlays in GDP'!G412,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GDP'!H412),TEXT('Revenues &amp; Outlays in GDP'!H412,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GDP'!J412,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GDP'!G413),TEXT('Revenues &amp; Outlays in GDP'!G413,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GDP'!H413),TEXT('Revenues &amp; Outlays in GDP'!H413,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GDP'!J413,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GDP'!G414),TEXT('Revenues &amp; Outlays in GDP'!G414,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GDP'!H414),TEXT('Revenues &amp; Outlays in GDP'!H414,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GDP'!J414,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GDP'!G415),TEXT('Revenues &amp; Outlays in GDP'!G415,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GDP'!H415),TEXT('Revenues &amp; Outlays in GDP'!H415,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GDP'!J415,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GDP'!G416),TEXT('Revenues &amp; Outlays in GDP'!G416,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GDP'!H416),TEXT('Revenues &amp; Outlays in GDP'!H416,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GDP'!J416,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GDP'!G417),TEXT('Revenues &amp; Outlays in GDP'!G417,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GDP'!H417),TEXT('Revenues &amp; Outlays in GDP'!H417,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GDP'!J417,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GDP'!G418),TEXT('Revenues &amp; Outlays in GDP'!G418,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GDP'!H418),TEXT('Revenues &amp; Outlays in GDP'!H418,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GDP'!J418,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GDP'!G419),TEXT('Revenues &amp; Outlays in GDP'!G419,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GDP'!H419),TEXT('Revenues &amp; Outlays in GDP'!H419,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GDP'!J419,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GDP'!G420),TEXT('Revenues &amp; Outlays in GDP'!G420,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GDP'!H420),TEXT('Revenues &amp; Outlays in GDP'!H420,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GDP'!J420,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GDP'!G421),TEXT('Revenues &amp; Outlays in GDP'!G421,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GDP'!H421),TEXT('Revenues &amp; Outlays in GDP'!H421,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GDP'!J421,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GDP'!G422),TEXT('Revenues &amp; Outlays in GDP'!G422,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GDP'!H422),TEXT('Revenues &amp; Outlays in GDP'!H422,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GDP'!J422,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GDP'!G423),TEXT('Revenues &amp; Outlays in GDP'!G423,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GDP'!H423),TEXT('Revenues &amp; Outlays in GDP'!H423,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GDP'!J423,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GDP'!G424),TEXT('Revenues &amp; Outlays in GDP'!G424,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GDP'!H424),TEXT('Revenues &amp; Outlays in GDP'!H424,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GDP'!J424,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GDP'!G425),TEXT('Revenues &amp; Outlays in GDP'!G425,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GDP'!H425),TEXT('Revenues &amp; Outlays in GDP'!H425,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GDP'!J425,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GDP'!G426),TEXT('Revenues &amp; Outlays in GDP'!G426,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GDP'!H426),TEXT('Revenues &amp; Outlays in GDP'!H426,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GDP'!J426,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GDP'!G427),TEXT('Revenues &amp; Outlays in GDP'!G427,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GDP'!H427),TEXT('Revenues &amp; Outlays in GDP'!H427,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GDP'!J427,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GDP'!G428),TEXT('Revenues &amp; Outlays in GDP'!G428,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GDP'!H428),TEXT('Revenues &amp; Outlays in GDP'!H428,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GDP'!J428,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GDP'!G429),TEXT('Revenues &amp; Outlays in GDP'!G429,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GDP'!H429),TEXT('Revenues &amp; Outlays in GDP'!H429,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GDP'!J429,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GDP'!G430),TEXT('Revenues &amp; Outlays in GDP'!G430,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GDP'!H430),TEXT('Revenues &amp; Outlays in GDP'!H430,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GDP'!J430,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GDP'!G431),TEXT('Revenues &amp; Outlays in GDP'!G431,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GDP'!H431),TEXT('Revenues &amp; Outlays in GDP'!H431,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GDP'!J431,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GDP'!G432),TEXT('Revenues &amp; Outlays in GDP'!G432,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GDP'!H432),TEXT('Revenues &amp; Outlays in GDP'!H432,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GDP'!J432,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GDP'!G433),TEXT('Revenues &amp; Outlays in GDP'!G433,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GDP'!H433),TEXT('Revenues &amp; Outlays in GDP'!H433,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GDP'!J433,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GDP'!G434),TEXT('Revenues &amp; Outlays in GDP'!G434,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GDP'!H434),TEXT('Revenues &amp; Outlays in GDP'!H434,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GDP'!J434,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GDP'!G435),TEXT('Revenues &amp; Outlays in GDP'!G435,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GDP'!H435),TEXT('Revenues &amp; Outlays in GDP'!H435,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GDP'!J435,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GDP'!G436),TEXT('Revenues &amp; Outlays in GDP'!G436,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GDP'!H436),TEXT('Revenues &amp; Outlays in GDP'!H436,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GDP'!J436,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GDP'!G437),TEXT('Revenues &amp; Outlays in GDP'!G437,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GDP'!H437),TEXT('Revenues &amp; Outlays in GDP'!H437,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GDP'!J437,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GDP'!G438),TEXT('Revenues &amp; Outlays in GDP'!G438,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GDP'!H438),TEXT('Revenues &amp; Outlays in GDP'!H438,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GDP'!J438,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GDP'!G439),TEXT('Revenues &amp; Outlays in GDP'!G439,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GDP'!H439),TEXT('Revenues &amp; Outlays in GDP'!H439,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GDP'!J439,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GDP'!G440),TEXT('Revenues &amp; Outlays in GDP'!G440,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GDP'!H440),TEXT('Revenues &amp; Outlays in GDP'!H440,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GDP'!J440,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GDP'!G441),TEXT('Revenues &amp; Outlays in GDP'!G441,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GDP'!H441),TEXT('Revenues &amp; Outlays in GDP'!H441,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GDP'!J441,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GDP'!G442),TEXT('Revenues &amp; Outlays in GDP'!G442,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GDP'!H442),TEXT('Revenues &amp; Outlays in GDP'!H442,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GDP'!J442,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GDP'!G443),TEXT('Revenues &amp; Outlays in GDP'!G443,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GDP'!H443),TEXT('Revenues &amp; Outlays in GDP'!H443,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GDP'!J443,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GDP'!G444),TEXT('Revenues &amp; Outlays in GDP'!G444,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GDP'!H444),TEXT('Revenues &amp; Outlays in GDP'!H444,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GDP'!J444,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GDP'!G445),TEXT('Revenues &amp; Outlays in GDP'!G445,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GDP'!H445),TEXT('Revenues &amp; Outlays in GDP'!H445,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GDP'!J445,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GDP'!G446),TEXT('Revenues &amp; Outlays in GDP'!G446,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GDP'!H446),TEXT('Revenues &amp; Outlays in GDP'!H446,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GDP'!J446,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GDP'!G447),TEXT('Revenues &amp; Outlays in GDP'!G447,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GDP'!H447),TEXT('Revenues &amp; Outlays in GDP'!H447,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GDP'!J447,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GDP'!G448),TEXT('Revenues &amp; Outlays in GDP'!G448,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GDP'!H448),TEXT('Revenues &amp; Outlays in GDP'!H448,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GDP'!J448,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GDP'!G449),TEXT('Revenues &amp; Outlays in GDP'!G449,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GDP'!H449),TEXT('Revenues &amp; Outlays in GDP'!H449,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GDP'!J449,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GDP'!G450),TEXT('Revenues &amp; Outlays in GDP'!G450,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GDP'!H450),TEXT('Revenues &amp; Outlays in GDP'!H450,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GDP'!J450,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GDP'!G451),TEXT('Revenues &amp; Outlays in GDP'!G451,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GDP'!H451),TEXT('Revenues &amp; Outlays in GDP'!H451,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GDP'!J451,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GDP'!G452),TEXT('Revenues &amp; Outlays in GDP'!G452,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GDP'!H452),TEXT('Revenues &amp; Outlays in GDP'!H452,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GDP'!J452,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GDP'!G453),TEXT('Revenues &amp; Outlays in GDP'!G453,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GDP'!H453),TEXT('Revenues &amp; Outlays in GDP'!H453,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GDP'!J453,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GDP'!G454),TEXT('Revenues &amp; Outlays in GDP'!G454,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GDP'!H454),TEXT('Revenues &amp; Outlays in GDP'!H454,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GDP'!J454,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GDP'!G455),TEXT('Revenues &amp; Outlays in GDP'!G455,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GDP'!H455),TEXT('Revenues &amp; Outlays in GDP'!H455,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GDP'!J455,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GDP'!G456),TEXT('Revenues &amp; Outlays in GDP'!G456,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GDP'!H456),TEXT('Revenues &amp; Outlays in GDP'!H456,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GDP'!J456,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GDP'!G457),TEXT('Revenues &amp; Outlays in GDP'!G457,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GDP'!H457),TEXT('Revenues &amp; Outlays in GDP'!H457,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GDP'!J457,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GDP'!G458),TEXT('Revenues &amp; Outlays in GDP'!G458,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GDP'!H458),TEXT('Revenues &amp; Outlays in GDP'!H458,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GDP'!J458,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GDP'!G459),TEXT('Revenues &amp; Outlays in GDP'!G459,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GDP'!H459),TEXT('Revenues &amp; Outlays in GDP'!H459,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GDP'!J459,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GDP'!G460),TEXT('Revenues &amp; Outlays in GDP'!G460,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GDP'!H460),TEXT('Revenues &amp; Outlays in GDP'!H460,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GDP'!J460,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GDP'!G461),TEXT('Revenues &amp; Outlays in GDP'!G461,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GDP'!H461),TEXT('Revenues &amp; Outlays in GDP'!H461,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GDP'!J461,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GDP'!G462),TEXT('Revenues &amp; Outlays in GDP'!G462,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GDP'!H462),TEXT('Revenues &amp; Outlays in GDP'!H462,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GDP'!J462,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GDP'!G463),TEXT('Revenues &amp; Outlays in GDP'!G463,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GDP'!H463),TEXT('Revenues &amp; Outlays in GDP'!H463,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GDP'!J463,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GDP'!G464),TEXT('Revenues &amp; Outlays in GDP'!G464,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GDP'!H464),TEXT('Revenues &amp; Outlays in GDP'!H464,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GDP'!J464,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GDP'!G465),TEXT('Revenues &amp; Outlays in GDP'!G465,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GDP'!H465),TEXT('Revenues &amp; Outlays in GDP'!H465,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GDP'!J465,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GDP'!G466),TEXT('Revenues &amp; Outlays in GDP'!G466,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GDP'!H466),TEXT('Revenues &amp; Outlays in GDP'!H466,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GDP'!J466,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GDP'!G467),TEXT('Revenues &amp; Outlays in GDP'!G467,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GDP'!H467),TEXT('Revenues &amp; Outlays in GDP'!H467,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GDP'!J467,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GDP'!G468),TEXT('Revenues &amp; Outlays in GDP'!G468,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GDP'!H468),TEXT('Revenues &amp; Outlays in GDP'!H468,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GDP'!J468,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GDP'!G469),TEXT('Revenues &amp; Outlays in GDP'!G469,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GDP'!H469),TEXT('Revenues &amp; Outlays in GDP'!H469,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GDP'!J469,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GDP'!G470),TEXT('Revenues &amp; Outlays in GDP'!G470,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GDP'!H470),TEXT('Revenues &amp; Outlays in GDP'!H470,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GDP'!J470,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GDP'!G471),TEXT('Revenues &amp; Outlays in GDP'!G471,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GDP'!H471),TEXT('Revenues &amp; Outlays in GDP'!H471,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GDP'!J471,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GDP'!G472),TEXT('Revenues &amp; Outlays in GDP'!G472,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GDP'!H472),TEXT('Revenues &amp; Outlays in GDP'!H472,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GDP'!J472,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GDP'!G473),TEXT('Revenues &amp; Outlays in GDP'!G473,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GDP'!H473),TEXT('Revenues &amp; Outlays in GDP'!H473,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GDP'!J473,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GDP'!G474),TEXT('Revenues &amp; Outlays in GDP'!G474,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GDP'!H474),TEXT('Revenues &amp; Outlays in GDP'!H474,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GDP'!J474,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GDP'!G475),TEXT('Revenues &amp; Outlays in GDP'!G475,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GDP'!H475),TEXT('Revenues &amp; Outlays in GDP'!H475,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GDP'!J475,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GDP'!G476),TEXT('Revenues &amp; Outlays in GDP'!G476,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GDP'!H476),TEXT('Revenues &amp; Outlays in GDP'!H476,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GDP'!J476,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GDP'!G477),TEXT('Revenues &amp; Outlays in GDP'!G477,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GDP'!H477),TEXT('Revenues &amp; Outlays in GDP'!H477,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GDP'!J477,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GDP'!G478),TEXT('Revenues &amp; Outlays in GDP'!G478,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GDP'!H478),TEXT('Revenues &amp; Outlays in GDP'!H478,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GDP'!J478,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GDP'!G479),TEXT('Revenues &amp; Outlays in GDP'!G479,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GDP'!H479),TEXT('Revenues &amp; Outlays in GDP'!H479,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GDP'!J479,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GDP'!G480),TEXT('Revenues &amp; Outlays in GDP'!G480,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GDP'!H480),TEXT('Revenues &amp; Outlays in GDP'!H480,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GDP'!J480,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GDP'!G481),TEXT('Revenues &amp; Outlays in GDP'!G481,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GDP'!H481),TEXT('Revenues &amp; Outlays in GDP'!H481,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GDP'!J481,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GDP'!G482),TEXT('Revenues &amp; Outlays in GDP'!G482,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GDP'!H482),TEXT('Revenues &amp; Outlays in GDP'!H482,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GDP'!J482,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GDP'!G483),TEXT('Revenues &amp; Outlays in GDP'!G483,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GDP'!H483),TEXT('Revenues &amp; Outlays in GDP'!H483,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GDP'!J483,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GDP'!G484),TEXT('Revenues &amp; Outlays in GDP'!G484,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GDP'!H484),TEXT('Revenues &amp; Outlays in GDP'!H484,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GDP'!J484,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GDP'!G485),TEXT('Revenues &amp; Outlays in GDP'!G485,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GDP'!H485),TEXT('Revenues &amp; Outlays in GDP'!H485,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GDP'!J485,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GDP'!G486),TEXT('Revenues &amp; Outlays in GDP'!G486,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GDP'!H486),TEXT('Revenues &amp; Outlays in GDP'!H486,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GDP'!J486,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GDP'!G487),TEXT('Revenues &amp; Outlays in GDP'!G487,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GDP'!H487),TEXT('Revenues &amp; Outlays in GDP'!H487,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GDP'!J487,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GDP'!G488),TEXT('Revenues &amp; Outlays in GDP'!G488,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GDP'!H488),TEXT('Revenues &amp; Outlays in GDP'!H488,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GDP'!J488,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GDP'!G489),TEXT('Revenues &amp; Outlays in GDP'!G489,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GDP'!H489),TEXT('Revenues &amp; Outlays in GDP'!H489,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GDP'!J489,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GDP'!G490),TEXT('Revenues &amp; Outlays in GDP'!G490,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GDP'!H490),TEXT('Revenues &amp; Outlays in GDP'!H490,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GDP'!J490,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GDP'!G491),TEXT('Revenues &amp; Outlays in GDP'!G491,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GDP'!H491),TEXT('Revenues &amp; Outlays in GDP'!H491,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GDP'!J491,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GDP'!G492),TEXT('Revenues &amp; Outlays in GDP'!G492,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GDP'!H492),TEXT('Revenues &amp; Outlays in GDP'!H492,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GDP'!J492,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GDP'!G493),TEXT('Revenues &amp; Outlays in GDP'!G493,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GDP'!H493),TEXT('Revenues &amp; Outlays in GDP'!H493,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GDP'!J493,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GDP'!G494),TEXT('Revenues &amp; Outlays in GDP'!G494,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GDP'!H494),TEXT('Revenues &amp; Outlays in GDP'!H494,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GDP'!J494,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GDP'!G495),TEXT('Revenues &amp; Outlays in GDP'!G495,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GDP'!H495),TEXT('Revenues &amp; Outlays in GDP'!H495,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GDP'!J495,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GDP'!G496),TEXT('Revenues &amp; Outlays in GDP'!G496,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GDP'!H496),TEXT('Revenues &amp; Outlays in GDP'!H496,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GDP'!J496,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GDP'!G497),TEXT('Revenues &amp; Outlays in GDP'!G497,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GDP'!H497),TEXT('Revenues &amp; Outlays in GDP'!H497,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GDP'!J497,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GDP'!G498),TEXT('Revenues &amp; Outlays in GDP'!G498,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GDP'!H498),TEXT('Revenues &amp; Outlays in GDP'!H498,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GDP'!J498,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GDP'!G499),TEXT('Revenues &amp; Outlays in GDP'!G499,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GDP'!H499),TEXT('Revenues &amp; Outlays in GDP'!H499,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GDP'!J499,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GDP'!G500),TEXT('Revenues &amp; Outlays in GDP'!G500,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GDP'!H500),TEXT('Revenues &amp; Outlays in GDP'!H500,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GDP'!J500,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GDP'!G501),TEXT('Revenues &amp; Outlays in GDP'!G501,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GDP'!H501),TEXT('Revenues &amp; Outlays in GDP'!H501,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GDP'!J501,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GDP'!G502),TEXT('Revenues &amp; Outlays in GDP'!G502,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GDP'!H502),TEXT('Revenues &amp; Outlays in GDP'!H502,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GDP'!J502,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GDP'!G503),TEXT('Revenues &amp; Outlays in GDP'!G503,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GDP'!H503),TEXT('Revenues &amp; Outlays in GDP'!H503,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GDP'!J503,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GDP'!G504),TEXT('Revenues &amp; Outlays in GDP'!G504,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GDP'!H504),TEXT('Revenues &amp; Outlays in GDP'!H504,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GDP'!J504,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GDP'!G505),TEXT('Revenues &amp; Outlays in GDP'!G505,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GDP'!H505),TEXT('Revenues &amp; Outlays in GDP'!H505,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GDP'!J505,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GDP'!G506),TEXT('Revenues &amp; Outlays in GDP'!G506,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GDP'!H506),TEXT('Revenues &amp; Outlays in GDP'!H506,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GDP'!J506,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GDP'!G507),TEXT('Revenues &amp; Outlays in GDP'!G507,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GDP'!H507),TEXT('Revenues &amp; Outlays in GDP'!H507,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GDP'!J507,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GDP'!G508),TEXT('Revenues &amp; Outlays in GDP'!G508,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GDP'!H508),TEXT('Revenues &amp; Outlays in GDP'!H508,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GDP'!J508,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GDP'!G509),TEXT('Revenues &amp; Outlays in GDP'!G509,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GDP'!H509),TEXT('Revenues &amp; Outlays in GDP'!H509,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GDP'!J509,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GDP'!G510),TEXT('Revenues &amp; Outlays in GDP'!G510,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GDP'!H510),TEXT('Revenues &amp; Outlays in GDP'!H510,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GDP'!J510,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GDP'!G511),TEXT('Revenues &amp; Outlays in GDP'!G511,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GDP'!H511),TEXT('Revenues &amp; Outlays in GDP'!H511,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GDP'!J511,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GDP'!G512),TEXT('Revenues &amp; Outlays in GDP'!G512,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GDP'!H512),TEXT('Revenues &amp; Outlays in GDP'!H512,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GDP'!J512,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GDP'!G513),TEXT('Revenues &amp; Outlays in GDP'!G513,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GDP'!H513),TEXT('Revenues &amp; Outlays in GDP'!H513,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GDP'!J513,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GDP'!G514),TEXT('Revenues &amp; Outlays in GDP'!G514,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GDP'!H514),TEXT('Revenues &amp; Outlays in GDP'!H514,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GDP'!J514,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GDP'!G515),TEXT('Revenues &amp; Outlays in GDP'!G515,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GDP'!H515),TEXT('Revenues &amp; Outlays in GDP'!H515,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GDP'!J515,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GDP'!G516),TEXT('Revenues &amp; Outlays in GDP'!G516,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GDP'!H516),TEXT('Revenues &amp; Outlays in GDP'!H516,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GDP'!J516,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GDP'!G517),TEXT('Revenues &amp; Outlays in GDP'!G517,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GDP'!H517),TEXT('Revenues &amp; Outlays in GDP'!H517,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GDP'!J517,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GDP'!G518),TEXT('Revenues &amp; Outlays in GDP'!G518,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GDP'!H518),TEXT('Revenues &amp; Outlays in GDP'!H518,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GDP'!J518,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GDP'!G519),TEXT('Revenues &amp; Outlays in GDP'!G519,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GDP'!H519),TEXT('Revenues &amp; Outlays in GDP'!H519,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GDP'!J519,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GDP'!G520),TEXT('Revenues &amp; Outlays in GDP'!G520,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GDP'!H520),TEXT('Revenues &amp; Outlays in GDP'!H520,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GDP'!J520,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GDP'!G521),TEXT('Revenues &amp; Outlays in GDP'!G521,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GDP'!H521),TEXT('Revenues &amp; Outlays in GDP'!H521,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GDP'!J521,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GDP'!G522),TEXT('Revenues &amp; Outlays in GDP'!G522,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GDP'!H522),TEXT('Revenues &amp; Outlays in GDP'!H522,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GDP'!J522,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GDP'!G523),TEXT('Revenues &amp; Outlays in GDP'!G523,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GDP'!H523),TEXT('Revenues &amp; Outlays in GDP'!H523,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GDP'!J523,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GDP'!G524),TEXT('Revenues &amp; Outlays in GDP'!G524,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GDP'!H524),TEXT('Revenues &amp; Outlays in GDP'!H524,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GDP'!J524,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GDP'!G525),TEXT('Revenues &amp; Outlays in GDP'!G525,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GDP'!H525),TEXT('Revenues &amp; Outlays in GDP'!H525,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GDP'!J525,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GDP'!G526),TEXT('Revenues &amp; Outlays in GDP'!G526,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GDP'!H526),TEXT('Revenues &amp; Outlays in GDP'!H526,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GDP'!J526,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GDP'!G527),TEXT('Revenues &amp; Outlays in GDP'!G527,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GDP'!H527),TEXT('Revenues &amp; Outlays in GDP'!H527,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GDP'!J527,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GDP'!G528),TEXT('Revenues &amp; Outlays in GDP'!G528,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GDP'!H528),TEXT('Revenues &amp; Outlays in GDP'!H528,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GDP'!J528,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GDP'!G529),TEXT('Revenues &amp; Outlays in GDP'!G529,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GDP'!H529),TEXT('Revenues &amp; Outlays in GDP'!H529,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GDP'!J529,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GDP'!G530),TEXT('Revenues &amp; Outlays in GDP'!G530,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GDP'!H530),TEXT('Revenues &amp; Outlays in GDP'!H530,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GDP'!J530,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GDP'!G531),TEXT('Revenues &amp; Outlays in GDP'!G531,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GDP'!H531),TEXT('Revenues &amp; Outlays in GDP'!H531,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GDP'!J531,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GDP'!G532),TEXT('Revenues &amp; Outlays in GDP'!G532,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GDP'!H532),TEXT('Revenues &amp; Outlays in GDP'!H532,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GDP'!J532,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GDP'!G533),TEXT('Revenues &amp; Outlays in GDP'!G533,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GDP'!H533),TEXT('Revenues &amp; Outlays in GDP'!H533,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GDP'!J533,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GDP'!G534),TEXT('Revenues &amp; Outlays in GDP'!G534,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GDP'!H534),TEXT('Revenues &amp; Outlays in GDP'!H534,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GDP'!J534,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GDP'!G535),TEXT('Revenues &amp; Outlays in GDP'!G535,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GDP'!H535),TEXT('Revenues &amp; Outlays in GDP'!H535,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GDP'!J535,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GDP'!G536),TEXT('Revenues &amp; Outlays in GDP'!G536,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GDP'!H536),TEXT('Revenues &amp; Outlays in GDP'!H536,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GDP'!J536,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GDP'!G537),TEXT('Revenues &amp; Outlays in GDP'!G537,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GDP'!H537),TEXT('Revenues &amp; Outlays in GDP'!H537,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GDP'!J537,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GDP'!G538),TEXT('Revenues &amp; Outlays in GDP'!G538,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GDP'!H538),TEXT('Revenues &amp; Outlays in GDP'!H538,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GDP'!J538,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GDP'!G539),TEXT('Revenues &amp; Outlays in GDP'!G539,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GDP'!H539),TEXT('Revenues &amp; Outlays in GDP'!H539,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GDP'!J539,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GDP'!G540),TEXT('Revenues &amp; Outlays in GDP'!G540,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GDP'!H540),TEXT('Revenues &amp; Outlays in GDP'!H540,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GDP'!J540,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GDP'!G541),TEXT('Revenues &amp; Outlays in GDP'!G541,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GDP'!H541),TEXT('Revenues &amp; Outlays in GDP'!H541,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GDP'!J541,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GDP'!G542),TEXT('Revenues &amp; Outlays in GDP'!G542,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GDP'!H542),TEXT('Revenues &amp; Outlays in GDP'!H542,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GDP'!J542,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GDP'!G543),TEXT('Revenues &amp; Outlays in GDP'!G543,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GDP'!H543),TEXT('Revenues &amp; Outlays in GDP'!H543,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GDP'!J543,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GDP'!G544),TEXT('Revenues &amp; Outlays in GDP'!G544,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GDP'!H544),TEXT('Revenues &amp; Outlays in GDP'!H544,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GDP'!J544,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GDP'!G545),TEXT('Revenues &amp; Outlays in GDP'!G545,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GDP'!H545),TEXT('Revenues &amp; Outlays in GDP'!H545,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GDP'!J545,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GDP'!G546),TEXT('Revenues &amp; Outlays in GDP'!G546,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GDP'!H546),TEXT('Revenues &amp; Outlays in GDP'!H546,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GDP'!J546,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GDP'!G547),TEXT('Revenues &amp; Outlays in GDP'!G547,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GDP'!H547),TEXT('Revenues &amp; Outlays in GDP'!H547,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GDP'!J547,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GDP'!G548),TEXT('Revenues &amp; Outlays in GDP'!G548,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GDP'!H548),TEXT('Revenues &amp; Outlays in GDP'!H548,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GDP'!J548,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GDP'!G549),TEXT('Revenues &amp; Outlays in GDP'!G549,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GDP'!H549),TEXT('Revenues &amp; Outlays in GDP'!H549,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GDP'!J549,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GDP'!G550),TEXT('Revenues &amp; Outlays in GDP'!G550,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GDP'!H550),TEXT('Revenues &amp; Outlays in GDP'!H550,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GDP'!J550,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GDP'!G551),TEXT('Revenues &amp; Outlays in GDP'!G551,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GDP'!H551),TEXT('Revenues &amp; Outlays in GDP'!H551,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GDP'!J551,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GDP'!G552),TEXT('Revenues &amp; Outlays in GDP'!G552,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GDP'!H552),TEXT('Revenues &amp; Outlays in GDP'!H552,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GDP'!J552,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GDP'!G553),TEXT('Revenues &amp; Outlays in GDP'!G553,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GDP'!H553),TEXT('Revenues &amp; Outlays in GDP'!H553,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GDP'!J553,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GDP'!G554),TEXT('Revenues &amp; Outlays in GDP'!G554,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GDP'!H554),TEXT('Revenues &amp; Outlays in GDP'!H554,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GDP'!J554,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GDP'!G555),TEXT('Revenues &amp; Outlays in GDP'!G555,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GDP'!H555),TEXT('Revenues &amp; Outlays in GDP'!H555,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GDP'!J555,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GDP'!G556),TEXT('Revenues &amp; Outlays in GDP'!G556,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GDP'!H556),TEXT('Revenues &amp; Outlays in GDP'!H556,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GDP'!J556,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GDP'!G557),TEXT('Revenues &amp; Outlays in GDP'!G557,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GDP'!H557),TEXT('Revenues &amp; Outlays in GDP'!H557,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GDP'!J557,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GDP'!G558),TEXT('Revenues &amp; Outlays in GDP'!G558,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GDP'!H558),TEXT('Revenues &amp; Outlays in GDP'!H558,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GDP'!J558,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GDP'!G559),TEXT('Revenues &amp; Outlays in GDP'!G559,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GDP'!H559),TEXT('Revenues &amp; Outlays in GDP'!H559,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GDP'!J559,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GDP'!G560),TEXT('Revenues &amp; Outlays in GDP'!G560,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GDP'!H560),TEXT('Revenues &amp; Outlays in GDP'!H560,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GDP'!J560,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GDP'!G561),TEXT('Revenues &amp; Outlays in GDP'!G561,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GDP'!H561),TEXT('Revenues &amp; Outlays in GDP'!H561,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GDP'!J561,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GDP'!G562),TEXT('Revenues &amp; Outlays in GDP'!G562,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GDP'!H562),TEXT('Revenues &amp; Outlays in GDP'!H562,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GDP'!J562,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GDP'!G563),TEXT('Revenues &amp; Outlays in GDP'!G563,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GDP'!H563),TEXT('Revenues &amp; Outlays in GDP'!H563,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GDP'!J563,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GDP'!G564),TEXT('Revenues &amp; Outlays in GDP'!G564,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GDP'!H564),TEXT('Revenues &amp; Outlays in GDP'!H564,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GDP'!J564,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GDP'!G565),TEXT('Revenues &amp; Outlays in GDP'!G565,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GDP'!H565),TEXT('Revenues &amp; Outlays in GDP'!H565,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GDP'!J565,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GDP'!G566),TEXT('Revenues &amp; Outlays in GDP'!G566,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GDP'!H566),TEXT('Revenues &amp; Outlays in GDP'!H566,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GDP'!J566,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GDP'!G567),TEXT('Revenues &amp; Outlays in GDP'!G567,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GDP'!H567),TEXT('Revenues &amp; Outlays in GDP'!H567,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GDP'!J567,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GDP'!G568),TEXT('Revenues &amp; Outlays in GDP'!G568,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GDP'!H568),TEXT('Revenues &amp; Outlays in GDP'!H568,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GDP'!J568,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GDP'!G569),TEXT('Revenues &amp; Outlays in GDP'!G569,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GDP'!H569),TEXT('Revenues &amp; Outlays in GDP'!H569,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GDP'!J569,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GDP'!G570),TEXT('Revenues &amp; Outlays in GDP'!G570,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GDP'!H570),TEXT('Revenues &amp; Outlays in GDP'!H570,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GDP'!J570,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GDP'!G571),TEXT('Revenues &amp; Outlays in GDP'!G571,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GDP'!H571),TEXT('Revenues &amp; Outlays in GDP'!H571,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GDP'!J571,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GDP'!G572),TEXT('Revenues &amp; Outlays in GDP'!G572,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GDP'!H572),TEXT('Revenues &amp; Outlays in GDP'!H572,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GDP'!J572,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GDP'!G573),TEXT('Revenues &amp; Outlays in GDP'!G573,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GDP'!H573),TEXT('Revenues &amp; Outlays in GDP'!H573,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GDP'!J573,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GDP'!G574),TEXT('Revenues &amp; Outlays in GDP'!G574,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GDP'!H574),TEXT('Revenues &amp; Outlays in GDP'!H574,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GDP'!J574,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GDP'!G575),TEXT('Revenues &amp; Outlays in GDP'!G575,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GDP'!H575),TEXT('Revenues &amp; Outlays in GDP'!H575,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GDP'!J575,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GDP'!G576),TEXT('Revenues &amp; Outlays in GDP'!G576,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GDP'!H576),TEXT('Revenues &amp; Outlays in GDP'!H576,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GDP'!J576,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GDP'!G577),TEXT('Revenues &amp; Outlays in GDP'!G577,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GDP'!H577),TEXT('Revenues &amp; Outlays in GDP'!H577,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GDP'!J577,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GDP'!G578),TEXT('Revenues &amp; Outlays in GDP'!G578,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GDP'!H578),TEXT('Revenues &amp; Outlays in GDP'!H578,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GDP'!J578,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GDP'!G579),TEXT('Revenues &amp; Outlays in GDP'!G579,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GDP'!H579),TEXT('Revenues &amp; Outlays in GDP'!H579,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GDP'!J579,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GDP'!G580),TEXT('Revenues &amp; Outlays in GDP'!G580,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GDP'!H580),TEXT('Revenues &amp; Outlays in GDP'!H580,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GDP'!J580,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GDP'!G581),TEXT('Revenues &amp; Outlays in GDP'!G581,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GDP'!H581),TEXT('Revenues &amp; Outlays in GDP'!H581,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GDP'!J581,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GDP'!G582),TEXT('Revenues &amp; Outlays in GDP'!G582,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GDP'!H582),TEXT('Revenues &amp; Outlays in GDP'!H582,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GDP'!J582,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GDP'!G583),TEXT('Revenues &amp; Outlays in GDP'!G583,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GDP'!H583),TEXT('Revenues &amp; Outlays in GDP'!H583,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GDP'!J583,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GDP'!G584),TEXT('Revenues &amp; Outlays in GDP'!G584,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GDP'!H584),TEXT('Revenues &amp; Outlays in GDP'!H584,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GDP'!J584,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GDP'!G585),TEXT('Revenues &amp; Outlays in GDP'!G585,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GDP'!H585),TEXT('Revenues &amp; Outlays in GDP'!H585,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GDP'!J585,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GDP'!G586),TEXT('Revenues &amp; Outlays in GDP'!G586,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GDP'!H586),TEXT('Revenues &amp; Outlays in GDP'!H586,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GDP'!J586,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GDP'!G587),TEXT('Revenues &amp; Outlays in GDP'!G587,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GDP'!H587),TEXT('Revenues &amp; Outlays in GDP'!H587,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GDP'!J587,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GDP'!G588),TEXT('Revenues &amp; Outlays in GDP'!G588,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GDP'!H588),TEXT('Revenues &amp; Outlays in GDP'!H588,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GDP'!J588,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GDP'!G589),TEXT('Revenues &amp; Outlays in GDP'!G589,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GDP'!H589),TEXT('Revenues &amp; Outlays in GDP'!H589,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GDP'!J589,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GDP'!G590),TEXT('Revenues &amp; Outlays in GDP'!G590,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GDP'!H590),TEXT('Revenues &amp; Outlays in GDP'!H590,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GDP'!J590,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GDP'!G591),TEXT('Revenues &amp; Outlays in GDP'!G591,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GDP'!H591),TEXT('Revenues &amp; Outlays in GDP'!H591,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GDP'!J591,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GDP'!G592),TEXT('Revenues &amp; Outlays in GDP'!G592,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GDP'!H592),TEXT('Revenues &amp; Outlays in GDP'!H592,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GDP'!J592,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GDP'!G593),TEXT('Revenues &amp; Outlays in GDP'!G593,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GDP'!H593),TEXT('Revenues &amp; Outlays in GDP'!H593,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GDP'!J593,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GDP'!G594),TEXT('Revenues &amp; Outlays in GDP'!G594,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GDP'!H594),TEXT('Revenues &amp; Outlays in GDP'!H594,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GDP'!J594,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GDP'!G595),TEXT('Revenues &amp; Outlays in GDP'!G595,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GDP'!H595),TEXT('Revenues &amp; Outlays in GDP'!H595,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GDP'!J595,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GDP'!G596),TEXT('Revenues &amp; Outlays in GDP'!G596,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GDP'!H596),TEXT('Revenues &amp; Outlays in GDP'!H596,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GDP'!J596,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GDP'!G597),TEXT('Revenues &amp; Outlays in GDP'!G597,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GDP'!H597),TEXT('Revenues &amp; Outlays in GDP'!H597,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GDP'!J597,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GDP'!G598),TEXT('Revenues &amp; Outlays in GDP'!G598,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GDP'!H598),TEXT('Revenues &amp; Outlays in GDP'!H598,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GDP'!J598,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GDP'!G599),TEXT('Revenues &amp; Outlays in GDP'!G599,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GDP'!H599),TEXT('Revenues &amp; Outlays in GDP'!H599,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GDP'!J599,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GDP'!G600),TEXT('Revenues &amp; Outlays in GDP'!G600,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GDP'!H600),TEXT('Revenues &amp; Outlays in GDP'!H600,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GDP'!J600,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GDP'!G601),TEXT('Revenues &amp; Outlays in GDP'!G601,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GDP'!H601),TEXT('Revenues &amp; Outlays in GDP'!H601,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GDP'!J601,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GDP'!G602),TEXT('Revenues &amp; Outlays in GDP'!G602,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GDP'!H602),TEXT('Revenues &amp; Outlays in GDP'!H602,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GDP'!J602,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GDP'!G603),TEXT('Revenues &amp; Outlays in GDP'!G603,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GDP'!H603),TEXT('Revenues &amp; Outlays in GDP'!H603,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GDP'!J603,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GDP'!G604),TEXT('Revenues &amp; Outlays in GDP'!G604,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GDP'!H604),TEXT('Revenues &amp; Outlays in GDP'!H604,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GDP'!J604,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GDP'!G605),TEXT('Revenues &amp; Outlays in GDP'!G605,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GDP'!H605),TEXT('Revenues &amp; Outlays in GDP'!H605,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GDP'!J605,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GDP'!G606),TEXT('Revenues &amp; Outlays in GDP'!G606,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GDP'!H606),TEXT('Revenues &amp; Outlays in GDP'!H606,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GDP'!J606,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GDP'!G607),TEXT('Revenues &amp; Outlays in GDP'!G607,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GDP'!H607),TEXT('Revenues &amp; Outlays in GDP'!H607,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GDP'!J607,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GDP'!G608),TEXT('Revenues &amp; Outlays in GDP'!G608,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GDP'!H608),TEXT('Revenues &amp; Outlays in GDP'!H608,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GDP'!J608,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GDP'!G609),TEXT('Revenues &amp; Outlays in GDP'!G609,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GDP'!H609),TEXT('Revenues &amp; Outlays in GDP'!H609,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GDP'!J609,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GDP'!G610),TEXT('Revenues &amp; Outlays in GDP'!G610,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GDP'!H610),TEXT('Revenues &amp; Outlays in GDP'!H610,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GDP'!J610,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GDP'!G611),TEXT('Revenues &amp; Outlays in GDP'!G611,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GDP'!H611),TEXT('Revenues &amp; Outlays in GDP'!H611,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GDP'!J611,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GDP'!G612),TEXT('Revenues &amp; Outlays in GDP'!G612,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GDP'!H612),TEXT('Revenues &amp; Outlays in GDP'!H612,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GDP'!J612,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GDP'!G613),TEXT('Revenues &amp; Outlays in GDP'!G613,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GDP'!H613),TEXT('Revenues &amp; Outlays in GDP'!H613,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GDP'!J613,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GDP'!G614),TEXT('Revenues &amp; Outlays in GDP'!G614,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GDP'!H614),TEXT('Revenues &amp; Outlays in GDP'!H614,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GDP'!J614,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GDP'!G615),TEXT('Revenues &amp; Outlays in GDP'!G615,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GDP'!H615),TEXT('Revenues &amp; Outlays in GDP'!H615,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GDP'!J615,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GDP'!G616),TEXT('Revenues &amp; Outlays in GDP'!G616,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GDP'!H616),TEXT('Revenues &amp; Outlays in GDP'!H616,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GDP'!J616,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GDP'!G617),TEXT('Revenues &amp; Outlays in GDP'!G617,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GDP'!H617),TEXT('Revenues &amp; Outlays in GDP'!H617,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GDP'!J617,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GDP'!G618),TEXT('Revenues &amp; Outlays in GDP'!G618,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GDP'!H618),TEXT('Revenues &amp; Outlays in GDP'!H618,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GDP'!J618,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GDP'!G619),TEXT('Revenues &amp; Outlays in GDP'!G619,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GDP'!H619),TEXT('Revenues &amp; Outlays in GDP'!H619,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GDP'!J619,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GDP'!G620),TEXT('Revenues &amp; Outlays in GDP'!G620,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GDP'!H620),TEXT('Revenues &amp; Outlays in GDP'!H620,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GDP'!J620,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GDP'!G621),TEXT('Revenues &amp; Outlays in GDP'!G621,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GDP'!H621),TEXT('Revenues &amp; Outlays in GDP'!H621,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GDP'!J621,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GDP'!G622),TEXT('Revenues &amp; Outlays in GDP'!G622,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GDP'!H622),TEXT('Revenues &amp; Outlays in GDP'!H622,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GDP'!J622,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GDP'!G623),TEXT('Revenues &amp; Outlays in GDP'!G623,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GDP'!H623),TEXT('Revenues &amp; Outlays in GDP'!H623,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GDP'!J623,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GDP'!G624),TEXT('Revenues &amp; Outlays in GDP'!G624,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GDP'!H624),TEXT('Revenues &amp; Outlays in GDP'!H624,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GDP'!J624,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GDP'!G625),TEXT('Revenues &amp; Outlays in GDP'!G625,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GDP'!H625),TEXT('Revenues &amp; Outlays in GDP'!H625,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GDP'!J625,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GDP'!G626),TEXT('Revenues &amp; Outlays in GDP'!G626,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GDP'!H626),TEXT('Revenues &amp; Outlays in GDP'!H626,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GDP'!J626,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GDP'!G627),TEXT('Revenues &amp; Outlays in GDP'!G627,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GDP'!H627),TEXT('Revenues &amp; Outlays in GDP'!H627,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GDP'!J627,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GDP'!G628),TEXT('Revenues &amp; Outlays in GDP'!G628,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GDP'!H628),TEXT('Revenues &amp; Outlays in GDP'!H628,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GDP'!J628,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GDP'!G629),TEXT('Revenues &amp; Outlays in GDP'!G629,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GDP'!H629),TEXT('Revenues &amp; Outlays in GDP'!H629,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GDP'!J629,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GDP'!G630),TEXT('Revenues &amp; Outlays in GDP'!G630,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GDP'!H630),TEXT('Revenues &amp; Outlays in GDP'!H630,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GDP'!J630,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GDP'!G631),TEXT('Revenues &amp; Outlays in GDP'!G631,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GDP'!H631),TEXT('Revenues &amp; Outlays in GDP'!H631,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GDP'!J631,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GDP'!G632),TEXT('Revenues &amp; Outlays in GDP'!G632,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GDP'!H632),TEXT('Revenues &amp; Outlays in GDP'!H632,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GDP'!J632,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GDP'!G633),TEXT('Revenues &amp; Outlays in GDP'!G633,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GDP'!H633),TEXT('Revenues &amp; Outlays in GDP'!H633,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GDP'!J633,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GDP'!G634),TEXT('Revenues &amp; Outlays in GDP'!G634,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GDP'!H634),TEXT('Revenues &amp; Outlays in GDP'!H634,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GDP'!J634,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GDP'!G635),TEXT('Revenues &amp; Outlays in GDP'!G635,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GDP'!H635),TEXT('Revenues &amp; Outlays in GDP'!H635,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GDP'!J635,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GDP'!G636),TEXT('Revenues &amp; Outlays in GDP'!G636,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GDP'!H636),TEXT('Revenues &amp; Outlays in GDP'!H636,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GDP'!J636,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GDP'!G637),TEXT('Revenues &amp; Outlays in GDP'!G637,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GDP'!H637),TEXT('Revenues &amp; Outlays in GDP'!H637,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GDP'!J637,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GDP'!G638),TEXT('Revenues &amp; Outlays in GDP'!G638,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GDP'!H638),TEXT('Revenues &amp; Outlays in GDP'!H638,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GDP'!J638,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GDP'!G639),TEXT('Revenues &amp; Outlays in GDP'!G639,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GDP'!H639),TEXT('Revenues &amp; Outlays in GDP'!H639,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GDP'!J639,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GDP'!G640),TEXT('Revenues &amp; Outlays in GDP'!G640,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GDP'!H640),TEXT('Revenues &amp; Outlays in GDP'!H640,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GDP'!J640,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GDP'!G641),TEXT('Revenues &amp; Outlays in GDP'!G641,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GDP'!H641),TEXT('Revenues &amp; Outlays in GDP'!H641,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GDP'!J641,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GDP'!G642),TEXT('Revenues &amp; Outlays in GDP'!G642,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GDP'!H642),TEXT('Revenues &amp; Outlays in GDP'!H642,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GDP'!J642,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GDP'!G643),TEXT('Revenues &amp; Outlays in GDP'!G643,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GDP'!H643),TEXT('Revenues &amp; Outlays in GDP'!H643,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GDP'!J643,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GDP'!G644),TEXT('Revenues &amp; Outlays in GDP'!G644,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GDP'!H644),TEXT('Revenues &amp; Outlays in GDP'!H644,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GDP'!J644,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GDP'!G645),TEXT('Revenues &amp; Outlays in GDP'!G645,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GDP'!H645),TEXT('Revenues &amp; Outlays in GDP'!H645,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GDP'!J645,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GDP'!G646),TEXT('Revenues &amp; Outlays in GDP'!G646,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GDP'!H646),TEXT('Revenues &amp; Outlays in GDP'!H646,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GDP'!J646,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GDP'!G647),TEXT('Revenues &amp; Outlays in GDP'!G647,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GDP'!H647),TEXT('Revenues &amp; Outlays in GDP'!H647,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GDP'!J647,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GDP'!G648),TEXT('Revenues &amp; Outlays in GDP'!G648,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GDP'!H648),TEXT('Revenues &amp; Outlays in GDP'!H648,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GDP'!J648,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GDP'!G649),TEXT('Revenues &amp; Outlays in GDP'!G649,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GDP'!H649),TEXT('Revenues &amp; Outlays in GDP'!H649,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GDP'!J649,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GDP'!G650),TEXT('Revenues &amp; Outlays in GDP'!G650,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GDP'!H650),TEXT('Revenues &amp; Outlays in GDP'!H650,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GDP'!J650,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GDP'!G651),TEXT('Revenues &amp; Outlays in GDP'!G651,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GDP'!H651),TEXT('Revenues &amp; Outlays in GDP'!H651,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GDP'!J651,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GDP'!G652),TEXT('Revenues &amp; Outlays in GDP'!G652,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GDP'!H652),TEXT('Revenues &amp; Outlays in GDP'!H652,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GDP'!J652,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GDP'!G653),TEXT('Revenues &amp; Outlays in GDP'!G653,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GDP'!H653),TEXT('Revenues &amp; Outlays in GDP'!H653,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GDP'!J653,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GDP'!G654),TEXT('Revenues &amp; Outlays in GDP'!G654,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GDP'!H654),TEXT('Revenues &amp; Outlays in GDP'!H654,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GDP'!J654,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GDP'!G655),TEXT('Revenues &amp; Outlays in GDP'!G655,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GDP'!H655),TEXT('Revenues &amp; Outlays in GDP'!H655,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GDP'!J655,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GDP'!G656),TEXT('Revenues &amp; Outlays in GDP'!G656,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GDP'!H656),TEXT('Revenues &amp; Outlays in GDP'!H656,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GDP'!J656,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GDP'!G657),TEXT('Revenues &amp; Outlays in GDP'!G657,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GDP'!H657),TEXT('Revenues &amp; Outlays in GDP'!H657,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GDP'!J657,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GDP'!G658),TEXT('Revenues &amp; Outlays in GDP'!G658,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GDP'!H658),TEXT('Revenues &amp; Outlays in GDP'!H658,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GDP'!J658,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GDP'!G659),TEXT('Revenues &amp; Outlays in GDP'!G659,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GDP'!H659),TEXT('Revenues &amp; Outlays in GDP'!H659,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GDP'!J659,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GDP'!G660),TEXT('Revenues &amp; Outlays in GDP'!G660,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GDP'!H660),TEXT('Revenues &amp; Outlays in GDP'!H660,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GDP'!J660,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GDP'!G661),TEXT('Revenues &amp; Outlays in GDP'!G661,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GDP'!H661),TEXT('Revenues &amp; Outlays in GDP'!H661,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GDP'!J661,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GDP'!G662),TEXT('Revenues &amp; Outlays in GDP'!G662,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GDP'!H662),TEXT('Revenues &amp; Outlays in GDP'!H662,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GDP'!J662,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GDP'!G663),TEXT('Revenues &amp; Outlays in GDP'!G663,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GDP'!H663),TEXT('Revenues &amp; Outlays in GDP'!H663,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GDP'!J663,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GDP'!G664),TEXT('Revenues &amp; Outlays in GDP'!G664,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GDP'!H664),TEXT('Revenues &amp; Outlays in GDP'!H664,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GDP'!J664,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GDP'!G665),TEXT('Revenues &amp; Outlays in GDP'!G665,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GDP'!H665),TEXT('Revenues &amp; Outlays in GDP'!H665,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GDP'!J665,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GDP'!G666),TEXT('Revenues &amp; Outlays in GDP'!G666,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GDP'!H666),TEXT('Revenues &amp; Outlays in GDP'!H666,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GDP'!J666,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GDP'!G667),TEXT('Revenues &amp; Outlays in GDP'!G667,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GDP'!H667),TEXT('Revenues &amp; Outlays in GDP'!H667,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GDP'!J667,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GDP'!G668),TEXT('Revenues &amp; Outlays in GDP'!G668,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GDP'!H668),TEXT('Revenues &amp; Outlays in GDP'!H668,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GDP'!J668,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GDP'!G669),TEXT('Revenues &amp; Outlays in GDP'!G669,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GDP'!H669),TEXT('Revenues &amp; Outlays in GDP'!H669,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GDP'!J669,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GDP'!G670),TEXT('Revenues &amp; Outlays in GDP'!G670,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GDP'!H670),TEXT('Revenues &amp; Outlays in GDP'!H670,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GDP'!J670,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GDP'!G671),TEXT('Revenues &amp; Outlays in GDP'!G671,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GDP'!H671),TEXT('Revenues &amp; Outlays in GDP'!H671,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GDP'!J671,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GDP'!G672),TEXT('Revenues &amp; Outlays in GDP'!G672,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GDP'!H672),TEXT('Revenues &amp; Outlays in GDP'!H672,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GDP'!J672,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GDP'!G673),TEXT('Revenues &amp; Outlays in GDP'!G673,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GDP'!H673),TEXT('Revenues &amp; Outlays in GDP'!H673,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GDP'!J673,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GDP'!G674),TEXT('Revenues &amp; Outlays in GDP'!G674,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GDP'!H674),TEXT('Revenues &amp; Outlays in GDP'!H674,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GDP'!J674,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GDP'!G675),TEXT('Revenues &amp; Outlays in GDP'!G675,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GDP'!H675),TEXT('Revenues &amp; Outlays in GDP'!H675,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GDP'!J675,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GDP'!G676),TEXT('Revenues &amp; Outlays in GDP'!G676,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GDP'!H676),TEXT('Revenues &amp; Outlays in GDP'!H676,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GDP'!J676,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GDP'!G677),TEXT('Revenues &amp; Outlays in GDP'!G677,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GDP'!H677),TEXT('Revenues &amp; Outlays in GDP'!H677,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GDP'!J677,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GDP'!G678),TEXT('Revenues &amp; Outlays in GDP'!G678,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GDP'!H678),TEXT('Revenues &amp; Outlays in GDP'!H678,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GDP'!J678,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GDP'!G679),TEXT('Revenues &amp; Outlays in GDP'!G679,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GDP'!H679),TEXT('Revenues &amp; Outlays in GDP'!H679,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GDP'!J679,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GDP'!G680),TEXT('Revenues &amp; Outlays in GDP'!G680,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GDP'!H680),TEXT('Revenues &amp; Outlays in GDP'!H680,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GDP'!J680,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GDP'!G681),TEXT('Revenues &amp; Outlays in GDP'!G681,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GDP'!H681),TEXT('Revenues &amp; Outlays in GDP'!H681,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GDP'!J681,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GDP'!G682),TEXT('Revenues &amp; Outlays in GDP'!G682,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GDP'!H682),TEXT('Revenues &amp; Outlays in GDP'!H682,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GDP'!J682,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GDP'!G683),TEXT('Revenues &amp; Outlays in GDP'!G683,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GDP'!H683),TEXT('Revenues &amp; Outlays in GDP'!H683,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GDP'!J683,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GDP'!G684),TEXT('Revenues &amp; Outlays in GDP'!G684,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GDP'!H684),TEXT('Revenues &amp; Outlays in GDP'!H684,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GDP'!J684,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GDP'!G685),TEXT('Revenues &amp; Outlays in GDP'!G685,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GDP'!H685),TEXT('Revenues &amp; Outlays in GDP'!H685,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GDP'!J685,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GDP'!G686),TEXT('Revenues &amp; Outlays in GDP'!G686,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GDP'!H686),TEXT('Revenues &amp; Outlays in GDP'!H686,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GDP'!J686,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GDP'!G687),TEXT('Revenues &amp; Outlays in GDP'!G687,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GDP'!H687),TEXT('Revenues &amp; Outlays in GDP'!H687,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GDP'!J687,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GDP'!G688),TEXT('Revenues &amp; Outlays in GDP'!G688,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GDP'!H688),TEXT('Revenues &amp; Outlays in GDP'!H688,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GDP'!J688,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GDP'!G689),TEXT('Revenues &amp; Outlays in GDP'!G689,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GDP'!H689),TEXT('Revenues &amp; Outlays in GDP'!H689,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GDP'!J689,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GDP'!G690),TEXT('Revenues &amp; Outlays in GDP'!G690,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GDP'!H690),TEXT('Revenues &amp; Outlays in GDP'!H690,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GDP'!J690,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GDP'!G691),TEXT('Revenues &amp; Outlays in GDP'!G691,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GDP'!H691),TEXT('Revenues &amp; Outlays in GDP'!H691,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GDP'!J691,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GDP'!G692),TEXT('Revenues &amp; Outlays in GDP'!G692,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GDP'!H692),TEXT('Revenues &amp; Outlays in GDP'!H692,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GDP'!J692,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GDP'!G693),TEXT('Revenues &amp; Outlays in GDP'!G693,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GDP'!H693),TEXT('Revenues &amp; Outlays in GDP'!H693,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GDP'!J693,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GDP'!G694),TEXT('Revenues &amp; Outlays in GDP'!G694,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GDP'!H694),TEXT('Revenues &amp; Outlays in GDP'!H694,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GDP'!J694,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GDP'!G695),TEXT('Revenues &amp; Outlays in GDP'!G695,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GDP'!H695),TEXT('Revenues &amp; Outlays in GDP'!H695,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GDP'!J695,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GDP'!G696),TEXT('Revenues &amp; Outlays in GDP'!G696,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GDP'!H696),TEXT('Revenues &amp; Outlays in GDP'!H696,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GDP'!J696,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GDP'!G697),TEXT('Revenues &amp; Outlays in GDP'!G697,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GDP'!H697),TEXT('Revenues &amp; Outlays in GDP'!H697,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GDP'!J697,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GDP'!G698),TEXT('Revenues &amp; Outlays in GDP'!G698,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GDP'!H698),TEXT('Revenues &amp; Outlays in GDP'!H698,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GDP'!J698,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GDP'!G699),TEXT('Revenues &amp; Outlays in GDP'!G699,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GDP'!H699),TEXT('Revenues &amp; Outlays in GDP'!H699,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GDP'!J699,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GDP'!G700),TEXT('Revenues &amp; Outlays in GDP'!G700,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GDP'!H700),TEXT('Revenues &amp; Outlays in GDP'!H700,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GDP'!J700,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GDP'!G701),TEXT('Revenues &amp; Outlays in GDP'!G701,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GDP'!H701),TEXT('Revenues &amp; Outlays in GDP'!H701,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GDP'!J701,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GDP'!G702),TEXT('Revenues &amp; Outlays in GDP'!G702,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GDP'!H702),TEXT('Revenues &amp; Outlays in GDP'!H702,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GDP'!J702,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GDP'!G703),TEXT('Revenues &amp; Outlays in GDP'!G703,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GDP'!H703),TEXT('Revenues &amp; Outlays in GDP'!H703,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GDP'!J703,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GDP'!G704),TEXT('Revenues &amp; Outlays in GDP'!G704,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GDP'!H704),TEXT('Revenues &amp; Outlays in GDP'!H704,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GDP'!J704,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GDP'!G705),TEXT('Revenues &amp; Outlays in GDP'!G705,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GDP'!H705),TEXT('Revenues &amp; Outlays in GDP'!H705,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GDP'!J705,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GDP'!G706),TEXT('Revenues &amp; Outlays in GDP'!G706,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GDP'!H706),TEXT('Revenues &amp; Outlays in GDP'!H706,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GDP'!J706,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GDP'!G707),TEXT('Revenues &amp; Outlays in GDP'!G707,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GDP'!H707),TEXT('Revenues &amp; Outlays in GDP'!H707,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GDP'!J707,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GDP'!G708),TEXT('Revenues &amp; Outlays in GDP'!G708,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GDP'!H708),TEXT('Revenues &amp; Outlays in GDP'!H708,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GDP'!J708,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GDP'!G709),TEXT('Revenues &amp; Outlays in GDP'!G709,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GDP'!H709),TEXT('Revenues &amp; Outlays in GDP'!H709,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GDP'!J709,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GDP'!G710),TEXT('Revenues &amp; Outlays in GDP'!G710,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GDP'!H710),TEXT('Revenues &amp; Outlays in GDP'!H710,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GDP'!J710,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GDP'!G711),TEXT('Revenues &amp; Outlays in GDP'!G711,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GDP'!H711),TEXT('Revenues &amp; Outlays in GDP'!H711,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GDP'!J711,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GDP'!G712),TEXT('Revenues &amp; Outlays in GDP'!G712,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GDP'!H712),TEXT('Revenues &amp; Outlays in GDP'!H712,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GDP'!J712,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GDP'!G713),TEXT('Revenues &amp; Outlays in GDP'!G713,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GDP'!H713),TEXT('Revenues &amp; Outlays in GDP'!H713,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GDP'!J713,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GDP'!G714),TEXT('Revenues &amp; Outlays in GDP'!G714,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GDP'!H714),TEXT('Revenues &amp; Outlays in GDP'!H714,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GDP'!J714,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GDP'!G715),TEXT('Revenues &amp; Outlays in GDP'!G715,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GDP'!H715),TEXT('Revenues &amp; Outlays in GDP'!H715,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GDP'!J715,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GDP'!G716),TEXT('Revenues &amp; Outlays in GDP'!G716,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GDP'!H716),TEXT('Revenues &amp; Outlays in GDP'!H716,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GDP'!J716,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GDP'!G717),TEXT('Revenues &amp; Outlays in GDP'!G717,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GDP'!H717),TEXT('Revenues &amp; Outlays in GDP'!H717,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GDP'!J717,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GDP'!G718),TEXT('Revenues &amp; Outlays in GDP'!G718,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GDP'!H718),TEXT('Revenues &amp; Outlays in GDP'!H718,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GDP'!J718,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GDP'!G719),TEXT('Revenues &amp; Outlays in GDP'!G719,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GDP'!H719),TEXT('Revenues &amp; Outlays in GDP'!H719,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GDP'!J719,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GDP'!G720),TEXT('Revenues &amp; Outlays in GDP'!G720,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GDP'!H720),TEXT('Revenues &amp; Outlays in GDP'!H720,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GDP'!J720,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GDP'!G721),TEXT('Revenues &amp; Outlays in GDP'!G721,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GDP'!H721),TEXT('Revenues &amp; Outlays in GDP'!H721,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GDP'!J721,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GDP'!G722),TEXT('Revenues &amp; Outlays in GDP'!G722,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GDP'!H722),TEXT('Revenues &amp; Outlays in GDP'!H722,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GDP'!J722,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GDP'!G723),TEXT('Revenues &amp; Outlays in GDP'!G723,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GDP'!H723),TEXT('Revenues &amp; Outlays in GDP'!H723,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GDP'!J723,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GDP'!G724),TEXT('Revenues &amp; Outlays in GDP'!G724,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GDP'!H724),TEXT('Revenues &amp; Outlays in GDP'!H724,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GDP'!J724,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GDP'!G725),TEXT('Revenues &amp; Outlays in GDP'!G725,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GDP'!H725),TEXT('Revenues &amp; Outlays in GDP'!H725,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GDP'!J725,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GDP'!G726),TEXT('Revenues &amp; Outlays in GDP'!G726,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GDP'!H726),TEXT('Revenues &amp; Outlays in GDP'!H726,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GDP'!J726,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GDP'!G727),TEXT('Revenues &amp; Outlays in GDP'!G727,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GDP'!H727),TEXT('Revenues &amp; Outlays in GDP'!H727,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GDP'!J727,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GDP'!G728),TEXT('Revenues &amp; Outlays in GDP'!G728,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GDP'!H728),TEXT('Revenues &amp; Outlays in GDP'!H728,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GDP'!J728,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GDP'!G729),TEXT('Revenues &amp; Outlays in GDP'!G729,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GDP'!H729),TEXT('Revenues &amp; Outlays in GDP'!H729,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GDP'!J729,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GDP'!G730),TEXT('Revenues &amp; Outlays in GDP'!G730,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GDP'!H730),TEXT('Revenues &amp; Outlays in GDP'!H730,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GDP'!J730,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GDP'!G731),TEXT('Revenues &amp; Outlays in GDP'!G731,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GDP'!H731),TEXT('Revenues &amp; Outlays in GDP'!H731,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GDP'!J731,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GDP'!G732),TEXT('Revenues &amp; Outlays in GDP'!G732,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GDP'!H732),TEXT('Revenues &amp; Outlays in GDP'!H732,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GDP'!J732,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GDP'!G733),TEXT('Revenues &amp; Outlays in GDP'!G733,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GDP'!H733),TEXT('Revenues &amp; Outlays in GDP'!H733,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GDP'!J733,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GDP'!G734),TEXT('Revenues &amp; Outlays in GDP'!G734,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GDP'!H734),TEXT('Revenues &amp; Outlays in GDP'!H734,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GDP'!J734,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GDP'!G735),TEXT('Revenues &amp; Outlays in GDP'!G735,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GDP'!H735),TEXT('Revenues &amp; Outlays in GDP'!H735,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GDP'!J735,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GDP'!G736),TEXT('Revenues &amp; Outlays in GDP'!G736,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GDP'!H736),TEXT('Revenues &amp; Outlays in GDP'!H736,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GDP'!J736,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GDP'!G737),TEXT('Revenues &amp; Outlays in GDP'!G737,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GDP'!H737),TEXT('Revenues &amp; Outlays in GDP'!H737,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GDP'!J737,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GDP'!G738),TEXT('Revenues &amp; Outlays in GDP'!G738,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GDP'!H738),TEXT('Revenues &amp; Outlays in GDP'!H738,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GDP'!J738,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GDP'!G739),TEXT('Revenues &amp; Outlays in GDP'!G739,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GDP'!H739),TEXT('Revenues &amp; Outlays in GDP'!H739,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GDP'!J739,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GDP'!G740),TEXT('Revenues &amp; Outlays in GDP'!G740,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GDP'!H740),TEXT('Revenues &amp; Outlays in GDP'!H740,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GDP'!J740,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GDP'!G741),TEXT('Revenues &amp; Outlays in GDP'!G741,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GDP'!H741),TEXT('Revenues &amp; Outlays in GDP'!H741,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GDP'!J741,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GDP'!G742),TEXT('Revenues &amp; Outlays in GDP'!G742,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GDP'!H742),TEXT('Revenues &amp; Outlays in GDP'!H742,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GDP'!J742,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GDP'!G743),TEXT('Revenues &amp; Outlays in GDP'!G743,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GDP'!H743),TEXT('Revenues &amp; Outlays in GDP'!H743,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GDP'!J743,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GDP'!G744),TEXT('Revenues &amp; Outlays in GDP'!G744,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GDP'!H744),TEXT('Revenues &amp; Outlays in GDP'!H744,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GDP'!J744,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GDP'!G745),TEXT('Revenues &amp; Outlays in GDP'!G745,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GDP'!H745),TEXT('Revenues &amp; Outlays in GDP'!H745,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GDP'!J745,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GDP'!G746),TEXT('Revenues &amp; Outlays in GDP'!G746,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GDP'!H746),TEXT('Revenues &amp; Outlays in GDP'!H746,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GDP'!J746,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GDP'!G747),TEXT('Revenues &amp; Outlays in GDP'!G747,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GDP'!H747),TEXT('Revenues &amp; Outlays in GDP'!H747,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GDP'!J747,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GDP'!G748),TEXT('Revenues &amp; Outlays in GDP'!G748,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GDP'!H748),TEXT('Revenues &amp; Outlays in GDP'!H748,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GDP'!J748,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GDP'!G749),TEXT('Revenues &amp; Outlays in GDP'!G749,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GDP'!H749),TEXT('Revenues &amp; Outlays in GDP'!H749,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GDP'!J749,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GDP'!G750),TEXT('Revenues &amp; Outlays in GDP'!G750,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GDP'!H750),TEXT('Revenues &amp; Outlays in GDP'!H750,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GDP'!J750,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GDP'!G751),TEXT('Revenues &amp; Outlays in GDP'!G751,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GDP'!H751),TEXT('Revenues &amp; Outlays in GDP'!H751,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GDP'!J751,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GDP'!G752),TEXT('Revenues &amp; Outlays in GDP'!G752,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GDP'!H752),TEXT('Revenues &amp; Outlays in GDP'!H752,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GDP'!J752,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GDP'!G753),TEXT('Revenues &amp; Outlays in GDP'!G753,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GDP'!H753),TEXT('Revenues &amp; Outlays in GDP'!H753,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GDP'!J753,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GDP'!G754),TEXT('Revenues &amp; Outlays in GDP'!G754,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GDP'!H754),TEXT('Revenues &amp; Outlays in GDP'!H754,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GDP'!J754,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GDP'!G755),TEXT('Revenues &amp; Outlays in GDP'!G755,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GDP'!H755),TEXT('Revenues &amp; Outlays in GDP'!H755,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GDP'!J755,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GDP'!G756),TEXT('Revenues &amp; Outlays in GDP'!G756,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GDP'!H756),TEXT('Revenues &amp; Outlays in GDP'!H756,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GDP'!J756,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GDP'!G757),TEXT('Revenues &amp; Outlays in GDP'!G757,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GDP'!H757),TEXT('Revenues &amp; Outlays in GDP'!H757,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GDP'!J757,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GDP'!G758),TEXT('Revenues &amp; Outlays in GDP'!G758,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GDP'!H758),TEXT('Revenues &amp; Outlays in GDP'!H758,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GDP'!J758,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GDP'!G759),TEXT('Revenues &amp; Outlays in GDP'!G759,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GDP'!H759),TEXT('Revenues &amp; Outlays in GDP'!H759,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GDP'!J759,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GDP'!G760),TEXT('Revenues &amp; Outlays in GDP'!G760,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GDP'!H760),TEXT('Revenues &amp; Outlays in GDP'!H760,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GDP'!J760,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GDP'!G761),TEXT('Revenues &amp; Outlays in GDP'!G761,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GDP'!H761),TEXT('Revenues &amp; Outlays in GDP'!H761,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GDP'!J761,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GDP'!G762),TEXT('Revenues &amp; Outlays in GDP'!G762,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GDP'!H762),TEXT('Revenues &amp; Outlays in GDP'!H762,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GDP'!J762,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GDP'!G763),TEXT('Revenues &amp; Outlays in GDP'!G763,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GDP'!H763),TEXT('Revenues &amp; Outlays in GDP'!H763,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GDP'!J763,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GDP'!G764),TEXT('Revenues &amp; Outlays in GDP'!G764,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GDP'!H764),TEXT('Revenues &amp; Outlays in GDP'!H764,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GDP'!J764,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GDP'!G765),TEXT('Revenues &amp; Outlays in GDP'!G765,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GDP'!H765),TEXT('Revenues &amp; Outlays in GDP'!H765,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GDP'!J765,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GDP'!G766),TEXT('Revenues &amp; Outlays in GDP'!G766,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GDP'!H766),TEXT('Revenues &amp; Outlays in GDP'!H766,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GDP'!J766,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GDP'!G767),TEXT('Revenues &amp; Outlays in GDP'!G767,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GDP'!H767),TEXT('Revenues &amp; Outlays in GDP'!H767,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GDP'!J767,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GDP'!G768),TEXT('Revenues &amp; Outlays in GDP'!G768,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GDP'!H768),TEXT('Revenues &amp; Outlays in GDP'!H768,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GDP'!J768,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GDP'!G769),TEXT('Revenues &amp; Outlays in GDP'!G769,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GDP'!H769),TEXT('Revenues &amp; Outlays in GDP'!H769,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GDP'!J769,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GDP'!G770),TEXT('Revenues &amp; Outlays in GDP'!G770,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GDP'!H770),TEXT('Revenues &amp; Outlays in GDP'!H770,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GDP'!J770,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GDP'!G771),TEXT('Revenues &amp; Outlays in GDP'!G771,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GDP'!H771),TEXT('Revenues &amp; Outlays in GDP'!H771,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GDP'!J771,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GDP'!G772),TEXT('Revenues &amp; Outlays in GDP'!G772,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GDP'!H772),TEXT('Revenues &amp; Outlays in GDP'!H772,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GDP'!J772,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GDP'!G773),TEXT('Revenues &amp; Outlays in GDP'!G773,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GDP'!H773),TEXT('Revenues &amp; Outlays in GDP'!H773,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GDP'!J773,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GDP'!G774),TEXT('Revenues &amp; Outlays in GDP'!G774,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GDP'!H774),TEXT('Revenues &amp; Outlays in GDP'!H774,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GDP'!J774,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GDP'!G775),TEXT('Revenues &amp; Outlays in GDP'!G775,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GDP'!H775),TEXT('Revenues &amp; Outlays in GDP'!H775,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GDP'!J775,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GDP'!G776),TEXT('Revenues &amp; Outlays in GDP'!G776,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GDP'!H776),TEXT('Revenues &amp; Outlays in GDP'!H776,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GDP'!J776,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GDP'!G777),TEXT('Revenues &amp; Outlays in GDP'!G777,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GDP'!H777),TEXT('Revenues &amp; Outlays in GDP'!H777,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GDP'!J777,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GDP'!G778),TEXT('Revenues &amp; Outlays in GDP'!G778,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GDP'!H778),TEXT('Revenues &amp; Outlays in GDP'!H778,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GDP'!J778,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GDP'!G779),TEXT('Revenues &amp; Outlays in GDP'!G779,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GDP'!H779),TEXT('Revenues &amp; Outlays in GDP'!H779,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GDP'!J779,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GDP'!G780),TEXT('Revenues &amp; Outlays in GDP'!G780,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GDP'!H780),TEXT('Revenues &amp; Outlays in GDP'!H780,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GDP'!J780,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GDP'!G781),TEXT('Revenues &amp; Outlays in GDP'!G781,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GDP'!H781),TEXT('Revenues &amp; Outlays in GDP'!H781,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GDP'!J781,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GDP'!G782),TEXT('Revenues &amp; Outlays in GDP'!G782,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GDP'!H782),TEXT('Revenues &amp; Outlays in GDP'!H782,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GDP'!J782,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GDP'!G783),TEXT('Revenues &amp; Outlays in GDP'!G783,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GDP'!H783),TEXT('Revenues &amp; Outlays in GDP'!H783,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GDP'!J783,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GDP'!G784),TEXT('Revenues &amp; Outlays in GDP'!G784,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GDP'!H784),TEXT('Revenues &amp; Outlays in GDP'!H784,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GDP'!J784,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GDP'!G785),TEXT('Revenues &amp; Outlays in GDP'!G785,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GDP'!H785),TEXT('Revenues &amp; Outlays in GDP'!H785,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GDP'!J785,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GDP'!G786),TEXT('Revenues &amp; Outlays in GDP'!G786,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GDP'!H786),TEXT('Revenues &amp; Outlays in GDP'!H786,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GDP'!J786,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GDP'!G787),TEXT('Revenues &amp; Outlays in GDP'!G787,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GDP'!H787),TEXT('Revenues &amp; Outlays in GDP'!H787,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GDP'!J787,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GDP'!G788),TEXT('Revenues &amp; Outlays in GDP'!G788,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GDP'!H788),TEXT('Revenues &amp; Outlays in GDP'!H788,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GDP'!J788,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GDP'!G789),TEXT('Revenues &amp; Outlays in GDP'!G789,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GDP'!H789),TEXT('Revenues &amp; Outlays in GDP'!H789,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GDP'!J789,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GDP'!G790),TEXT('Revenues &amp; Outlays in GDP'!G790,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GDP'!H790),TEXT('Revenues &amp; Outlays in GDP'!H790,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GDP'!J790,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GDP'!G791),TEXT('Revenues &amp; Outlays in GDP'!G791,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GDP'!H791),TEXT('Revenues &amp; Outlays in GDP'!H791,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GDP'!J791,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GDP'!G792),TEXT('Revenues &amp; Outlays in GDP'!G792,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GDP'!H792),TEXT('Revenues &amp; Outlays in GDP'!H792,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GDP'!J792,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GDP'!G793),TEXT('Revenues &amp; Outlays in GDP'!G793,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GDP'!H793),TEXT('Revenues &amp; Outlays in GDP'!H793,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GDP'!J793,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GDP'!G794),TEXT('Revenues &amp; Outlays in GDP'!G794,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GDP'!H794),TEXT('Revenues &amp; Outlays in GDP'!H794,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GDP'!J794,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GDP'!G795),TEXT('Revenues &amp; Outlays in GDP'!G795,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GDP'!H795),TEXT('Revenues &amp; Outlays in GDP'!H795,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GDP'!J795,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GDP'!G796),TEXT('Revenues &amp; Outlays in GDP'!G796,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GDP'!H796),TEXT('Revenues &amp; Outlays in GDP'!H796,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GDP'!J796,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GDP'!G797),TEXT('Revenues &amp; Outlays in GDP'!G797,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GDP'!H797),TEXT('Revenues &amp; Outlays in GDP'!H797,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GDP'!J797,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GDP'!G798),TEXT('Revenues &amp; Outlays in GDP'!G798,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GDP'!H798),TEXT('Revenues &amp; Outlays in GDP'!H798,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GDP'!J798,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GDP'!G799),TEXT('Revenues &amp; Outlays in GDP'!G799,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GDP'!H799),TEXT('Revenues &amp; Outlays in GDP'!H799,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GDP'!J799,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GDP'!G800),TEXT('Revenues &amp; Outlays in GDP'!G800,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GDP'!H800),TEXT('Revenues &amp; Outlays in GDP'!H800,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GDP'!J800,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GDP'!G801),TEXT('Revenues &amp; Outlays in GDP'!G801,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GDP'!H801),TEXT('Revenues &amp; Outlays in GDP'!H801,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GDP'!J801,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GDP'!G802),TEXT('Revenues &amp; Outlays in GDP'!G802,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GDP'!H802),TEXT('Revenues &amp; Outlays in GDP'!H802,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GDP'!J802,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GDP'!G803),TEXT('Revenues &amp; Outlays in GDP'!G803,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GDP'!H803),TEXT('Revenues &amp; Outlays in GDP'!H803,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GDP'!J803,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GDP'!G804),TEXT('Revenues &amp; Outlays in GDP'!G804,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GDP'!H804),TEXT('Revenues &amp; Outlays in GDP'!H804,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GDP'!J804,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GDP'!G805),TEXT('Revenues &amp; Outlays in GDP'!G805,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GDP'!H805),TEXT('Revenues &amp; Outlays in GDP'!H805,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GDP'!J805,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GDP'!G806),TEXT('Revenues &amp; Outlays in GDP'!G806,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GDP'!H806),TEXT('Revenues &amp; Outlays in GDP'!H806,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GDP'!J806,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GDP'!G807),TEXT('Revenues &amp; Outlays in GDP'!G807,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GDP'!H807),TEXT('Revenues &amp; Outlays in GDP'!H807,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GDP'!J807,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GDP'!G808),TEXT('Revenues &amp; Outlays in GDP'!G808,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GDP'!H808),TEXT('Revenues &amp; Outlays in GDP'!H808,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GDP'!J808,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GDP'!G809),TEXT('Revenues &amp; Outlays in GDP'!G809,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GDP'!H809),TEXT('Revenues &amp; Outlays in GDP'!H809,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GDP'!J809,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GDP'!G810),TEXT('Revenues &amp; Outlays in GDP'!G810,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GDP'!H810),TEXT('Revenues &amp; Outlays in GDP'!H810,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GDP'!J810,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GDP'!G811),TEXT('Revenues &amp; Outlays in GDP'!G811,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GDP'!H811),TEXT('Revenues &amp; Outlays in GDP'!H811,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GDP'!J811,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GDP'!G812),TEXT('Revenues &amp; Outlays in GDP'!G812,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GDP'!H812),TEXT('Revenues &amp; Outlays in GDP'!H812,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GDP'!J812,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GDP'!G813),TEXT('Revenues &amp; Outlays in GDP'!G813,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GDP'!H813),TEXT('Revenues &amp; Outlays in GDP'!H813,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GDP'!J813,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GDP'!G814),TEXT('Revenues &amp; Outlays in GDP'!G814,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GDP'!H814),TEXT('Revenues &amp; Outlays in GDP'!H814,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GDP'!J814,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GDP'!G815),TEXT('Revenues &amp; Outlays in GDP'!G815,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GDP'!H815),TEXT('Revenues &amp; Outlays in GDP'!H815,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GDP'!J815,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GDP'!G816),TEXT('Revenues &amp; Outlays in GDP'!G816,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GDP'!H816),TEXT('Revenues &amp; Outlays in GDP'!H816,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GDP'!J816,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GDP'!G817),TEXT('Revenues &amp; Outlays in GDP'!G817,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GDP'!H817),TEXT('Revenues &amp; Outlays in GDP'!H817,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GDP'!J817,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GDP'!G818),TEXT('Revenues &amp; Outlays in GDP'!G818,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GDP'!H818),TEXT('Revenues &amp; Outlays in GDP'!H818,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GDP'!J818,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GDP'!G819),TEXT('Revenues &amp; Outlays in GDP'!G819,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GDP'!H819),TEXT('Revenues &amp; Outlays in GDP'!H819,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GDP'!J819,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GDP'!G820),TEXT('Revenues &amp; Outlays in GDP'!G820,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GDP'!H820),TEXT('Revenues &amp; Outlays in GDP'!H820,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GDP'!J820,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GDP'!G821),TEXT('Revenues &amp; Outlays in GDP'!G821,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GDP'!H821),TEXT('Revenues &amp; Outlays in GDP'!H821,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GDP'!J821,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GDP'!G822),TEXT('Revenues &amp; Outlays in GDP'!G822,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GDP'!H822),TEXT('Revenues &amp; Outlays in GDP'!H822,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GDP'!J822,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GDP'!G823),TEXT('Revenues &amp; Outlays in GDP'!G823,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GDP'!H823),TEXT('Revenues &amp; Outlays in GDP'!H823,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GDP'!J823,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GDP'!G824),TEXT('Revenues &amp; Outlays in GDP'!G824,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GDP'!H824),TEXT('Revenues &amp; Outlays in GDP'!H824,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GDP'!J824,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GDP'!G825),TEXT('Revenues &amp; Outlays in GDP'!G825,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GDP'!H825),TEXT('Revenues &amp; Outlays in GDP'!H825,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GDP'!J825,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GDP'!G826),TEXT('Revenues &amp; Outlays in GDP'!G826,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GDP'!H826),TEXT('Revenues &amp; Outlays in GDP'!H826,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GDP'!J826,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GDP'!G827),TEXT('Revenues &amp; Outlays in GDP'!G827,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GDP'!H827),TEXT('Revenues &amp; Outlays in GDP'!H827,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GDP'!J827,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GDP'!G828),TEXT('Revenues &amp; Outlays in GDP'!G828,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GDP'!H828),TEXT('Revenues &amp; Outlays in GDP'!H828,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GDP'!J828,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GDP'!G829),TEXT('Revenues &amp; Outlays in GDP'!G829,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GDP'!H829),TEXT('Revenues &amp; Outlays in GDP'!H829,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GDP'!J829,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GDP'!G830),TEXT('Revenues &amp; Outlays in GDP'!G830,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GDP'!H830),TEXT('Revenues &amp; Outlays in GDP'!H830,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GDP'!J830,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GDP'!G831),TEXT('Revenues &amp; Outlays in GDP'!G831,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GDP'!H831),TEXT('Revenues &amp; Outlays in GDP'!H831,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GDP'!J831,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GDP'!G832),TEXT('Revenues &amp; Outlays in GDP'!G832,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GDP'!H832),TEXT('Revenues &amp; Outlays in GDP'!H832,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GDP'!J832,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GDP'!G833),TEXT('Revenues &amp; Outlays in GDP'!G833,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GDP'!H833),TEXT('Revenues &amp; Outlays in GDP'!H833,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GDP'!J833,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GDP'!G834),TEXT('Revenues &amp; Outlays in GDP'!G834,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GDP'!H834),TEXT('Revenues &amp; Outlays in GDP'!H834,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GDP'!J834,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GDP'!G835),TEXT('Revenues &amp; Outlays in GDP'!G835,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GDP'!H835),TEXT('Revenues &amp; Outlays in GDP'!H835,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GDP'!J835,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GDP'!G836),TEXT('Revenues &amp; Outlays in GDP'!G836,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GDP'!H836),TEXT('Revenues &amp; Outlays in GDP'!H836,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GDP'!J836,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GDP'!G837),TEXT('Revenues &amp; Outlays in GDP'!G837,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GDP'!H837),TEXT('Revenues &amp; Outlays in GDP'!H837,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GDP'!J837,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GDP'!G838),TEXT('Revenues &amp; Outlays in GDP'!G838,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GDP'!H838),TEXT('Revenues &amp; Outlays in GDP'!H838,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GDP'!J838,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GDP'!G839),TEXT('Revenues &amp; Outlays in GDP'!G839,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GDP'!H839),TEXT('Revenues &amp; Outlays in GDP'!H839,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GDP'!J839,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GDP'!G840),TEXT('Revenues &amp; Outlays in GDP'!G840,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GDP'!H840),TEXT('Revenues &amp; Outlays in GDP'!H840,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GDP'!J840,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GDP'!G841),TEXT('Revenues &amp; Outlays in GDP'!G841,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GDP'!H841),TEXT('Revenues &amp; Outlays in GDP'!H841,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GDP'!J841,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GDP'!G842),TEXT('Revenues &amp; Outlays in GDP'!G842,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GDP'!H842),TEXT('Revenues &amp; Outlays in GDP'!H842,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GDP'!J842,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GDP'!G843),TEXT('Revenues &amp; Outlays in GDP'!G843,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GDP'!H843),TEXT('Revenues &amp; Outlays in GDP'!H843,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GDP'!J843,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GDP'!G844),TEXT('Revenues &amp; Outlays in GDP'!G844,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GDP'!H844),TEXT('Revenues &amp; Outlays in GDP'!H844,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GDP'!J844,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GDP'!G845),TEXT('Revenues &amp; Outlays in GDP'!G845,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GDP'!H845),TEXT('Revenues &amp; Outlays in GDP'!H845,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GDP'!J845,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GDP'!G846),TEXT('Revenues &amp; Outlays in GDP'!G846,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GDP'!H846),TEXT('Revenues &amp; Outlays in GDP'!H846,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GDP'!J846,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GDP'!G847),TEXT('Revenues &amp; Outlays in GDP'!G847,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GDP'!H847),TEXT('Revenues &amp; Outlays in GDP'!H847,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GDP'!J847,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GDP'!G848),TEXT('Revenues &amp; Outlays in GDP'!G848,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GDP'!H848),TEXT('Revenues &amp; Outlays in GDP'!H848,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GDP'!J848,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GDP'!G849),TEXT('Revenues &amp; Outlays in GDP'!G849,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GDP'!H849),TEXT('Revenues &amp; Outlays in GDP'!H849,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7" workbookViewId="0">
      <selection activeCell="C41" sqref="C41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356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 ca="1"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 ca="1"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 ca="1"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 ca="1"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 ca="1"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 ca="1"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 ca="1"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 ca="1"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 ca="1"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 ca="1"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 ca="1"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 ca="1"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 ca="1"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 ca="1"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 ca="1"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 ca="1"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 ca="1"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 ca="1"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 ca="1"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 ca="1"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 ca="1"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 ca="1"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 ca="1"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 ca="1"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 ca="1"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 ca="1"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 ca="1"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 ca="1"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 ca="1"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 ca="1"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 ca="1"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 ca="1"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 ca="1"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 ca="1"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 ca="1"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 ca="1"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 ca="1"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 ca="1"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 ca="1">IFERROR(IF(ISNUMBER('Deficit to GDP'!F45),TEXT('Deficit to GDP'!F45,"0.00"), ""), "")</f>
        <v/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 ca="1"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 ca="1">IFERROR(IF(ISNUMBER('Deficit to GDP'!F47),TEXT('Deficit to GDP'!F47,"0.00"), ""), "")</f>
        <v>-2.70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 ca="1">IFERROR(IF(ISNUMBER('Deficit to GDP'!F48),TEXT('Deficit to GDP'!F48,"0.00"), ""), "")</f>
        <v>-2.40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 ca="1">IFERROR(IF(ISNUMBER('Deficit to GDP'!F49),TEXT('Deficit to GDP'!F49,"0.00"), ""), "")</f>
        <v>-2.30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 ca="1">IFERROR(IF(ISNUMBER('Deficit to GDP'!F50),TEXT('Deficit to GDP'!F50,"0.00"), ""), "")</f>
        <v>-2.40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 ca="1">IFERROR(IF(ISNUMBER('Deficit to GDP'!F51),TEXT('Deficit to GDP'!F51,"0.00"), ""), "")</f>
        <v>-2.80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 ca="1">IFERROR(IF(ISNUMBER('Deficit to GDP'!F52),TEXT('Deficit to GDP'!F52,"0.00"), ""), "")</f>
        <v>-3.10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 ca="1">IFERROR(IF(ISNUMBER('Deficit to GDP'!F53),TEXT('Deficit to GDP'!F53,"0.00"), ""), "")</f>
        <v>-3.30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 ca="1">IFERROR(IF(ISNUMBER('Deficit to GDP'!F54),TEXT('Deficit to GDP'!F54,"0.00"), ""), "")</f>
        <v>-3.70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 ca="1">IFERROR(IF(ISNUMBER('Deficit to GDP'!F55),TEXT('Deficit to GDP'!F55,"0.00"), ""), "")</f>
        <v>-3.60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 ca="1">IFERROR(IF(ISNUMBER('Deficit to GDP'!F56),TEXT('Deficit to GDP'!F56,"0.00"), ""), "")</f>
        <v>-3.40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356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 ca="1"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 ca="1"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 ca="1"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 ca="1"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 ca="1"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 ca="1"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 ca="1"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 ca="1"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 ca="1"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 ca="1"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 ca="1"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 ca="1"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 ca="1"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 ca="1"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 ca="1"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 ca="1"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 ca="1"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 ca="1"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 ca="1"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 ca="1"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 ca="1"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 ca="1"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 ca="1"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 ca="1"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 ca="1"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 ca="1"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 ca="1"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 ca="1"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 ca="1"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 ca="1"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 ca="1"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 ca="1"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 ca="1"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 ca="1"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 ca="1"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 ca="1"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 ca="1"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 ca="1"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 ca="1"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 ca="1"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 ca="1"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 ca="1"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 ca="1">IFERROR(IF(ISNUMBER('Debt to GDP Ratio'!E48),TEXT('Debt to GDP Ratio'!E48,"0.00"), ""), "")</f>
        <v>73.20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 ca="1">IFERROR(IF(ISNUMBER('Debt to GDP Ratio'!E49),TEXT('Debt to GDP Ratio'!E49,"0.00"), ""), "")</f>
        <v>72.90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 ca="1"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 ca="1">IFERROR(IF(ISNUMBER('Debt to GDP Ratio'!E51),TEXT('Debt to GDP Ratio'!E51,"0.00"), ""), "")</f>
        <v>73.50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 ca="1">IFERROR(IF(ISNUMBER('Debt to GDP Ratio'!E52),TEXT('Debt to GDP Ratio'!E52,"0.00"), ""), "")</f>
        <v>74.00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 ca="1">IFERROR(IF(ISNUMBER('Debt to GDP Ratio'!E53),TEXT('Debt to GDP Ratio'!E53,"0.00"), ""), "")</f>
        <v>74.90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 ca="1">IFERROR(IF(ISNUMBER('Debt to GDP Ratio'!E54),TEXT('Debt to GDP Ratio'!E54,"0.00"), ""), "")</f>
        <v>75.70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 ca="1">IFERROR(IF(ISNUMBER('Debt to GDP Ratio'!E55),TEXT('Debt to GDP Ratio'!E55,"0.00"), ""), "")</f>
        <v>76.20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I41" sqref="I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356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B3D8DF1-5AE4-4924-9D24-715721829C90}"/>
</file>

<file path=customXml/itemProps2.xml><?xml version="1.0" encoding="utf-8"?>
<ds:datastoreItem xmlns:ds="http://schemas.openxmlformats.org/officeDocument/2006/customXml" ds:itemID="{E22A710A-9628-40FE-8279-5F5D468C5FAD}"/>
</file>

<file path=customXml/itemProps3.xml><?xml version="1.0" encoding="utf-8"?>
<ds:datastoreItem xmlns:ds="http://schemas.openxmlformats.org/officeDocument/2006/customXml" ds:itemID="{542A04AE-8059-49EC-A2CC-7C2044AD2C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2015-05-29T13:16:31Z</cp:lastPrinted>
  <dcterms:created xsi:type="dcterms:W3CDTF">2014-07-22T13:55:17Z</dcterms:created>
  <dcterms:modified xsi:type="dcterms:W3CDTF">2015-05-29T13:58:07Z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