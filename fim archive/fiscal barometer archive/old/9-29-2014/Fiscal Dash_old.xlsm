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drawings/drawing3.xml" ContentType="application/vnd.openxmlformats-officedocument.drawingml.chartshapes+xml"/>
  <Override PartName="/xl/drawings/drawing7.xml" ContentType="application/vnd.openxmlformats-officedocument.drawingml.chartshapes+xml"/>
  <Override PartName="/xl/drawings/drawing5.xml" ContentType="application/vnd.openxmlformats-officedocument.drawingml.chartshapes+xml"/>
  <Override PartName="/xl/drawings/drawing9.xml" ContentType="application/vnd.openxmlformats-officedocument.drawingml.chartshapes+xml"/>
  <Override PartName="/xl/drawings/drawing11.xml" ContentType="application/vnd.openxmlformats-officedocument.drawingml.chartshapes+xml"/>
  <Override PartName="/xl/drawings/drawing4.xml" ContentType="application/vnd.openxmlformats-officedocument.drawingml.chartshapes+xml"/>
  <Override PartName="/xl/drawings/drawing12.xml" ContentType="application/vnd.openxmlformats-officedocument.drawingml.chartshapes+xml"/>
  <Override PartName="/xl/drawings/drawing10.xml" ContentType="application/vnd.openxmlformats-officedocument.drawingml.chartshapes+xml"/>
  <Override PartName="/xl/workbook.xml" ContentType="application/vnd.ms-excel.sheet.macroEnabled.main+xml"/>
  <Override PartName="/xl/worksheets/sheet12.xml" ContentType="application/vnd.openxmlformats-officedocument.spreadsheetml.worksheet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xl/worksheets/sheet4.xml" ContentType="application/vnd.openxmlformats-officedocument.spreadsheetml.worksheet+xml"/>
  <Override PartName="/xl/theme/themeOverride8.xml" ContentType="application/vnd.openxmlformats-officedocument.themeOverride+xml"/>
  <Override PartName="/xl/charts/chart6.xml" ContentType="application/vnd.openxmlformats-officedocument.drawingml.chart+xml"/>
  <Override PartName="/xl/worksheets/sheet1.xml" ContentType="application/vnd.openxmlformats-officedocument.spreadsheetml.worksheet+xml"/>
  <Override PartName="/xl/worksheets/sheet6.xml" ContentType="application/vnd.openxmlformats-officedocument.spreadsheetml.worksheet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worksheets/sheet5.xml" ContentType="application/vnd.openxmlformats-officedocument.spreadsheetml.worksheet+xml"/>
  <Override PartName="/xl/charts/chart8.xml" ContentType="application/vnd.openxmlformats-officedocument.drawingml.chart+xml"/>
  <Override PartName="/xl/worksheets/sheet7.xml" ContentType="application/vnd.openxmlformats-officedocument.spreadsheetml.worksheet+xml"/>
  <Override PartName="/xl/theme/themeOverride6.xml" ContentType="application/vnd.openxmlformats-officedocument.themeOverride+xml"/>
  <Override PartName="/xl/charts/chart5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worksheets/sheet11.xml" ContentType="application/vnd.openxmlformats-officedocument.spreadsheetml.worksheet+xml"/>
  <Override PartName="/xl/theme/themeOverride5.xml" ContentType="application/vnd.openxmlformats-officedocument.themeOverride+xml"/>
  <Override PartName="/xl/theme/themeOverride2.xml" ContentType="application/vnd.openxmlformats-officedocument.themeOverrid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10.xml" ContentType="application/vnd.openxmlformats-officedocument.spreadsheetml.worksheet+xml"/>
  <Override PartName="/xl/charts/chart2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worksheets/sheet9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  <Override PartName="/xl/calcChain.xml" ContentType="application/vnd.openxmlformats-officedocument.spreadsheetml.calcChain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55" yWindow="0" windowWidth="12720" windowHeight="11685" activeTab="3"/>
  </bookViews>
  <sheets>
    <sheet name="Master" sheetId="26" r:id="rId1"/>
    <sheet name="Panel_JobsandConstruction" sheetId="33" r:id="rId2"/>
    <sheet name="Panel_TaxesandSpending" sheetId="41" r:id="rId3"/>
    <sheet name="Panel_theLongerRun" sheetId="35" r:id="rId4"/>
    <sheet name="Change in Employment" sheetId="3" r:id="rId5"/>
    <sheet name="Real Structures" sheetId="15" r:id="rId6"/>
    <sheet name="State and Local Taxes" sheetId="4" r:id="rId7"/>
    <sheet name="Revenues &amp; Outlays in GDP" sheetId="8" r:id="rId8"/>
    <sheet name="Deficit" sheetId="7" r:id="rId9"/>
    <sheet name="Debt to GDP Ratio" sheetId="9" r:id="rId10"/>
    <sheet name="Spending by Category" sheetId="11" r:id="rId11"/>
    <sheet name="jobs_stateFinal" sheetId="17" r:id="rId12"/>
    <sheet name="jobs_fedFinal" sheetId="18" r:id="rId13"/>
    <sheet name="jobs_structures" sheetId="19" r:id="rId14"/>
    <sheet name="taxes_stateFinal" sheetId="21" r:id="rId15"/>
    <sheet name="long_revenueFinal" sheetId="22" r:id="rId16"/>
    <sheet name="long_deficitFinal" sheetId="39" r:id="rId17"/>
    <sheet name="long_debtFinal" sheetId="24" r:id="rId18"/>
    <sheet name="long_categoryFinal" sheetId="25" r:id="rId19"/>
  </sheets>
  <externalReferences>
    <externalReference r:id="rId20"/>
    <externalReference r:id="rId21"/>
  </externalReferences>
  <definedNames>
    <definedName name="_DLX1.USE" localSheetId="10">'Spending by Category'!$A$1:$T$6</definedName>
    <definedName name="_DLX1.USE">'State and Local Taxes'!$2:$7</definedName>
    <definedName name="_DLX2.USE">'Change in Employment'!$A$3:$O$6</definedName>
    <definedName name="_DLX3.USE">'[1]Spending by Category (2)'!$1:$6</definedName>
    <definedName name="_DLX4.USE" localSheetId="12">#REF!</definedName>
    <definedName name="_DLX4.USE" localSheetId="13">#REF!</definedName>
    <definedName name="_DLX4.USE" localSheetId="16">#REF!</definedName>
    <definedName name="_DLX4.USE" localSheetId="2">#REF!</definedName>
    <definedName name="_DLX4.USE">#REF!</definedName>
    <definedName name="_DLX5.USE">'Revenues &amp; Outlays in GDP'!$A$4:$H$7</definedName>
    <definedName name="_DLX6.USE">Deficit!$A$3:$K$6</definedName>
    <definedName name="_DLX7.USE">'Debt to GDP Ratio'!$A$2:$E$5</definedName>
    <definedName name="_xlnm.Print_Area" localSheetId="1">Panel_JobsandConstruction!$A$1:$I$41</definedName>
    <definedName name="_xlnm.Print_Area" localSheetId="2">Panel_TaxesandSpending!$A$1:$I$47</definedName>
    <definedName name="_xlnm.Print_Area" localSheetId="3">Panel_theLongerRun!$A$1:$I$47</definedName>
  </definedNames>
  <calcPr calcId="145621" concurrentCalc="0"/>
</workbook>
</file>

<file path=xl/calcChain.xml><?xml version="1.0" encoding="utf-8"?>
<calcChain xmlns="http://schemas.openxmlformats.org/spreadsheetml/2006/main">
  <c r="A393" i="25" l="1"/>
  <c r="A392" i="25"/>
  <c r="A391" i="25"/>
  <c r="A390" i="25"/>
  <c r="A389" i="25"/>
  <c r="A388" i="25"/>
  <c r="A387" i="25"/>
  <c r="A386" i="25"/>
  <c r="A385" i="25"/>
  <c r="A384" i="25"/>
  <c r="A383" i="25"/>
  <c r="A382" i="25"/>
  <c r="A381" i="25"/>
  <c r="A380" i="25"/>
  <c r="A379" i="25"/>
  <c r="A378" i="25"/>
  <c r="A377" i="25"/>
  <c r="A376" i="25"/>
  <c r="A375" i="25"/>
  <c r="A374" i="25"/>
  <c r="A373" i="25"/>
  <c r="A372" i="25"/>
  <c r="A371" i="25"/>
  <c r="A370" i="25"/>
  <c r="A369" i="25"/>
  <c r="A368" i="25"/>
  <c r="A367" i="25"/>
  <c r="A366" i="25"/>
  <c r="A365" i="25"/>
  <c r="A364" i="25"/>
  <c r="A363" i="25"/>
  <c r="A362" i="25"/>
  <c r="A361" i="25"/>
  <c r="A360" i="25"/>
  <c r="A359" i="25"/>
  <c r="A358" i="25"/>
  <c r="A357" i="25"/>
  <c r="A356" i="25"/>
  <c r="A355" i="25"/>
  <c r="A354" i="25"/>
  <c r="A353" i="25"/>
  <c r="A352" i="25"/>
  <c r="A351" i="25"/>
  <c r="A350" i="25"/>
  <c r="A349" i="25"/>
  <c r="A348" i="25"/>
  <c r="A347" i="25"/>
  <c r="A346" i="25"/>
  <c r="A345" i="25"/>
  <c r="A344" i="25"/>
  <c r="A343" i="25"/>
  <c r="A342" i="25"/>
  <c r="A341" i="25"/>
  <c r="A340" i="25"/>
  <c r="A339" i="25"/>
  <c r="A338" i="25"/>
  <c r="A337" i="25"/>
  <c r="A336" i="25"/>
  <c r="A335" i="25"/>
  <c r="A334" i="25"/>
  <c r="A333" i="25"/>
  <c r="A332" i="25"/>
  <c r="A331" i="25"/>
  <c r="A330" i="25"/>
  <c r="A329" i="25"/>
  <c r="A328" i="25"/>
  <c r="A327" i="25"/>
  <c r="A326" i="25"/>
  <c r="A325" i="25"/>
  <c r="A324" i="25"/>
  <c r="A323" i="25"/>
  <c r="A322" i="25"/>
  <c r="A321" i="25"/>
  <c r="A320" i="25"/>
  <c r="A319" i="25"/>
  <c r="A318" i="25"/>
  <c r="A317" i="25"/>
  <c r="A316" i="25"/>
  <c r="A315" i="25"/>
  <c r="A314" i="25"/>
  <c r="A313" i="25"/>
  <c r="A312" i="25"/>
  <c r="A311" i="25"/>
  <c r="A310" i="25"/>
  <c r="A309" i="25"/>
  <c r="A308" i="25"/>
  <c r="A307" i="25"/>
  <c r="A306" i="25"/>
  <c r="A305" i="25"/>
  <c r="A304" i="25"/>
  <c r="A303" i="25"/>
  <c r="A302" i="25"/>
  <c r="A301" i="25"/>
  <c r="A300" i="25"/>
  <c r="A299" i="25"/>
  <c r="A298" i="25"/>
  <c r="A297" i="25"/>
  <c r="A296" i="25"/>
  <c r="A295" i="25"/>
  <c r="A294" i="25"/>
  <c r="A293" i="25"/>
  <c r="A292" i="25"/>
  <c r="A291" i="25"/>
  <c r="A290" i="25"/>
  <c r="A289" i="25"/>
  <c r="A288" i="25"/>
  <c r="A287" i="25"/>
  <c r="A286" i="25"/>
  <c r="A285" i="25"/>
  <c r="A284" i="25"/>
  <c r="A283" i="25"/>
  <c r="A282" i="25"/>
  <c r="A281" i="25"/>
  <c r="A280" i="25"/>
  <c r="A279" i="25"/>
  <c r="A278" i="25"/>
  <c r="A277" i="25"/>
  <c r="A276" i="25"/>
  <c r="A275" i="25"/>
  <c r="A274" i="25"/>
  <c r="A273" i="25"/>
  <c r="A272" i="25"/>
  <c r="A271" i="25"/>
  <c r="A270" i="25"/>
  <c r="A269" i="25"/>
  <c r="A268" i="25"/>
  <c r="A267" i="25"/>
  <c r="A266" i="25"/>
  <c r="A265" i="25"/>
  <c r="A264" i="25"/>
  <c r="A263" i="25"/>
  <c r="A262" i="25"/>
  <c r="A261" i="25"/>
  <c r="A260" i="25"/>
  <c r="A259" i="25"/>
  <c r="A258" i="25"/>
  <c r="A257" i="25"/>
  <c r="A256" i="25"/>
  <c r="A255" i="25"/>
  <c r="A254" i="25"/>
  <c r="A253" i="25"/>
  <c r="A252" i="25"/>
  <c r="A251" i="25"/>
  <c r="A250" i="25"/>
  <c r="A249" i="25"/>
  <c r="A248" i="25"/>
  <c r="A247" i="25"/>
  <c r="A246" i="25"/>
  <c r="A245" i="25"/>
  <c r="A244" i="25"/>
  <c r="A243" i="25"/>
  <c r="A242" i="25"/>
  <c r="A241" i="25"/>
  <c r="A240" i="25"/>
  <c r="A239" i="25"/>
  <c r="A238" i="25"/>
  <c r="A237" i="25"/>
  <c r="A236" i="25"/>
  <c r="A235" i="25"/>
  <c r="A234" i="25"/>
  <c r="A233" i="25"/>
  <c r="A232" i="25"/>
  <c r="A231" i="25"/>
  <c r="A230" i="25"/>
  <c r="A229" i="25"/>
  <c r="A228" i="25"/>
  <c r="A227" i="25"/>
  <c r="A226" i="25"/>
  <c r="A225" i="25"/>
  <c r="A224" i="25"/>
  <c r="A223" i="25"/>
  <c r="A222" i="25"/>
  <c r="A221" i="25"/>
  <c r="A220" i="25"/>
  <c r="A219" i="25"/>
  <c r="A218" i="25"/>
  <c r="A217" i="25"/>
  <c r="A216" i="25"/>
  <c r="A215" i="25"/>
  <c r="A214" i="25"/>
  <c r="A213" i="25"/>
  <c r="A212" i="25"/>
  <c r="A211" i="25"/>
  <c r="A210" i="25"/>
  <c r="A209" i="25"/>
  <c r="A208" i="25"/>
  <c r="A207" i="25"/>
  <c r="A206" i="25"/>
  <c r="A205" i="25"/>
  <c r="A204" i="25"/>
  <c r="A203" i="25"/>
  <c r="A202" i="25"/>
  <c r="A201" i="25"/>
  <c r="A200" i="25"/>
  <c r="A199" i="25"/>
  <c r="A198" i="25"/>
  <c r="A197" i="25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2" i="24"/>
  <c r="A285" i="39"/>
  <c r="A284" i="39"/>
  <c r="A283" i="39"/>
  <c r="A282" i="39"/>
  <c r="A281" i="39"/>
  <c r="A280" i="39"/>
  <c r="A279" i="39"/>
  <c r="A278" i="39"/>
  <c r="A277" i="39"/>
  <c r="A276" i="39"/>
  <c r="A275" i="39"/>
  <c r="A274" i="39"/>
  <c r="A273" i="39"/>
  <c r="A272" i="39"/>
  <c r="A271" i="39"/>
  <c r="A270" i="39"/>
  <c r="A269" i="39"/>
  <c r="A268" i="39"/>
  <c r="A267" i="39"/>
  <c r="A266" i="39"/>
  <c r="A265" i="39"/>
  <c r="A264" i="39"/>
  <c r="A263" i="39"/>
  <c r="A262" i="39"/>
  <c r="A261" i="39"/>
  <c r="A260" i="39"/>
  <c r="A259" i="39"/>
  <c r="A258" i="39"/>
  <c r="A257" i="39"/>
  <c r="A256" i="39"/>
  <c r="A255" i="39"/>
  <c r="A254" i="39"/>
  <c r="A253" i="39"/>
  <c r="A252" i="39"/>
  <c r="A251" i="39"/>
  <c r="A250" i="39"/>
  <c r="A249" i="39"/>
  <c r="A248" i="39"/>
  <c r="A247" i="39"/>
  <c r="A246" i="39"/>
  <c r="A245" i="39"/>
  <c r="A244" i="39"/>
  <c r="A243" i="39"/>
  <c r="A242" i="39"/>
  <c r="A241" i="39"/>
  <c r="A240" i="39"/>
  <c r="A239" i="39"/>
  <c r="A238" i="39"/>
  <c r="A237" i="39"/>
  <c r="A236" i="39"/>
  <c r="A235" i="39"/>
  <c r="A234" i="39"/>
  <c r="A233" i="39"/>
  <c r="A232" i="39"/>
  <c r="A231" i="39"/>
  <c r="A230" i="39"/>
  <c r="A229" i="39"/>
  <c r="A228" i="39"/>
  <c r="A227" i="39"/>
  <c r="A226" i="39"/>
  <c r="A225" i="39"/>
  <c r="A224" i="39"/>
  <c r="A223" i="39"/>
  <c r="A222" i="39"/>
  <c r="A221" i="39"/>
  <c r="A220" i="39"/>
  <c r="A219" i="39"/>
  <c r="A218" i="39"/>
  <c r="A217" i="39"/>
  <c r="A216" i="39"/>
  <c r="A215" i="39"/>
  <c r="A214" i="39"/>
  <c r="A213" i="39"/>
  <c r="A212" i="39"/>
  <c r="A211" i="39"/>
  <c r="A210" i="39"/>
  <c r="A209" i="39"/>
  <c r="A208" i="39"/>
  <c r="A207" i="39"/>
  <c r="A206" i="39"/>
  <c r="A205" i="39"/>
  <c r="A204" i="39"/>
  <c r="A203" i="39"/>
  <c r="A202" i="39"/>
  <c r="A201" i="39"/>
  <c r="A200" i="39"/>
  <c r="A199" i="39"/>
  <c r="A198" i="39"/>
  <c r="A197" i="39"/>
  <c r="A196" i="39"/>
  <c r="A195" i="39"/>
  <c r="A194" i="39"/>
  <c r="A193" i="39"/>
  <c r="A192" i="39"/>
  <c r="A191" i="39"/>
  <c r="A190" i="39"/>
  <c r="A189" i="39"/>
  <c r="A188" i="39"/>
  <c r="A187" i="39"/>
  <c r="A186" i="39"/>
  <c r="A185" i="39"/>
  <c r="A184" i="39"/>
  <c r="A183" i="39"/>
  <c r="A182" i="39"/>
  <c r="A181" i="39"/>
  <c r="A180" i="39"/>
  <c r="A179" i="39"/>
  <c r="A178" i="39"/>
  <c r="A177" i="39"/>
  <c r="A176" i="39"/>
  <c r="A175" i="39"/>
  <c r="A174" i="39"/>
  <c r="A173" i="39"/>
  <c r="A172" i="39"/>
  <c r="A171" i="39"/>
  <c r="A170" i="39"/>
  <c r="A169" i="39"/>
  <c r="A168" i="39"/>
  <c r="A167" i="39"/>
  <c r="A166" i="39"/>
  <c r="A165" i="39"/>
  <c r="A164" i="39"/>
  <c r="A163" i="39"/>
  <c r="A162" i="39"/>
  <c r="A161" i="39"/>
  <c r="A160" i="39"/>
  <c r="A159" i="39"/>
  <c r="A158" i="39"/>
  <c r="A157" i="39"/>
  <c r="A156" i="39"/>
  <c r="A155" i="39"/>
  <c r="A154" i="39"/>
  <c r="A153" i="39"/>
  <c r="A152" i="39"/>
  <c r="A151" i="39"/>
  <c r="A150" i="39"/>
  <c r="A149" i="39"/>
  <c r="A148" i="39"/>
  <c r="A147" i="39"/>
  <c r="A146" i="39"/>
  <c r="A145" i="39"/>
  <c r="A144" i="39"/>
  <c r="A143" i="39"/>
  <c r="A142" i="39"/>
  <c r="A141" i="39"/>
  <c r="A140" i="39"/>
  <c r="A139" i="39"/>
  <c r="A138" i="39"/>
  <c r="A137" i="39"/>
  <c r="A136" i="39"/>
  <c r="A135" i="39"/>
  <c r="A134" i="39"/>
  <c r="A133" i="39"/>
  <c r="A132" i="39"/>
  <c r="A131" i="39"/>
  <c r="A130" i="39"/>
  <c r="A129" i="39"/>
  <c r="A128" i="39"/>
  <c r="A127" i="39"/>
  <c r="A126" i="39"/>
  <c r="A125" i="39"/>
  <c r="A124" i="39"/>
  <c r="A123" i="39"/>
  <c r="A122" i="39"/>
  <c r="A121" i="39"/>
  <c r="A120" i="39"/>
  <c r="A119" i="39"/>
  <c r="A118" i="39"/>
  <c r="A117" i="39"/>
  <c r="A116" i="39"/>
  <c r="A115" i="39"/>
  <c r="A114" i="39"/>
  <c r="A113" i="39"/>
  <c r="A112" i="39"/>
  <c r="A111" i="39"/>
  <c r="A110" i="39"/>
  <c r="A109" i="39"/>
  <c r="A108" i="39"/>
  <c r="A107" i="39"/>
  <c r="A106" i="39"/>
  <c r="A105" i="39"/>
  <c r="A104" i="39"/>
  <c r="A103" i="39"/>
  <c r="A102" i="39"/>
  <c r="A101" i="39"/>
  <c r="A100" i="39"/>
  <c r="A99" i="39"/>
  <c r="A98" i="39"/>
  <c r="A97" i="39"/>
  <c r="A96" i="39"/>
  <c r="A95" i="39"/>
  <c r="A94" i="39"/>
  <c r="A93" i="39"/>
  <c r="A92" i="39"/>
  <c r="A91" i="39"/>
  <c r="A90" i="39"/>
  <c r="A89" i="39"/>
  <c r="A88" i="39"/>
  <c r="A87" i="39"/>
  <c r="A86" i="39"/>
  <c r="A85" i="39"/>
  <c r="A84" i="39"/>
  <c r="A83" i="39"/>
  <c r="A82" i="39"/>
  <c r="A81" i="39"/>
  <c r="A80" i="39"/>
  <c r="A79" i="39"/>
  <c r="A78" i="39"/>
  <c r="A77" i="39"/>
  <c r="A76" i="39"/>
  <c r="A75" i="39"/>
  <c r="A74" i="39"/>
  <c r="A73" i="39"/>
  <c r="A72" i="39"/>
  <c r="A71" i="39"/>
  <c r="A70" i="39"/>
  <c r="A69" i="39"/>
  <c r="A68" i="39"/>
  <c r="A67" i="39"/>
  <c r="A66" i="39"/>
  <c r="A65" i="39"/>
  <c r="A64" i="39"/>
  <c r="A63" i="39"/>
  <c r="A62" i="39"/>
  <c r="A61" i="39"/>
  <c r="A60" i="39"/>
  <c r="A59" i="39"/>
  <c r="A58" i="39"/>
  <c r="A57" i="39"/>
  <c r="A56" i="39"/>
  <c r="A55" i="39"/>
  <c r="A54" i="39"/>
  <c r="A53" i="39"/>
  <c r="A52" i="39"/>
  <c r="A51" i="39"/>
  <c r="A50" i="39"/>
  <c r="A49" i="39"/>
  <c r="A48" i="39"/>
  <c r="A47" i="39"/>
  <c r="A46" i="39"/>
  <c r="A45" i="39"/>
  <c r="A44" i="39"/>
  <c r="A43" i="39"/>
  <c r="A42" i="39"/>
  <c r="A41" i="39"/>
  <c r="A40" i="39"/>
  <c r="A39" i="39"/>
  <c r="A38" i="39"/>
  <c r="A37" i="39"/>
  <c r="A36" i="39"/>
  <c r="A35" i="39"/>
  <c r="A34" i="39"/>
  <c r="A33" i="39"/>
  <c r="A32" i="39"/>
  <c r="A31" i="39"/>
  <c r="A30" i="39"/>
  <c r="A29" i="39"/>
  <c r="A28" i="39"/>
  <c r="A27" i="39"/>
  <c r="A26" i="39"/>
  <c r="A25" i="39"/>
  <c r="A24" i="39"/>
  <c r="A23" i="39"/>
  <c r="A22" i="39"/>
  <c r="A21" i="39"/>
  <c r="A20" i="39"/>
  <c r="A19" i="39"/>
  <c r="A18" i="39"/>
  <c r="A17" i="39"/>
  <c r="A16" i="39"/>
  <c r="A15" i="39"/>
  <c r="A14" i="39"/>
  <c r="A13" i="39"/>
  <c r="A12" i="39"/>
  <c r="A11" i="39"/>
  <c r="A10" i="39"/>
  <c r="A9" i="39"/>
  <c r="A8" i="39"/>
  <c r="A7" i="39"/>
  <c r="A6" i="39"/>
  <c r="A5" i="39"/>
  <c r="A4" i="39"/>
  <c r="A3" i="39"/>
  <c r="A2" i="39"/>
  <c r="A843" i="22"/>
  <c r="A842" i="22"/>
  <c r="A841" i="22"/>
  <c r="A840" i="22"/>
  <c r="A839" i="22"/>
  <c r="A838" i="22"/>
  <c r="A837" i="22"/>
  <c r="A836" i="22"/>
  <c r="A835" i="22"/>
  <c r="A834" i="22"/>
  <c r="A833" i="22"/>
  <c r="A832" i="22"/>
  <c r="A831" i="22"/>
  <c r="A830" i="22"/>
  <c r="A829" i="22"/>
  <c r="A828" i="22"/>
  <c r="A827" i="22"/>
  <c r="A826" i="22"/>
  <c r="A825" i="22"/>
  <c r="A824" i="22"/>
  <c r="A823" i="22"/>
  <c r="A822" i="22"/>
  <c r="A821" i="22"/>
  <c r="A820" i="22"/>
  <c r="A819" i="22"/>
  <c r="A818" i="22"/>
  <c r="A817" i="22"/>
  <c r="A816" i="22"/>
  <c r="A815" i="22"/>
  <c r="A814" i="22"/>
  <c r="A813" i="22"/>
  <c r="A812" i="22"/>
  <c r="A811" i="22"/>
  <c r="A810" i="22"/>
  <c r="A809" i="22"/>
  <c r="A808" i="22"/>
  <c r="A807" i="22"/>
  <c r="A806" i="22"/>
  <c r="A805" i="22"/>
  <c r="A804" i="22"/>
  <c r="A803" i="22"/>
  <c r="A802" i="22"/>
  <c r="A801" i="22"/>
  <c r="A800" i="22"/>
  <c r="A799" i="22"/>
  <c r="A798" i="22"/>
  <c r="A797" i="22"/>
  <c r="A796" i="22"/>
  <c r="A795" i="22"/>
  <c r="A794" i="22"/>
  <c r="A793" i="22"/>
  <c r="A792" i="22"/>
  <c r="A791" i="22"/>
  <c r="A790" i="22"/>
  <c r="A789" i="22"/>
  <c r="A788" i="22"/>
  <c r="A787" i="22"/>
  <c r="A786" i="22"/>
  <c r="A785" i="22"/>
  <c r="A784" i="22"/>
  <c r="A783" i="22"/>
  <c r="A782" i="22"/>
  <c r="A781" i="22"/>
  <c r="A780" i="22"/>
  <c r="A779" i="22"/>
  <c r="A778" i="22"/>
  <c r="A777" i="22"/>
  <c r="A776" i="22"/>
  <c r="A775" i="22"/>
  <c r="A774" i="22"/>
  <c r="A773" i="22"/>
  <c r="A772" i="22"/>
  <c r="A771" i="22"/>
  <c r="A770" i="22"/>
  <c r="A769" i="22"/>
  <c r="A768" i="22"/>
  <c r="A767" i="22"/>
  <c r="A766" i="22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I56" i="4"/>
  <c r="H56" i="4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2" i="21"/>
  <c r="A1088" i="18"/>
  <c r="A1087" i="18"/>
  <c r="A1086" i="18"/>
  <c r="A1085" i="18"/>
  <c r="A1084" i="18"/>
  <c r="A1083" i="18"/>
  <c r="A1082" i="18"/>
  <c r="A1081" i="18"/>
  <c r="A1080" i="18"/>
  <c r="A1079" i="18"/>
  <c r="A1078" i="18"/>
  <c r="A1077" i="18"/>
  <c r="A1076" i="18"/>
  <c r="A1075" i="18"/>
  <c r="A1074" i="18"/>
  <c r="A1073" i="18"/>
  <c r="A1072" i="18"/>
  <c r="A1071" i="18"/>
  <c r="A1070" i="18"/>
  <c r="A1069" i="18"/>
  <c r="A1068" i="18"/>
  <c r="A1067" i="18"/>
  <c r="A1066" i="18"/>
  <c r="A1065" i="18"/>
  <c r="A1064" i="18"/>
  <c r="A1063" i="18"/>
  <c r="A1062" i="18"/>
  <c r="A1061" i="18"/>
  <c r="A1060" i="18"/>
  <c r="A1059" i="18"/>
  <c r="A1058" i="18"/>
  <c r="A1057" i="18"/>
  <c r="A1056" i="18"/>
  <c r="A1055" i="18"/>
  <c r="A1054" i="18"/>
  <c r="A1053" i="18"/>
  <c r="A1052" i="18"/>
  <c r="A1051" i="18"/>
  <c r="A1050" i="18"/>
  <c r="A1049" i="18"/>
  <c r="A1048" i="18"/>
  <c r="A1047" i="18"/>
  <c r="A1046" i="18"/>
  <c r="A1045" i="18"/>
  <c r="A1044" i="18"/>
  <c r="A1043" i="18"/>
  <c r="A1042" i="18"/>
  <c r="A1041" i="18"/>
  <c r="A1040" i="18"/>
  <c r="A1039" i="18"/>
  <c r="A1038" i="18"/>
  <c r="A1037" i="18"/>
  <c r="A1036" i="18"/>
  <c r="A1035" i="18"/>
  <c r="A1034" i="18"/>
  <c r="A1033" i="18"/>
  <c r="A1032" i="18"/>
  <c r="A1031" i="18"/>
  <c r="A1030" i="18"/>
  <c r="A1029" i="18"/>
  <c r="A1028" i="18"/>
  <c r="A1027" i="18"/>
  <c r="A1026" i="18"/>
  <c r="A1025" i="18"/>
  <c r="A1024" i="18"/>
  <c r="A1023" i="18"/>
  <c r="A1022" i="18"/>
  <c r="A1021" i="18"/>
  <c r="A1020" i="18"/>
  <c r="A1019" i="18"/>
  <c r="A1018" i="18"/>
  <c r="A1017" i="18"/>
  <c r="A1016" i="18"/>
  <c r="A1015" i="18"/>
  <c r="A1014" i="18"/>
  <c r="A1013" i="18"/>
  <c r="A1012" i="18"/>
  <c r="A1011" i="18"/>
  <c r="A1010" i="18"/>
  <c r="A1009" i="18"/>
  <c r="A1008" i="18"/>
  <c r="A1007" i="18"/>
  <c r="A1006" i="18"/>
  <c r="A1005" i="18"/>
  <c r="A1004" i="18"/>
  <c r="A1003" i="18"/>
  <c r="A1002" i="18"/>
  <c r="A1001" i="18"/>
  <c r="A1000" i="18"/>
  <c r="A999" i="18"/>
  <c r="A998" i="18"/>
  <c r="A997" i="18"/>
  <c r="A996" i="18"/>
  <c r="A995" i="18"/>
  <c r="A994" i="18"/>
  <c r="A993" i="18"/>
  <c r="A992" i="18"/>
  <c r="A991" i="18"/>
  <c r="A990" i="18"/>
  <c r="A989" i="18"/>
  <c r="A988" i="18"/>
  <c r="A987" i="18"/>
  <c r="A986" i="18"/>
  <c r="A985" i="18"/>
  <c r="A984" i="18"/>
  <c r="A983" i="18"/>
  <c r="A982" i="18"/>
  <c r="A981" i="18"/>
  <c r="A980" i="18"/>
  <c r="A979" i="18"/>
  <c r="A978" i="18"/>
  <c r="A977" i="18"/>
  <c r="A976" i="18"/>
  <c r="A975" i="18"/>
  <c r="A974" i="18"/>
  <c r="A973" i="18"/>
  <c r="A972" i="18"/>
  <c r="A971" i="18"/>
  <c r="A970" i="18"/>
  <c r="A969" i="18"/>
  <c r="A968" i="18"/>
  <c r="A967" i="18"/>
  <c r="A966" i="18"/>
  <c r="A965" i="18"/>
  <c r="A964" i="18"/>
  <c r="A963" i="18"/>
  <c r="A962" i="18"/>
  <c r="A961" i="18"/>
  <c r="A960" i="18"/>
  <c r="A959" i="18"/>
  <c r="A958" i="18"/>
  <c r="A957" i="18"/>
  <c r="A956" i="18"/>
  <c r="A955" i="18"/>
  <c r="A954" i="18"/>
  <c r="A953" i="18"/>
  <c r="A952" i="18"/>
  <c r="A951" i="18"/>
  <c r="A950" i="18"/>
  <c r="A949" i="18"/>
  <c r="A948" i="18"/>
  <c r="A947" i="18"/>
  <c r="A946" i="18"/>
  <c r="A945" i="18"/>
  <c r="A944" i="18"/>
  <c r="A943" i="18"/>
  <c r="A942" i="18"/>
  <c r="A941" i="18"/>
  <c r="A940" i="18"/>
  <c r="A939" i="18"/>
  <c r="A938" i="18"/>
  <c r="A937" i="18"/>
  <c r="A936" i="18"/>
  <c r="A935" i="18"/>
  <c r="A934" i="18"/>
  <c r="A933" i="18"/>
  <c r="A932" i="18"/>
  <c r="A931" i="18"/>
  <c r="A930" i="18"/>
  <c r="A929" i="18"/>
  <c r="A928" i="18"/>
  <c r="A927" i="18"/>
  <c r="A926" i="18"/>
  <c r="A925" i="18"/>
  <c r="A924" i="18"/>
  <c r="A923" i="18"/>
  <c r="A922" i="18"/>
  <c r="A921" i="18"/>
  <c r="A920" i="18"/>
  <c r="A919" i="18"/>
  <c r="A918" i="18"/>
  <c r="A917" i="18"/>
  <c r="A916" i="18"/>
  <c r="A915" i="18"/>
  <c r="A914" i="18"/>
  <c r="A913" i="18"/>
  <c r="A912" i="18"/>
  <c r="A911" i="18"/>
  <c r="A910" i="18"/>
  <c r="A909" i="18"/>
  <c r="A908" i="18"/>
  <c r="A907" i="18"/>
  <c r="A906" i="18"/>
  <c r="A905" i="18"/>
  <c r="A904" i="18"/>
  <c r="A903" i="18"/>
  <c r="A902" i="18"/>
  <c r="A901" i="18"/>
  <c r="A900" i="18"/>
  <c r="A899" i="18"/>
  <c r="A898" i="18"/>
  <c r="A897" i="18"/>
  <c r="A896" i="18"/>
  <c r="A895" i="18"/>
  <c r="A894" i="18"/>
  <c r="A893" i="18"/>
  <c r="A892" i="18"/>
  <c r="A891" i="18"/>
  <c r="A890" i="18"/>
  <c r="A889" i="18"/>
  <c r="A888" i="18"/>
  <c r="A887" i="18"/>
  <c r="A886" i="18"/>
  <c r="A885" i="18"/>
  <c r="A884" i="18"/>
  <c r="A883" i="18"/>
  <c r="A882" i="18"/>
  <c r="A881" i="18"/>
  <c r="A880" i="18"/>
  <c r="A879" i="18"/>
  <c r="A878" i="18"/>
  <c r="A877" i="18"/>
  <c r="A876" i="18"/>
  <c r="A875" i="18"/>
  <c r="A874" i="18"/>
  <c r="A873" i="18"/>
  <c r="A872" i="18"/>
  <c r="A871" i="18"/>
  <c r="A870" i="18"/>
  <c r="A869" i="18"/>
  <c r="A868" i="18"/>
  <c r="A867" i="18"/>
  <c r="A866" i="18"/>
  <c r="A865" i="18"/>
  <c r="A864" i="18"/>
  <c r="A863" i="18"/>
  <c r="A862" i="18"/>
  <c r="A861" i="18"/>
  <c r="A860" i="18"/>
  <c r="A859" i="18"/>
  <c r="A858" i="18"/>
  <c r="A857" i="18"/>
  <c r="A856" i="18"/>
  <c r="A855" i="18"/>
  <c r="A854" i="18"/>
  <c r="A853" i="18"/>
  <c r="A852" i="18"/>
  <c r="A851" i="18"/>
  <c r="A850" i="18"/>
  <c r="A849" i="18"/>
  <c r="A848" i="18"/>
  <c r="A847" i="18"/>
  <c r="A846" i="18"/>
  <c r="A845" i="18"/>
  <c r="A844" i="18"/>
  <c r="A843" i="18"/>
  <c r="A842" i="18"/>
  <c r="A841" i="18"/>
  <c r="A840" i="18"/>
  <c r="A839" i="18"/>
  <c r="A838" i="18"/>
  <c r="A837" i="18"/>
  <c r="A836" i="18"/>
  <c r="A835" i="18"/>
  <c r="A834" i="18"/>
  <c r="A833" i="18"/>
  <c r="A832" i="18"/>
  <c r="A831" i="18"/>
  <c r="A830" i="18"/>
  <c r="A829" i="18"/>
  <c r="A828" i="18"/>
  <c r="A827" i="18"/>
  <c r="A826" i="18"/>
  <c r="A825" i="18"/>
  <c r="A824" i="18"/>
  <c r="A823" i="18"/>
  <c r="A822" i="18"/>
  <c r="A821" i="18"/>
  <c r="A820" i="18"/>
  <c r="A819" i="18"/>
  <c r="A818" i="18"/>
  <c r="A817" i="18"/>
  <c r="A816" i="18"/>
  <c r="A815" i="18"/>
  <c r="A814" i="18"/>
  <c r="A813" i="18"/>
  <c r="A812" i="18"/>
  <c r="A811" i="18"/>
  <c r="A810" i="18"/>
  <c r="A809" i="18"/>
  <c r="A808" i="18"/>
  <c r="A807" i="18"/>
  <c r="A806" i="18"/>
  <c r="A805" i="18"/>
  <c r="A804" i="18"/>
  <c r="A803" i="18"/>
  <c r="A802" i="18"/>
  <c r="A801" i="18"/>
  <c r="A800" i="18"/>
  <c r="A799" i="18"/>
  <c r="A798" i="18"/>
  <c r="A797" i="18"/>
  <c r="A796" i="18"/>
  <c r="A795" i="18"/>
  <c r="A794" i="18"/>
  <c r="A793" i="18"/>
  <c r="A792" i="18"/>
  <c r="A791" i="18"/>
  <c r="A790" i="18"/>
  <c r="A789" i="18"/>
  <c r="A788" i="18"/>
  <c r="A787" i="18"/>
  <c r="A786" i="18"/>
  <c r="A785" i="18"/>
  <c r="A784" i="18"/>
  <c r="A783" i="18"/>
  <c r="A782" i="18"/>
  <c r="A781" i="18"/>
  <c r="A780" i="18"/>
  <c r="A779" i="18"/>
  <c r="A778" i="18"/>
  <c r="A777" i="18"/>
  <c r="A776" i="18"/>
  <c r="A775" i="18"/>
  <c r="A774" i="18"/>
  <c r="A773" i="18"/>
  <c r="A772" i="18"/>
  <c r="A771" i="18"/>
  <c r="A770" i="18"/>
  <c r="A769" i="18"/>
  <c r="A768" i="18"/>
  <c r="A767" i="18"/>
  <c r="A766" i="18"/>
  <c r="A765" i="18"/>
  <c r="A764" i="18"/>
  <c r="A763" i="18"/>
  <c r="A762" i="18"/>
  <c r="A761" i="18"/>
  <c r="A760" i="18"/>
  <c r="A759" i="18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" i="17"/>
  <c r="A2" i="19"/>
  <c r="A3" i="19"/>
  <c r="A4" i="19"/>
  <c r="A5" i="19"/>
  <c r="A6" i="19"/>
  <c r="A7" i="19"/>
  <c r="A8" i="19"/>
  <c r="A9" i="19"/>
  <c r="A10" i="19"/>
  <c r="A11" i="19"/>
  <c r="A12" i="19"/>
  <c r="A13" i="19"/>
  <c r="A14" i="19"/>
  <c r="A15" i="19"/>
  <c r="A16" i="19"/>
  <c r="A17" i="19"/>
  <c r="A18" i="19"/>
  <c r="A19" i="19"/>
  <c r="A20" i="19"/>
  <c r="A21" i="19"/>
  <c r="A22" i="19"/>
  <c r="A23" i="19"/>
  <c r="A24" i="19"/>
  <c r="A25" i="19"/>
  <c r="A26" i="19"/>
  <c r="A27" i="19"/>
  <c r="A28" i="19"/>
  <c r="A29" i="19"/>
  <c r="A30" i="19"/>
  <c r="A31" i="19"/>
  <c r="A32" i="19"/>
  <c r="A33" i="19"/>
  <c r="A34" i="19"/>
  <c r="A35" i="19"/>
  <c r="A36" i="19"/>
  <c r="A37" i="19"/>
  <c r="A38" i="19"/>
  <c r="A39" i="19"/>
  <c r="A40" i="19"/>
  <c r="A41" i="19"/>
  <c r="A42" i="19"/>
  <c r="A43" i="19"/>
  <c r="A44" i="19"/>
  <c r="A45" i="19"/>
  <c r="A46" i="19"/>
  <c r="A47" i="19"/>
  <c r="A48" i="19"/>
  <c r="A49" i="19"/>
  <c r="A50" i="19"/>
  <c r="A51" i="19"/>
  <c r="A52" i="19"/>
  <c r="A53" i="19"/>
  <c r="A54" i="19"/>
  <c r="A55" i="19"/>
  <c r="A56" i="19"/>
  <c r="A57" i="19"/>
  <c r="A58" i="19"/>
  <c r="A59" i="19"/>
  <c r="A60" i="19"/>
  <c r="A61" i="19"/>
  <c r="A62" i="19"/>
  <c r="A63" i="19"/>
  <c r="A64" i="19"/>
  <c r="A65" i="19"/>
  <c r="A66" i="19"/>
  <c r="A67" i="19"/>
  <c r="A68" i="19"/>
  <c r="A69" i="19"/>
  <c r="A70" i="19"/>
  <c r="A71" i="19"/>
  <c r="A72" i="19"/>
  <c r="A73" i="19"/>
  <c r="A74" i="19"/>
  <c r="A75" i="19"/>
  <c r="A76" i="19"/>
  <c r="A77" i="19"/>
  <c r="A78" i="19"/>
  <c r="A79" i="19"/>
  <c r="A80" i="19"/>
  <c r="A81" i="19"/>
  <c r="A82" i="19"/>
  <c r="A83" i="19"/>
  <c r="A84" i="19"/>
  <c r="A85" i="19"/>
  <c r="A86" i="19"/>
  <c r="A87" i="19"/>
  <c r="A88" i="19"/>
  <c r="A89" i="19"/>
  <c r="A90" i="19"/>
  <c r="A91" i="19"/>
  <c r="A92" i="19"/>
  <c r="A93" i="19"/>
  <c r="A94" i="19"/>
  <c r="A95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A110" i="19"/>
  <c r="A111" i="19"/>
  <c r="A112" i="19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A128" i="19"/>
  <c r="A129" i="19"/>
  <c r="A130" i="19"/>
  <c r="A131" i="19"/>
  <c r="A132" i="19"/>
  <c r="A133" i="19"/>
  <c r="A134" i="19"/>
  <c r="A135" i="19"/>
  <c r="A136" i="19"/>
  <c r="A137" i="19"/>
  <c r="A138" i="19"/>
  <c r="A139" i="19"/>
  <c r="A140" i="19"/>
  <c r="A141" i="19"/>
  <c r="A142" i="19"/>
  <c r="A143" i="19"/>
  <c r="A144" i="19"/>
  <c r="A145" i="19"/>
  <c r="A146" i="19"/>
  <c r="A147" i="19"/>
  <c r="A148" i="19"/>
  <c r="A149" i="19"/>
  <c r="A150" i="19"/>
  <c r="A151" i="19"/>
  <c r="A152" i="19"/>
  <c r="A153" i="19"/>
  <c r="A154" i="19"/>
  <c r="A155" i="19"/>
  <c r="A156" i="19"/>
  <c r="A157" i="19"/>
  <c r="A158" i="19"/>
  <c r="A159" i="19"/>
  <c r="A160" i="19"/>
  <c r="A161" i="19"/>
  <c r="A162" i="19"/>
  <c r="A163" i="19"/>
  <c r="A164" i="19"/>
  <c r="A165" i="19"/>
  <c r="A166" i="19"/>
  <c r="A167" i="19"/>
  <c r="A168" i="19"/>
  <c r="A169" i="19"/>
  <c r="A170" i="19"/>
  <c r="A171" i="19"/>
  <c r="A172" i="19"/>
  <c r="A173" i="19"/>
  <c r="A174" i="19"/>
  <c r="A175" i="19"/>
  <c r="A176" i="19"/>
  <c r="A177" i="19"/>
  <c r="A178" i="19"/>
  <c r="A179" i="19"/>
  <c r="A180" i="19"/>
  <c r="A181" i="19"/>
  <c r="A182" i="19"/>
  <c r="A183" i="19"/>
  <c r="A184" i="19"/>
  <c r="A185" i="19"/>
  <c r="A186" i="19"/>
  <c r="A187" i="19"/>
  <c r="A188" i="19"/>
  <c r="A189" i="19"/>
  <c r="A190" i="19"/>
  <c r="A191" i="19"/>
  <c r="A192" i="19"/>
  <c r="A193" i="19"/>
  <c r="A194" i="19"/>
  <c r="A195" i="19"/>
  <c r="A196" i="19"/>
  <c r="A197" i="19"/>
  <c r="A198" i="19"/>
  <c r="A199" i="19"/>
  <c r="A200" i="19"/>
  <c r="A201" i="19"/>
  <c r="A202" i="19"/>
  <c r="A203" i="19"/>
  <c r="A204" i="19"/>
  <c r="A205" i="19"/>
  <c r="A206" i="19"/>
  <c r="A207" i="19"/>
  <c r="A208" i="19"/>
  <c r="A209" i="19"/>
  <c r="A210" i="19"/>
  <c r="A211" i="19"/>
  <c r="A212" i="19"/>
  <c r="A213" i="19"/>
  <c r="A214" i="19"/>
  <c r="A215" i="19"/>
  <c r="A216" i="19"/>
  <c r="A217" i="19"/>
  <c r="A218" i="19"/>
  <c r="A219" i="19"/>
  <c r="A220" i="19"/>
  <c r="A221" i="19"/>
  <c r="A222" i="19"/>
  <c r="A223" i="19"/>
  <c r="A224" i="19"/>
  <c r="A225" i="19"/>
  <c r="A226" i="19"/>
  <c r="A227" i="19"/>
  <c r="A228" i="19"/>
  <c r="A229" i="19"/>
  <c r="A230" i="19"/>
  <c r="A231" i="19"/>
  <c r="A232" i="19"/>
  <c r="A233" i="19"/>
  <c r="A234" i="19"/>
  <c r="A235" i="19"/>
  <c r="A236" i="19"/>
  <c r="A237" i="19"/>
  <c r="A238" i="19"/>
  <c r="A239" i="19"/>
  <c r="A240" i="19"/>
  <c r="A241" i="19"/>
  <c r="A242" i="19"/>
  <c r="A243" i="19"/>
  <c r="A244" i="19"/>
  <c r="A245" i="19"/>
  <c r="A246" i="19"/>
  <c r="A247" i="19"/>
  <c r="A248" i="19"/>
  <c r="A249" i="19"/>
  <c r="A250" i="19"/>
  <c r="A251" i="19"/>
  <c r="A252" i="19"/>
  <c r="A253" i="19"/>
  <c r="A254" i="19"/>
  <c r="A255" i="19"/>
  <c r="A256" i="19"/>
  <c r="A257" i="19"/>
  <c r="A258" i="19"/>
  <c r="A259" i="19"/>
  <c r="A260" i="19"/>
  <c r="A261" i="19"/>
  <c r="A262" i="19"/>
  <c r="A263" i="19"/>
  <c r="A264" i="19"/>
  <c r="A265" i="19"/>
  <c r="A266" i="19"/>
  <c r="A267" i="19"/>
  <c r="A268" i="19"/>
  <c r="A269" i="19"/>
  <c r="A270" i="19"/>
  <c r="A271" i="19"/>
  <c r="A272" i="19"/>
  <c r="A273" i="19"/>
  <c r="A274" i="19"/>
  <c r="A275" i="19"/>
  <c r="A276" i="19"/>
  <c r="A277" i="19"/>
  <c r="A278" i="19"/>
  <c r="A279" i="19"/>
  <c r="A280" i="19"/>
  <c r="A281" i="19"/>
  <c r="A282" i="19"/>
  <c r="A283" i="19"/>
  <c r="A284" i="19"/>
  <c r="A285" i="19"/>
  <c r="A286" i="19"/>
  <c r="A287" i="19"/>
  <c r="A288" i="19"/>
  <c r="A289" i="19"/>
  <c r="A290" i="19"/>
  <c r="A291" i="19"/>
  <c r="A292" i="19"/>
  <c r="A293" i="19"/>
  <c r="A294" i="19"/>
  <c r="A295" i="19"/>
  <c r="A296" i="19"/>
  <c r="A297" i="19"/>
  <c r="A298" i="19"/>
  <c r="A299" i="19"/>
  <c r="A300" i="19"/>
  <c r="A301" i="19"/>
  <c r="A302" i="19"/>
  <c r="A303" i="19"/>
  <c r="A304" i="19"/>
  <c r="A305" i="19"/>
  <c r="A306" i="19"/>
  <c r="A307" i="19"/>
  <c r="A308" i="19"/>
  <c r="A309" i="19"/>
  <c r="A310" i="19"/>
  <c r="A311" i="19"/>
  <c r="A312" i="19"/>
  <c r="A313" i="19"/>
  <c r="A314" i="19"/>
  <c r="A315" i="19"/>
  <c r="A316" i="19"/>
  <c r="A317" i="19"/>
  <c r="A318" i="19"/>
  <c r="A319" i="19"/>
  <c r="A320" i="19"/>
  <c r="A321" i="19"/>
  <c r="A322" i="19"/>
  <c r="A323" i="19"/>
  <c r="A324" i="19"/>
  <c r="A325" i="19"/>
  <c r="A326" i="19"/>
  <c r="A327" i="19"/>
  <c r="A328" i="19"/>
  <c r="A329" i="19"/>
  <c r="A330" i="19"/>
  <c r="A331" i="19"/>
  <c r="A332" i="19"/>
  <c r="A333" i="19"/>
  <c r="A334" i="19"/>
  <c r="A335" i="19"/>
  <c r="A336" i="19"/>
  <c r="A337" i="19"/>
  <c r="A338" i="19"/>
  <c r="A339" i="19"/>
  <c r="A340" i="19"/>
  <c r="A341" i="19"/>
  <c r="A342" i="19"/>
  <c r="A343" i="19"/>
  <c r="A344" i="19"/>
  <c r="A345" i="19"/>
  <c r="A346" i="19"/>
  <c r="A347" i="19"/>
  <c r="A348" i="19"/>
  <c r="A349" i="19"/>
  <c r="A350" i="19"/>
  <c r="A351" i="19"/>
  <c r="A352" i="19"/>
  <c r="A353" i="19"/>
  <c r="A354" i="19"/>
  <c r="A355" i="19"/>
  <c r="A356" i="19"/>
  <c r="A357" i="19"/>
  <c r="A358" i="19"/>
  <c r="A359" i="19"/>
  <c r="A360" i="19"/>
  <c r="A361" i="19"/>
  <c r="A362" i="19"/>
  <c r="A363" i="19"/>
  <c r="A364" i="19"/>
  <c r="A365" i="19"/>
  <c r="A366" i="19"/>
  <c r="A367" i="19"/>
  <c r="A368" i="19"/>
  <c r="A369" i="19"/>
  <c r="A370" i="19"/>
  <c r="A371" i="19"/>
  <c r="A372" i="19"/>
  <c r="A2" i="18"/>
  <c r="C1088" i="18"/>
  <c r="C1087" i="18"/>
  <c r="C1086" i="18"/>
  <c r="C1085" i="18"/>
  <c r="C1084" i="18"/>
  <c r="C1083" i="18"/>
  <c r="C1082" i="18"/>
  <c r="C1081" i="18"/>
  <c r="C1080" i="18"/>
  <c r="C1079" i="18"/>
  <c r="C1078" i="18"/>
  <c r="C1077" i="18"/>
  <c r="C1076" i="18"/>
  <c r="C1075" i="18"/>
  <c r="C1074" i="18"/>
  <c r="C1073" i="18"/>
  <c r="C1072" i="18"/>
  <c r="C1071" i="18"/>
  <c r="C1070" i="18"/>
  <c r="C1069" i="18"/>
  <c r="C1068" i="18"/>
  <c r="C1067" i="18"/>
  <c r="C1066" i="18"/>
  <c r="C1065" i="18"/>
  <c r="C1064" i="18"/>
  <c r="C1063" i="18"/>
  <c r="C1062" i="18"/>
  <c r="C1061" i="18"/>
  <c r="C1060" i="18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C126" i="18"/>
  <c r="C125" i="18"/>
  <c r="C124" i="18"/>
  <c r="C123" i="18"/>
  <c r="C122" i="18"/>
  <c r="C121" i="18"/>
  <c r="C120" i="18"/>
  <c r="C119" i="18"/>
  <c r="C118" i="18"/>
  <c r="C117" i="18"/>
  <c r="C116" i="18"/>
  <c r="C115" i="18"/>
  <c r="C114" i="18"/>
  <c r="C113" i="18"/>
  <c r="C112" i="18"/>
  <c r="C111" i="18"/>
  <c r="C110" i="18"/>
  <c r="C109" i="18"/>
  <c r="C108" i="18"/>
  <c r="C107" i="18"/>
  <c r="C106" i="18"/>
  <c r="C105" i="18"/>
  <c r="C104" i="18"/>
  <c r="C103" i="18"/>
  <c r="C102" i="18"/>
  <c r="C101" i="18"/>
  <c r="C100" i="18"/>
  <c r="C99" i="18"/>
  <c r="C98" i="18"/>
  <c r="C97" i="18"/>
  <c r="C96" i="18"/>
  <c r="C95" i="18"/>
  <c r="C94" i="18"/>
  <c r="C93" i="18"/>
  <c r="C92" i="18"/>
  <c r="C91" i="18"/>
  <c r="C90" i="18"/>
  <c r="C89" i="18"/>
  <c r="C88" i="18"/>
  <c r="C87" i="18"/>
  <c r="C86" i="18"/>
  <c r="C85" i="18"/>
  <c r="C84" i="18"/>
  <c r="C83" i="18"/>
  <c r="C82" i="18"/>
  <c r="C81" i="18"/>
  <c r="C80" i="18"/>
  <c r="C79" i="18"/>
  <c r="C78" i="18"/>
  <c r="C77" i="18"/>
  <c r="C76" i="18"/>
  <c r="C75" i="18"/>
  <c r="C74" i="18"/>
  <c r="C73" i="18"/>
  <c r="C72" i="18"/>
  <c r="C71" i="18"/>
  <c r="C70" i="18"/>
  <c r="C69" i="18"/>
  <c r="C68" i="18"/>
  <c r="C67" i="18"/>
  <c r="C66" i="18"/>
  <c r="C65" i="18"/>
  <c r="C64" i="18"/>
  <c r="C63" i="18"/>
  <c r="C62" i="18"/>
  <c r="C61" i="18"/>
  <c r="C60" i="18"/>
  <c r="C59" i="18"/>
  <c r="C58" i="18"/>
  <c r="C57" i="18"/>
  <c r="C56" i="18"/>
  <c r="C55" i="18"/>
  <c r="C54" i="18"/>
  <c r="C53" i="18"/>
  <c r="C52" i="18"/>
  <c r="C51" i="18"/>
  <c r="C50" i="18"/>
  <c r="C49" i="18"/>
  <c r="C48" i="18"/>
  <c r="C47" i="18"/>
  <c r="C46" i="18"/>
  <c r="C45" i="18"/>
  <c r="C44" i="18"/>
  <c r="C43" i="18"/>
  <c r="C42" i="18"/>
  <c r="C41" i="18"/>
  <c r="C40" i="18"/>
  <c r="C39" i="18"/>
  <c r="C38" i="18"/>
  <c r="C37" i="18"/>
  <c r="C36" i="18"/>
  <c r="C35" i="18"/>
  <c r="C34" i="18"/>
  <c r="C33" i="18"/>
  <c r="C32" i="18"/>
  <c r="C31" i="18"/>
  <c r="C30" i="18"/>
  <c r="C29" i="18"/>
  <c r="C28" i="18"/>
  <c r="C27" i="18"/>
  <c r="C26" i="18"/>
  <c r="C25" i="18"/>
  <c r="C24" i="18"/>
  <c r="C23" i="18"/>
  <c r="C22" i="18"/>
  <c r="C21" i="18"/>
  <c r="C20" i="18"/>
  <c r="C19" i="18"/>
  <c r="C18" i="18"/>
  <c r="C17" i="18"/>
  <c r="C16" i="18"/>
  <c r="C15" i="18"/>
  <c r="C14" i="18"/>
  <c r="C13" i="18"/>
  <c r="C12" i="18"/>
  <c r="C11" i="18"/>
  <c r="C10" i="18"/>
  <c r="C9" i="18"/>
  <c r="C8" i="18"/>
  <c r="C7" i="18"/>
  <c r="C6" i="18"/>
  <c r="C5" i="18"/>
  <c r="C4" i="18"/>
  <c r="C3" i="18"/>
  <c r="C973" i="17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C126" i="17"/>
  <c r="C125" i="17"/>
  <c r="C124" i="17"/>
  <c r="C123" i="17"/>
  <c r="C122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C86" i="17"/>
  <c r="C85" i="17"/>
  <c r="C84" i="17"/>
  <c r="C83" i="17"/>
  <c r="C82" i="17"/>
  <c r="C81" i="17"/>
  <c r="C80" i="17"/>
  <c r="C79" i="17"/>
  <c r="C78" i="17"/>
  <c r="C77" i="17"/>
  <c r="C76" i="17"/>
  <c r="C75" i="17"/>
  <c r="C74" i="17"/>
  <c r="C73" i="17"/>
  <c r="C72" i="17"/>
  <c r="C71" i="17"/>
  <c r="C70" i="17"/>
  <c r="C69" i="17"/>
  <c r="C68" i="17"/>
  <c r="C67" i="17"/>
  <c r="C66" i="17"/>
  <c r="C65" i="17"/>
  <c r="C64" i="17"/>
  <c r="C63" i="17"/>
  <c r="C62" i="17"/>
  <c r="C61" i="17"/>
  <c r="C60" i="17"/>
  <c r="C59" i="17"/>
  <c r="C58" i="17"/>
  <c r="C57" i="17"/>
  <c r="C56" i="17"/>
  <c r="C55" i="17"/>
  <c r="C54" i="17"/>
  <c r="C53" i="17"/>
  <c r="C52" i="17"/>
  <c r="C51" i="17"/>
  <c r="C50" i="17"/>
  <c r="C49" i="17"/>
  <c r="C48" i="17"/>
  <c r="C47" i="17"/>
  <c r="C46" i="17"/>
  <c r="C45" i="17"/>
  <c r="C44" i="17"/>
  <c r="C43" i="17"/>
  <c r="C42" i="17"/>
  <c r="C41" i="17"/>
  <c r="C40" i="17"/>
  <c r="C39" i="17"/>
  <c r="C38" i="17"/>
  <c r="C37" i="17"/>
  <c r="C36" i="17"/>
  <c r="C35" i="17"/>
  <c r="C34" i="17"/>
  <c r="C33" i="17"/>
  <c r="C32" i="17"/>
  <c r="C31" i="17"/>
  <c r="C30" i="17"/>
  <c r="C29" i="17"/>
  <c r="C28" i="17"/>
  <c r="C27" i="17"/>
  <c r="C26" i="17"/>
  <c r="C25" i="17"/>
  <c r="C24" i="17"/>
  <c r="C23" i="17"/>
  <c r="C22" i="17"/>
  <c r="C21" i="17"/>
  <c r="C20" i="17"/>
  <c r="C19" i="17"/>
  <c r="C18" i="17"/>
  <c r="C17" i="17"/>
  <c r="C16" i="17"/>
  <c r="C15" i="17"/>
  <c r="C14" i="17"/>
  <c r="C13" i="17"/>
  <c r="C12" i="17"/>
  <c r="C11" i="17"/>
  <c r="C10" i="17"/>
  <c r="C9" i="17"/>
  <c r="C8" i="17"/>
  <c r="C7" i="17"/>
  <c r="C6" i="17"/>
  <c r="C5" i="17"/>
  <c r="C4" i="17"/>
  <c r="C3" i="17"/>
  <c r="B973" i="17"/>
  <c r="B972" i="17"/>
  <c r="B971" i="17"/>
  <c r="B970" i="17"/>
  <c r="B969" i="17"/>
  <c r="B968" i="17"/>
  <c r="B967" i="17"/>
  <c r="B966" i="17"/>
  <c r="B965" i="17"/>
  <c r="B964" i="17"/>
  <c r="B963" i="17"/>
  <c r="B96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B79" i="17"/>
  <c r="B78" i="17"/>
  <c r="B77" i="17"/>
  <c r="B76" i="17"/>
  <c r="B75" i="17"/>
  <c r="B74" i="17"/>
  <c r="B73" i="17"/>
  <c r="B72" i="17"/>
  <c r="B71" i="17"/>
  <c r="B70" i="17"/>
  <c r="B69" i="17"/>
  <c r="B68" i="17"/>
  <c r="B67" i="17"/>
  <c r="B66" i="17"/>
  <c r="B65" i="17"/>
  <c r="B64" i="17"/>
  <c r="B63" i="17"/>
  <c r="B62" i="17"/>
  <c r="B61" i="17"/>
  <c r="B60" i="17"/>
  <c r="B59" i="17"/>
  <c r="B58" i="17"/>
  <c r="B57" i="17"/>
  <c r="B56" i="17"/>
  <c r="B55" i="17"/>
  <c r="B54" i="17"/>
  <c r="B53" i="17"/>
  <c r="B52" i="17"/>
  <c r="B51" i="17"/>
  <c r="B50" i="17"/>
  <c r="B49" i="17"/>
  <c r="B48" i="17"/>
  <c r="B47" i="17"/>
  <c r="B46" i="17"/>
  <c r="B45" i="17"/>
  <c r="B44" i="17"/>
  <c r="B43" i="17"/>
  <c r="B42" i="17"/>
  <c r="B41" i="17"/>
  <c r="B40" i="17"/>
  <c r="B39" i="17"/>
  <c r="B38" i="17"/>
  <c r="B37" i="17"/>
  <c r="B36" i="17"/>
  <c r="B35" i="17"/>
  <c r="B34" i="17"/>
  <c r="B33" i="17"/>
  <c r="B32" i="17"/>
  <c r="B31" i="17"/>
  <c r="B30" i="17"/>
  <c r="B29" i="17"/>
  <c r="B28" i="17"/>
  <c r="B27" i="17"/>
  <c r="B26" i="17"/>
  <c r="B25" i="17"/>
  <c r="B24" i="17"/>
  <c r="B23" i="17"/>
  <c r="B22" i="17"/>
  <c r="B21" i="17"/>
  <c r="B20" i="17"/>
  <c r="B19" i="17"/>
  <c r="B18" i="17"/>
  <c r="B17" i="17"/>
  <c r="B16" i="17"/>
  <c r="B15" i="17"/>
  <c r="B14" i="17"/>
  <c r="B13" i="17"/>
  <c r="B12" i="17"/>
  <c r="B11" i="17"/>
  <c r="B10" i="17"/>
  <c r="B9" i="17"/>
  <c r="B8" i="17"/>
  <c r="B7" i="17"/>
  <c r="B6" i="17"/>
  <c r="B5" i="17"/>
  <c r="B4" i="17"/>
  <c r="B3" i="17"/>
  <c r="A973" i="17"/>
  <c r="A972" i="17"/>
  <c r="A971" i="17"/>
  <c r="A970" i="17"/>
  <c r="A969" i="17"/>
  <c r="A968" i="17"/>
  <c r="A967" i="17"/>
  <c r="A966" i="17"/>
  <c r="A965" i="17"/>
  <c r="A964" i="17"/>
  <c r="A963" i="17"/>
  <c r="A962" i="17"/>
  <c r="A961" i="17"/>
  <c r="A960" i="17"/>
  <c r="A959" i="17"/>
  <c r="A958" i="17"/>
  <c r="A957" i="17"/>
  <c r="A956" i="17"/>
  <c r="A955" i="17"/>
  <c r="A954" i="17"/>
  <c r="A953" i="17"/>
  <c r="A952" i="17"/>
  <c r="A951" i="17"/>
  <c r="A950" i="17"/>
  <c r="A949" i="17"/>
  <c r="A948" i="17"/>
  <c r="A947" i="17"/>
  <c r="A946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7" i="17"/>
  <c r="A916" i="17"/>
  <c r="A915" i="17"/>
  <c r="A914" i="17"/>
  <c r="A913" i="17"/>
  <c r="A912" i="17"/>
  <c r="A911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82" i="17"/>
  <c r="A881" i="17"/>
  <c r="A880" i="17"/>
  <c r="A879" i="17"/>
  <c r="A878" i="17"/>
  <c r="A877" i="17"/>
  <c r="A876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7" i="17"/>
  <c r="A846" i="17"/>
  <c r="A845" i="17"/>
  <c r="A844" i="17"/>
  <c r="A843" i="17"/>
  <c r="A842" i="17"/>
  <c r="A841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12" i="17"/>
  <c r="A811" i="17"/>
  <c r="A810" i="17"/>
  <c r="A809" i="17"/>
  <c r="A808" i="17"/>
  <c r="A807" i="17"/>
  <c r="A806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I394" i="25"/>
  <c r="I393" i="25"/>
  <c r="I392" i="25"/>
  <c r="I391" i="25"/>
  <c r="I390" i="25"/>
  <c r="I389" i="25"/>
  <c r="I388" i="25"/>
  <c r="I387" i="25"/>
  <c r="I386" i="25"/>
  <c r="I385" i="25"/>
  <c r="I384" i="25"/>
  <c r="I383" i="25"/>
  <c r="I382" i="25"/>
  <c r="I381" i="25"/>
  <c r="I380" i="25"/>
  <c r="I379" i="25"/>
  <c r="I378" i="25"/>
  <c r="I377" i="25"/>
  <c r="I376" i="25"/>
  <c r="I375" i="25"/>
  <c r="I374" i="25"/>
  <c r="I373" i="25"/>
  <c r="I372" i="25"/>
  <c r="I371" i="25"/>
  <c r="I370" i="25"/>
  <c r="I369" i="25"/>
  <c r="I368" i="25"/>
  <c r="I367" i="25"/>
  <c r="I366" i="25"/>
  <c r="I365" i="25"/>
  <c r="I364" i="25"/>
  <c r="I363" i="25"/>
  <c r="I362" i="25"/>
  <c r="I361" i="25"/>
  <c r="I360" i="25"/>
  <c r="I359" i="25"/>
  <c r="I358" i="25"/>
  <c r="I357" i="25"/>
  <c r="I356" i="25"/>
  <c r="I355" i="25"/>
  <c r="I354" i="25"/>
  <c r="I353" i="25"/>
  <c r="I352" i="25"/>
  <c r="I351" i="25"/>
  <c r="I350" i="25"/>
  <c r="I349" i="25"/>
  <c r="I348" i="25"/>
  <c r="I347" i="25"/>
  <c r="I346" i="25"/>
  <c r="I345" i="25"/>
  <c r="I344" i="25"/>
  <c r="I343" i="25"/>
  <c r="I342" i="25"/>
  <c r="I341" i="25"/>
  <c r="I340" i="25"/>
  <c r="I339" i="25"/>
  <c r="I338" i="25"/>
  <c r="I337" i="25"/>
  <c r="I336" i="25"/>
  <c r="I335" i="25"/>
  <c r="I334" i="25"/>
  <c r="I333" i="25"/>
  <c r="I332" i="25"/>
  <c r="I331" i="25"/>
  <c r="I330" i="25"/>
  <c r="I329" i="25"/>
  <c r="I328" i="25"/>
  <c r="I327" i="25"/>
  <c r="I326" i="25"/>
  <c r="I325" i="25"/>
  <c r="I324" i="25"/>
  <c r="I323" i="25"/>
  <c r="I322" i="25"/>
  <c r="I321" i="25"/>
  <c r="I320" i="25"/>
  <c r="I319" i="25"/>
  <c r="I318" i="25"/>
  <c r="I317" i="25"/>
  <c r="I316" i="25"/>
  <c r="I315" i="25"/>
  <c r="I314" i="25"/>
  <c r="I313" i="25"/>
  <c r="I312" i="25"/>
  <c r="I311" i="25"/>
  <c r="I310" i="25"/>
  <c r="I309" i="25"/>
  <c r="I308" i="25"/>
  <c r="I307" i="25"/>
  <c r="I306" i="25"/>
  <c r="I305" i="25"/>
  <c r="I304" i="25"/>
  <c r="I303" i="25"/>
  <c r="I302" i="25"/>
  <c r="I301" i="25"/>
  <c r="I300" i="25"/>
  <c r="I299" i="25"/>
  <c r="I298" i="25"/>
  <c r="I297" i="25"/>
  <c r="I296" i="25"/>
  <c r="I295" i="25"/>
  <c r="I294" i="25"/>
  <c r="I293" i="25"/>
  <c r="I292" i="25"/>
  <c r="I291" i="25"/>
  <c r="I290" i="25"/>
  <c r="I289" i="25"/>
  <c r="I288" i="25"/>
  <c r="I287" i="25"/>
  <c r="I286" i="25"/>
  <c r="I285" i="25"/>
  <c r="I284" i="25"/>
  <c r="I283" i="25"/>
  <c r="I282" i="25"/>
  <c r="I281" i="25"/>
  <c r="I280" i="25"/>
  <c r="I279" i="25"/>
  <c r="I278" i="25"/>
  <c r="I277" i="25"/>
  <c r="I276" i="25"/>
  <c r="I275" i="25"/>
  <c r="I274" i="25"/>
  <c r="I273" i="25"/>
  <c r="I272" i="25"/>
  <c r="I271" i="25"/>
  <c r="I270" i="25"/>
  <c r="I269" i="25"/>
  <c r="I268" i="25"/>
  <c r="I267" i="25"/>
  <c r="I266" i="25"/>
  <c r="I265" i="25"/>
  <c r="I264" i="25"/>
  <c r="I263" i="25"/>
  <c r="I262" i="25"/>
  <c r="I261" i="25"/>
  <c r="I260" i="25"/>
  <c r="I259" i="25"/>
  <c r="I258" i="25"/>
  <c r="I257" i="25"/>
  <c r="I256" i="25"/>
  <c r="I255" i="25"/>
  <c r="I254" i="25"/>
  <c r="I253" i="25"/>
  <c r="I252" i="25"/>
  <c r="I251" i="25"/>
  <c r="I250" i="25"/>
  <c r="I249" i="25"/>
  <c r="I248" i="25"/>
  <c r="I247" i="25"/>
  <c r="I246" i="25"/>
  <c r="I245" i="25"/>
  <c r="I244" i="25"/>
  <c r="I243" i="25"/>
  <c r="I242" i="25"/>
  <c r="I241" i="25"/>
  <c r="I240" i="25"/>
  <c r="I239" i="25"/>
  <c r="I238" i="25"/>
  <c r="I237" i="25"/>
  <c r="I236" i="25"/>
  <c r="I235" i="25"/>
  <c r="I234" i="25"/>
  <c r="I233" i="25"/>
  <c r="I232" i="25"/>
  <c r="I231" i="25"/>
  <c r="I230" i="25"/>
  <c r="I229" i="25"/>
  <c r="I228" i="25"/>
  <c r="I227" i="25"/>
  <c r="I226" i="25"/>
  <c r="I225" i="25"/>
  <c r="I224" i="25"/>
  <c r="I223" i="25"/>
  <c r="I222" i="25"/>
  <c r="I221" i="25"/>
  <c r="I220" i="25"/>
  <c r="I219" i="25"/>
  <c r="I218" i="25"/>
  <c r="I217" i="25"/>
  <c r="I216" i="25"/>
  <c r="I215" i="25"/>
  <c r="I214" i="25"/>
  <c r="I213" i="25"/>
  <c r="I212" i="25"/>
  <c r="I211" i="25"/>
  <c r="I210" i="25"/>
  <c r="I209" i="25"/>
  <c r="I208" i="25"/>
  <c r="I207" i="25"/>
  <c r="I206" i="25"/>
  <c r="I205" i="25"/>
  <c r="I204" i="25"/>
  <c r="I203" i="25"/>
  <c r="I202" i="25"/>
  <c r="I201" i="25"/>
  <c r="I200" i="25"/>
  <c r="I199" i="25"/>
  <c r="I198" i="25"/>
  <c r="I197" i="25"/>
  <c r="I196" i="25"/>
  <c r="I195" i="25"/>
  <c r="I194" i="25"/>
  <c r="I193" i="25"/>
  <c r="I192" i="25"/>
  <c r="I191" i="25"/>
  <c r="I190" i="25"/>
  <c r="I189" i="25"/>
  <c r="I188" i="25"/>
  <c r="I187" i="25"/>
  <c r="I186" i="25"/>
  <c r="I185" i="25"/>
  <c r="I184" i="25"/>
  <c r="I183" i="25"/>
  <c r="I182" i="25"/>
  <c r="I181" i="25"/>
  <c r="I180" i="25"/>
  <c r="I179" i="25"/>
  <c r="I178" i="25"/>
  <c r="I177" i="25"/>
  <c r="I176" i="25"/>
  <c r="I175" i="25"/>
  <c r="I174" i="25"/>
  <c r="I173" i="25"/>
  <c r="I172" i="25"/>
  <c r="I171" i="25"/>
  <c r="I170" i="25"/>
  <c r="I169" i="25"/>
  <c r="I168" i="25"/>
  <c r="I167" i="25"/>
  <c r="I166" i="25"/>
  <c r="I165" i="25"/>
  <c r="I164" i="25"/>
  <c r="I163" i="25"/>
  <c r="I162" i="25"/>
  <c r="I161" i="25"/>
  <c r="I160" i="25"/>
  <c r="I159" i="25"/>
  <c r="I158" i="25"/>
  <c r="I157" i="25"/>
  <c r="I156" i="25"/>
  <c r="I155" i="25"/>
  <c r="I154" i="25"/>
  <c r="I153" i="25"/>
  <c r="I152" i="25"/>
  <c r="I151" i="25"/>
  <c r="I150" i="25"/>
  <c r="I149" i="25"/>
  <c r="I148" i="25"/>
  <c r="I147" i="25"/>
  <c r="I146" i="25"/>
  <c r="I145" i="25"/>
  <c r="I144" i="25"/>
  <c r="I143" i="25"/>
  <c r="I142" i="25"/>
  <c r="I141" i="25"/>
  <c r="I140" i="25"/>
  <c r="I139" i="25"/>
  <c r="I138" i="25"/>
  <c r="I137" i="25"/>
  <c r="I136" i="25"/>
  <c r="I135" i="25"/>
  <c r="I134" i="25"/>
  <c r="I133" i="25"/>
  <c r="I132" i="25"/>
  <c r="I131" i="25"/>
  <c r="I130" i="25"/>
  <c r="I129" i="25"/>
  <c r="I128" i="25"/>
  <c r="I127" i="25"/>
  <c r="I126" i="25"/>
  <c r="I125" i="25"/>
  <c r="I124" i="25"/>
  <c r="I123" i="25"/>
  <c r="I122" i="25"/>
  <c r="I121" i="25"/>
  <c r="I120" i="25"/>
  <c r="I119" i="25"/>
  <c r="I118" i="25"/>
  <c r="I117" i="25"/>
  <c r="I116" i="25"/>
  <c r="I115" i="25"/>
  <c r="I114" i="25"/>
  <c r="I113" i="25"/>
  <c r="I112" i="25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I97" i="25"/>
  <c r="I96" i="25"/>
  <c r="I95" i="25"/>
  <c r="I94" i="25"/>
  <c r="I93" i="25"/>
  <c r="I92" i="25"/>
  <c r="I91" i="25"/>
  <c r="I90" i="25"/>
  <c r="I89" i="25"/>
  <c r="I88" i="25"/>
  <c r="I87" i="25"/>
  <c r="I86" i="25"/>
  <c r="I85" i="25"/>
  <c r="I84" i="25"/>
  <c r="I83" i="25"/>
  <c r="I82" i="25"/>
  <c r="I81" i="25"/>
  <c r="I80" i="25"/>
  <c r="I79" i="25"/>
  <c r="I78" i="25"/>
  <c r="I77" i="25"/>
  <c r="I76" i="25"/>
  <c r="I75" i="25"/>
  <c r="I74" i="25"/>
  <c r="I73" i="25"/>
  <c r="I72" i="25"/>
  <c r="I71" i="25"/>
  <c r="I70" i="25"/>
  <c r="I69" i="25"/>
  <c r="I68" i="25"/>
  <c r="I67" i="25"/>
  <c r="I66" i="25"/>
  <c r="I65" i="25"/>
  <c r="I64" i="25"/>
  <c r="I63" i="25"/>
  <c r="I62" i="25"/>
  <c r="I61" i="25"/>
  <c r="I60" i="25"/>
  <c r="I59" i="25"/>
  <c r="I58" i="25"/>
  <c r="I57" i="25"/>
  <c r="I56" i="25"/>
  <c r="I55" i="25"/>
  <c r="I54" i="25"/>
  <c r="I53" i="25"/>
  <c r="I52" i="25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13" i="25"/>
  <c r="I12" i="25"/>
  <c r="I11" i="25"/>
  <c r="I10" i="25"/>
  <c r="I9" i="25"/>
  <c r="I8" i="25"/>
  <c r="I7" i="25"/>
  <c r="I6" i="25"/>
  <c r="I5" i="25"/>
  <c r="I4" i="25"/>
  <c r="I3" i="25"/>
  <c r="I2" i="25"/>
  <c r="H394" i="25"/>
  <c r="H393" i="25"/>
  <c r="H392" i="25"/>
  <c r="H391" i="25"/>
  <c r="H390" i="25"/>
  <c r="H389" i="25"/>
  <c r="H388" i="25"/>
  <c r="H387" i="25"/>
  <c r="H386" i="25"/>
  <c r="H385" i="25"/>
  <c r="H384" i="25"/>
  <c r="H383" i="25"/>
  <c r="H382" i="25"/>
  <c r="H381" i="25"/>
  <c r="H380" i="25"/>
  <c r="H379" i="25"/>
  <c r="H378" i="25"/>
  <c r="H377" i="25"/>
  <c r="H376" i="25"/>
  <c r="H375" i="25"/>
  <c r="H374" i="25"/>
  <c r="H373" i="25"/>
  <c r="H372" i="25"/>
  <c r="H371" i="25"/>
  <c r="H370" i="25"/>
  <c r="H369" i="25"/>
  <c r="H368" i="25"/>
  <c r="H367" i="25"/>
  <c r="H366" i="25"/>
  <c r="H365" i="25"/>
  <c r="H364" i="25"/>
  <c r="H363" i="25"/>
  <c r="H362" i="25"/>
  <c r="H361" i="25"/>
  <c r="H360" i="25"/>
  <c r="H359" i="25"/>
  <c r="H358" i="25"/>
  <c r="H357" i="25"/>
  <c r="H356" i="25"/>
  <c r="H355" i="25"/>
  <c r="H354" i="25"/>
  <c r="H353" i="25"/>
  <c r="H352" i="25"/>
  <c r="H351" i="25"/>
  <c r="H350" i="25"/>
  <c r="H349" i="25"/>
  <c r="H348" i="25"/>
  <c r="H347" i="25"/>
  <c r="H346" i="25"/>
  <c r="H345" i="25"/>
  <c r="H344" i="25"/>
  <c r="H343" i="25"/>
  <c r="H342" i="25"/>
  <c r="H341" i="25"/>
  <c r="H340" i="25"/>
  <c r="H339" i="25"/>
  <c r="H338" i="25"/>
  <c r="H337" i="25"/>
  <c r="H336" i="25"/>
  <c r="H335" i="25"/>
  <c r="H334" i="25"/>
  <c r="H333" i="25"/>
  <c r="H332" i="25"/>
  <c r="H331" i="25"/>
  <c r="H330" i="25"/>
  <c r="H329" i="25"/>
  <c r="H328" i="25"/>
  <c r="H327" i="25"/>
  <c r="H326" i="25"/>
  <c r="H325" i="25"/>
  <c r="H324" i="25"/>
  <c r="H323" i="25"/>
  <c r="H322" i="25"/>
  <c r="H321" i="25"/>
  <c r="H320" i="25"/>
  <c r="H319" i="25"/>
  <c r="H318" i="25"/>
  <c r="H317" i="25"/>
  <c r="H316" i="25"/>
  <c r="H315" i="25"/>
  <c r="H314" i="25"/>
  <c r="H313" i="25"/>
  <c r="H312" i="25"/>
  <c r="H311" i="25"/>
  <c r="H310" i="25"/>
  <c r="H309" i="25"/>
  <c r="H308" i="25"/>
  <c r="H307" i="25"/>
  <c r="H306" i="25"/>
  <c r="H305" i="25"/>
  <c r="H304" i="25"/>
  <c r="H303" i="25"/>
  <c r="H302" i="25"/>
  <c r="H301" i="25"/>
  <c r="H300" i="25"/>
  <c r="H299" i="25"/>
  <c r="H298" i="25"/>
  <c r="H297" i="25"/>
  <c r="H296" i="25"/>
  <c r="H295" i="25"/>
  <c r="H294" i="25"/>
  <c r="H293" i="25"/>
  <c r="H292" i="25"/>
  <c r="H291" i="25"/>
  <c r="H290" i="25"/>
  <c r="H289" i="25"/>
  <c r="H288" i="25"/>
  <c r="H287" i="25"/>
  <c r="H286" i="25"/>
  <c r="H285" i="25"/>
  <c r="H284" i="25"/>
  <c r="H283" i="25"/>
  <c r="H282" i="25"/>
  <c r="H281" i="25"/>
  <c r="H280" i="25"/>
  <c r="H279" i="25"/>
  <c r="H278" i="25"/>
  <c r="H277" i="25"/>
  <c r="H276" i="25"/>
  <c r="H275" i="25"/>
  <c r="H274" i="25"/>
  <c r="H273" i="25"/>
  <c r="H272" i="25"/>
  <c r="H271" i="25"/>
  <c r="H270" i="25"/>
  <c r="H269" i="25"/>
  <c r="H268" i="25"/>
  <c r="H267" i="25"/>
  <c r="H266" i="25"/>
  <c r="H265" i="25"/>
  <c r="H264" i="25"/>
  <c r="H263" i="25"/>
  <c r="H262" i="25"/>
  <c r="H261" i="25"/>
  <c r="H260" i="25"/>
  <c r="H259" i="25"/>
  <c r="H258" i="25"/>
  <c r="H257" i="25"/>
  <c r="H256" i="25"/>
  <c r="H255" i="25"/>
  <c r="H254" i="25"/>
  <c r="H253" i="25"/>
  <c r="H252" i="25"/>
  <c r="H251" i="25"/>
  <c r="H250" i="25"/>
  <c r="H249" i="25"/>
  <c r="H248" i="25"/>
  <c r="H247" i="25"/>
  <c r="H246" i="25"/>
  <c r="H245" i="25"/>
  <c r="H244" i="25"/>
  <c r="H243" i="25"/>
  <c r="H242" i="25"/>
  <c r="H241" i="25"/>
  <c r="H240" i="25"/>
  <c r="H239" i="25"/>
  <c r="H238" i="25"/>
  <c r="H237" i="25"/>
  <c r="H236" i="25"/>
  <c r="H235" i="25"/>
  <c r="H234" i="25"/>
  <c r="H233" i="25"/>
  <c r="H232" i="25"/>
  <c r="H231" i="25"/>
  <c r="H230" i="25"/>
  <c r="H229" i="25"/>
  <c r="H228" i="25"/>
  <c r="H227" i="25"/>
  <c r="H226" i="25"/>
  <c r="H225" i="25"/>
  <c r="H224" i="25"/>
  <c r="H223" i="25"/>
  <c r="H222" i="25"/>
  <c r="H221" i="25"/>
  <c r="H220" i="25"/>
  <c r="H219" i="25"/>
  <c r="H218" i="25"/>
  <c r="H217" i="25"/>
  <c r="H216" i="25"/>
  <c r="H215" i="25"/>
  <c r="H214" i="25"/>
  <c r="H213" i="25"/>
  <c r="H212" i="25"/>
  <c r="H211" i="25"/>
  <c r="H210" i="25"/>
  <c r="H209" i="25"/>
  <c r="H208" i="25"/>
  <c r="H207" i="25"/>
  <c r="H206" i="25"/>
  <c r="H205" i="25"/>
  <c r="H204" i="25"/>
  <c r="H203" i="25"/>
  <c r="H202" i="25"/>
  <c r="H201" i="25"/>
  <c r="H200" i="25"/>
  <c r="H199" i="25"/>
  <c r="H198" i="25"/>
  <c r="H197" i="25"/>
  <c r="H196" i="25"/>
  <c r="H195" i="25"/>
  <c r="H194" i="25"/>
  <c r="H193" i="25"/>
  <c r="H192" i="25"/>
  <c r="H191" i="25"/>
  <c r="H190" i="25"/>
  <c r="H189" i="25"/>
  <c r="H188" i="25"/>
  <c r="H187" i="25"/>
  <c r="H186" i="25"/>
  <c r="H185" i="25"/>
  <c r="H184" i="25"/>
  <c r="H183" i="25"/>
  <c r="H182" i="25"/>
  <c r="H181" i="25"/>
  <c r="H180" i="25"/>
  <c r="H179" i="25"/>
  <c r="H178" i="25"/>
  <c r="H177" i="25"/>
  <c r="H176" i="25"/>
  <c r="H175" i="25"/>
  <c r="H174" i="25"/>
  <c r="H173" i="25"/>
  <c r="H172" i="25"/>
  <c r="H171" i="25"/>
  <c r="H170" i="25"/>
  <c r="H169" i="25"/>
  <c r="H168" i="25"/>
  <c r="H167" i="25"/>
  <c r="H166" i="25"/>
  <c r="H165" i="25"/>
  <c r="H164" i="25"/>
  <c r="H163" i="25"/>
  <c r="H162" i="25"/>
  <c r="H161" i="25"/>
  <c r="H160" i="25"/>
  <c r="H159" i="25"/>
  <c r="H158" i="25"/>
  <c r="H157" i="25"/>
  <c r="H156" i="25"/>
  <c r="H155" i="25"/>
  <c r="H154" i="25"/>
  <c r="H153" i="25"/>
  <c r="H152" i="25"/>
  <c r="H151" i="25"/>
  <c r="H150" i="25"/>
  <c r="H149" i="25"/>
  <c r="H148" i="25"/>
  <c r="H147" i="25"/>
  <c r="H146" i="25"/>
  <c r="H145" i="25"/>
  <c r="H144" i="25"/>
  <c r="H143" i="25"/>
  <c r="H142" i="25"/>
  <c r="H141" i="25"/>
  <c r="H140" i="25"/>
  <c r="H139" i="25"/>
  <c r="H138" i="25"/>
  <c r="H137" i="25"/>
  <c r="H136" i="25"/>
  <c r="H135" i="25"/>
  <c r="H134" i="25"/>
  <c r="H133" i="25"/>
  <c r="H132" i="25"/>
  <c r="H131" i="25"/>
  <c r="H130" i="25"/>
  <c r="H129" i="25"/>
  <c r="H128" i="25"/>
  <c r="H127" i="25"/>
  <c r="H126" i="25"/>
  <c r="H125" i="25"/>
  <c r="H124" i="25"/>
  <c r="H123" i="25"/>
  <c r="H122" i="25"/>
  <c r="H121" i="25"/>
  <c r="H120" i="25"/>
  <c r="H119" i="25"/>
  <c r="H118" i="25"/>
  <c r="H117" i="25"/>
  <c r="H116" i="25"/>
  <c r="H115" i="25"/>
  <c r="H114" i="25"/>
  <c r="H113" i="25"/>
  <c r="H112" i="25"/>
  <c r="H111" i="25"/>
  <c r="H110" i="25"/>
  <c r="H109" i="25"/>
  <c r="H108" i="25"/>
  <c r="H107" i="25"/>
  <c r="H106" i="25"/>
  <c r="H105" i="25"/>
  <c r="H104" i="25"/>
  <c r="H103" i="25"/>
  <c r="H102" i="25"/>
  <c r="H101" i="25"/>
  <c r="H100" i="25"/>
  <c r="H99" i="25"/>
  <c r="H98" i="25"/>
  <c r="H97" i="25"/>
  <c r="H96" i="25"/>
  <c r="H95" i="25"/>
  <c r="H94" i="25"/>
  <c r="H93" i="25"/>
  <c r="H92" i="25"/>
  <c r="H91" i="25"/>
  <c r="H90" i="25"/>
  <c r="H89" i="25"/>
  <c r="H88" i="25"/>
  <c r="H87" i="25"/>
  <c r="H86" i="25"/>
  <c r="H85" i="25"/>
  <c r="H84" i="25"/>
  <c r="H83" i="25"/>
  <c r="H82" i="25"/>
  <c r="H81" i="25"/>
  <c r="H80" i="25"/>
  <c r="H79" i="25"/>
  <c r="H78" i="25"/>
  <c r="H77" i="25"/>
  <c r="H76" i="25"/>
  <c r="H75" i="25"/>
  <c r="H74" i="25"/>
  <c r="H73" i="25"/>
  <c r="H72" i="25"/>
  <c r="H71" i="25"/>
  <c r="H70" i="25"/>
  <c r="H69" i="25"/>
  <c r="H68" i="25"/>
  <c r="H67" i="25"/>
  <c r="H66" i="25"/>
  <c r="H65" i="25"/>
  <c r="H64" i="25"/>
  <c r="H63" i="25"/>
  <c r="H62" i="25"/>
  <c r="H61" i="25"/>
  <c r="H60" i="25"/>
  <c r="H59" i="25"/>
  <c r="H58" i="25"/>
  <c r="H57" i="25"/>
  <c r="H56" i="25"/>
  <c r="H55" i="25"/>
  <c r="H54" i="25"/>
  <c r="H53" i="25"/>
  <c r="H52" i="25"/>
  <c r="H51" i="25"/>
  <c r="H50" i="25"/>
  <c r="H49" i="25"/>
  <c r="H48" i="25"/>
  <c r="H47" i="25"/>
  <c r="H46" i="25"/>
  <c r="H45" i="25"/>
  <c r="H44" i="25"/>
  <c r="H43" i="25"/>
  <c r="H42" i="25"/>
  <c r="H41" i="25"/>
  <c r="H40" i="25"/>
  <c r="H39" i="25"/>
  <c r="H38" i="25"/>
  <c r="H37" i="25"/>
  <c r="H36" i="25"/>
  <c r="H35" i="25"/>
  <c r="H34" i="25"/>
  <c r="H33" i="25"/>
  <c r="H32" i="25"/>
  <c r="H31" i="25"/>
  <c r="H30" i="25"/>
  <c r="H29" i="25"/>
  <c r="H28" i="25"/>
  <c r="H27" i="25"/>
  <c r="H26" i="25"/>
  <c r="H25" i="25"/>
  <c r="H24" i="25"/>
  <c r="H23" i="25"/>
  <c r="H22" i="25"/>
  <c r="H21" i="25"/>
  <c r="H20" i="25"/>
  <c r="H19" i="25"/>
  <c r="H18" i="25"/>
  <c r="H17" i="25"/>
  <c r="H16" i="25"/>
  <c r="H15" i="25"/>
  <c r="H14" i="25"/>
  <c r="H13" i="25"/>
  <c r="H12" i="25"/>
  <c r="H11" i="25"/>
  <c r="H10" i="25"/>
  <c r="H9" i="25"/>
  <c r="H8" i="25"/>
  <c r="H7" i="25"/>
  <c r="H6" i="25"/>
  <c r="H5" i="25"/>
  <c r="H4" i="25"/>
  <c r="H3" i="25"/>
  <c r="H2" i="25"/>
  <c r="G394" i="25"/>
  <c r="G393" i="25"/>
  <c r="G392" i="25"/>
  <c r="G391" i="25"/>
  <c r="G390" i="25"/>
  <c r="G389" i="25"/>
  <c r="G388" i="25"/>
  <c r="G387" i="25"/>
  <c r="G386" i="25"/>
  <c r="G385" i="25"/>
  <c r="G384" i="25"/>
  <c r="G383" i="25"/>
  <c r="G382" i="25"/>
  <c r="G381" i="25"/>
  <c r="G380" i="25"/>
  <c r="G379" i="25"/>
  <c r="G378" i="25"/>
  <c r="G377" i="25"/>
  <c r="G376" i="25"/>
  <c r="G375" i="25"/>
  <c r="G374" i="25"/>
  <c r="G373" i="25"/>
  <c r="G372" i="25"/>
  <c r="G371" i="25"/>
  <c r="G370" i="25"/>
  <c r="G369" i="25"/>
  <c r="G368" i="25"/>
  <c r="G367" i="25"/>
  <c r="G366" i="25"/>
  <c r="G365" i="25"/>
  <c r="G364" i="25"/>
  <c r="G363" i="25"/>
  <c r="G362" i="25"/>
  <c r="G361" i="25"/>
  <c r="G360" i="25"/>
  <c r="G359" i="25"/>
  <c r="G358" i="25"/>
  <c r="G357" i="25"/>
  <c r="G356" i="25"/>
  <c r="G355" i="25"/>
  <c r="G354" i="25"/>
  <c r="G353" i="25"/>
  <c r="G352" i="25"/>
  <c r="G351" i="25"/>
  <c r="G350" i="25"/>
  <c r="G349" i="25"/>
  <c r="G348" i="25"/>
  <c r="G347" i="25"/>
  <c r="G346" i="25"/>
  <c r="G345" i="25"/>
  <c r="G344" i="25"/>
  <c r="G343" i="25"/>
  <c r="G342" i="25"/>
  <c r="G341" i="25"/>
  <c r="G340" i="25"/>
  <c r="G339" i="25"/>
  <c r="G338" i="25"/>
  <c r="G337" i="25"/>
  <c r="G336" i="25"/>
  <c r="G335" i="25"/>
  <c r="G334" i="25"/>
  <c r="G333" i="25"/>
  <c r="G332" i="25"/>
  <c r="G331" i="25"/>
  <c r="G330" i="25"/>
  <c r="G329" i="25"/>
  <c r="G328" i="25"/>
  <c r="G327" i="25"/>
  <c r="G326" i="25"/>
  <c r="G325" i="25"/>
  <c r="G324" i="25"/>
  <c r="G323" i="25"/>
  <c r="G322" i="25"/>
  <c r="G321" i="25"/>
  <c r="G320" i="25"/>
  <c r="G319" i="25"/>
  <c r="G318" i="25"/>
  <c r="G317" i="25"/>
  <c r="G316" i="25"/>
  <c r="G315" i="25"/>
  <c r="G314" i="25"/>
  <c r="G313" i="25"/>
  <c r="G312" i="25"/>
  <c r="G311" i="25"/>
  <c r="G310" i="25"/>
  <c r="G309" i="25"/>
  <c r="G308" i="25"/>
  <c r="G307" i="25"/>
  <c r="G306" i="25"/>
  <c r="G305" i="25"/>
  <c r="G304" i="25"/>
  <c r="G303" i="25"/>
  <c r="G302" i="25"/>
  <c r="G301" i="25"/>
  <c r="G300" i="25"/>
  <c r="G299" i="25"/>
  <c r="G298" i="25"/>
  <c r="G297" i="25"/>
  <c r="G296" i="25"/>
  <c r="G295" i="25"/>
  <c r="G294" i="25"/>
  <c r="G293" i="25"/>
  <c r="G292" i="25"/>
  <c r="G291" i="25"/>
  <c r="G290" i="25"/>
  <c r="G289" i="25"/>
  <c r="G288" i="25"/>
  <c r="G287" i="25"/>
  <c r="G286" i="25"/>
  <c r="G285" i="25"/>
  <c r="G284" i="25"/>
  <c r="G283" i="25"/>
  <c r="G282" i="25"/>
  <c r="G281" i="25"/>
  <c r="G280" i="25"/>
  <c r="G279" i="25"/>
  <c r="G278" i="25"/>
  <c r="G277" i="25"/>
  <c r="G276" i="25"/>
  <c r="G275" i="25"/>
  <c r="G274" i="25"/>
  <c r="G273" i="25"/>
  <c r="G272" i="25"/>
  <c r="G271" i="25"/>
  <c r="G270" i="25"/>
  <c r="G269" i="25"/>
  <c r="G268" i="25"/>
  <c r="G267" i="25"/>
  <c r="G266" i="25"/>
  <c r="G265" i="25"/>
  <c r="G264" i="25"/>
  <c r="G263" i="25"/>
  <c r="G262" i="25"/>
  <c r="G261" i="25"/>
  <c r="G260" i="25"/>
  <c r="G259" i="25"/>
  <c r="G258" i="25"/>
  <c r="G257" i="25"/>
  <c r="G256" i="25"/>
  <c r="G255" i="25"/>
  <c r="G254" i="25"/>
  <c r="G253" i="25"/>
  <c r="G252" i="25"/>
  <c r="G251" i="25"/>
  <c r="G250" i="25"/>
  <c r="G249" i="25"/>
  <c r="G248" i="25"/>
  <c r="G247" i="25"/>
  <c r="G246" i="25"/>
  <c r="G245" i="25"/>
  <c r="G244" i="25"/>
  <c r="G243" i="25"/>
  <c r="G242" i="25"/>
  <c r="G241" i="25"/>
  <c r="G240" i="25"/>
  <c r="G239" i="25"/>
  <c r="G238" i="25"/>
  <c r="G237" i="25"/>
  <c r="G236" i="25"/>
  <c r="G235" i="25"/>
  <c r="G234" i="25"/>
  <c r="G233" i="25"/>
  <c r="G232" i="25"/>
  <c r="G231" i="25"/>
  <c r="G230" i="25"/>
  <c r="G229" i="25"/>
  <c r="G228" i="25"/>
  <c r="G227" i="25"/>
  <c r="G226" i="25"/>
  <c r="G225" i="25"/>
  <c r="G224" i="25"/>
  <c r="G223" i="25"/>
  <c r="G222" i="25"/>
  <c r="G221" i="25"/>
  <c r="G220" i="25"/>
  <c r="G219" i="25"/>
  <c r="G218" i="25"/>
  <c r="G217" i="25"/>
  <c r="G216" i="25"/>
  <c r="G215" i="25"/>
  <c r="G214" i="25"/>
  <c r="G213" i="25"/>
  <c r="G212" i="25"/>
  <c r="G211" i="25"/>
  <c r="G210" i="25"/>
  <c r="G209" i="25"/>
  <c r="G208" i="25"/>
  <c r="G207" i="25"/>
  <c r="G206" i="25"/>
  <c r="G205" i="25"/>
  <c r="G204" i="25"/>
  <c r="G203" i="25"/>
  <c r="G202" i="25"/>
  <c r="G201" i="25"/>
  <c r="G200" i="25"/>
  <c r="G199" i="25"/>
  <c r="G198" i="25"/>
  <c r="G197" i="25"/>
  <c r="G196" i="25"/>
  <c r="G195" i="25"/>
  <c r="G194" i="25"/>
  <c r="G193" i="25"/>
  <c r="G192" i="25"/>
  <c r="G191" i="25"/>
  <c r="G190" i="25"/>
  <c r="G189" i="25"/>
  <c r="G188" i="25"/>
  <c r="G187" i="25"/>
  <c r="G186" i="25"/>
  <c r="G185" i="25"/>
  <c r="G184" i="25"/>
  <c r="G183" i="25"/>
  <c r="G182" i="25"/>
  <c r="G181" i="25"/>
  <c r="G180" i="25"/>
  <c r="G179" i="25"/>
  <c r="G178" i="25"/>
  <c r="G177" i="25"/>
  <c r="G176" i="25"/>
  <c r="G175" i="25"/>
  <c r="G174" i="25"/>
  <c r="G173" i="25"/>
  <c r="G172" i="25"/>
  <c r="G171" i="25"/>
  <c r="G170" i="25"/>
  <c r="G169" i="25"/>
  <c r="G168" i="25"/>
  <c r="G167" i="25"/>
  <c r="G166" i="25"/>
  <c r="G165" i="25"/>
  <c r="G164" i="25"/>
  <c r="G163" i="25"/>
  <c r="G162" i="25"/>
  <c r="G161" i="25"/>
  <c r="G160" i="25"/>
  <c r="G159" i="25"/>
  <c r="G158" i="25"/>
  <c r="G157" i="25"/>
  <c r="G156" i="25"/>
  <c r="G155" i="25"/>
  <c r="G154" i="25"/>
  <c r="G153" i="25"/>
  <c r="G152" i="25"/>
  <c r="G151" i="25"/>
  <c r="G150" i="25"/>
  <c r="G149" i="25"/>
  <c r="G148" i="25"/>
  <c r="G147" i="25"/>
  <c r="G146" i="25"/>
  <c r="G145" i="25"/>
  <c r="G144" i="25"/>
  <c r="G143" i="25"/>
  <c r="G142" i="25"/>
  <c r="G141" i="25"/>
  <c r="G140" i="25"/>
  <c r="G139" i="25"/>
  <c r="G138" i="25"/>
  <c r="G137" i="25"/>
  <c r="G136" i="25"/>
  <c r="G135" i="25"/>
  <c r="G134" i="25"/>
  <c r="G133" i="25"/>
  <c r="G132" i="25"/>
  <c r="G131" i="25"/>
  <c r="G130" i="25"/>
  <c r="G129" i="25"/>
  <c r="G128" i="25"/>
  <c r="G127" i="25"/>
  <c r="G126" i="25"/>
  <c r="G125" i="25"/>
  <c r="G124" i="25"/>
  <c r="G123" i="25"/>
  <c r="G122" i="25"/>
  <c r="G121" i="25"/>
  <c r="G120" i="25"/>
  <c r="G119" i="25"/>
  <c r="G118" i="25"/>
  <c r="G117" i="25"/>
  <c r="G116" i="25"/>
  <c r="G115" i="25"/>
  <c r="G114" i="25"/>
  <c r="G113" i="25"/>
  <c r="G112" i="25"/>
  <c r="G111" i="25"/>
  <c r="G110" i="25"/>
  <c r="G109" i="25"/>
  <c r="G108" i="25"/>
  <c r="G107" i="25"/>
  <c r="G106" i="25"/>
  <c r="G105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8" i="25"/>
  <c r="G87" i="25"/>
  <c r="G86" i="25"/>
  <c r="G85" i="25"/>
  <c r="G84" i="25"/>
  <c r="G83" i="25"/>
  <c r="G82" i="25"/>
  <c r="G81" i="25"/>
  <c r="G80" i="25"/>
  <c r="G79" i="25"/>
  <c r="G78" i="25"/>
  <c r="G77" i="25"/>
  <c r="G76" i="25"/>
  <c r="G75" i="25"/>
  <c r="G74" i="25"/>
  <c r="G73" i="25"/>
  <c r="G72" i="25"/>
  <c r="G71" i="25"/>
  <c r="G70" i="25"/>
  <c r="G69" i="25"/>
  <c r="G68" i="25"/>
  <c r="G6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30" i="25"/>
  <c r="G29" i="25"/>
  <c r="G28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G5" i="25"/>
  <c r="G4" i="25"/>
  <c r="G3" i="25"/>
  <c r="G2" i="25"/>
  <c r="F394" i="25"/>
  <c r="F393" i="25"/>
  <c r="F392" i="25"/>
  <c r="F391" i="25"/>
  <c r="F390" i="25"/>
  <c r="F389" i="25"/>
  <c r="F388" i="25"/>
  <c r="F387" i="25"/>
  <c r="F386" i="25"/>
  <c r="F385" i="25"/>
  <c r="F384" i="25"/>
  <c r="F383" i="25"/>
  <c r="F382" i="25"/>
  <c r="F381" i="25"/>
  <c r="F380" i="25"/>
  <c r="F379" i="25"/>
  <c r="F378" i="25"/>
  <c r="F377" i="25"/>
  <c r="F376" i="25"/>
  <c r="F375" i="25"/>
  <c r="F374" i="25"/>
  <c r="F373" i="25"/>
  <c r="F372" i="25"/>
  <c r="F371" i="25"/>
  <c r="F370" i="25"/>
  <c r="F369" i="25"/>
  <c r="F368" i="25"/>
  <c r="F367" i="25"/>
  <c r="F366" i="25"/>
  <c r="F365" i="25"/>
  <c r="F364" i="25"/>
  <c r="F363" i="25"/>
  <c r="F362" i="25"/>
  <c r="F361" i="25"/>
  <c r="F360" i="25"/>
  <c r="F359" i="25"/>
  <c r="F358" i="25"/>
  <c r="F357" i="25"/>
  <c r="F356" i="25"/>
  <c r="F355" i="25"/>
  <c r="F354" i="25"/>
  <c r="F353" i="25"/>
  <c r="F352" i="25"/>
  <c r="F351" i="25"/>
  <c r="F350" i="25"/>
  <c r="F349" i="25"/>
  <c r="F348" i="25"/>
  <c r="F347" i="25"/>
  <c r="F346" i="25"/>
  <c r="F345" i="25"/>
  <c r="F344" i="25"/>
  <c r="F343" i="25"/>
  <c r="F342" i="25"/>
  <c r="F341" i="25"/>
  <c r="F340" i="25"/>
  <c r="F339" i="25"/>
  <c r="F338" i="25"/>
  <c r="F337" i="25"/>
  <c r="F336" i="25"/>
  <c r="F335" i="25"/>
  <c r="F334" i="25"/>
  <c r="F333" i="25"/>
  <c r="F332" i="25"/>
  <c r="F331" i="25"/>
  <c r="F330" i="25"/>
  <c r="F329" i="25"/>
  <c r="F328" i="25"/>
  <c r="F327" i="25"/>
  <c r="F326" i="25"/>
  <c r="F325" i="25"/>
  <c r="F324" i="25"/>
  <c r="F323" i="25"/>
  <c r="F322" i="25"/>
  <c r="F321" i="25"/>
  <c r="F320" i="25"/>
  <c r="F319" i="25"/>
  <c r="F318" i="25"/>
  <c r="F317" i="25"/>
  <c r="F316" i="25"/>
  <c r="F315" i="25"/>
  <c r="F314" i="25"/>
  <c r="F313" i="25"/>
  <c r="F312" i="25"/>
  <c r="F311" i="25"/>
  <c r="F310" i="25"/>
  <c r="F309" i="25"/>
  <c r="F308" i="25"/>
  <c r="F307" i="25"/>
  <c r="F306" i="25"/>
  <c r="F305" i="25"/>
  <c r="F304" i="25"/>
  <c r="F303" i="25"/>
  <c r="F302" i="25"/>
  <c r="F301" i="25"/>
  <c r="F300" i="25"/>
  <c r="F299" i="25"/>
  <c r="F298" i="25"/>
  <c r="F297" i="25"/>
  <c r="F296" i="25"/>
  <c r="F295" i="25"/>
  <c r="F294" i="25"/>
  <c r="F293" i="25"/>
  <c r="F292" i="25"/>
  <c r="F291" i="25"/>
  <c r="F290" i="25"/>
  <c r="F289" i="25"/>
  <c r="F288" i="25"/>
  <c r="F287" i="25"/>
  <c r="F286" i="25"/>
  <c r="F285" i="25"/>
  <c r="F284" i="25"/>
  <c r="F283" i="25"/>
  <c r="F282" i="25"/>
  <c r="F281" i="25"/>
  <c r="F280" i="25"/>
  <c r="F279" i="25"/>
  <c r="F278" i="25"/>
  <c r="F277" i="25"/>
  <c r="F276" i="25"/>
  <c r="F275" i="25"/>
  <c r="F274" i="25"/>
  <c r="F273" i="25"/>
  <c r="F272" i="25"/>
  <c r="F271" i="25"/>
  <c r="F270" i="25"/>
  <c r="F269" i="25"/>
  <c r="F268" i="25"/>
  <c r="F267" i="25"/>
  <c r="F266" i="25"/>
  <c r="F265" i="25"/>
  <c r="F264" i="25"/>
  <c r="F263" i="25"/>
  <c r="F262" i="25"/>
  <c r="F261" i="25"/>
  <c r="F260" i="25"/>
  <c r="F259" i="25"/>
  <c r="F258" i="25"/>
  <c r="F257" i="25"/>
  <c r="F256" i="25"/>
  <c r="F255" i="25"/>
  <c r="F254" i="25"/>
  <c r="F253" i="25"/>
  <c r="F252" i="25"/>
  <c r="F251" i="25"/>
  <c r="F250" i="25"/>
  <c r="F249" i="25"/>
  <c r="F248" i="25"/>
  <c r="F247" i="25"/>
  <c r="F246" i="25"/>
  <c r="F245" i="25"/>
  <c r="F244" i="25"/>
  <c r="F243" i="25"/>
  <c r="F242" i="25"/>
  <c r="F241" i="25"/>
  <c r="F240" i="25"/>
  <c r="F239" i="25"/>
  <c r="F238" i="25"/>
  <c r="F237" i="25"/>
  <c r="F236" i="25"/>
  <c r="F235" i="25"/>
  <c r="F234" i="25"/>
  <c r="F233" i="25"/>
  <c r="F232" i="25"/>
  <c r="F231" i="25"/>
  <c r="F230" i="25"/>
  <c r="F229" i="25"/>
  <c r="F228" i="25"/>
  <c r="F227" i="25"/>
  <c r="F226" i="25"/>
  <c r="F225" i="25"/>
  <c r="F224" i="25"/>
  <c r="F223" i="25"/>
  <c r="F222" i="25"/>
  <c r="F221" i="25"/>
  <c r="F220" i="25"/>
  <c r="F219" i="25"/>
  <c r="F218" i="25"/>
  <c r="F217" i="25"/>
  <c r="F216" i="25"/>
  <c r="F215" i="25"/>
  <c r="F214" i="25"/>
  <c r="F213" i="25"/>
  <c r="F212" i="25"/>
  <c r="F211" i="25"/>
  <c r="F210" i="25"/>
  <c r="F209" i="25"/>
  <c r="F208" i="25"/>
  <c r="F207" i="25"/>
  <c r="F206" i="25"/>
  <c r="F205" i="25"/>
  <c r="F204" i="25"/>
  <c r="F203" i="25"/>
  <c r="F202" i="25"/>
  <c r="F201" i="25"/>
  <c r="F200" i="25"/>
  <c r="F199" i="25"/>
  <c r="F198" i="25"/>
  <c r="F197" i="25"/>
  <c r="F196" i="25"/>
  <c r="F195" i="25"/>
  <c r="F194" i="25"/>
  <c r="F193" i="25"/>
  <c r="F192" i="25"/>
  <c r="F191" i="25"/>
  <c r="F190" i="25"/>
  <c r="F189" i="25"/>
  <c r="F188" i="25"/>
  <c r="F187" i="25"/>
  <c r="F186" i="25"/>
  <c r="F185" i="25"/>
  <c r="F184" i="25"/>
  <c r="F183" i="25"/>
  <c r="F182" i="25"/>
  <c r="F181" i="25"/>
  <c r="F180" i="25"/>
  <c r="F179" i="25"/>
  <c r="F178" i="25"/>
  <c r="F177" i="25"/>
  <c r="F176" i="25"/>
  <c r="F175" i="25"/>
  <c r="F174" i="25"/>
  <c r="F173" i="25"/>
  <c r="F172" i="25"/>
  <c r="F171" i="25"/>
  <c r="F170" i="25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F76" i="25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E393" i="25"/>
  <c r="E392" i="25"/>
  <c r="E391" i="25"/>
  <c r="E390" i="25"/>
  <c r="E389" i="25"/>
  <c r="E388" i="25"/>
  <c r="E387" i="25"/>
  <c r="E386" i="25"/>
  <c r="E385" i="25"/>
  <c r="E384" i="25"/>
  <c r="E383" i="25"/>
  <c r="E382" i="25"/>
  <c r="E381" i="25"/>
  <c r="E380" i="25"/>
  <c r="E379" i="25"/>
  <c r="E378" i="25"/>
  <c r="E377" i="25"/>
  <c r="E376" i="25"/>
  <c r="E375" i="25"/>
  <c r="E374" i="25"/>
  <c r="E373" i="25"/>
  <c r="E372" i="25"/>
  <c r="E371" i="25"/>
  <c r="E370" i="25"/>
  <c r="E369" i="25"/>
  <c r="E368" i="25"/>
  <c r="E367" i="25"/>
  <c r="E366" i="25"/>
  <c r="E365" i="25"/>
  <c r="E364" i="25"/>
  <c r="E363" i="25"/>
  <c r="E362" i="25"/>
  <c r="E361" i="25"/>
  <c r="E360" i="25"/>
  <c r="E359" i="25"/>
  <c r="E358" i="25"/>
  <c r="E357" i="25"/>
  <c r="E356" i="25"/>
  <c r="E355" i="25"/>
  <c r="E354" i="25"/>
  <c r="E353" i="25"/>
  <c r="E352" i="25"/>
  <c r="E351" i="25"/>
  <c r="E350" i="25"/>
  <c r="E349" i="25"/>
  <c r="E348" i="25"/>
  <c r="E347" i="25"/>
  <c r="E346" i="25"/>
  <c r="E345" i="25"/>
  <c r="E344" i="25"/>
  <c r="E343" i="25"/>
  <c r="E342" i="25"/>
  <c r="E341" i="25"/>
  <c r="E340" i="25"/>
  <c r="E339" i="25"/>
  <c r="E338" i="25"/>
  <c r="E337" i="25"/>
  <c r="E336" i="25"/>
  <c r="E335" i="25"/>
  <c r="E334" i="25"/>
  <c r="E333" i="25"/>
  <c r="E332" i="25"/>
  <c r="E331" i="25"/>
  <c r="E330" i="25"/>
  <c r="E329" i="25"/>
  <c r="E328" i="25"/>
  <c r="E327" i="25"/>
  <c r="E326" i="25"/>
  <c r="E325" i="25"/>
  <c r="E324" i="25"/>
  <c r="E323" i="25"/>
  <c r="E322" i="25"/>
  <c r="E321" i="25"/>
  <c r="E320" i="25"/>
  <c r="E319" i="25"/>
  <c r="E318" i="25"/>
  <c r="E317" i="25"/>
  <c r="E316" i="25"/>
  <c r="E315" i="25"/>
  <c r="E314" i="25"/>
  <c r="E313" i="25"/>
  <c r="E312" i="25"/>
  <c r="E311" i="25"/>
  <c r="E310" i="25"/>
  <c r="E309" i="25"/>
  <c r="E308" i="25"/>
  <c r="E307" i="25"/>
  <c r="E306" i="25"/>
  <c r="E305" i="25"/>
  <c r="E304" i="25"/>
  <c r="E303" i="25"/>
  <c r="E302" i="25"/>
  <c r="E301" i="25"/>
  <c r="E300" i="25"/>
  <c r="E299" i="25"/>
  <c r="E298" i="25"/>
  <c r="E297" i="25"/>
  <c r="E296" i="25"/>
  <c r="E295" i="25"/>
  <c r="E294" i="25"/>
  <c r="E293" i="25"/>
  <c r="E292" i="25"/>
  <c r="E291" i="25"/>
  <c r="E290" i="25"/>
  <c r="E289" i="25"/>
  <c r="E288" i="25"/>
  <c r="E287" i="25"/>
  <c r="E286" i="25"/>
  <c r="E285" i="25"/>
  <c r="E284" i="25"/>
  <c r="E283" i="25"/>
  <c r="E282" i="25"/>
  <c r="E281" i="25"/>
  <c r="E280" i="25"/>
  <c r="E279" i="25"/>
  <c r="E278" i="25"/>
  <c r="E277" i="25"/>
  <c r="E276" i="25"/>
  <c r="E275" i="25"/>
  <c r="E274" i="25"/>
  <c r="E273" i="25"/>
  <c r="E272" i="25"/>
  <c r="E271" i="25"/>
  <c r="E270" i="25"/>
  <c r="E269" i="25"/>
  <c r="E268" i="25"/>
  <c r="E267" i="25"/>
  <c r="E266" i="25"/>
  <c r="E265" i="25"/>
  <c r="E264" i="25"/>
  <c r="E263" i="25"/>
  <c r="E262" i="25"/>
  <c r="E261" i="25"/>
  <c r="E260" i="25"/>
  <c r="E259" i="25"/>
  <c r="E258" i="25"/>
  <c r="E257" i="25"/>
  <c r="E256" i="25"/>
  <c r="E255" i="25"/>
  <c r="E254" i="25"/>
  <c r="E253" i="25"/>
  <c r="E252" i="25"/>
  <c r="E251" i="25"/>
  <c r="E250" i="25"/>
  <c r="E249" i="25"/>
  <c r="E248" i="25"/>
  <c r="E247" i="25"/>
  <c r="E246" i="25"/>
  <c r="E245" i="25"/>
  <c r="E244" i="25"/>
  <c r="E243" i="25"/>
  <c r="E242" i="25"/>
  <c r="E241" i="25"/>
  <c r="E240" i="25"/>
  <c r="E239" i="25"/>
  <c r="E238" i="25"/>
  <c r="E237" i="25"/>
  <c r="E236" i="25"/>
  <c r="E235" i="25"/>
  <c r="E234" i="25"/>
  <c r="E233" i="25"/>
  <c r="E232" i="25"/>
  <c r="E231" i="25"/>
  <c r="E230" i="25"/>
  <c r="E229" i="25"/>
  <c r="E228" i="25"/>
  <c r="E227" i="25"/>
  <c r="E226" i="25"/>
  <c r="E225" i="25"/>
  <c r="E224" i="25"/>
  <c r="E223" i="25"/>
  <c r="E222" i="25"/>
  <c r="E221" i="25"/>
  <c r="E220" i="25"/>
  <c r="E219" i="25"/>
  <c r="E218" i="25"/>
  <c r="E217" i="25"/>
  <c r="E216" i="25"/>
  <c r="E215" i="25"/>
  <c r="E214" i="25"/>
  <c r="E213" i="25"/>
  <c r="E212" i="25"/>
  <c r="E211" i="25"/>
  <c r="E210" i="25"/>
  <c r="E209" i="25"/>
  <c r="E208" i="25"/>
  <c r="E207" i="25"/>
  <c r="E206" i="25"/>
  <c r="E205" i="25"/>
  <c r="E204" i="25"/>
  <c r="E203" i="25"/>
  <c r="E202" i="25"/>
  <c r="E201" i="25"/>
  <c r="E200" i="25"/>
  <c r="E199" i="25"/>
  <c r="E198" i="25"/>
  <c r="E197" i="25"/>
  <c r="E196" i="25"/>
  <c r="E195" i="25"/>
  <c r="E194" i="25"/>
  <c r="E193" i="25"/>
  <c r="E192" i="25"/>
  <c r="E191" i="25"/>
  <c r="E190" i="25"/>
  <c r="E189" i="25"/>
  <c r="E188" i="25"/>
  <c r="E187" i="25"/>
  <c r="E186" i="25"/>
  <c r="E185" i="25"/>
  <c r="E184" i="25"/>
  <c r="E183" i="25"/>
  <c r="E182" i="25"/>
  <c r="E181" i="25"/>
  <c r="E180" i="25"/>
  <c r="E179" i="25"/>
  <c r="E178" i="25"/>
  <c r="E177" i="25"/>
  <c r="E176" i="25"/>
  <c r="E175" i="25"/>
  <c r="E174" i="25"/>
  <c r="E173" i="25"/>
  <c r="E172" i="25"/>
  <c r="E171" i="25"/>
  <c r="E170" i="25"/>
  <c r="E169" i="25"/>
  <c r="E168" i="25"/>
  <c r="E167" i="25"/>
  <c r="E166" i="25"/>
  <c r="E165" i="25"/>
  <c r="E164" i="25"/>
  <c r="E163" i="25"/>
  <c r="E162" i="25"/>
  <c r="E161" i="25"/>
  <c r="E160" i="25"/>
  <c r="E159" i="25"/>
  <c r="E158" i="25"/>
  <c r="E157" i="25"/>
  <c r="E156" i="25"/>
  <c r="E155" i="25"/>
  <c r="E154" i="25"/>
  <c r="E153" i="25"/>
  <c r="E152" i="25"/>
  <c r="E151" i="25"/>
  <c r="E150" i="25"/>
  <c r="E149" i="25"/>
  <c r="E148" i="25"/>
  <c r="E147" i="25"/>
  <c r="E146" i="25"/>
  <c r="E145" i="25"/>
  <c r="E144" i="25"/>
  <c r="E143" i="25"/>
  <c r="E142" i="25"/>
  <c r="E141" i="25"/>
  <c r="E140" i="25"/>
  <c r="E139" i="25"/>
  <c r="E138" i="25"/>
  <c r="E137" i="25"/>
  <c r="E136" i="25"/>
  <c r="E135" i="25"/>
  <c r="E134" i="25"/>
  <c r="E133" i="25"/>
  <c r="E132" i="25"/>
  <c r="E131" i="25"/>
  <c r="E130" i="25"/>
  <c r="E129" i="25"/>
  <c r="E128" i="25"/>
  <c r="E127" i="25"/>
  <c r="E126" i="25"/>
  <c r="E125" i="25"/>
  <c r="E124" i="25"/>
  <c r="E123" i="25"/>
  <c r="E122" i="25"/>
  <c r="E121" i="25"/>
  <c r="E120" i="25"/>
  <c r="E119" i="25"/>
  <c r="E118" i="25"/>
  <c r="E117" i="25"/>
  <c r="E116" i="25"/>
  <c r="E115" i="25"/>
  <c r="E114" i="25"/>
  <c r="E113" i="25"/>
  <c r="E112" i="25"/>
  <c r="E111" i="25"/>
  <c r="E110" i="25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1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D393" i="25"/>
  <c r="D392" i="25"/>
  <c r="D391" i="25"/>
  <c r="D390" i="25"/>
  <c r="D389" i="25"/>
  <c r="D388" i="25"/>
  <c r="D387" i="25"/>
  <c r="D386" i="25"/>
  <c r="D385" i="25"/>
  <c r="D384" i="25"/>
  <c r="D383" i="25"/>
  <c r="D382" i="25"/>
  <c r="D381" i="25"/>
  <c r="D380" i="25"/>
  <c r="D379" i="25"/>
  <c r="D378" i="25"/>
  <c r="D377" i="25"/>
  <c r="D376" i="25"/>
  <c r="D375" i="25"/>
  <c r="D374" i="25"/>
  <c r="D373" i="25"/>
  <c r="D372" i="25"/>
  <c r="D371" i="25"/>
  <c r="D370" i="25"/>
  <c r="D369" i="25"/>
  <c r="D368" i="25"/>
  <c r="D367" i="25"/>
  <c r="D366" i="25"/>
  <c r="D365" i="25"/>
  <c r="D364" i="25"/>
  <c r="D363" i="25"/>
  <c r="D362" i="25"/>
  <c r="D361" i="25"/>
  <c r="D360" i="25"/>
  <c r="D359" i="25"/>
  <c r="D358" i="25"/>
  <c r="D357" i="25"/>
  <c r="D356" i="25"/>
  <c r="D355" i="25"/>
  <c r="D354" i="25"/>
  <c r="D353" i="25"/>
  <c r="D352" i="25"/>
  <c r="D351" i="25"/>
  <c r="D350" i="25"/>
  <c r="D349" i="25"/>
  <c r="D348" i="25"/>
  <c r="D347" i="25"/>
  <c r="D346" i="25"/>
  <c r="D345" i="25"/>
  <c r="D344" i="25"/>
  <c r="D343" i="25"/>
  <c r="D342" i="25"/>
  <c r="D341" i="25"/>
  <c r="D340" i="25"/>
  <c r="D339" i="25"/>
  <c r="D338" i="25"/>
  <c r="D337" i="25"/>
  <c r="D336" i="25"/>
  <c r="D335" i="25"/>
  <c r="D334" i="25"/>
  <c r="D333" i="25"/>
  <c r="D332" i="25"/>
  <c r="D331" i="25"/>
  <c r="D330" i="25"/>
  <c r="D329" i="25"/>
  <c r="D328" i="25"/>
  <c r="D327" i="25"/>
  <c r="D326" i="25"/>
  <c r="D325" i="25"/>
  <c r="D324" i="25"/>
  <c r="D323" i="25"/>
  <c r="D322" i="25"/>
  <c r="D321" i="25"/>
  <c r="D320" i="25"/>
  <c r="D319" i="25"/>
  <c r="D318" i="25"/>
  <c r="D317" i="25"/>
  <c r="D316" i="25"/>
  <c r="D315" i="25"/>
  <c r="D314" i="25"/>
  <c r="D313" i="25"/>
  <c r="D312" i="25"/>
  <c r="D311" i="25"/>
  <c r="D310" i="25"/>
  <c r="D309" i="25"/>
  <c r="D308" i="25"/>
  <c r="D307" i="25"/>
  <c r="D306" i="25"/>
  <c r="D305" i="25"/>
  <c r="D304" i="25"/>
  <c r="D303" i="25"/>
  <c r="D302" i="25"/>
  <c r="D301" i="25"/>
  <c r="D300" i="25"/>
  <c r="D299" i="25"/>
  <c r="D298" i="25"/>
  <c r="D297" i="25"/>
  <c r="D296" i="25"/>
  <c r="D295" i="25"/>
  <c r="D294" i="25"/>
  <c r="D293" i="25"/>
  <c r="D292" i="25"/>
  <c r="D291" i="25"/>
  <c r="D290" i="25"/>
  <c r="D289" i="25"/>
  <c r="D288" i="25"/>
  <c r="D287" i="25"/>
  <c r="D286" i="25"/>
  <c r="D285" i="25"/>
  <c r="D284" i="25"/>
  <c r="D283" i="25"/>
  <c r="D282" i="25"/>
  <c r="D281" i="25"/>
  <c r="D280" i="25"/>
  <c r="D279" i="25"/>
  <c r="D278" i="25"/>
  <c r="D277" i="25"/>
  <c r="D276" i="25"/>
  <c r="D275" i="25"/>
  <c r="D274" i="25"/>
  <c r="D273" i="25"/>
  <c r="D272" i="25"/>
  <c r="D271" i="25"/>
  <c r="D270" i="25"/>
  <c r="D269" i="25"/>
  <c r="D268" i="25"/>
  <c r="D267" i="25"/>
  <c r="D266" i="25"/>
  <c r="D265" i="25"/>
  <c r="D264" i="25"/>
  <c r="D263" i="25"/>
  <c r="D262" i="25"/>
  <c r="D261" i="25"/>
  <c r="D260" i="25"/>
  <c r="D259" i="25"/>
  <c r="D258" i="25"/>
  <c r="D257" i="25"/>
  <c r="D256" i="25"/>
  <c r="D255" i="25"/>
  <c r="D254" i="25"/>
  <c r="D253" i="25"/>
  <c r="D252" i="25"/>
  <c r="D251" i="25"/>
  <c r="D250" i="25"/>
  <c r="D249" i="25"/>
  <c r="D248" i="25"/>
  <c r="D247" i="25"/>
  <c r="D246" i="25"/>
  <c r="D245" i="25"/>
  <c r="D244" i="25"/>
  <c r="D243" i="25"/>
  <c r="D242" i="25"/>
  <c r="D241" i="25"/>
  <c r="D240" i="25"/>
  <c r="D239" i="25"/>
  <c r="D238" i="25"/>
  <c r="D237" i="25"/>
  <c r="D236" i="25"/>
  <c r="D235" i="25"/>
  <c r="D234" i="25"/>
  <c r="D233" i="25"/>
  <c r="D232" i="25"/>
  <c r="D231" i="25"/>
  <c r="D230" i="25"/>
  <c r="D229" i="25"/>
  <c r="D228" i="25"/>
  <c r="D227" i="25"/>
  <c r="D226" i="25"/>
  <c r="D225" i="25"/>
  <c r="D224" i="25"/>
  <c r="D223" i="25"/>
  <c r="D222" i="25"/>
  <c r="D221" i="25"/>
  <c r="D220" i="25"/>
  <c r="D219" i="25"/>
  <c r="D218" i="25"/>
  <c r="D217" i="25"/>
  <c r="D216" i="25"/>
  <c r="D215" i="25"/>
  <c r="D214" i="25"/>
  <c r="D213" i="25"/>
  <c r="D212" i="25"/>
  <c r="D211" i="25"/>
  <c r="D210" i="25"/>
  <c r="D209" i="25"/>
  <c r="D208" i="25"/>
  <c r="D207" i="25"/>
  <c r="D206" i="25"/>
  <c r="D205" i="25"/>
  <c r="D204" i="25"/>
  <c r="D203" i="25"/>
  <c r="D202" i="25"/>
  <c r="D201" i="25"/>
  <c r="D200" i="25"/>
  <c r="D199" i="25"/>
  <c r="D198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C393" i="25"/>
  <c r="C392" i="25"/>
  <c r="C391" i="25"/>
  <c r="C390" i="25"/>
  <c r="C389" i="25"/>
  <c r="C388" i="25"/>
  <c r="C387" i="25"/>
  <c r="C386" i="25"/>
  <c r="C385" i="25"/>
  <c r="C384" i="25"/>
  <c r="C383" i="25"/>
  <c r="C382" i="25"/>
  <c r="C381" i="25"/>
  <c r="C380" i="25"/>
  <c r="C379" i="25"/>
  <c r="C378" i="25"/>
  <c r="C377" i="25"/>
  <c r="C376" i="25"/>
  <c r="C375" i="25"/>
  <c r="C374" i="25"/>
  <c r="C373" i="25"/>
  <c r="C372" i="25"/>
  <c r="C371" i="25"/>
  <c r="C370" i="25"/>
  <c r="C369" i="25"/>
  <c r="C368" i="25"/>
  <c r="C367" i="25"/>
  <c r="C366" i="25"/>
  <c r="C365" i="25"/>
  <c r="C364" i="25"/>
  <c r="C363" i="25"/>
  <c r="C362" i="25"/>
  <c r="C361" i="25"/>
  <c r="C360" i="25"/>
  <c r="C359" i="25"/>
  <c r="C358" i="25"/>
  <c r="C357" i="25"/>
  <c r="C356" i="25"/>
  <c r="C355" i="25"/>
  <c r="C354" i="25"/>
  <c r="C353" i="25"/>
  <c r="C352" i="25"/>
  <c r="C351" i="25"/>
  <c r="C350" i="25"/>
  <c r="C349" i="25"/>
  <c r="C348" i="25"/>
  <c r="C347" i="25"/>
  <c r="C346" i="25"/>
  <c r="C345" i="25"/>
  <c r="C344" i="25"/>
  <c r="C343" i="25"/>
  <c r="C342" i="25"/>
  <c r="C341" i="25"/>
  <c r="C340" i="25"/>
  <c r="C339" i="25"/>
  <c r="C338" i="25"/>
  <c r="C337" i="25"/>
  <c r="C336" i="25"/>
  <c r="C335" i="25"/>
  <c r="C334" i="25"/>
  <c r="C333" i="25"/>
  <c r="C332" i="25"/>
  <c r="C331" i="25"/>
  <c r="C330" i="25"/>
  <c r="C329" i="25"/>
  <c r="C328" i="25"/>
  <c r="C327" i="25"/>
  <c r="C326" i="25"/>
  <c r="C325" i="25"/>
  <c r="C324" i="25"/>
  <c r="C323" i="25"/>
  <c r="C322" i="25"/>
  <c r="C321" i="25"/>
  <c r="C320" i="25"/>
  <c r="C319" i="25"/>
  <c r="C318" i="25"/>
  <c r="C317" i="25"/>
  <c r="C316" i="25"/>
  <c r="C315" i="25"/>
  <c r="C314" i="25"/>
  <c r="C313" i="25"/>
  <c r="C312" i="25"/>
  <c r="C311" i="25"/>
  <c r="C310" i="25"/>
  <c r="C309" i="25"/>
  <c r="C308" i="25"/>
  <c r="C307" i="25"/>
  <c r="C306" i="25"/>
  <c r="C305" i="25"/>
  <c r="C304" i="25"/>
  <c r="C303" i="25"/>
  <c r="C302" i="25"/>
  <c r="C301" i="25"/>
  <c r="C300" i="25"/>
  <c r="C299" i="25"/>
  <c r="C298" i="25"/>
  <c r="C297" i="25"/>
  <c r="C296" i="25"/>
  <c r="C295" i="25"/>
  <c r="C294" i="25"/>
  <c r="C293" i="25"/>
  <c r="C292" i="25"/>
  <c r="C291" i="25"/>
  <c r="C290" i="25"/>
  <c r="C289" i="25"/>
  <c r="C288" i="25"/>
  <c r="C287" i="25"/>
  <c r="C286" i="25"/>
  <c r="C285" i="25"/>
  <c r="C284" i="25"/>
  <c r="C283" i="25"/>
  <c r="C282" i="25"/>
  <c r="C281" i="25"/>
  <c r="C280" i="25"/>
  <c r="C279" i="25"/>
  <c r="C278" i="25"/>
  <c r="C277" i="25"/>
  <c r="C276" i="25"/>
  <c r="C275" i="25"/>
  <c r="C274" i="25"/>
  <c r="C273" i="25"/>
  <c r="C272" i="25"/>
  <c r="C271" i="25"/>
  <c r="C270" i="25"/>
  <c r="C269" i="25"/>
  <c r="C268" i="25"/>
  <c r="C267" i="25"/>
  <c r="C266" i="25"/>
  <c r="C265" i="25"/>
  <c r="C264" i="25"/>
  <c r="C263" i="25"/>
  <c r="C262" i="25"/>
  <c r="C261" i="25"/>
  <c r="C260" i="25"/>
  <c r="C259" i="25"/>
  <c r="C258" i="25"/>
  <c r="C257" i="25"/>
  <c r="C256" i="25"/>
  <c r="C255" i="25"/>
  <c r="C254" i="25"/>
  <c r="C253" i="25"/>
  <c r="C252" i="25"/>
  <c r="C251" i="25"/>
  <c r="C250" i="25"/>
  <c r="C249" i="25"/>
  <c r="C248" i="25"/>
  <c r="C247" i="25"/>
  <c r="C246" i="25"/>
  <c r="C245" i="25"/>
  <c r="C244" i="25"/>
  <c r="C243" i="25"/>
  <c r="C242" i="25"/>
  <c r="C241" i="25"/>
  <c r="C240" i="25"/>
  <c r="C239" i="25"/>
  <c r="C238" i="25"/>
  <c r="C237" i="25"/>
  <c r="C236" i="25"/>
  <c r="C235" i="25"/>
  <c r="C234" i="25"/>
  <c r="C233" i="25"/>
  <c r="C232" i="25"/>
  <c r="C231" i="25"/>
  <c r="C230" i="25"/>
  <c r="C229" i="25"/>
  <c r="C228" i="25"/>
  <c r="C227" i="25"/>
  <c r="C226" i="25"/>
  <c r="C225" i="25"/>
  <c r="C224" i="25"/>
  <c r="C223" i="25"/>
  <c r="C222" i="25"/>
  <c r="C221" i="25"/>
  <c r="C220" i="25"/>
  <c r="C219" i="25"/>
  <c r="C218" i="25"/>
  <c r="C217" i="25"/>
  <c r="C216" i="25"/>
  <c r="C215" i="25"/>
  <c r="C214" i="25"/>
  <c r="C213" i="25"/>
  <c r="C212" i="25"/>
  <c r="C211" i="25"/>
  <c r="C210" i="25"/>
  <c r="C209" i="25"/>
  <c r="C208" i="25"/>
  <c r="C207" i="25"/>
  <c r="C206" i="25"/>
  <c r="C205" i="25"/>
  <c r="C204" i="25"/>
  <c r="C203" i="25"/>
  <c r="C202" i="25"/>
  <c r="C201" i="25"/>
  <c r="C200" i="25"/>
  <c r="C199" i="25"/>
  <c r="C198" i="25"/>
  <c r="C197" i="25"/>
  <c r="C196" i="25"/>
  <c r="C195" i="25"/>
  <c r="C194" i="25"/>
  <c r="C193" i="25"/>
  <c r="C192" i="25"/>
  <c r="C191" i="25"/>
  <c r="C190" i="25"/>
  <c r="C189" i="25"/>
  <c r="C188" i="25"/>
  <c r="C187" i="25"/>
  <c r="C186" i="25"/>
  <c r="C185" i="25"/>
  <c r="C184" i="25"/>
  <c r="C183" i="25"/>
  <c r="C182" i="25"/>
  <c r="C181" i="25"/>
  <c r="C180" i="25"/>
  <c r="C179" i="25"/>
  <c r="C178" i="25"/>
  <c r="C177" i="25"/>
  <c r="C176" i="25"/>
  <c r="C175" i="25"/>
  <c r="C174" i="25"/>
  <c r="C173" i="25"/>
  <c r="C172" i="25"/>
  <c r="C171" i="25"/>
  <c r="C170" i="25"/>
  <c r="C169" i="25"/>
  <c r="C168" i="25"/>
  <c r="C167" i="25"/>
  <c r="C166" i="25"/>
  <c r="C165" i="25"/>
  <c r="C164" i="25"/>
  <c r="C163" i="25"/>
  <c r="C162" i="25"/>
  <c r="C161" i="25"/>
  <c r="C160" i="25"/>
  <c r="C159" i="25"/>
  <c r="C158" i="25"/>
  <c r="C157" i="25"/>
  <c r="C156" i="25"/>
  <c r="C155" i="25"/>
  <c r="C154" i="25"/>
  <c r="C153" i="25"/>
  <c r="C152" i="25"/>
  <c r="C151" i="25"/>
  <c r="C150" i="25"/>
  <c r="C149" i="25"/>
  <c r="C148" i="25"/>
  <c r="C147" i="25"/>
  <c r="C146" i="25"/>
  <c r="C145" i="25"/>
  <c r="C144" i="25"/>
  <c r="C143" i="25"/>
  <c r="C142" i="25"/>
  <c r="C141" i="25"/>
  <c r="C140" i="25"/>
  <c r="C139" i="25"/>
  <c r="C138" i="25"/>
  <c r="C137" i="25"/>
  <c r="C136" i="25"/>
  <c r="C135" i="25"/>
  <c r="C134" i="25"/>
  <c r="C133" i="25"/>
  <c r="C132" i="25"/>
  <c r="C131" i="25"/>
  <c r="C130" i="25"/>
  <c r="C129" i="25"/>
  <c r="C128" i="25"/>
  <c r="C127" i="25"/>
  <c r="C126" i="25"/>
  <c r="C125" i="25"/>
  <c r="C124" i="25"/>
  <c r="C123" i="25"/>
  <c r="C122" i="25"/>
  <c r="C121" i="25"/>
  <c r="C120" i="25"/>
  <c r="C119" i="25"/>
  <c r="C118" i="25"/>
  <c r="C117" i="25"/>
  <c r="C116" i="25"/>
  <c r="C115" i="25"/>
  <c r="C114" i="25"/>
  <c r="C113" i="25"/>
  <c r="C112" i="25"/>
  <c r="C111" i="25"/>
  <c r="C110" i="25"/>
  <c r="C109" i="25"/>
  <c r="C108" i="25"/>
  <c r="C107" i="25"/>
  <c r="C106" i="25"/>
  <c r="C105" i="25"/>
  <c r="C104" i="25"/>
  <c r="C103" i="25"/>
  <c r="C102" i="25"/>
  <c r="C101" i="25"/>
  <c r="C100" i="25"/>
  <c r="C99" i="25"/>
  <c r="C98" i="25"/>
  <c r="C97" i="25"/>
  <c r="C96" i="25"/>
  <c r="C95" i="25"/>
  <c r="C94" i="25"/>
  <c r="C93" i="25"/>
  <c r="C92" i="25"/>
  <c r="C91" i="25"/>
  <c r="C90" i="25"/>
  <c r="C89" i="25"/>
  <c r="C88" i="25"/>
  <c r="C87" i="25"/>
  <c r="C86" i="25"/>
  <c r="C85" i="25"/>
  <c r="C84" i="25"/>
  <c r="C83" i="25"/>
  <c r="C82" i="25"/>
  <c r="C81" i="25"/>
  <c r="C80" i="25"/>
  <c r="C79" i="25"/>
  <c r="C78" i="25"/>
  <c r="C77" i="25"/>
  <c r="C76" i="25"/>
  <c r="C75" i="25"/>
  <c r="C74" i="25"/>
  <c r="C73" i="25"/>
  <c r="C72" i="25"/>
  <c r="C71" i="25"/>
  <c r="C70" i="25"/>
  <c r="C69" i="25"/>
  <c r="C68" i="25"/>
  <c r="C67" i="25"/>
  <c r="C66" i="25"/>
  <c r="C65" i="25"/>
  <c r="C64" i="25"/>
  <c r="C63" i="25"/>
  <c r="C62" i="25"/>
  <c r="C61" i="25"/>
  <c r="C60" i="25"/>
  <c r="C59" i="25"/>
  <c r="C58" i="25"/>
  <c r="C57" i="25"/>
  <c r="C56" i="25"/>
  <c r="C55" i="25"/>
  <c r="C54" i="25"/>
  <c r="C53" i="25"/>
  <c r="C52" i="25"/>
  <c r="C51" i="25"/>
  <c r="C50" i="25"/>
  <c r="C49" i="25"/>
  <c r="C48" i="25"/>
  <c r="C47" i="25"/>
  <c r="C46" i="25"/>
  <c r="C45" i="25"/>
  <c r="C44" i="25"/>
  <c r="C43" i="25"/>
  <c r="C42" i="25"/>
  <c r="C41" i="25"/>
  <c r="C40" i="25"/>
  <c r="C39" i="25"/>
  <c r="C38" i="25"/>
  <c r="C37" i="25"/>
  <c r="C36" i="25"/>
  <c r="C35" i="25"/>
  <c r="C34" i="25"/>
  <c r="C33" i="25"/>
  <c r="C3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5" i="25"/>
  <c r="C4" i="25"/>
  <c r="C3" i="25"/>
  <c r="C2" i="25"/>
  <c r="B393" i="25"/>
  <c r="B392" i="25"/>
  <c r="B391" i="25"/>
  <c r="B390" i="25"/>
  <c r="B389" i="25"/>
  <c r="B388" i="25"/>
  <c r="B387" i="25"/>
  <c r="B386" i="25"/>
  <c r="B385" i="25"/>
  <c r="B384" i="25"/>
  <c r="B383" i="25"/>
  <c r="B382" i="25"/>
  <c r="B381" i="25"/>
  <c r="B380" i="25"/>
  <c r="B379" i="25"/>
  <c r="B378" i="25"/>
  <c r="B377" i="25"/>
  <c r="B376" i="25"/>
  <c r="B375" i="25"/>
  <c r="B374" i="25"/>
  <c r="B373" i="25"/>
  <c r="B372" i="25"/>
  <c r="B371" i="25"/>
  <c r="B370" i="25"/>
  <c r="B369" i="25"/>
  <c r="B368" i="25"/>
  <c r="B367" i="25"/>
  <c r="B366" i="25"/>
  <c r="B365" i="25"/>
  <c r="B364" i="25"/>
  <c r="B363" i="25"/>
  <c r="B362" i="25"/>
  <c r="B361" i="25"/>
  <c r="B360" i="25"/>
  <c r="B359" i="25"/>
  <c r="B358" i="25"/>
  <c r="B357" i="25"/>
  <c r="B356" i="25"/>
  <c r="B355" i="25"/>
  <c r="B354" i="25"/>
  <c r="B353" i="25"/>
  <c r="B352" i="25"/>
  <c r="B351" i="25"/>
  <c r="B350" i="25"/>
  <c r="B349" i="25"/>
  <c r="B348" i="25"/>
  <c r="B347" i="25"/>
  <c r="B346" i="25"/>
  <c r="B345" i="25"/>
  <c r="B344" i="25"/>
  <c r="B343" i="25"/>
  <c r="B342" i="25"/>
  <c r="B341" i="25"/>
  <c r="B340" i="25"/>
  <c r="B339" i="25"/>
  <c r="B338" i="25"/>
  <c r="B337" i="25"/>
  <c r="B336" i="25"/>
  <c r="B335" i="25"/>
  <c r="B334" i="25"/>
  <c r="B333" i="25"/>
  <c r="B332" i="25"/>
  <c r="B331" i="25"/>
  <c r="B330" i="25"/>
  <c r="B329" i="25"/>
  <c r="B328" i="25"/>
  <c r="B327" i="25"/>
  <c r="B326" i="25"/>
  <c r="B325" i="25"/>
  <c r="B324" i="25"/>
  <c r="B323" i="25"/>
  <c r="B322" i="25"/>
  <c r="B321" i="25"/>
  <c r="B320" i="25"/>
  <c r="B319" i="25"/>
  <c r="B318" i="25"/>
  <c r="B317" i="25"/>
  <c r="B316" i="25"/>
  <c r="B315" i="25"/>
  <c r="B314" i="25"/>
  <c r="B313" i="25"/>
  <c r="B312" i="25"/>
  <c r="B311" i="25"/>
  <c r="B310" i="25"/>
  <c r="B309" i="25"/>
  <c r="B308" i="25"/>
  <c r="B307" i="25"/>
  <c r="B306" i="25"/>
  <c r="B305" i="25"/>
  <c r="B304" i="25"/>
  <c r="B303" i="25"/>
  <c r="B302" i="25"/>
  <c r="B301" i="25"/>
  <c r="B300" i="25"/>
  <c r="B299" i="25"/>
  <c r="B298" i="25"/>
  <c r="B297" i="25"/>
  <c r="B296" i="25"/>
  <c r="B295" i="25"/>
  <c r="B294" i="25"/>
  <c r="B293" i="25"/>
  <c r="B292" i="25"/>
  <c r="B291" i="25"/>
  <c r="B290" i="25"/>
  <c r="B289" i="25"/>
  <c r="B288" i="25"/>
  <c r="B287" i="25"/>
  <c r="B286" i="25"/>
  <c r="B285" i="25"/>
  <c r="B284" i="25"/>
  <c r="B283" i="25"/>
  <c r="B282" i="25"/>
  <c r="B281" i="25"/>
  <c r="B280" i="25"/>
  <c r="B279" i="25"/>
  <c r="B278" i="25"/>
  <c r="B277" i="25"/>
  <c r="B276" i="25"/>
  <c r="B275" i="25"/>
  <c r="B274" i="25"/>
  <c r="B273" i="25"/>
  <c r="B272" i="25"/>
  <c r="B271" i="25"/>
  <c r="B270" i="25"/>
  <c r="B269" i="25"/>
  <c r="B268" i="25"/>
  <c r="B267" i="25"/>
  <c r="B266" i="25"/>
  <c r="B265" i="25"/>
  <c r="B264" i="25"/>
  <c r="B263" i="25"/>
  <c r="B262" i="25"/>
  <c r="B261" i="25"/>
  <c r="B260" i="25"/>
  <c r="B259" i="25"/>
  <c r="B258" i="25"/>
  <c r="B257" i="25"/>
  <c r="B256" i="25"/>
  <c r="B255" i="25"/>
  <c r="B254" i="25"/>
  <c r="B253" i="25"/>
  <c r="B252" i="25"/>
  <c r="B251" i="25"/>
  <c r="B250" i="25"/>
  <c r="B249" i="25"/>
  <c r="B248" i="25"/>
  <c r="B247" i="25"/>
  <c r="B246" i="25"/>
  <c r="B245" i="25"/>
  <c r="B244" i="25"/>
  <c r="B243" i="25"/>
  <c r="B242" i="25"/>
  <c r="B241" i="25"/>
  <c r="B240" i="25"/>
  <c r="B239" i="25"/>
  <c r="B238" i="25"/>
  <c r="B237" i="25"/>
  <c r="B236" i="25"/>
  <c r="B235" i="25"/>
  <c r="B234" i="25"/>
  <c r="B233" i="25"/>
  <c r="B232" i="25"/>
  <c r="B231" i="25"/>
  <c r="B230" i="25"/>
  <c r="B229" i="25"/>
  <c r="B228" i="25"/>
  <c r="B227" i="25"/>
  <c r="B226" i="25"/>
  <c r="B225" i="25"/>
  <c r="B224" i="25"/>
  <c r="B223" i="25"/>
  <c r="B222" i="25"/>
  <c r="B221" i="25"/>
  <c r="B220" i="25"/>
  <c r="B219" i="25"/>
  <c r="B218" i="25"/>
  <c r="B217" i="25"/>
  <c r="B216" i="25"/>
  <c r="B215" i="25"/>
  <c r="B214" i="25"/>
  <c r="B213" i="25"/>
  <c r="B212" i="25"/>
  <c r="B211" i="25"/>
  <c r="B210" i="25"/>
  <c r="B209" i="25"/>
  <c r="B208" i="25"/>
  <c r="B207" i="25"/>
  <c r="B206" i="25"/>
  <c r="B205" i="25"/>
  <c r="B204" i="25"/>
  <c r="B203" i="25"/>
  <c r="B202" i="25"/>
  <c r="B201" i="25"/>
  <c r="B200" i="25"/>
  <c r="B199" i="25"/>
  <c r="B198" i="25"/>
  <c r="B197" i="25"/>
  <c r="B196" i="25"/>
  <c r="B195" i="25"/>
  <c r="B194" i="25"/>
  <c r="B193" i="25"/>
  <c r="B192" i="25"/>
  <c r="B191" i="25"/>
  <c r="B190" i="25"/>
  <c r="B189" i="25"/>
  <c r="B188" i="25"/>
  <c r="B187" i="25"/>
  <c r="B186" i="25"/>
  <c r="B185" i="25"/>
  <c r="B184" i="25"/>
  <c r="B183" i="25"/>
  <c r="B182" i="25"/>
  <c r="B181" i="25"/>
  <c r="B180" i="25"/>
  <c r="B179" i="25"/>
  <c r="B178" i="25"/>
  <c r="B177" i="25"/>
  <c r="B176" i="25"/>
  <c r="B175" i="25"/>
  <c r="B174" i="25"/>
  <c r="B173" i="25"/>
  <c r="B172" i="25"/>
  <c r="B171" i="25"/>
  <c r="B170" i="25"/>
  <c r="B169" i="25"/>
  <c r="B168" i="25"/>
  <c r="B167" i="25"/>
  <c r="B166" i="25"/>
  <c r="B165" i="25"/>
  <c r="B164" i="25"/>
  <c r="B163" i="25"/>
  <c r="B162" i="25"/>
  <c r="B161" i="25"/>
  <c r="B160" i="25"/>
  <c r="B159" i="25"/>
  <c r="B158" i="25"/>
  <c r="B157" i="25"/>
  <c r="B156" i="25"/>
  <c r="B155" i="25"/>
  <c r="B154" i="25"/>
  <c r="B153" i="25"/>
  <c r="B152" i="25"/>
  <c r="B151" i="25"/>
  <c r="B150" i="25"/>
  <c r="B149" i="25"/>
  <c r="B148" i="25"/>
  <c r="B147" i="25"/>
  <c r="B146" i="25"/>
  <c r="B145" i="25"/>
  <c r="B144" i="25"/>
  <c r="B143" i="25"/>
  <c r="B142" i="25"/>
  <c r="B141" i="25"/>
  <c r="B140" i="25"/>
  <c r="B139" i="25"/>
  <c r="B138" i="25"/>
  <c r="B137" i="25"/>
  <c r="B136" i="25"/>
  <c r="B135" i="25"/>
  <c r="B134" i="25"/>
  <c r="B133" i="25"/>
  <c r="B132" i="25"/>
  <c r="B131" i="25"/>
  <c r="B130" i="25"/>
  <c r="B129" i="25"/>
  <c r="B128" i="25"/>
  <c r="B127" i="25"/>
  <c r="B126" i="25"/>
  <c r="B125" i="25"/>
  <c r="B124" i="25"/>
  <c r="B123" i="25"/>
  <c r="B122" i="25"/>
  <c r="B121" i="25"/>
  <c r="B120" i="25"/>
  <c r="B119" i="25"/>
  <c r="B118" i="25"/>
  <c r="B117" i="25"/>
  <c r="B116" i="25"/>
  <c r="B115" i="25"/>
  <c r="B114" i="25"/>
  <c r="B113" i="25"/>
  <c r="B112" i="25"/>
  <c r="B111" i="25"/>
  <c r="B110" i="25"/>
  <c r="B109" i="25"/>
  <c r="B108" i="25"/>
  <c r="B107" i="25"/>
  <c r="B106" i="25"/>
  <c r="B105" i="25"/>
  <c r="B104" i="25"/>
  <c r="B103" i="25"/>
  <c r="B102" i="25"/>
  <c r="B101" i="25"/>
  <c r="B100" i="25"/>
  <c r="B99" i="25"/>
  <c r="B98" i="25"/>
  <c r="B97" i="25"/>
  <c r="B96" i="25"/>
  <c r="B95" i="25"/>
  <c r="B94" i="25"/>
  <c r="B93" i="25"/>
  <c r="B92" i="25"/>
  <c r="B91" i="25"/>
  <c r="B90" i="25"/>
  <c r="B89" i="25"/>
  <c r="B88" i="25"/>
  <c r="B87" i="25"/>
  <c r="B86" i="25"/>
  <c r="B85" i="25"/>
  <c r="B84" i="25"/>
  <c r="B83" i="25"/>
  <c r="B82" i="25"/>
  <c r="B81" i="25"/>
  <c r="B80" i="25"/>
  <c r="B79" i="25"/>
  <c r="B78" i="25"/>
  <c r="B77" i="25"/>
  <c r="B76" i="25"/>
  <c r="B75" i="25"/>
  <c r="B74" i="25"/>
  <c r="B73" i="25"/>
  <c r="B72" i="25"/>
  <c r="B71" i="25"/>
  <c r="B70" i="25"/>
  <c r="B69" i="25"/>
  <c r="B68" i="25"/>
  <c r="B67" i="25"/>
  <c r="B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1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9" i="25"/>
  <c r="B8" i="25"/>
  <c r="B7" i="25"/>
  <c r="B6" i="25"/>
  <c r="B5" i="25"/>
  <c r="B4" i="25"/>
  <c r="B3" i="25"/>
  <c r="B2" i="25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B540" i="24"/>
  <c r="B539" i="24"/>
  <c r="B538" i="24"/>
  <c r="B537" i="24"/>
  <c r="B536" i="24"/>
  <c r="B535" i="24"/>
  <c r="B534" i="24"/>
  <c r="B533" i="24"/>
  <c r="B532" i="24"/>
  <c r="B531" i="24"/>
  <c r="B530" i="24"/>
  <c r="B529" i="24"/>
  <c r="B528" i="24"/>
  <c r="B527" i="24"/>
  <c r="B526" i="24"/>
  <c r="B525" i="24"/>
  <c r="B524" i="24"/>
  <c r="B523" i="24"/>
  <c r="B522" i="24"/>
  <c r="B521" i="24"/>
  <c r="B520" i="24"/>
  <c r="B519" i="24"/>
  <c r="B518" i="24"/>
  <c r="B517" i="24"/>
  <c r="B516" i="24"/>
  <c r="B515" i="24"/>
  <c r="B514" i="24"/>
  <c r="B513" i="24"/>
  <c r="B512" i="24"/>
  <c r="B511" i="24"/>
  <c r="B510" i="24"/>
  <c r="B509" i="24"/>
  <c r="B508" i="24"/>
  <c r="B507" i="24"/>
  <c r="B506" i="24"/>
  <c r="B505" i="24"/>
  <c r="B504" i="24"/>
  <c r="B503" i="24"/>
  <c r="B502" i="24"/>
  <c r="B501" i="24"/>
  <c r="B500" i="24"/>
  <c r="B499" i="24"/>
  <c r="B498" i="24"/>
  <c r="B497" i="24"/>
  <c r="B496" i="24"/>
  <c r="B495" i="24"/>
  <c r="B494" i="24"/>
  <c r="B493" i="24"/>
  <c r="B492" i="24"/>
  <c r="B491" i="24"/>
  <c r="B490" i="24"/>
  <c r="B489" i="24"/>
  <c r="B488" i="24"/>
  <c r="B487" i="24"/>
  <c r="B486" i="24"/>
  <c r="B485" i="24"/>
  <c r="B484" i="24"/>
  <c r="B483" i="24"/>
  <c r="B482" i="24"/>
  <c r="B481" i="24"/>
  <c r="B480" i="24"/>
  <c r="B479" i="24"/>
  <c r="B478" i="24"/>
  <c r="B477" i="24"/>
  <c r="B476" i="24"/>
  <c r="B475" i="24"/>
  <c r="B474" i="24"/>
  <c r="B473" i="24"/>
  <c r="B472" i="24"/>
  <c r="B471" i="24"/>
  <c r="B470" i="24"/>
  <c r="B469" i="24"/>
  <c r="B468" i="24"/>
  <c r="B467" i="24"/>
  <c r="B466" i="24"/>
  <c r="B465" i="24"/>
  <c r="B464" i="24"/>
  <c r="B463" i="24"/>
  <c r="B462" i="24"/>
  <c r="B461" i="24"/>
  <c r="B460" i="24"/>
  <c r="B459" i="24"/>
  <c r="B458" i="24"/>
  <c r="B457" i="24"/>
  <c r="B456" i="24"/>
  <c r="B455" i="24"/>
  <c r="B454" i="24"/>
  <c r="B453" i="24"/>
  <c r="B452" i="24"/>
  <c r="B451" i="24"/>
  <c r="B450" i="24"/>
  <c r="B449" i="24"/>
  <c r="B448" i="24"/>
  <c r="B447" i="24"/>
  <c r="B446" i="24"/>
  <c r="B445" i="24"/>
  <c r="B444" i="24"/>
  <c r="B443" i="24"/>
  <c r="B442" i="24"/>
  <c r="B441" i="24"/>
  <c r="B440" i="24"/>
  <c r="B439" i="24"/>
  <c r="B438" i="24"/>
  <c r="B437" i="24"/>
  <c r="B436" i="24"/>
  <c r="B435" i="24"/>
  <c r="B434" i="24"/>
  <c r="B433" i="24"/>
  <c r="B432" i="24"/>
  <c r="B431" i="24"/>
  <c r="B430" i="24"/>
  <c r="B429" i="24"/>
  <c r="B428" i="24"/>
  <c r="B427" i="24"/>
  <c r="B426" i="24"/>
  <c r="B425" i="24"/>
  <c r="B424" i="24"/>
  <c r="B423" i="24"/>
  <c r="B422" i="24"/>
  <c r="B421" i="24"/>
  <c r="B420" i="24"/>
  <c r="B419" i="24"/>
  <c r="B418" i="24"/>
  <c r="B417" i="24"/>
  <c r="B416" i="24"/>
  <c r="B415" i="24"/>
  <c r="B414" i="24"/>
  <c r="B413" i="24"/>
  <c r="B412" i="24"/>
  <c r="B411" i="24"/>
  <c r="B410" i="24"/>
  <c r="B409" i="24"/>
  <c r="B408" i="24"/>
  <c r="B407" i="24"/>
  <c r="B406" i="24"/>
  <c r="B405" i="24"/>
  <c r="B404" i="24"/>
  <c r="B403" i="24"/>
  <c r="B402" i="24"/>
  <c r="B401" i="24"/>
  <c r="B400" i="24"/>
  <c r="B399" i="24"/>
  <c r="B398" i="24"/>
  <c r="B397" i="24"/>
  <c r="B396" i="24"/>
  <c r="B395" i="24"/>
  <c r="B394" i="24"/>
  <c r="B393" i="24"/>
  <c r="B392" i="24"/>
  <c r="B391" i="24"/>
  <c r="B390" i="24"/>
  <c r="B389" i="24"/>
  <c r="B388" i="24"/>
  <c r="B387" i="24"/>
  <c r="B386" i="24"/>
  <c r="B385" i="24"/>
  <c r="B384" i="24"/>
  <c r="B383" i="24"/>
  <c r="B382" i="24"/>
  <c r="B381" i="24"/>
  <c r="B380" i="24"/>
  <c r="B379" i="24"/>
  <c r="B378" i="24"/>
  <c r="B377" i="24"/>
  <c r="B376" i="24"/>
  <c r="B375" i="24"/>
  <c r="B374" i="24"/>
  <c r="B373" i="24"/>
  <c r="B372" i="24"/>
  <c r="B371" i="24"/>
  <c r="B370" i="24"/>
  <c r="B369" i="24"/>
  <c r="B368" i="24"/>
  <c r="B367" i="24"/>
  <c r="B366" i="24"/>
  <c r="B365" i="24"/>
  <c r="B364" i="24"/>
  <c r="B363" i="24"/>
  <c r="B362" i="24"/>
  <c r="B361" i="24"/>
  <c r="B360" i="24"/>
  <c r="B359" i="24"/>
  <c r="B358" i="24"/>
  <c r="B357" i="24"/>
  <c r="B356" i="24"/>
  <c r="B355" i="24"/>
  <c r="B354" i="24"/>
  <c r="B353" i="24"/>
  <c r="B352" i="24"/>
  <c r="B351" i="24"/>
  <c r="B350" i="24"/>
  <c r="B349" i="24"/>
  <c r="B348" i="24"/>
  <c r="B347" i="24"/>
  <c r="B346" i="24"/>
  <c r="B345" i="24"/>
  <c r="B344" i="24"/>
  <c r="B343" i="24"/>
  <c r="B342" i="24"/>
  <c r="B341" i="24"/>
  <c r="B340" i="24"/>
  <c r="B339" i="24"/>
  <c r="B338" i="24"/>
  <c r="B337" i="24"/>
  <c r="B336" i="24"/>
  <c r="B335" i="24"/>
  <c r="B334" i="24"/>
  <c r="B333" i="24"/>
  <c r="B332" i="24"/>
  <c r="B331" i="24"/>
  <c r="B330" i="24"/>
  <c r="B329" i="24"/>
  <c r="B328" i="24"/>
  <c r="B327" i="24"/>
  <c r="B326" i="24"/>
  <c r="B325" i="24"/>
  <c r="B324" i="24"/>
  <c r="B323" i="24"/>
  <c r="B322" i="24"/>
  <c r="B321" i="24"/>
  <c r="B320" i="24"/>
  <c r="B319" i="24"/>
  <c r="B318" i="24"/>
  <c r="B317" i="24"/>
  <c r="B316" i="24"/>
  <c r="B315" i="24"/>
  <c r="B314" i="24"/>
  <c r="B313" i="24"/>
  <c r="B312" i="24"/>
  <c r="B311" i="24"/>
  <c r="B310" i="24"/>
  <c r="B309" i="24"/>
  <c r="B308" i="24"/>
  <c r="B307" i="24"/>
  <c r="B306" i="24"/>
  <c r="B305" i="24"/>
  <c r="B304" i="24"/>
  <c r="B303" i="24"/>
  <c r="B302" i="24"/>
  <c r="B301" i="24"/>
  <c r="B300" i="24"/>
  <c r="B299" i="24"/>
  <c r="B298" i="24"/>
  <c r="B297" i="24"/>
  <c r="B296" i="24"/>
  <c r="B295" i="24"/>
  <c r="B294" i="24"/>
  <c r="B293" i="24"/>
  <c r="B292" i="24"/>
  <c r="B291" i="24"/>
  <c r="B290" i="24"/>
  <c r="B289" i="24"/>
  <c r="B288" i="24"/>
  <c r="B287" i="24"/>
  <c r="B286" i="24"/>
  <c r="B285" i="24"/>
  <c r="B284" i="24"/>
  <c r="B283" i="24"/>
  <c r="B282" i="24"/>
  <c r="B281" i="24"/>
  <c r="B280" i="24"/>
  <c r="B279" i="24"/>
  <c r="B278" i="24"/>
  <c r="B277" i="24"/>
  <c r="B276" i="24"/>
  <c r="B275" i="24"/>
  <c r="B274" i="24"/>
  <c r="B273" i="24"/>
  <c r="B272" i="24"/>
  <c r="B271" i="24"/>
  <c r="B270" i="24"/>
  <c r="B269" i="24"/>
  <c r="B268" i="24"/>
  <c r="B267" i="24"/>
  <c r="B266" i="24"/>
  <c r="B265" i="24"/>
  <c r="B264" i="24"/>
  <c r="B263" i="24"/>
  <c r="B262" i="24"/>
  <c r="B261" i="24"/>
  <c r="B260" i="24"/>
  <c r="B259" i="24"/>
  <c r="B258" i="24"/>
  <c r="B257" i="24"/>
  <c r="B256" i="24"/>
  <c r="B255" i="24"/>
  <c r="B254" i="24"/>
  <c r="B253" i="24"/>
  <c r="B252" i="24"/>
  <c r="B251" i="24"/>
  <c r="B250" i="24"/>
  <c r="B249" i="24"/>
  <c r="B248" i="24"/>
  <c r="B247" i="24"/>
  <c r="B246" i="24"/>
  <c r="B245" i="24"/>
  <c r="B244" i="24"/>
  <c r="B243" i="24"/>
  <c r="B242" i="24"/>
  <c r="B241" i="24"/>
  <c r="B240" i="24"/>
  <c r="B239" i="24"/>
  <c r="B238" i="24"/>
  <c r="B237" i="24"/>
  <c r="B236" i="24"/>
  <c r="B235" i="24"/>
  <c r="B234" i="24"/>
  <c r="B233" i="24"/>
  <c r="B232" i="24"/>
  <c r="B231" i="24"/>
  <c r="B230" i="24"/>
  <c r="B229" i="24"/>
  <c r="B228" i="24"/>
  <c r="B227" i="24"/>
  <c r="B226" i="24"/>
  <c r="B225" i="24"/>
  <c r="B224" i="24"/>
  <c r="B223" i="24"/>
  <c r="B222" i="24"/>
  <c r="B221" i="24"/>
  <c r="B220" i="24"/>
  <c r="B219" i="24"/>
  <c r="B218" i="24"/>
  <c r="B217" i="24"/>
  <c r="B216" i="24"/>
  <c r="B215" i="24"/>
  <c r="B214" i="24"/>
  <c r="B213" i="24"/>
  <c r="B212" i="24"/>
  <c r="B211" i="24"/>
  <c r="B210" i="24"/>
  <c r="B209" i="24"/>
  <c r="B208" i="24"/>
  <c r="B207" i="24"/>
  <c r="B206" i="24"/>
  <c r="B205" i="24"/>
  <c r="B204" i="24"/>
  <c r="B203" i="24"/>
  <c r="B202" i="24"/>
  <c r="B201" i="24"/>
  <c r="B200" i="24"/>
  <c r="B199" i="24"/>
  <c r="B198" i="24"/>
  <c r="B197" i="24"/>
  <c r="B196" i="24"/>
  <c r="B195" i="24"/>
  <c r="B194" i="24"/>
  <c r="B193" i="24"/>
  <c r="B192" i="24"/>
  <c r="B191" i="24"/>
  <c r="B190" i="24"/>
  <c r="B189" i="24"/>
  <c r="B188" i="24"/>
  <c r="B187" i="24"/>
  <c r="B186" i="24"/>
  <c r="B185" i="24"/>
  <c r="B184" i="24"/>
  <c r="B183" i="24"/>
  <c r="B182" i="24"/>
  <c r="B181" i="24"/>
  <c r="B180" i="24"/>
  <c r="B179" i="24"/>
  <c r="B178" i="24"/>
  <c r="B177" i="24"/>
  <c r="B176" i="24"/>
  <c r="B175" i="24"/>
  <c r="B174" i="24"/>
  <c r="B173" i="24"/>
  <c r="B172" i="24"/>
  <c r="B171" i="24"/>
  <c r="B170" i="24"/>
  <c r="B169" i="24"/>
  <c r="B168" i="24"/>
  <c r="B167" i="24"/>
  <c r="B166" i="24"/>
  <c r="B165" i="24"/>
  <c r="B164" i="24"/>
  <c r="B163" i="24"/>
  <c r="B162" i="24"/>
  <c r="B161" i="24"/>
  <c r="B160" i="24"/>
  <c r="B159" i="24"/>
  <c r="B158" i="24"/>
  <c r="B157" i="24"/>
  <c r="B156" i="24"/>
  <c r="B155" i="24"/>
  <c r="B154" i="24"/>
  <c r="B153" i="24"/>
  <c r="B152" i="24"/>
  <c r="B151" i="24"/>
  <c r="B150" i="24"/>
  <c r="B149" i="24"/>
  <c r="B148" i="24"/>
  <c r="B147" i="24"/>
  <c r="B146" i="24"/>
  <c r="B145" i="24"/>
  <c r="B144" i="24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B121" i="24"/>
  <c r="B120" i="24"/>
  <c r="B119" i="24"/>
  <c r="B118" i="24"/>
  <c r="B117" i="24"/>
  <c r="B116" i="24"/>
  <c r="B115" i="24"/>
  <c r="B114" i="24"/>
  <c r="B113" i="24"/>
  <c r="B112" i="24"/>
  <c r="B111" i="24"/>
  <c r="B110" i="24"/>
  <c r="B109" i="24"/>
  <c r="B108" i="24"/>
  <c r="B107" i="24"/>
  <c r="B106" i="24"/>
  <c r="B105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C285" i="39"/>
  <c r="C284" i="39"/>
  <c r="C283" i="39"/>
  <c r="C282" i="39"/>
  <c r="C281" i="39"/>
  <c r="C280" i="39"/>
  <c r="C279" i="39"/>
  <c r="C278" i="39"/>
  <c r="C277" i="39"/>
  <c r="C276" i="39"/>
  <c r="C275" i="39"/>
  <c r="C274" i="39"/>
  <c r="C273" i="39"/>
  <c r="C272" i="39"/>
  <c r="C271" i="39"/>
  <c r="C270" i="39"/>
  <c r="C269" i="39"/>
  <c r="C268" i="39"/>
  <c r="C267" i="39"/>
  <c r="C266" i="39"/>
  <c r="C265" i="39"/>
  <c r="C264" i="39"/>
  <c r="C263" i="39"/>
  <c r="C262" i="39"/>
  <c r="C261" i="39"/>
  <c r="C260" i="39"/>
  <c r="C259" i="39"/>
  <c r="C258" i="39"/>
  <c r="C257" i="39"/>
  <c r="C256" i="39"/>
  <c r="C255" i="39"/>
  <c r="C254" i="39"/>
  <c r="C253" i="39"/>
  <c r="C252" i="39"/>
  <c r="C251" i="39"/>
  <c r="C250" i="39"/>
  <c r="C249" i="39"/>
  <c r="C248" i="39"/>
  <c r="C247" i="39"/>
  <c r="C246" i="39"/>
  <c r="C245" i="39"/>
  <c r="C244" i="39"/>
  <c r="C243" i="39"/>
  <c r="C242" i="39"/>
  <c r="C241" i="39"/>
  <c r="C240" i="39"/>
  <c r="C239" i="39"/>
  <c r="C238" i="39"/>
  <c r="C237" i="39"/>
  <c r="C236" i="39"/>
  <c r="C235" i="39"/>
  <c r="C234" i="39"/>
  <c r="C233" i="39"/>
  <c r="C232" i="39"/>
  <c r="C231" i="39"/>
  <c r="C230" i="39"/>
  <c r="C229" i="39"/>
  <c r="C228" i="39"/>
  <c r="C227" i="39"/>
  <c r="C226" i="39"/>
  <c r="C225" i="39"/>
  <c r="C224" i="39"/>
  <c r="C223" i="39"/>
  <c r="C222" i="39"/>
  <c r="C221" i="39"/>
  <c r="C220" i="39"/>
  <c r="C219" i="39"/>
  <c r="C218" i="39"/>
  <c r="C217" i="39"/>
  <c r="C216" i="39"/>
  <c r="C215" i="39"/>
  <c r="C214" i="39"/>
  <c r="C213" i="39"/>
  <c r="C212" i="39"/>
  <c r="C211" i="39"/>
  <c r="C210" i="39"/>
  <c r="C209" i="39"/>
  <c r="C208" i="39"/>
  <c r="C207" i="39"/>
  <c r="C206" i="39"/>
  <c r="C205" i="39"/>
  <c r="C204" i="39"/>
  <c r="C203" i="39"/>
  <c r="C202" i="39"/>
  <c r="C201" i="39"/>
  <c r="C200" i="39"/>
  <c r="C199" i="39"/>
  <c r="C198" i="39"/>
  <c r="C197" i="39"/>
  <c r="C196" i="39"/>
  <c r="C195" i="39"/>
  <c r="C194" i="39"/>
  <c r="C193" i="39"/>
  <c r="C192" i="39"/>
  <c r="C191" i="39"/>
  <c r="C190" i="39"/>
  <c r="C189" i="39"/>
  <c r="C188" i="39"/>
  <c r="C187" i="39"/>
  <c r="C186" i="39"/>
  <c r="C185" i="39"/>
  <c r="C184" i="39"/>
  <c r="C183" i="39"/>
  <c r="C182" i="39"/>
  <c r="C181" i="39"/>
  <c r="C180" i="39"/>
  <c r="C179" i="39"/>
  <c r="C178" i="39"/>
  <c r="C177" i="39"/>
  <c r="C176" i="39"/>
  <c r="C175" i="39"/>
  <c r="C174" i="39"/>
  <c r="C173" i="39"/>
  <c r="C172" i="39"/>
  <c r="C171" i="39"/>
  <c r="C170" i="39"/>
  <c r="C169" i="39"/>
  <c r="C168" i="39"/>
  <c r="C167" i="39"/>
  <c r="C166" i="39"/>
  <c r="C165" i="39"/>
  <c r="C164" i="39"/>
  <c r="C163" i="39"/>
  <c r="C162" i="39"/>
  <c r="C161" i="39"/>
  <c r="C160" i="39"/>
  <c r="C159" i="39"/>
  <c r="C158" i="39"/>
  <c r="C157" i="39"/>
  <c r="C156" i="39"/>
  <c r="C155" i="39"/>
  <c r="C154" i="39"/>
  <c r="C153" i="39"/>
  <c r="C152" i="39"/>
  <c r="C151" i="39"/>
  <c r="C150" i="39"/>
  <c r="C149" i="39"/>
  <c r="C148" i="39"/>
  <c r="C147" i="39"/>
  <c r="C146" i="39"/>
  <c r="C145" i="39"/>
  <c r="C144" i="39"/>
  <c r="C143" i="39"/>
  <c r="C142" i="39"/>
  <c r="C141" i="39"/>
  <c r="C140" i="39"/>
  <c r="C139" i="39"/>
  <c r="C138" i="39"/>
  <c r="C137" i="39"/>
  <c r="C136" i="39"/>
  <c r="C135" i="39"/>
  <c r="C134" i="39"/>
  <c r="C133" i="39"/>
  <c r="C132" i="39"/>
  <c r="C131" i="39"/>
  <c r="C130" i="39"/>
  <c r="C129" i="39"/>
  <c r="C128" i="39"/>
  <c r="C127" i="39"/>
  <c r="C126" i="39"/>
  <c r="C125" i="39"/>
  <c r="C124" i="39"/>
  <c r="C123" i="39"/>
  <c r="C122" i="39"/>
  <c r="C121" i="39"/>
  <c r="C120" i="39"/>
  <c r="C119" i="39"/>
  <c r="C118" i="39"/>
  <c r="C117" i="39"/>
  <c r="C116" i="39"/>
  <c r="C115" i="39"/>
  <c r="C114" i="39"/>
  <c r="C113" i="39"/>
  <c r="C112" i="39"/>
  <c r="C111" i="39"/>
  <c r="C110" i="39"/>
  <c r="C109" i="39"/>
  <c r="C108" i="39"/>
  <c r="C107" i="39"/>
  <c r="C106" i="39"/>
  <c r="C105" i="39"/>
  <c r="C104" i="39"/>
  <c r="C103" i="39"/>
  <c r="C102" i="39"/>
  <c r="C101" i="39"/>
  <c r="C100" i="39"/>
  <c r="C99" i="39"/>
  <c r="C98" i="39"/>
  <c r="C97" i="39"/>
  <c r="C96" i="39"/>
  <c r="C95" i="39"/>
  <c r="C94" i="39"/>
  <c r="C93" i="39"/>
  <c r="C92" i="39"/>
  <c r="C91" i="39"/>
  <c r="C90" i="39"/>
  <c r="C89" i="39"/>
  <c r="C88" i="39"/>
  <c r="C87" i="39"/>
  <c r="C86" i="39"/>
  <c r="C85" i="39"/>
  <c r="C84" i="39"/>
  <c r="C83" i="39"/>
  <c r="C82" i="39"/>
  <c r="C81" i="39"/>
  <c r="C80" i="39"/>
  <c r="C79" i="39"/>
  <c r="C78" i="39"/>
  <c r="C77" i="39"/>
  <c r="C76" i="39"/>
  <c r="C75" i="39"/>
  <c r="C74" i="39"/>
  <c r="C73" i="39"/>
  <c r="C72" i="39"/>
  <c r="C71" i="39"/>
  <c r="C70" i="39"/>
  <c r="C69" i="39"/>
  <c r="C68" i="39"/>
  <c r="C67" i="39"/>
  <c r="C66" i="39"/>
  <c r="C65" i="39"/>
  <c r="C64" i="39"/>
  <c r="C63" i="39"/>
  <c r="C62" i="39"/>
  <c r="C61" i="39"/>
  <c r="C60" i="39"/>
  <c r="C59" i="39"/>
  <c r="C58" i="39"/>
  <c r="C57" i="39"/>
  <c r="C56" i="39"/>
  <c r="C55" i="39"/>
  <c r="C54" i="39"/>
  <c r="C53" i="39"/>
  <c r="C52" i="39"/>
  <c r="B285" i="39"/>
  <c r="B284" i="39"/>
  <c r="B283" i="39"/>
  <c r="B282" i="39"/>
  <c r="B281" i="39"/>
  <c r="B280" i="39"/>
  <c r="B279" i="39"/>
  <c r="B278" i="39"/>
  <c r="B277" i="39"/>
  <c r="B276" i="39"/>
  <c r="B275" i="39"/>
  <c r="B274" i="39"/>
  <c r="B273" i="39"/>
  <c r="B272" i="39"/>
  <c r="B271" i="39"/>
  <c r="B270" i="39"/>
  <c r="B269" i="39"/>
  <c r="B268" i="39"/>
  <c r="B267" i="39"/>
  <c r="B266" i="39"/>
  <c r="B265" i="39"/>
  <c r="B264" i="39"/>
  <c r="B263" i="39"/>
  <c r="B262" i="39"/>
  <c r="B261" i="39"/>
  <c r="B260" i="39"/>
  <c r="B259" i="39"/>
  <c r="B258" i="39"/>
  <c r="B257" i="39"/>
  <c r="B256" i="39"/>
  <c r="B255" i="39"/>
  <c r="B254" i="39"/>
  <c r="B253" i="39"/>
  <c r="B252" i="39"/>
  <c r="B251" i="39"/>
  <c r="B250" i="39"/>
  <c r="B249" i="39"/>
  <c r="B248" i="39"/>
  <c r="B247" i="39"/>
  <c r="B246" i="39"/>
  <c r="B245" i="39"/>
  <c r="B244" i="39"/>
  <c r="B243" i="39"/>
  <c r="B242" i="39"/>
  <c r="B241" i="39"/>
  <c r="B240" i="39"/>
  <c r="B239" i="39"/>
  <c r="B238" i="39"/>
  <c r="B237" i="39"/>
  <c r="B236" i="39"/>
  <c r="B235" i="39"/>
  <c r="B234" i="39"/>
  <c r="B233" i="39"/>
  <c r="B232" i="39"/>
  <c r="B231" i="39"/>
  <c r="B230" i="39"/>
  <c r="B229" i="39"/>
  <c r="B228" i="39"/>
  <c r="B227" i="39"/>
  <c r="B226" i="39"/>
  <c r="B225" i="39"/>
  <c r="B224" i="39"/>
  <c r="B223" i="39"/>
  <c r="B222" i="39"/>
  <c r="B221" i="39"/>
  <c r="B220" i="39"/>
  <c r="B219" i="39"/>
  <c r="B218" i="39"/>
  <c r="B217" i="39"/>
  <c r="B216" i="39"/>
  <c r="B215" i="39"/>
  <c r="B214" i="39"/>
  <c r="B213" i="39"/>
  <c r="B212" i="39"/>
  <c r="B211" i="39"/>
  <c r="B210" i="39"/>
  <c r="B209" i="39"/>
  <c r="B208" i="39"/>
  <c r="B207" i="39"/>
  <c r="B206" i="39"/>
  <c r="B205" i="39"/>
  <c r="B204" i="39"/>
  <c r="B203" i="39"/>
  <c r="B202" i="39"/>
  <c r="B201" i="39"/>
  <c r="B200" i="39"/>
  <c r="B199" i="39"/>
  <c r="B198" i="39"/>
  <c r="B197" i="39"/>
  <c r="B196" i="39"/>
  <c r="B195" i="39"/>
  <c r="B194" i="39"/>
  <c r="B193" i="39"/>
  <c r="B192" i="39"/>
  <c r="B191" i="39"/>
  <c r="B190" i="39"/>
  <c r="B189" i="39"/>
  <c r="B188" i="39"/>
  <c r="B187" i="39"/>
  <c r="B186" i="39"/>
  <c r="B185" i="39"/>
  <c r="B184" i="39"/>
  <c r="B183" i="39"/>
  <c r="B182" i="39"/>
  <c r="B181" i="39"/>
  <c r="B180" i="39"/>
  <c r="B179" i="39"/>
  <c r="B178" i="39"/>
  <c r="B177" i="39"/>
  <c r="B176" i="39"/>
  <c r="B175" i="39"/>
  <c r="B174" i="39"/>
  <c r="B173" i="39"/>
  <c r="B172" i="39"/>
  <c r="B171" i="39"/>
  <c r="B170" i="39"/>
  <c r="B169" i="39"/>
  <c r="B168" i="39"/>
  <c r="B167" i="39"/>
  <c r="B166" i="39"/>
  <c r="B165" i="39"/>
  <c r="B164" i="39"/>
  <c r="B163" i="39"/>
  <c r="B162" i="39"/>
  <c r="B161" i="39"/>
  <c r="B160" i="39"/>
  <c r="B159" i="39"/>
  <c r="B158" i="39"/>
  <c r="B157" i="39"/>
  <c r="B156" i="39"/>
  <c r="B155" i="39"/>
  <c r="B154" i="39"/>
  <c r="B153" i="39"/>
  <c r="B152" i="39"/>
  <c r="B151" i="39"/>
  <c r="B150" i="39"/>
  <c r="B149" i="39"/>
  <c r="B148" i="39"/>
  <c r="B147" i="39"/>
  <c r="B146" i="39"/>
  <c r="B145" i="39"/>
  <c r="B144" i="39"/>
  <c r="B143" i="39"/>
  <c r="B142" i="39"/>
  <c r="B141" i="39"/>
  <c r="B140" i="39"/>
  <c r="B139" i="39"/>
  <c r="B138" i="39"/>
  <c r="B137" i="39"/>
  <c r="B136" i="39"/>
  <c r="B135" i="39"/>
  <c r="B134" i="39"/>
  <c r="B133" i="39"/>
  <c r="B132" i="39"/>
  <c r="B131" i="39"/>
  <c r="B130" i="39"/>
  <c r="B129" i="39"/>
  <c r="B128" i="39"/>
  <c r="B127" i="39"/>
  <c r="B126" i="39"/>
  <c r="B125" i="39"/>
  <c r="B124" i="39"/>
  <c r="B123" i="39"/>
  <c r="B122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E843" i="22"/>
  <c r="E842" i="22"/>
  <c r="E841" i="22"/>
  <c r="E840" i="22"/>
  <c r="E839" i="22"/>
  <c r="E838" i="22"/>
  <c r="E837" i="22"/>
  <c r="E836" i="22"/>
  <c r="E835" i="22"/>
  <c r="E834" i="22"/>
  <c r="E833" i="22"/>
  <c r="E832" i="22"/>
  <c r="E831" i="22"/>
  <c r="E830" i="22"/>
  <c r="E829" i="22"/>
  <c r="E828" i="22"/>
  <c r="E827" i="22"/>
  <c r="E826" i="22"/>
  <c r="E825" i="22"/>
  <c r="E824" i="22"/>
  <c r="E823" i="22"/>
  <c r="E822" i="22"/>
  <c r="E821" i="22"/>
  <c r="E820" i="22"/>
  <c r="E819" i="22"/>
  <c r="E818" i="22"/>
  <c r="E817" i="22"/>
  <c r="E816" i="22"/>
  <c r="E815" i="22"/>
  <c r="E814" i="22"/>
  <c r="E813" i="22"/>
  <c r="E812" i="22"/>
  <c r="E811" i="22"/>
  <c r="E810" i="22"/>
  <c r="E809" i="22"/>
  <c r="E808" i="22"/>
  <c r="E807" i="22"/>
  <c r="E806" i="22"/>
  <c r="E805" i="22"/>
  <c r="E804" i="22"/>
  <c r="E803" i="22"/>
  <c r="E802" i="22"/>
  <c r="E801" i="22"/>
  <c r="E800" i="22"/>
  <c r="E799" i="22"/>
  <c r="E798" i="22"/>
  <c r="E797" i="22"/>
  <c r="E796" i="22"/>
  <c r="E795" i="22"/>
  <c r="E794" i="22"/>
  <c r="E793" i="22"/>
  <c r="E792" i="22"/>
  <c r="E791" i="22"/>
  <c r="E790" i="22"/>
  <c r="E789" i="22"/>
  <c r="E788" i="22"/>
  <c r="E787" i="22"/>
  <c r="E786" i="22"/>
  <c r="E785" i="22"/>
  <c r="E784" i="22"/>
  <c r="E783" i="22"/>
  <c r="E782" i="22"/>
  <c r="E781" i="22"/>
  <c r="E780" i="22"/>
  <c r="E779" i="22"/>
  <c r="E778" i="22"/>
  <c r="E777" i="22"/>
  <c r="E776" i="22"/>
  <c r="E775" i="22"/>
  <c r="E774" i="22"/>
  <c r="E773" i="22"/>
  <c r="E772" i="22"/>
  <c r="E771" i="22"/>
  <c r="E770" i="22"/>
  <c r="E769" i="22"/>
  <c r="E768" i="22"/>
  <c r="E767" i="22"/>
  <c r="E766" i="22"/>
  <c r="E765" i="22"/>
  <c r="E764" i="22"/>
  <c r="E763" i="22"/>
  <c r="E762" i="22"/>
  <c r="E761" i="22"/>
  <c r="E760" i="22"/>
  <c r="E759" i="22"/>
  <c r="E758" i="22"/>
  <c r="E757" i="22"/>
  <c r="E756" i="22"/>
  <c r="E755" i="22"/>
  <c r="E754" i="22"/>
  <c r="E753" i="22"/>
  <c r="E752" i="22"/>
  <c r="E751" i="22"/>
  <c r="E750" i="22"/>
  <c r="E749" i="22"/>
  <c r="E748" i="22"/>
  <c r="E747" i="22"/>
  <c r="E746" i="22"/>
  <c r="E745" i="22"/>
  <c r="E744" i="22"/>
  <c r="E743" i="22"/>
  <c r="E742" i="22"/>
  <c r="E741" i="22"/>
  <c r="E740" i="22"/>
  <c r="E739" i="22"/>
  <c r="E738" i="22"/>
  <c r="E737" i="22"/>
  <c r="E736" i="22"/>
  <c r="E735" i="22"/>
  <c r="E734" i="22"/>
  <c r="E733" i="22"/>
  <c r="E732" i="22"/>
  <c r="E731" i="22"/>
  <c r="E730" i="22"/>
  <c r="E729" i="22"/>
  <c r="E728" i="22"/>
  <c r="E727" i="22"/>
  <c r="E726" i="22"/>
  <c r="E725" i="22"/>
  <c r="E724" i="22"/>
  <c r="E723" i="22"/>
  <c r="E722" i="22"/>
  <c r="E721" i="22"/>
  <c r="E720" i="22"/>
  <c r="E719" i="22"/>
  <c r="E718" i="22"/>
  <c r="E717" i="22"/>
  <c r="E716" i="22"/>
  <c r="E715" i="22"/>
  <c r="E714" i="22"/>
  <c r="E713" i="22"/>
  <c r="E712" i="22"/>
  <c r="E711" i="22"/>
  <c r="E710" i="22"/>
  <c r="E709" i="22"/>
  <c r="E708" i="22"/>
  <c r="E707" i="22"/>
  <c r="E706" i="22"/>
  <c r="E705" i="22"/>
  <c r="E704" i="22"/>
  <c r="E703" i="22"/>
  <c r="E702" i="22"/>
  <c r="E701" i="22"/>
  <c r="E700" i="22"/>
  <c r="E699" i="22"/>
  <c r="E698" i="22"/>
  <c r="E697" i="22"/>
  <c r="E696" i="22"/>
  <c r="E695" i="22"/>
  <c r="E694" i="22"/>
  <c r="E693" i="22"/>
  <c r="E692" i="22"/>
  <c r="E691" i="22"/>
  <c r="E690" i="22"/>
  <c r="E689" i="22"/>
  <c r="E688" i="22"/>
  <c r="E687" i="22"/>
  <c r="E686" i="22"/>
  <c r="E685" i="22"/>
  <c r="E684" i="22"/>
  <c r="E683" i="22"/>
  <c r="E682" i="22"/>
  <c r="E681" i="22"/>
  <c r="E680" i="22"/>
  <c r="E679" i="22"/>
  <c r="E678" i="22"/>
  <c r="E677" i="22"/>
  <c r="E676" i="22"/>
  <c r="E675" i="22"/>
  <c r="E674" i="22"/>
  <c r="E673" i="22"/>
  <c r="E672" i="22"/>
  <c r="E671" i="22"/>
  <c r="E670" i="22"/>
  <c r="E669" i="22"/>
  <c r="E668" i="22"/>
  <c r="E667" i="22"/>
  <c r="E666" i="22"/>
  <c r="E665" i="22"/>
  <c r="E664" i="22"/>
  <c r="E663" i="22"/>
  <c r="E662" i="22"/>
  <c r="E661" i="22"/>
  <c r="E660" i="22"/>
  <c r="E659" i="22"/>
  <c r="E658" i="22"/>
  <c r="E657" i="22"/>
  <c r="E656" i="22"/>
  <c r="E655" i="22"/>
  <c r="E654" i="22"/>
  <c r="E653" i="22"/>
  <c r="E652" i="22"/>
  <c r="E651" i="22"/>
  <c r="E650" i="22"/>
  <c r="E649" i="22"/>
  <c r="E648" i="22"/>
  <c r="E647" i="22"/>
  <c r="E646" i="22"/>
  <c r="E645" i="22"/>
  <c r="E644" i="22"/>
  <c r="E643" i="22"/>
  <c r="E642" i="22"/>
  <c r="E641" i="22"/>
  <c r="E640" i="22"/>
  <c r="E639" i="22"/>
  <c r="E638" i="22"/>
  <c r="E637" i="22"/>
  <c r="E636" i="22"/>
  <c r="E635" i="22"/>
  <c r="E634" i="22"/>
  <c r="E633" i="22"/>
  <c r="E632" i="22"/>
  <c r="E631" i="22"/>
  <c r="E630" i="22"/>
  <c r="E629" i="22"/>
  <c r="E628" i="22"/>
  <c r="E627" i="22"/>
  <c r="E626" i="22"/>
  <c r="E625" i="22"/>
  <c r="E624" i="22"/>
  <c r="E623" i="22"/>
  <c r="E622" i="22"/>
  <c r="E621" i="22"/>
  <c r="E620" i="22"/>
  <c r="E619" i="22"/>
  <c r="E618" i="22"/>
  <c r="E617" i="22"/>
  <c r="E616" i="22"/>
  <c r="E615" i="22"/>
  <c r="E614" i="22"/>
  <c r="E613" i="22"/>
  <c r="E612" i="22"/>
  <c r="E611" i="22"/>
  <c r="E610" i="22"/>
  <c r="E609" i="22"/>
  <c r="E608" i="22"/>
  <c r="E607" i="22"/>
  <c r="E606" i="22"/>
  <c r="E605" i="22"/>
  <c r="E604" i="22"/>
  <c r="E603" i="22"/>
  <c r="E602" i="22"/>
  <c r="E601" i="22"/>
  <c r="E600" i="22"/>
  <c r="E599" i="22"/>
  <c r="E598" i="22"/>
  <c r="E597" i="22"/>
  <c r="E596" i="22"/>
  <c r="E595" i="22"/>
  <c r="E594" i="22"/>
  <c r="E593" i="22"/>
  <c r="E592" i="22"/>
  <c r="E591" i="22"/>
  <c r="E590" i="22"/>
  <c r="E589" i="22"/>
  <c r="E588" i="22"/>
  <c r="E587" i="22"/>
  <c r="E586" i="22"/>
  <c r="E585" i="22"/>
  <c r="E584" i="22"/>
  <c r="E583" i="22"/>
  <c r="E582" i="22"/>
  <c r="E581" i="22"/>
  <c r="E580" i="22"/>
  <c r="E579" i="22"/>
  <c r="E578" i="22"/>
  <c r="E577" i="22"/>
  <c r="E576" i="22"/>
  <c r="E575" i="22"/>
  <c r="E574" i="22"/>
  <c r="E573" i="22"/>
  <c r="E572" i="22"/>
  <c r="E571" i="22"/>
  <c r="E570" i="22"/>
  <c r="E569" i="22"/>
  <c r="E568" i="22"/>
  <c r="E567" i="22"/>
  <c r="E566" i="22"/>
  <c r="E565" i="22"/>
  <c r="E564" i="22"/>
  <c r="E563" i="22"/>
  <c r="E562" i="22"/>
  <c r="E561" i="22"/>
  <c r="E560" i="22"/>
  <c r="E559" i="22"/>
  <c r="E558" i="22"/>
  <c r="E557" i="22"/>
  <c r="E556" i="22"/>
  <c r="E555" i="22"/>
  <c r="E554" i="22"/>
  <c r="E553" i="22"/>
  <c r="E552" i="22"/>
  <c r="E551" i="22"/>
  <c r="E550" i="22"/>
  <c r="E549" i="22"/>
  <c r="E548" i="22"/>
  <c r="E547" i="22"/>
  <c r="E546" i="22"/>
  <c r="E545" i="22"/>
  <c r="E544" i="22"/>
  <c r="E543" i="22"/>
  <c r="E542" i="22"/>
  <c r="E541" i="22"/>
  <c r="E540" i="22"/>
  <c r="E539" i="22"/>
  <c r="E538" i="22"/>
  <c r="E537" i="22"/>
  <c r="E536" i="22"/>
  <c r="E535" i="22"/>
  <c r="E534" i="22"/>
  <c r="E533" i="22"/>
  <c r="E532" i="22"/>
  <c r="E531" i="22"/>
  <c r="E530" i="22"/>
  <c r="E529" i="22"/>
  <c r="E528" i="22"/>
  <c r="E527" i="22"/>
  <c r="E526" i="22"/>
  <c r="E525" i="22"/>
  <c r="E524" i="22"/>
  <c r="E523" i="22"/>
  <c r="E522" i="22"/>
  <c r="E521" i="22"/>
  <c r="E520" i="22"/>
  <c r="E519" i="22"/>
  <c r="E518" i="22"/>
  <c r="E517" i="22"/>
  <c r="E516" i="22"/>
  <c r="E515" i="22"/>
  <c r="E514" i="22"/>
  <c r="E513" i="22"/>
  <c r="E512" i="22"/>
  <c r="E511" i="22"/>
  <c r="E510" i="22"/>
  <c r="E509" i="22"/>
  <c r="E508" i="22"/>
  <c r="E507" i="22"/>
  <c r="E506" i="22"/>
  <c r="E505" i="22"/>
  <c r="E504" i="22"/>
  <c r="E503" i="22"/>
  <c r="E502" i="22"/>
  <c r="E501" i="22"/>
  <c r="E500" i="22"/>
  <c r="E499" i="22"/>
  <c r="E498" i="22"/>
  <c r="E497" i="22"/>
  <c r="E496" i="22"/>
  <c r="E495" i="22"/>
  <c r="E494" i="22"/>
  <c r="E493" i="22"/>
  <c r="E492" i="22"/>
  <c r="E491" i="22"/>
  <c r="E490" i="22"/>
  <c r="E489" i="22"/>
  <c r="E488" i="22"/>
  <c r="E487" i="22"/>
  <c r="E486" i="22"/>
  <c r="E485" i="22"/>
  <c r="E484" i="22"/>
  <c r="E483" i="22"/>
  <c r="E482" i="22"/>
  <c r="E481" i="22"/>
  <c r="E480" i="22"/>
  <c r="E479" i="22"/>
  <c r="E478" i="22"/>
  <c r="E477" i="22"/>
  <c r="E476" i="22"/>
  <c r="E475" i="22"/>
  <c r="E474" i="22"/>
  <c r="E473" i="22"/>
  <c r="E472" i="22"/>
  <c r="E471" i="22"/>
  <c r="E470" i="22"/>
  <c r="E469" i="22"/>
  <c r="E468" i="22"/>
  <c r="E467" i="22"/>
  <c r="E466" i="22"/>
  <c r="E465" i="22"/>
  <c r="E464" i="22"/>
  <c r="E463" i="22"/>
  <c r="E462" i="22"/>
  <c r="E461" i="22"/>
  <c r="E460" i="22"/>
  <c r="E459" i="22"/>
  <c r="E458" i="22"/>
  <c r="E457" i="22"/>
  <c r="E456" i="22"/>
  <c r="E455" i="22"/>
  <c r="E454" i="22"/>
  <c r="E453" i="22"/>
  <c r="E452" i="22"/>
  <c r="E451" i="22"/>
  <c r="E450" i="22"/>
  <c r="E449" i="22"/>
  <c r="E448" i="22"/>
  <c r="E447" i="22"/>
  <c r="E446" i="22"/>
  <c r="E445" i="22"/>
  <c r="E444" i="22"/>
  <c r="E443" i="22"/>
  <c r="E442" i="22"/>
  <c r="E441" i="22"/>
  <c r="E440" i="22"/>
  <c r="E439" i="22"/>
  <c r="E438" i="22"/>
  <c r="E437" i="22"/>
  <c r="E436" i="22"/>
  <c r="E435" i="22"/>
  <c r="E434" i="22"/>
  <c r="E433" i="22"/>
  <c r="E432" i="22"/>
  <c r="E431" i="22"/>
  <c r="E430" i="22"/>
  <c r="E429" i="22"/>
  <c r="E428" i="22"/>
  <c r="E427" i="22"/>
  <c r="E426" i="22"/>
  <c r="E425" i="22"/>
  <c r="E424" i="22"/>
  <c r="E423" i="22"/>
  <c r="E422" i="22"/>
  <c r="E421" i="22"/>
  <c r="E420" i="22"/>
  <c r="E419" i="22"/>
  <c r="E418" i="22"/>
  <c r="E417" i="22"/>
  <c r="E416" i="22"/>
  <c r="E415" i="22"/>
  <c r="E414" i="22"/>
  <c r="E413" i="22"/>
  <c r="E412" i="22"/>
  <c r="E411" i="22"/>
  <c r="E410" i="22"/>
  <c r="E409" i="22"/>
  <c r="E408" i="22"/>
  <c r="E407" i="22"/>
  <c r="E406" i="22"/>
  <c r="E405" i="22"/>
  <c r="E404" i="22"/>
  <c r="E403" i="22"/>
  <c r="E402" i="22"/>
  <c r="E401" i="22"/>
  <c r="E400" i="22"/>
  <c r="E399" i="22"/>
  <c r="E398" i="22"/>
  <c r="E397" i="22"/>
  <c r="E396" i="22"/>
  <c r="E395" i="22"/>
  <c r="E394" i="22"/>
  <c r="E393" i="22"/>
  <c r="E392" i="22"/>
  <c r="E391" i="22"/>
  <c r="E390" i="22"/>
  <c r="E389" i="22"/>
  <c r="E388" i="22"/>
  <c r="E387" i="22"/>
  <c r="E386" i="22"/>
  <c r="E385" i="22"/>
  <c r="E384" i="22"/>
  <c r="E383" i="22"/>
  <c r="E382" i="22"/>
  <c r="E381" i="22"/>
  <c r="E380" i="22"/>
  <c r="E379" i="22"/>
  <c r="E378" i="22"/>
  <c r="E377" i="22"/>
  <c r="E376" i="22"/>
  <c r="E375" i="22"/>
  <c r="E374" i="22"/>
  <c r="E373" i="22"/>
  <c r="E372" i="22"/>
  <c r="E371" i="22"/>
  <c r="E370" i="22"/>
  <c r="E369" i="22"/>
  <c r="E368" i="22"/>
  <c r="E367" i="22"/>
  <c r="E366" i="22"/>
  <c r="E365" i="22"/>
  <c r="E364" i="22"/>
  <c r="E363" i="22"/>
  <c r="E362" i="22"/>
  <c r="E361" i="22"/>
  <c r="E360" i="22"/>
  <c r="E359" i="22"/>
  <c r="E358" i="22"/>
  <c r="E357" i="22"/>
  <c r="E356" i="22"/>
  <c r="E355" i="22"/>
  <c r="E354" i="22"/>
  <c r="E353" i="22"/>
  <c r="E352" i="22"/>
  <c r="E351" i="22"/>
  <c r="E350" i="22"/>
  <c r="E349" i="22"/>
  <c r="E348" i="22"/>
  <c r="E347" i="22"/>
  <c r="E346" i="22"/>
  <c r="E345" i="22"/>
  <c r="E344" i="22"/>
  <c r="E343" i="22"/>
  <c r="E342" i="22"/>
  <c r="E341" i="22"/>
  <c r="E340" i="22"/>
  <c r="E339" i="22"/>
  <c r="E338" i="22"/>
  <c r="E337" i="22"/>
  <c r="E336" i="22"/>
  <c r="E335" i="22"/>
  <c r="E334" i="22"/>
  <c r="E333" i="22"/>
  <c r="E332" i="22"/>
  <c r="E331" i="22"/>
  <c r="E330" i="22"/>
  <c r="E329" i="22"/>
  <c r="E328" i="22"/>
  <c r="E327" i="22"/>
  <c r="E326" i="22"/>
  <c r="E325" i="22"/>
  <c r="E324" i="22"/>
  <c r="E323" i="22"/>
  <c r="E322" i="22"/>
  <c r="E321" i="22"/>
  <c r="E320" i="22"/>
  <c r="E319" i="22"/>
  <c r="E318" i="22"/>
  <c r="E317" i="22"/>
  <c r="E316" i="22"/>
  <c r="E315" i="22"/>
  <c r="E314" i="22"/>
  <c r="E313" i="22"/>
  <c r="E312" i="22"/>
  <c r="E311" i="22"/>
  <c r="E310" i="22"/>
  <c r="E309" i="22"/>
  <c r="E308" i="22"/>
  <c r="E307" i="22"/>
  <c r="E306" i="22"/>
  <c r="E305" i="22"/>
  <c r="E304" i="22"/>
  <c r="E303" i="22"/>
  <c r="E302" i="22"/>
  <c r="E301" i="22"/>
  <c r="E300" i="22"/>
  <c r="E299" i="22"/>
  <c r="E298" i="22"/>
  <c r="E297" i="22"/>
  <c r="E296" i="22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D843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C843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C51" i="22"/>
  <c r="C50" i="22"/>
  <c r="C49" i="22"/>
  <c r="C48" i="22"/>
  <c r="C47" i="22"/>
  <c r="C46" i="22"/>
  <c r="C45" i="22"/>
  <c r="C44" i="22"/>
  <c r="C43" i="22"/>
  <c r="C42" i="22"/>
  <c r="C41" i="22"/>
  <c r="C40" i="22"/>
  <c r="C39" i="22"/>
  <c r="C38" i="22"/>
  <c r="C37" i="22"/>
  <c r="C3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9" i="22"/>
  <c r="C8" i="22"/>
  <c r="C7" i="22"/>
  <c r="C6" i="22"/>
  <c r="C5" i="22"/>
  <c r="C4" i="22"/>
  <c r="C3" i="22"/>
  <c r="C2" i="22"/>
  <c r="B843" i="22"/>
  <c r="B842" i="22"/>
  <c r="B841" i="22"/>
  <c r="B840" i="22"/>
  <c r="B839" i="22"/>
  <c r="B838" i="22"/>
  <c r="B837" i="22"/>
  <c r="B836" i="22"/>
  <c r="B835" i="22"/>
  <c r="B834" i="22"/>
  <c r="B833" i="22"/>
  <c r="B832" i="22"/>
  <c r="B831" i="22"/>
  <c r="B830" i="22"/>
  <c r="B829" i="22"/>
  <c r="B828" i="22"/>
  <c r="B827" i="22"/>
  <c r="B826" i="22"/>
  <c r="B825" i="22"/>
  <c r="B824" i="22"/>
  <c r="B823" i="22"/>
  <c r="B822" i="22"/>
  <c r="B821" i="22"/>
  <c r="B820" i="22"/>
  <c r="B819" i="22"/>
  <c r="B818" i="22"/>
  <c r="B817" i="22"/>
  <c r="B816" i="22"/>
  <c r="B815" i="22"/>
  <c r="B814" i="22"/>
  <c r="B813" i="22"/>
  <c r="B812" i="22"/>
  <c r="B811" i="22"/>
  <c r="B810" i="22"/>
  <c r="B809" i="22"/>
  <c r="B808" i="22"/>
  <c r="B807" i="22"/>
  <c r="B806" i="22"/>
  <c r="B805" i="22"/>
  <c r="B804" i="22"/>
  <c r="B803" i="22"/>
  <c r="B802" i="22"/>
  <c r="B801" i="22"/>
  <c r="B800" i="22"/>
  <c r="B799" i="22"/>
  <c r="B798" i="22"/>
  <c r="B797" i="22"/>
  <c r="B796" i="22"/>
  <c r="B795" i="22"/>
  <c r="B794" i="22"/>
  <c r="B793" i="22"/>
  <c r="B792" i="22"/>
  <c r="B791" i="22"/>
  <c r="B790" i="22"/>
  <c r="B789" i="22"/>
  <c r="B788" i="22"/>
  <c r="B787" i="22"/>
  <c r="B786" i="22"/>
  <c r="B785" i="22"/>
  <c r="B784" i="22"/>
  <c r="B783" i="22"/>
  <c r="B782" i="22"/>
  <c r="B781" i="22"/>
  <c r="B780" i="22"/>
  <c r="B779" i="22"/>
  <c r="B778" i="22"/>
  <c r="B777" i="22"/>
  <c r="B776" i="22"/>
  <c r="B775" i="22"/>
  <c r="B774" i="22"/>
  <c r="B773" i="22"/>
  <c r="B772" i="22"/>
  <c r="B771" i="22"/>
  <c r="B770" i="22"/>
  <c r="B769" i="22"/>
  <c r="B768" i="22"/>
  <c r="B767" i="22"/>
  <c r="B766" i="22"/>
  <c r="B765" i="22"/>
  <c r="B764" i="22"/>
  <c r="B763" i="22"/>
  <c r="B762" i="22"/>
  <c r="B761" i="22"/>
  <c r="B760" i="22"/>
  <c r="B759" i="22"/>
  <c r="B758" i="22"/>
  <c r="B757" i="22"/>
  <c r="B756" i="22"/>
  <c r="B755" i="22"/>
  <c r="B754" i="22"/>
  <c r="B753" i="22"/>
  <c r="B752" i="22"/>
  <c r="B751" i="22"/>
  <c r="B750" i="22"/>
  <c r="B749" i="22"/>
  <c r="B748" i="22"/>
  <c r="B747" i="22"/>
  <c r="B746" i="22"/>
  <c r="B745" i="22"/>
  <c r="B744" i="22"/>
  <c r="B743" i="22"/>
  <c r="B742" i="22"/>
  <c r="B741" i="22"/>
  <c r="B740" i="22"/>
  <c r="B739" i="22"/>
  <c r="B738" i="22"/>
  <c r="B737" i="22"/>
  <c r="B736" i="22"/>
  <c r="B735" i="22"/>
  <c r="B734" i="22"/>
  <c r="B733" i="22"/>
  <c r="B732" i="22"/>
  <c r="B731" i="22"/>
  <c r="B730" i="22"/>
  <c r="B729" i="22"/>
  <c r="B728" i="22"/>
  <c r="B727" i="22"/>
  <c r="B726" i="22"/>
  <c r="B725" i="22"/>
  <c r="B724" i="22"/>
  <c r="B723" i="22"/>
  <c r="B722" i="22"/>
  <c r="B721" i="22"/>
  <c r="B720" i="22"/>
  <c r="B719" i="22"/>
  <c r="B718" i="22"/>
  <c r="B717" i="22"/>
  <c r="B716" i="22"/>
  <c r="B715" i="22"/>
  <c r="B714" i="22"/>
  <c r="B713" i="22"/>
  <c r="B712" i="22"/>
  <c r="B711" i="22"/>
  <c r="B710" i="22"/>
  <c r="B709" i="22"/>
  <c r="B708" i="22"/>
  <c r="B707" i="22"/>
  <c r="B706" i="22"/>
  <c r="B705" i="22"/>
  <c r="B704" i="22"/>
  <c r="B703" i="22"/>
  <c r="B702" i="22"/>
  <c r="B701" i="22"/>
  <c r="B700" i="22"/>
  <c r="B699" i="22"/>
  <c r="B698" i="22"/>
  <c r="B697" i="22"/>
  <c r="B696" i="22"/>
  <c r="B695" i="22"/>
  <c r="B694" i="22"/>
  <c r="B693" i="22"/>
  <c r="B692" i="22"/>
  <c r="B691" i="22"/>
  <c r="B690" i="22"/>
  <c r="B689" i="22"/>
  <c r="B688" i="22"/>
  <c r="B687" i="22"/>
  <c r="B686" i="22"/>
  <c r="B685" i="22"/>
  <c r="B684" i="22"/>
  <c r="B683" i="22"/>
  <c r="B682" i="22"/>
  <c r="B681" i="22"/>
  <c r="B680" i="22"/>
  <c r="B679" i="22"/>
  <c r="B678" i="22"/>
  <c r="B677" i="22"/>
  <c r="B676" i="22"/>
  <c r="B675" i="22"/>
  <c r="B674" i="22"/>
  <c r="B673" i="22"/>
  <c r="B672" i="22"/>
  <c r="B671" i="22"/>
  <c r="B670" i="22"/>
  <c r="B669" i="22"/>
  <c r="B668" i="22"/>
  <c r="B667" i="22"/>
  <c r="B666" i="22"/>
  <c r="B665" i="22"/>
  <c r="B664" i="22"/>
  <c r="B663" i="22"/>
  <c r="B662" i="22"/>
  <c r="B661" i="22"/>
  <c r="B660" i="22"/>
  <c r="B659" i="22"/>
  <c r="B658" i="22"/>
  <c r="B657" i="22"/>
  <c r="B656" i="22"/>
  <c r="B655" i="22"/>
  <c r="B654" i="22"/>
  <c r="B653" i="22"/>
  <c r="B652" i="22"/>
  <c r="B651" i="22"/>
  <c r="B650" i="22"/>
  <c r="B649" i="22"/>
  <c r="B648" i="22"/>
  <c r="B647" i="22"/>
  <c r="B646" i="22"/>
  <c r="B645" i="22"/>
  <c r="B644" i="22"/>
  <c r="B643" i="22"/>
  <c r="B642" i="22"/>
  <c r="B641" i="22"/>
  <c r="B640" i="22"/>
  <c r="B639" i="22"/>
  <c r="B638" i="22"/>
  <c r="B637" i="22"/>
  <c r="B636" i="22"/>
  <c r="B635" i="22"/>
  <c r="B634" i="22"/>
  <c r="B633" i="22"/>
  <c r="B632" i="22"/>
  <c r="B631" i="22"/>
  <c r="B630" i="22"/>
  <c r="B629" i="22"/>
  <c r="B628" i="22"/>
  <c r="B627" i="22"/>
  <c r="B626" i="22"/>
  <c r="B625" i="22"/>
  <c r="B624" i="22"/>
  <c r="B623" i="22"/>
  <c r="B622" i="22"/>
  <c r="B621" i="22"/>
  <c r="B620" i="22"/>
  <c r="B619" i="22"/>
  <c r="B618" i="22"/>
  <c r="B617" i="22"/>
  <c r="B616" i="22"/>
  <c r="B615" i="22"/>
  <c r="B614" i="22"/>
  <c r="B613" i="22"/>
  <c r="B612" i="22"/>
  <c r="B611" i="22"/>
  <c r="B610" i="22"/>
  <c r="B609" i="22"/>
  <c r="B608" i="22"/>
  <c r="B607" i="22"/>
  <c r="B606" i="22"/>
  <c r="B605" i="22"/>
  <c r="B604" i="22"/>
  <c r="B603" i="22"/>
  <c r="B602" i="22"/>
  <c r="B601" i="22"/>
  <c r="B600" i="22"/>
  <c r="B599" i="22"/>
  <c r="B598" i="22"/>
  <c r="B597" i="22"/>
  <c r="B596" i="22"/>
  <c r="B595" i="22"/>
  <c r="B594" i="22"/>
  <c r="B593" i="22"/>
  <c r="B592" i="22"/>
  <c r="B591" i="22"/>
  <c r="B590" i="22"/>
  <c r="B589" i="22"/>
  <c r="B588" i="22"/>
  <c r="B587" i="22"/>
  <c r="B586" i="22"/>
  <c r="B585" i="22"/>
  <c r="B584" i="22"/>
  <c r="B583" i="22"/>
  <c r="B582" i="22"/>
  <c r="B581" i="22"/>
  <c r="B580" i="22"/>
  <c r="B579" i="22"/>
  <c r="B578" i="22"/>
  <c r="B577" i="22"/>
  <c r="B576" i="22"/>
  <c r="B575" i="22"/>
  <c r="B574" i="22"/>
  <c r="B573" i="22"/>
  <c r="B572" i="22"/>
  <c r="B571" i="22"/>
  <c r="B570" i="22"/>
  <c r="B569" i="22"/>
  <c r="B568" i="22"/>
  <c r="B567" i="22"/>
  <c r="B566" i="22"/>
  <c r="B565" i="22"/>
  <c r="B564" i="22"/>
  <c r="B563" i="22"/>
  <c r="B562" i="22"/>
  <c r="B561" i="22"/>
  <c r="B560" i="22"/>
  <c r="B559" i="22"/>
  <c r="B558" i="22"/>
  <c r="B557" i="22"/>
  <c r="B556" i="22"/>
  <c r="B555" i="22"/>
  <c r="B554" i="22"/>
  <c r="B553" i="22"/>
  <c r="B552" i="22"/>
  <c r="B551" i="22"/>
  <c r="B550" i="22"/>
  <c r="B549" i="22"/>
  <c r="B548" i="22"/>
  <c r="B547" i="22"/>
  <c r="B546" i="22"/>
  <c r="B545" i="22"/>
  <c r="B544" i="22"/>
  <c r="B543" i="22"/>
  <c r="B542" i="22"/>
  <c r="B541" i="22"/>
  <c r="B540" i="22"/>
  <c r="B539" i="22"/>
  <c r="B538" i="22"/>
  <c r="B537" i="22"/>
  <c r="B536" i="22"/>
  <c r="B535" i="22"/>
  <c r="B534" i="22"/>
  <c r="B533" i="22"/>
  <c r="B532" i="22"/>
  <c r="B531" i="22"/>
  <c r="B530" i="22"/>
  <c r="B529" i="22"/>
  <c r="B528" i="22"/>
  <c r="B527" i="22"/>
  <c r="B526" i="22"/>
  <c r="B525" i="22"/>
  <c r="B524" i="22"/>
  <c r="B523" i="22"/>
  <c r="B522" i="22"/>
  <c r="B521" i="22"/>
  <c r="B520" i="22"/>
  <c r="B519" i="22"/>
  <c r="B518" i="22"/>
  <c r="B517" i="22"/>
  <c r="B516" i="22"/>
  <c r="B515" i="22"/>
  <c r="B514" i="22"/>
  <c r="B513" i="22"/>
  <c r="B512" i="22"/>
  <c r="B511" i="22"/>
  <c r="B510" i="22"/>
  <c r="B509" i="22"/>
  <c r="B508" i="22"/>
  <c r="B507" i="22"/>
  <c r="B506" i="22"/>
  <c r="B505" i="22"/>
  <c r="B504" i="22"/>
  <c r="B503" i="22"/>
  <c r="B502" i="22"/>
  <c r="B501" i="22"/>
  <c r="B500" i="22"/>
  <c r="B499" i="22"/>
  <c r="B498" i="22"/>
  <c r="B497" i="22"/>
  <c r="B496" i="22"/>
  <c r="B495" i="22"/>
  <c r="B494" i="22"/>
  <c r="B493" i="22"/>
  <c r="B492" i="22"/>
  <c r="B491" i="22"/>
  <c r="B490" i="22"/>
  <c r="B489" i="22"/>
  <c r="B488" i="22"/>
  <c r="B487" i="22"/>
  <c r="B486" i="22"/>
  <c r="B485" i="22"/>
  <c r="B484" i="22"/>
  <c r="B483" i="22"/>
  <c r="B482" i="22"/>
  <c r="B481" i="22"/>
  <c r="B480" i="22"/>
  <c r="B479" i="22"/>
  <c r="B478" i="22"/>
  <c r="B477" i="22"/>
  <c r="B476" i="22"/>
  <c r="B475" i="22"/>
  <c r="B474" i="22"/>
  <c r="B473" i="22"/>
  <c r="B472" i="22"/>
  <c r="B471" i="22"/>
  <c r="B470" i="22"/>
  <c r="B469" i="22"/>
  <c r="B468" i="22"/>
  <c r="B467" i="22"/>
  <c r="B466" i="22"/>
  <c r="B465" i="22"/>
  <c r="B464" i="22"/>
  <c r="B463" i="22"/>
  <c r="B462" i="22"/>
  <c r="B461" i="22"/>
  <c r="B460" i="22"/>
  <c r="B459" i="22"/>
  <c r="B458" i="22"/>
  <c r="B457" i="22"/>
  <c r="B456" i="22"/>
  <c r="B455" i="22"/>
  <c r="B454" i="22"/>
  <c r="B453" i="22"/>
  <c r="B452" i="22"/>
  <c r="B451" i="22"/>
  <c r="B450" i="22"/>
  <c r="B449" i="22"/>
  <c r="B448" i="22"/>
  <c r="B447" i="22"/>
  <c r="B446" i="22"/>
  <c r="B445" i="22"/>
  <c r="B444" i="22"/>
  <c r="B443" i="22"/>
  <c r="B442" i="22"/>
  <c r="B441" i="22"/>
  <c r="B440" i="22"/>
  <c r="B439" i="22"/>
  <c r="B438" i="22"/>
  <c r="B437" i="22"/>
  <c r="B436" i="22"/>
  <c r="B435" i="22"/>
  <c r="B434" i="22"/>
  <c r="B433" i="22"/>
  <c r="B432" i="22"/>
  <c r="B431" i="22"/>
  <c r="B430" i="22"/>
  <c r="B429" i="22"/>
  <c r="B428" i="22"/>
  <c r="B427" i="22"/>
  <c r="B426" i="22"/>
  <c r="B425" i="22"/>
  <c r="B424" i="22"/>
  <c r="B423" i="22"/>
  <c r="B422" i="22"/>
  <c r="B421" i="22"/>
  <c r="B420" i="22"/>
  <c r="B419" i="22"/>
  <c r="B418" i="22"/>
  <c r="B417" i="22"/>
  <c r="B416" i="22"/>
  <c r="B415" i="22"/>
  <c r="B414" i="22"/>
  <c r="B413" i="22"/>
  <c r="B412" i="22"/>
  <c r="B411" i="22"/>
  <c r="B410" i="22"/>
  <c r="B409" i="22"/>
  <c r="B408" i="22"/>
  <c r="B407" i="22"/>
  <c r="B406" i="22"/>
  <c r="B405" i="22"/>
  <c r="B404" i="22"/>
  <c r="B403" i="22"/>
  <c r="B402" i="22"/>
  <c r="B401" i="22"/>
  <c r="B400" i="22"/>
  <c r="B399" i="22"/>
  <c r="B398" i="22"/>
  <c r="B397" i="22"/>
  <c r="B396" i="22"/>
  <c r="B395" i="22"/>
  <c r="B394" i="22"/>
  <c r="B393" i="22"/>
  <c r="B392" i="22"/>
  <c r="B391" i="22"/>
  <c r="B390" i="22"/>
  <c r="B389" i="22"/>
  <c r="B388" i="22"/>
  <c r="B387" i="22"/>
  <c r="B386" i="22"/>
  <c r="B385" i="22"/>
  <c r="B384" i="22"/>
  <c r="B383" i="22"/>
  <c r="B382" i="22"/>
  <c r="B381" i="22"/>
  <c r="B380" i="22"/>
  <c r="B379" i="22"/>
  <c r="B378" i="22"/>
  <c r="B377" i="22"/>
  <c r="B376" i="22"/>
  <c r="B375" i="22"/>
  <c r="B374" i="22"/>
  <c r="B373" i="22"/>
  <c r="B372" i="22"/>
  <c r="B371" i="22"/>
  <c r="B370" i="22"/>
  <c r="B369" i="22"/>
  <c r="B368" i="22"/>
  <c r="B367" i="22"/>
  <c r="B366" i="22"/>
  <c r="B365" i="22"/>
  <c r="B364" i="22"/>
  <c r="B363" i="22"/>
  <c r="B362" i="22"/>
  <c r="B361" i="22"/>
  <c r="B360" i="22"/>
  <c r="B359" i="22"/>
  <c r="B358" i="22"/>
  <c r="B357" i="22"/>
  <c r="B356" i="22"/>
  <c r="B355" i="22"/>
  <c r="B354" i="22"/>
  <c r="B353" i="22"/>
  <c r="B352" i="22"/>
  <c r="B351" i="22"/>
  <c r="B350" i="22"/>
  <c r="B349" i="22"/>
  <c r="B348" i="22"/>
  <c r="B347" i="22"/>
  <c r="B346" i="22"/>
  <c r="B345" i="22"/>
  <c r="B344" i="22"/>
  <c r="B343" i="22"/>
  <c r="B342" i="22"/>
  <c r="B341" i="22"/>
  <c r="B340" i="22"/>
  <c r="B339" i="22"/>
  <c r="B338" i="22"/>
  <c r="B337" i="22"/>
  <c r="B336" i="22"/>
  <c r="B335" i="22"/>
  <c r="B334" i="22"/>
  <c r="B333" i="22"/>
  <c r="B332" i="22"/>
  <c r="B331" i="22"/>
  <c r="B330" i="22"/>
  <c r="B329" i="22"/>
  <c r="B328" i="22"/>
  <c r="B327" i="22"/>
  <c r="B326" i="22"/>
  <c r="B325" i="22"/>
  <c r="B324" i="22"/>
  <c r="B323" i="22"/>
  <c r="B322" i="22"/>
  <c r="B321" i="22"/>
  <c r="B320" i="22"/>
  <c r="B319" i="22"/>
  <c r="B318" i="22"/>
  <c r="B317" i="22"/>
  <c r="B316" i="22"/>
  <c r="B315" i="22"/>
  <c r="B314" i="22"/>
  <c r="B313" i="22"/>
  <c r="B312" i="22"/>
  <c r="B311" i="22"/>
  <c r="B310" i="22"/>
  <c r="B309" i="22"/>
  <c r="B308" i="22"/>
  <c r="B307" i="22"/>
  <c r="B306" i="22"/>
  <c r="B305" i="22"/>
  <c r="B304" i="22"/>
  <c r="B303" i="22"/>
  <c r="B302" i="22"/>
  <c r="B301" i="22"/>
  <c r="B300" i="22"/>
  <c r="B299" i="22"/>
  <c r="B298" i="22"/>
  <c r="B297" i="22"/>
  <c r="B296" i="22"/>
  <c r="B295" i="22"/>
  <c r="B294" i="22"/>
  <c r="B293" i="22"/>
  <c r="B292" i="22"/>
  <c r="B291" i="22"/>
  <c r="B290" i="22"/>
  <c r="B289" i="22"/>
  <c r="B288" i="22"/>
  <c r="B287" i="22"/>
  <c r="B286" i="22"/>
  <c r="B285" i="22"/>
  <c r="B284" i="22"/>
  <c r="B283" i="22"/>
  <c r="B282" i="22"/>
  <c r="B281" i="22"/>
  <c r="B280" i="22"/>
  <c r="B279" i="22"/>
  <c r="B278" i="22"/>
  <c r="B277" i="22"/>
  <c r="B276" i="22"/>
  <c r="B275" i="22"/>
  <c r="B274" i="22"/>
  <c r="B273" i="22"/>
  <c r="B272" i="22"/>
  <c r="B271" i="22"/>
  <c r="B270" i="22"/>
  <c r="B269" i="22"/>
  <c r="B268" i="22"/>
  <c r="B267" i="22"/>
  <c r="B266" i="22"/>
  <c r="B265" i="22"/>
  <c r="B264" i="22"/>
  <c r="B263" i="22"/>
  <c r="B262" i="22"/>
  <c r="B261" i="22"/>
  <c r="B260" i="22"/>
  <c r="B259" i="22"/>
  <c r="B258" i="22"/>
  <c r="B257" i="22"/>
  <c r="B256" i="22"/>
  <c r="B255" i="22"/>
  <c r="B254" i="22"/>
  <c r="B253" i="22"/>
  <c r="B252" i="22"/>
  <c r="B251" i="22"/>
  <c r="B250" i="22"/>
  <c r="B249" i="22"/>
  <c r="B248" i="22"/>
  <c r="B247" i="22"/>
  <c r="B246" i="22"/>
  <c r="B245" i="22"/>
  <c r="B244" i="22"/>
  <c r="B243" i="22"/>
  <c r="B242" i="22"/>
  <c r="B241" i="22"/>
  <c r="B240" i="22"/>
  <c r="B239" i="22"/>
  <c r="B238" i="22"/>
  <c r="B237" i="22"/>
  <c r="B236" i="22"/>
  <c r="B235" i="22"/>
  <c r="B234" i="22"/>
  <c r="B233" i="22"/>
  <c r="B232" i="22"/>
  <c r="B231" i="22"/>
  <c r="B230" i="22"/>
  <c r="B229" i="22"/>
  <c r="B228" i="22"/>
  <c r="B227" i="22"/>
  <c r="B226" i="22"/>
  <c r="B225" i="22"/>
  <c r="B224" i="22"/>
  <c r="B223" i="22"/>
  <c r="B222" i="22"/>
  <c r="B221" i="22"/>
  <c r="B220" i="22"/>
  <c r="B219" i="22"/>
  <c r="B218" i="22"/>
  <c r="B217" i="22"/>
  <c r="B216" i="22"/>
  <c r="B215" i="22"/>
  <c r="B214" i="22"/>
  <c r="B213" i="22"/>
  <c r="B212" i="22"/>
  <c r="B211" i="22"/>
  <c r="B210" i="22"/>
  <c r="B209" i="22"/>
  <c r="B208" i="22"/>
  <c r="B207" i="22"/>
  <c r="B206" i="22"/>
  <c r="B205" i="22"/>
  <c r="B204" i="22"/>
  <c r="B203" i="22"/>
  <c r="B202" i="22"/>
  <c r="B201" i="22"/>
  <c r="B200" i="22"/>
  <c r="B199" i="22"/>
  <c r="B198" i="22"/>
  <c r="B197" i="22"/>
  <c r="B196" i="22"/>
  <c r="B195" i="22"/>
  <c r="B194" i="22"/>
  <c r="B193" i="22"/>
  <c r="B192" i="22"/>
  <c r="B191" i="22"/>
  <c r="B190" i="22"/>
  <c r="B189" i="22"/>
  <c r="B188" i="22"/>
  <c r="B187" i="22"/>
  <c r="B186" i="22"/>
  <c r="B185" i="22"/>
  <c r="B184" i="22"/>
  <c r="B183" i="22"/>
  <c r="B182" i="22"/>
  <c r="B181" i="22"/>
  <c r="B180" i="22"/>
  <c r="B179" i="22"/>
  <c r="B178" i="22"/>
  <c r="B177" i="22"/>
  <c r="B176" i="22"/>
  <c r="B175" i="22"/>
  <c r="B174" i="22"/>
  <c r="B173" i="22"/>
  <c r="B172" i="22"/>
  <c r="B171" i="22"/>
  <c r="B170" i="22"/>
  <c r="B169" i="22"/>
  <c r="B168" i="22"/>
  <c r="B167" i="22"/>
  <c r="B166" i="22"/>
  <c r="B165" i="22"/>
  <c r="B164" i="22"/>
  <c r="B163" i="22"/>
  <c r="B162" i="22"/>
  <c r="B161" i="22"/>
  <c r="B160" i="22"/>
  <c r="B159" i="22"/>
  <c r="B158" i="22"/>
  <c r="B157" i="22"/>
  <c r="B156" i="22"/>
  <c r="B155" i="22"/>
  <c r="B154" i="22"/>
  <c r="B153" i="22"/>
  <c r="B152" i="22"/>
  <c r="B151" i="22"/>
  <c r="B150" i="22"/>
  <c r="B149" i="22"/>
  <c r="B148" i="22"/>
  <c r="B147" i="22"/>
  <c r="B146" i="22"/>
  <c r="B145" i="22"/>
  <c r="B144" i="22"/>
  <c r="B143" i="22"/>
  <c r="B142" i="22"/>
  <c r="B141" i="22"/>
  <c r="B140" i="22"/>
  <c r="B139" i="22"/>
  <c r="B138" i="22"/>
  <c r="B137" i="22"/>
  <c r="B136" i="22"/>
  <c r="B135" i="22"/>
  <c r="B134" i="22"/>
  <c r="B133" i="22"/>
  <c r="B132" i="22"/>
  <c r="B131" i="22"/>
  <c r="B130" i="22"/>
  <c r="B129" i="22"/>
  <c r="B128" i="22"/>
  <c r="B127" i="22"/>
  <c r="B126" i="22"/>
  <c r="B125" i="22"/>
  <c r="B124" i="22"/>
  <c r="B123" i="22"/>
  <c r="B122" i="22"/>
  <c r="B121" i="22"/>
  <c r="B120" i="22"/>
  <c r="B119" i="22"/>
  <c r="B118" i="22"/>
  <c r="B117" i="22"/>
  <c r="B116" i="22"/>
  <c r="B115" i="22"/>
  <c r="B114" i="22"/>
  <c r="B113" i="22"/>
  <c r="B112" i="22"/>
  <c r="B111" i="22"/>
  <c r="B110" i="22"/>
  <c r="B109" i="22"/>
  <c r="B108" i="22"/>
  <c r="B107" i="22"/>
  <c r="B106" i="22"/>
  <c r="B105" i="22"/>
  <c r="B104" i="22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B2" i="22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B102" i="21"/>
  <c r="B101" i="21"/>
  <c r="B100" i="21"/>
  <c r="B99" i="21"/>
  <c r="B98" i="21"/>
  <c r="B97" i="21"/>
  <c r="B96" i="21"/>
  <c r="B95" i="21"/>
  <c r="B94" i="21"/>
  <c r="B93" i="21"/>
  <c r="B92" i="21"/>
  <c r="B91" i="21"/>
  <c r="B90" i="21"/>
  <c r="B89" i="21"/>
  <c r="B88" i="21"/>
  <c r="B87" i="21"/>
  <c r="B86" i="21"/>
  <c r="B85" i="21"/>
  <c r="B84" i="21"/>
  <c r="B83" i="21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6" i="21"/>
  <c r="B55" i="21"/>
  <c r="B54" i="21"/>
  <c r="B53" i="21"/>
  <c r="B52" i="21"/>
  <c r="B51" i="21"/>
  <c r="B50" i="21"/>
  <c r="B49" i="21"/>
  <c r="B48" i="21"/>
  <c r="B47" i="21"/>
  <c r="B46" i="21"/>
  <c r="B45" i="21"/>
  <c r="B44" i="21"/>
  <c r="B43" i="21"/>
  <c r="B42" i="21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B1088" i="18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B127" i="18"/>
  <c r="B126" i="18"/>
  <c r="B125" i="18"/>
  <c r="B124" i="18"/>
  <c r="B123" i="18"/>
  <c r="B122" i="18"/>
  <c r="B121" i="18"/>
  <c r="B120" i="18"/>
  <c r="B119" i="18"/>
  <c r="B118" i="18"/>
  <c r="B117" i="18"/>
  <c r="B116" i="18"/>
  <c r="B115" i="18"/>
  <c r="B114" i="18"/>
  <c r="B113" i="18"/>
  <c r="B112" i="18"/>
  <c r="B111" i="18"/>
  <c r="B110" i="18"/>
  <c r="B109" i="18"/>
  <c r="B108" i="18"/>
  <c r="B107" i="18"/>
  <c r="B106" i="18"/>
  <c r="B105" i="18"/>
  <c r="B104" i="18"/>
  <c r="B103" i="18"/>
  <c r="B102" i="18"/>
  <c r="B101" i="18"/>
  <c r="B100" i="18"/>
  <c r="B99" i="18"/>
  <c r="B98" i="18"/>
  <c r="B97" i="18"/>
  <c r="B96" i="18"/>
  <c r="B95" i="18"/>
  <c r="B94" i="18"/>
  <c r="B93" i="18"/>
  <c r="B92" i="18"/>
  <c r="B91" i="18"/>
  <c r="B90" i="18"/>
  <c r="B89" i="18"/>
  <c r="B88" i="18"/>
  <c r="B87" i="18"/>
  <c r="B86" i="18"/>
  <c r="B85" i="18"/>
  <c r="B84" i="18"/>
  <c r="B83" i="18"/>
  <c r="B82" i="18"/>
  <c r="B81" i="18"/>
  <c r="B80" i="18"/>
  <c r="B79" i="18"/>
  <c r="B78" i="18"/>
  <c r="B77" i="18"/>
  <c r="B76" i="18"/>
  <c r="B75" i="18"/>
  <c r="B74" i="18"/>
  <c r="B73" i="18"/>
  <c r="L50" i="3"/>
  <c r="B43" i="18"/>
  <c r="M130" i="3"/>
  <c r="M128" i="3"/>
  <c r="M127" i="3"/>
  <c r="M126" i="3"/>
  <c r="M122" i="3"/>
  <c r="M120" i="3"/>
  <c r="M119" i="3"/>
  <c r="M118" i="3"/>
  <c r="M114" i="3"/>
  <c r="M112" i="3"/>
  <c r="M111" i="3"/>
  <c r="M110" i="3"/>
  <c r="M106" i="3"/>
  <c r="M104" i="3"/>
  <c r="M103" i="3"/>
  <c r="M102" i="3"/>
  <c r="M98" i="3"/>
  <c r="M96" i="3"/>
  <c r="M95" i="3"/>
  <c r="M94" i="3"/>
  <c r="M90" i="3"/>
  <c r="M88" i="3"/>
  <c r="M87" i="3"/>
  <c r="M86" i="3"/>
  <c r="M82" i="3"/>
  <c r="L133" i="3"/>
  <c r="L132" i="3"/>
  <c r="M133" i="3"/>
  <c r="L131" i="3"/>
  <c r="M132" i="3"/>
  <c r="L130" i="3"/>
  <c r="L129" i="3"/>
  <c r="L128" i="3"/>
  <c r="M129" i="3"/>
  <c r="L127" i="3"/>
  <c r="L126" i="3"/>
  <c r="L125" i="3"/>
  <c r="L124" i="3"/>
  <c r="M125" i="3"/>
  <c r="L123" i="3"/>
  <c r="M124" i="3"/>
  <c r="L122" i="3"/>
  <c r="L121" i="3"/>
  <c r="L120" i="3"/>
  <c r="M121" i="3"/>
  <c r="L119" i="3"/>
  <c r="L118" i="3"/>
  <c r="L117" i="3"/>
  <c r="L116" i="3"/>
  <c r="M117" i="3"/>
  <c r="L115" i="3"/>
  <c r="L114" i="3"/>
  <c r="L113" i="3"/>
  <c r="L112" i="3"/>
  <c r="M113" i="3"/>
  <c r="L111" i="3"/>
  <c r="L110" i="3"/>
  <c r="L109" i="3"/>
  <c r="L108" i="3"/>
  <c r="M109" i="3"/>
  <c r="L107" i="3"/>
  <c r="M108" i="3"/>
  <c r="L106" i="3"/>
  <c r="L105" i="3"/>
  <c r="L104" i="3"/>
  <c r="M105" i="3"/>
  <c r="L103" i="3"/>
  <c r="L102" i="3"/>
  <c r="L101" i="3"/>
  <c r="L100" i="3"/>
  <c r="M101" i="3"/>
  <c r="L99" i="3"/>
  <c r="M100" i="3"/>
  <c r="L98" i="3"/>
  <c r="L97" i="3"/>
  <c r="L96" i="3"/>
  <c r="M97" i="3"/>
  <c r="L95" i="3"/>
  <c r="L94" i="3"/>
  <c r="L93" i="3"/>
  <c r="L92" i="3"/>
  <c r="M93" i="3"/>
  <c r="L91" i="3"/>
  <c r="M92" i="3"/>
  <c r="L90" i="3"/>
  <c r="L89" i="3"/>
  <c r="L88" i="3"/>
  <c r="M89" i="3"/>
  <c r="L87" i="3"/>
  <c r="L86" i="3"/>
  <c r="L85" i="3"/>
  <c r="L84" i="3"/>
  <c r="M85" i="3"/>
  <c r="L83" i="3"/>
  <c r="M84" i="3"/>
  <c r="L82" i="3"/>
  <c r="L81" i="3"/>
  <c r="L80" i="3"/>
  <c r="M81" i="3"/>
  <c r="L79" i="3"/>
  <c r="B72" i="18"/>
  <c r="L78" i="3"/>
  <c r="B71" i="18"/>
  <c r="L77" i="3"/>
  <c r="B70" i="18"/>
  <c r="L76" i="3"/>
  <c r="L75" i="3"/>
  <c r="L74" i="3"/>
  <c r="L73" i="3"/>
  <c r="B66" i="18"/>
  <c r="L72" i="3"/>
  <c r="B65" i="18"/>
  <c r="L71" i="3"/>
  <c r="B64" i="18"/>
  <c r="L70" i="3"/>
  <c r="B63" i="18"/>
  <c r="L69" i="3"/>
  <c r="B62" i="18"/>
  <c r="L68" i="3"/>
  <c r="L67" i="3"/>
  <c r="L66" i="3"/>
  <c r="L65" i="3"/>
  <c r="B58" i="18"/>
  <c r="L64" i="3"/>
  <c r="B57" i="18"/>
  <c r="L63" i="3"/>
  <c r="B56" i="18"/>
  <c r="L62" i="3"/>
  <c r="B55" i="18"/>
  <c r="L61" i="3"/>
  <c r="B54" i="18"/>
  <c r="L60" i="3"/>
  <c r="L59" i="3"/>
  <c r="L58" i="3"/>
  <c r="L57" i="3"/>
  <c r="B50" i="18"/>
  <c r="L56" i="3"/>
  <c r="B49" i="18"/>
  <c r="L55" i="3"/>
  <c r="B48" i="18"/>
  <c r="L54" i="3"/>
  <c r="B47" i="18"/>
  <c r="L53" i="3"/>
  <c r="B46" i="18"/>
  <c r="L52" i="3"/>
  <c r="L51" i="3"/>
  <c r="B44" i="18"/>
  <c r="L49" i="3"/>
  <c r="B42" i="18"/>
  <c r="L48" i="3"/>
  <c r="B41" i="18"/>
  <c r="L47" i="3"/>
  <c r="B40" i="18"/>
  <c r="L46" i="3"/>
  <c r="B39" i="18"/>
  <c r="L45" i="3"/>
  <c r="B38" i="18"/>
  <c r="L44" i="3"/>
  <c r="L43" i="3"/>
  <c r="L42" i="3"/>
  <c r="B35" i="18"/>
  <c r="L41" i="3"/>
  <c r="B34" i="18"/>
  <c r="L40" i="3"/>
  <c r="B33" i="18"/>
  <c r="L39" i="3"/>
  <c r="B32" i="18"/>
  <c r="L38" i="3"/>
  <c r="B31" i="18"/>
  <c r="L37" i="3"/>
  <c r="B30" i="18"/>
  <c r="L36" i="3"/>
  <c r="L35" i="3"/>
  <c r="L34" i="3"/>
  <c r="L33" i="3"/>
  <c r="B26" i="18"/>
  <c r="L32" i="3"/>
  <c r="B25" i="18"/>
  <c r="L31" i="3"/>
  <c r="B24" i="18"/>
  <c r="L30" i="3"/>
  <c r="B23" i="18"/>
  <c r="L29" i="3"/>
  <c r="B22" i="18"/>
  <c r="L28" i="3"/>
  <c r="L27" i="3"/>
  <c r="L26" i="3"/>
  <c r="B19" i="18"/>
  <c r="L25" i="3"/>
  <c r="B18" i="18"/>
  <c r="L24" i="3"/>
  <c r="B17" i="18"/>
  <c r="L23" i="3"/>
  <c r="B16" i="18"/>
  <c r="L22" i="3"/>
  <c r="B15" i="18"/>
  <c r="L21" i="3"/>
  <c r="B14" i="18"/>
  <c r="L20" i="3"/>
  <c r="L19" i="3"/>
  <c r="L18" i="3"/>
  <c r="L17" i="3"/>
  <c r="B10" i="18"/>
  <c r="L16" i="3"/>
  <c r="B9" i="18"/>
  <c r="L15" i="3"/>
  <c r="B8" i="18"/>
  <c r="L14" i="3"/>
  <c r="B7" i="18"/>
  <c r="L13" i="3"/>
  <c r="B6" i="18"/>
  <c r="L12" i="3"/>
  <c r="L11" i="3"/>
  <c r="L10" i="3"/>
  <c r="L9" i="3"/>
  <c r="L8" i="3"/>
  <c r="J7" i="3"/>
  <c r="I7" i="3"/>
  <c r="J8" i="3"/>
  <c r="J132" i="3"/>
  <c r="J131" i="3"/>
  <c r="J130" i="3"/>
  <c r="J128" i="3"/>
  <c r="J126" i="3"/>
  <c r="J124" i="3"/>
  <c r="J123" i="3"/>
  <c r="J122" i="3"/>
  <c r="J120" i="3"/>
  <c r="J118" i="3"/>
  <c r="J116" i="3"/>
  <c r="J115" i="3"/>
  <c r="J114" i="3"/>
  <c r="J112" i="3"/>
  <c r="J110" i="3"/>
  <c r="J108" i="3"/>
  <c r="J107" i="3"/>
  <c r="J106" i="3"/>
  <c r="J102" i="3"/>
  <c r="J100" i="3"/>
  <c r="J99" i="3"/>
  <c r="J98" i="3"/>
  <c r="J94" i="3"/>
  <c r="J92" i="3"/>
  <c r="J91" i="3"/>
  <c r="J90" i="3"/>
  <c r="J86" i="3"/>
  <c r="J84" i="3"/>
  <c r="J83" i="3"/>
  <c r="J82" i="3"/>
  <c r="I133" i="3"/>
  <c r="I132" i="3"/>
  <c r="I131" i="3"/>
  <c r="I130" i="3"/>
  <c r="I129" i="3"/>
  <c r="I128" i="3"/>
  <c r="I127" i="3"/>
  <c r="I126" i="3"/>
  <c r="I125" i="3"/>
  <c r="I124" i="3"/>
  <c r="J125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J109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J93" i="3"/>
  <c r="I91" i="3"/>
  <c r="I90" i="3"/>
  <c r="I89" i="3"/>
  <c r="I88" i="3"/>
  <c r="I87" i="3"/>
  <c r="I86" i="3"/>
  <c r="I85" i="3"/>
  <c r="I84" i="3"/>
  <c r="I83" i="3"/>
  <c r="I82" i="3"/>
  <c r="I81" i="3"/>
  <c r="I80" i="3"/>
  <c r="I79" i="3"/>
  <c r="I78" i="3"/>
  <c r="I77" i="3"/>
  <c r="I76" i="3"/>
  <c r="I75" i="3"/>
  <c r="I74" i="3"/>
  <c r="I73" i="3"/>
  <c r="I72" i="3"/>
  <c r="I71" i="3"/>
  <c r="I70" i="3"/>
  <c r="I69" i="3"/>
  <c r="I68" i="3"/>
  <c r="I67" i="3"/>
  <c r="I66" i="3"/>
  <c r="I65" i="3"/>
  <c r="I64" i="3"/>
  <c r="I63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A1" i="3"/>
  <c r="M39" i="3"/>
  <c r="M38" i="3"/>
  <c r="M12" i="3"/>
  <c r="B4" i="18"/>
  <c r="M36" i="3"/>
  <c r="B28" i="18"/>
  <c r="M69" i="3"/>
  <c r="B61" i="18"/>
  <c r="M70" i="3"/>
  <c r="J30" i="3"/>
  <c r="J62" i="3"/>
  <c r="M46" i="3"/>
  <c r="M15" i="3"/>
  <c r="M79" i="3"/>
  <c r="J79" i="3"/>
  <c r="J78" i="3"/>
  <c r="M22" i="3"/>
  <c r="M54" i="3"/>
  <c r="M80" i="3"/>
  <c r="M13" i="3"/>
  <c r="B5" i="18"/>
  <c r="M29" i="3"/>
  <c r="B21" i="18"/>
  <c r="M45" i="3"/>
  <c r="B37" i="18"/>
  <c r="J14" i="3"/>
  <c r="J80" i="3"/>
  <c r="M23" i="3"/>
  <c r="M55" i="3"/>
  <c r="M28" i="3"/>
  <c r="B20" i="18"/>
  <c r="M61" i="3"/>
  <c r="B53" i="18"/>
  <c r="M21" i="3"/>
  <c r="B13" i="18"/>
  <c r="M37" i="3"/>
  <c r="B29" i="18"/>
  <c r="M71" i="3"/>
  <c r="M47" i="3"/>
  <c r="J9" i="3"/>
  <c r="M59" i="3"/>
  <c r="B51" i="18"/>
  <c r="M67" i="3"/>
  <c r="B59" i="18"/>
  <c r="M75" i="3"/>
  <c r="B67" i="18"/>
  <c r="M30" i="3"/>
  <c r="M62" i="3"/>
  <c r="M20" i="3"/>
  <c r="B12" i="18"/>
  <c r="M44" i="3"/>
  <c r="B36" i="18"/>
  <c r="M53" i="3"/>
  <c r="B45" i="18"/>
  <c r="M77" i="3"/>
  <c r="B69" i="18"/>
  <c r="J46" i="3"/>
  <c r="J77" i="3"/>
  <c r="M14" i="3"/>
  <c r="M78" i="3"/>
  <c r="J11" i="3"/>
  <c r="J19" i="3"/>
  <c r="J27" i="3"/>
  <c r="J43" i="3"/>
  <c r="J51" i="3"/>
  <c r="J59" i="3"/>
  <c r="J75" i="3"/>
  <c r="M11" i="3"/>
  <c r="B3" i="18"/>
  <c r="M19" i="3"/>
  <c r="B11" i="18"/>
  <c r="M35" i="3"/>
  <c r="B27" i="18"/>
  <c r="M60" i="3"/>
  <c r="B52" i="18"/>
  <c r="M68" i="3"/>
  <c r="B60" i="18"/>
  <c r="M76" i="3"/>
  <c r="B68" i="18"/>
  <c r="M31" i="3"/>
  <c r="M63" i="3"/>
  <c r="J18" i="3"/>
  <c r="J34" i="3"/>
  <c r="J66" i="3"/>
  <c r="J35" i="3"/>
  <c r="J67" i="3"/>
  <c r="J12" i="3"/>
  <c r="J20" i="3"/>
  <c r="J28" i="3"/>
  <c r="J36" i="3"/>
  <c r="J44" i="3"/>
  <c r="J52" i="3"/>
  <c r="J60" i="3"/>
  <c r="J68" i="3"/>
  <c r="J76" i="3"/>
  <c r="M16" i="3"/>
  <c r="M24" i="3"/>
  <c r="M32" i="3"/>
  <c r="M40" i="3"/>
  <c r="M48" i="3"/>
  <c r="M56" i="3"/>
  <c r="M64" i="3"/>
  <c r="M72" i="3"/>
  <c r="J13" i="3"/>
  <c r="J21" i="3"/>
  <c r="J29" i="3"/>
  <c r="J37" i="3"/>
  <c r="J45" i="3"/>
  <c r="J53" i="3"/>
  <c r="J61" i="3"/>
  <c r="J69" i="3"/>
  <c r="J85" i="3"/>
  <c r="J101" i="3"/>
  <c r="J117" i="3"/>
  <c r="J133" i="3"/>
  <c r="M17" i="3"/>
  <c r="M25" i="3"/>
  <c r="M33" i="3"/>
  <c r="M41" i="3"/>
  <c r="M49" i="3"/>
  <c r="M57" i="3"/>
  <c r="M65" i="3"/>
  <c r="M73" i="3"/>
  <c r="J58" i="3"/>
  <c r="J22" i="3"/>
  <c r="J38" i="3"/>
  <c r="J54" i="3"/>
  <c r="M10" i="3"/>
  <c r="M18" i="3"/>
  <c r="M26" i="3"/>
  <c r="M34" i="3"/>
  <c r="M42" i="3"/>
  <c r="M50" i="3"/>
  <c r="M58" i="3"/>
  <c r="M66" i="3"/>
  <c r="M74" i="3"/>
  <c r="J15" i="3"/>
  <c r="J23" i="3"/>
  <c r="J31" i="3"/>
  <c r="J39" i="3"/>
  <c r="J47" i="3"/>
  <c r="J55" i="3"/>
  <c r="J63" i="3"/>
  <c r="J71" i="3"/>
  <c r="J87" i="3"/>
  <c r="J95" i="3"/>
  <c r="J103" i="3"/>
  <c r="J111" i="3"/>
  <c r="J119" i="3"/>
  <c r="J127" i="3"/>
  <c r="M27" i="3"/>
  <c r="M43" i="3"/>
  <c r="M51" i="3"/>
  <c r="M83" i="3"/>
  <c r="M91" i="3"/>
  <c r="M99" i="3"/>
  <c r="M107" i="3"/>
  <c r="M115" i="3"/>
  <c r="M123" i="3"/>
  <c r="M131" i="3"/>
  <c r="J50" i="3"/>
  <c r="J16" i="3"/>
  <c r="J24" i="3"/>
  <c r="J32" i="3"/>
  <c r="J40" i="3"/>
  <c r="J48" i="3"/>
  <c r="J56" i="3"/>
  <c r="J64" i="3"/>
  <c r="J72" i="3"/>
  <c r="J88" i="3"/>
  <c r="J96" i="3"/>
  <c r="J104" i="3"/>
  <c r="M52" i="3"/>
  <c r="M116" i="3"/>
  <c r="J10" i="3"/>
  <c r="J26" i="3"/>
  <c r="J42" i="3"/>
  <c r="J74" i="3"/>
  <c r="J70" i="3"/>
  <c r="J17" i="3"/>
  <c r="J25" i="3"/>
  <c r="J33" i="3"/>
  <c r="J41" i="3"/>
  <c r="J49" i="3"/>
  <c r="J57" i="3"/>
  <c r="J65" i="3"/>
  <c r="J73" i="3"/>
  <c r="J81" i="3"/>
  <c r="J89" i="3"/>
  <c r="J97" i="3"/>
  <c r="J105" i="3"/>
  <c r="J113" i="3"/>
  <c r="J121" i="3"/>
  <c r="J129" i="3"/>
  <c r="E46" i="7"/>
  <c r="C41" i="39"/>
  <c r="C372" i="19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2" i="19"/>
  <c r="C21" i="19"/>
  <c r="C20" i="19"/>
  <c r="C19" i="19"/>
  <c r="C18" i="19"/>
  <c r="C17" i="19"/>
  <c r="C16" i="19"/>
  <c r="C15" i="19"/>
  <c r="C14" i="19"/>
  <c r="C13" i="19"/>
  <c r="C12" i="19"/>
  <c r="C11" i="19"/>
  <c r="C10" i="19"/>
  <c r="C9" i="19"/>
  <c r="C8" i="19"/>
  <c r="C7" i="19"/>
  <c r="C6" i="19"/>
  <c r="C5" i="19"/>
  <c r="C4" i="19"/>
  <c r="C3" i="19"/>
  <c r="C2" i="19"/>
  <c r="A4" i="15"/>
  <c r="G53" i="4"/>
  <c r="G54" i="4"/>
  <c r="G55" i="4"/>
  <c r="G56" i="4"/>
  <c r="G57" i="4"/>
  <c r="G58" i="4"/>
  <c r="G59" i="4"/>
  <c r="G60" i="4"/>
  <c r="G52" i="4"/>
  <c r="G51" i="4"/>
  <c r="G50" i="4"/>
  <c r="G49" i="4"/>
  <c r="H53" i="4"/>
  <c r="G48" i="4"/>
  <c r="G47" i="4"/>
  <c r="G46" i="4"/>
  <c r="G45" i="4"/>
  <c r="G44" i="4"/>
  <c r="G43" i="4"/>
  <c r="G42" i="4"/>
  <c r="G41" i="4"/>
  <c r="G40" i="4"/>
  <c r="G39" i="4"/>
  <c r="G38" i="4"/>
  <c r="H19" i="4"/>
  <c r="H24" i="4"/>
  <c r="H32" i="4"/>
  <c r="H40" i="4"/>
  <c r="H48" i="4"/>
  <c r="H18" i="4"/>
  <c r="H34" i="4"/>
  <c r="H35" i="4"/>
  <c r="H51" i="4"/>
  <c r="H42" i="4"/>
  <c r="H27" i="4"/>
  <c r="H20" i="4"/>
  <c r="H52" i="4"/>
  <c r="H26" i="4"/>
  <c r="H50" i="4"/>
  <c r="H54" i="4"/>
  <c r="H43" i="4"/>
  <c r="H12" i="4"/>
  <c r="H28" i="4"/>
  <c r="H36" i="4"/>
  <c r="H44" i="4"/>
  <c r="H13" i="4"/>
  <c r="H21" i="4"/>
  <c r="H29" i="4"/>
  <c r="H37" i="4"/>
  <c r="H45" i="4"/>
  <c r="H55" i="4"/>
  <c r="H14" i="4"/>
  <c r="H30" i="4"/>
  <c r="H46" i="4"/>
  <c r="H16" i="4"/>
  <c r="H22" i="4"/>
  <c r="H38" i="4"/>
  <c r="H15" i="4"/>
  <c r="H23" i="4"/>
  <c r="H31" i="4"/>
  <c r="H39" i="4"/>
  <c r="H47" i="4"/>
  <c r="H17" i="4"/>
  <c r="H25" i="4"/>
  <c r="H33" i="4"/>
  <c r="H41" i="4"/>
  <c r="H49" i="4"/>
  <c r="E55" i="9"/>
  <c r="C51" i="24"/>
  <c r="E54" i="9"/>
  <c r="C50" i="24"/>
  <c r="E53" i="9"/>
  <c r="C49" i="24"/>
  <c r="E52" i="9"/>
  <c r="C48" i="24"/>
  <c r="E51" i="9"/>
  <c r="C47" i="24"/>
  <c r="E50" i="9"/>
  <c r="C46" i="24"/>
  <c r="E49" i="9"/>
  <c r="C45" i="24"/>
  <c r="E48" i="9"/>
  <c r="C44" i="24"/>
  <c r="E47" i="9"/>
  <c r="C43" i="24"/>
  <c r="E46" i="9"/>
  <c r="C42" i="24"/>
  <c r="E45" i="9"/>
  <c r="C41" i="24"/>
  <c r="E44" i="9"/>
  <c r="C40" i="24"/>
  <c r="E43" i="9"/>
  <c r="C39" i="24"/>
  <c r="E42" i="9"/>
  <c r="C38" i="24"/>
  <c r="E41" i="9"/>
  <c r="C37" i="24"/>
  <c r="E40" i="9"/>
  <c r="C36" i="24"/>
  <c r="E39" i="9"/>
  <c r="C35" i="24"/>
  <c r="E38" i="9"/>
  <c r="C34" i="24"/>
  <c r="E37" i="9"/>
  <c r="C33" i="24"/>
  <c r="E36" i="9"/>
  <c r="C32" i="24"/>
  <c r="E35" i="9"/>
  <c r="C31" i="24"/>
  <c r="E34" i="9"/>
  <c r="C30" i="24"/>
  <c r="E33" i="9"/>
  <c r="C29" i="24"/>
  <c r="E32" i="9"/>
  <c r="C28" i="24"/>
  <c r="E31" i="9"/>
  <c r="C27" i="24"/>
  <c r="E30" i="9"/>
  <c r="C26" i="24"/>
  <c r="E29" i="9"/>
  <c r="C25" i="24"/>
  <c r="E28" i="9"/>
  <c r="C24" i="24"/>
  <c r="E27" i="9"/>
  <c r="C23" i="24"/>
  <c r="E26" i="9"/>
  <c r="C22" i="24"/>
  <c r="E25" i="9"/>
  <c r="C21" i="24"/>
  <c r="E24" i="9"/>
  <c r="C20" i="24"/>
  <c r="E23" i="9"/>
  <c r="C19" i="24"/>
  <c r="E22" i="9"/>
  <c r="C18" i="24"/>
  <c r="E21" i="9"/>
  <c r="C17" i="24"/>
  <c r="E20" i="9"/>
  <c r="C16" i="24"/>
  <c r="E19" i="9"/>
  <c r="C15" i="24"/>
  <c r="E18" i="9"/>
  <c r="C14" i="24"/>
  <c r="E17" i="9"/>
  <c r="C13" i="24"/>
  <c r="E16" i="9"/>
  <c r="C12" i="24"/>
  <c r="E15" i="9"/>
  <c r="C11" i="24"/>
  <c r="E14" i="9"/>
  <c r="C10" i="24"/>
  <c r="E13" i="9"/>
  <c r="C9" i="24"/>
  <c r="E12" i="9"/>
  <c r="C8" i="24"/>
  <c r="E11" i="9"/>
  <c r="C7" i="24"/>
  <c r="E10" i="9"/>
  <c r="C6" i="24"/>
  <c r="E9" i="9"/>
  <c r="C5" i="24"/>
  <c r="E8" i="9"/>
  <c r="C4" i="24"/>
  <c r="E7" i="9"/>
  <c r="C3" i="24"/>
  <c r="D55" i="9"/>
  <c r="B51" i="24"/>
  <c r="D54" i="9"/>
  <c r="B50" i="24"/>
  <c r="D53" i="9"/>
  <c r="B49" i="24"/>
  <c r="D52" i="9"/>
  <c r="B48" i="24"/>
  <c r="D51" i="9"/>
  <c r="B47" i="24"/>
  <c r="D50" i="9"/>
  <c r="B46" i="24"/>
  <c r="D49" i="9"/>
  <c r="B45" i="24"/>
  <c r="D48" i="9"/>
  <c r="B44" i="24"/>
  <c r="D47" i="9"/>
  <c r="B43" i="24"/>
  <c r="D46" i="9"/>
  <c r="B42" i="24"/>
  <c r="D45" i="9"/>
  <c r="B41" i="24"/>
  <c r="D44" i="9"/>
  <c r="B40" i="24"/>
  <c r="D43" i="9"/>
  <c r="B39" i="24"/>
  <c r="D42" i="9"/>
  <c r="B38" i="24"/>
  <c r="D41" i="9"/>
  <c r="B37" i="24"/>
  <c r="D40" i="9"/>
  <c r="B36" i="24"/>
  <c r="D39" i="9"/>
  <c r="B35" i="24"/>
  <c r="D38" i="9"/>
  <c r="B34" i="24"/>
  <c r="D37" i="9"/>
  <c r="B33" i="24"/>
  <c r="D36" i="9"/>
  <c r="B32" i="24"/>
  <c r="D35" i="9"/>
  <c r="B31" i="24"/>
  <c r="D34" i="9"/>
  <c r="B30" i="24"/>
  <c r="D33" i="9"/>
  <c r="B29" i="24"/>
  <c r="D32" i="9"/>
  <c r="B28" i="24"/>
  <c r="D31" i="9"/>
  <c r="B27" i="24"/>
  <c r="D30" i="9"/>
  <c r="B26" i="24"/>
  <c r="D29" i="9"/>
  <c r="B25" i="24"/>
  <c r="D28" i="9"/>
  <c r="B24" i="24"/>
  <c r="D27" i="9"/>
  <c r="B23" i="24"/>
  <c r="D26" i="9"/>
  <c r="B22" i="24"/>
  <c r="D25" i="9"/>
  <c r="B21" i="24"/>
  <c r="D24" i="9"/>
  <c r="B20" i="24"/>
  <c r="D23" i="9"/>
  <c r="B19" i="24"/>
  <c r="D22" i="9"/>
  <c r="B18" i="24"/>
  <c r="D21" i="9"/>
  <c r="B17" i="24"/>
  <c r="D20" i="9"/>
  <c r="B16" i="24"/>
  <c r="D19" i="9"/>
  <c r="B15" i="24"/>
  <c r="D18" i="9"/>
  <c r="B14" i="24"/>
  <c r="D17" i="9"/>
  <c r="B13" i="24"/>
  <c r="D16" i="9"/>
  <c r="B12" i="24"/>
  <c r="D15" i="9"/>
  <c r="B11" i="24"/>
  <c r="D14" i="9"/>
  <c r="B10" i="24"/>
  <c r="D13" i="9"/>
  <c r="B9" i="24"/>
  <c r="D12" i="9"/>
  <c r="B8" i="24"/>
  <c r="D11" i="9"/>
  <c r="B7" i="24"/>
  <c r="D10" i="9"/>
  <c r="B6" i="24"/>
  <c r="D9" i="9"/>
  <c r="B5" i="24"/>
  <c r="D8" i="9"/>
  <c r="B4" i="24"/>
  <c r="D7" i="9"/>
  <c r="B3" i="24"/>
  <c r="E6" i="9"/>
  <c r="C2" i="24"/>
  <c r="D6" i="9"/>
  <c r="B2" i="24"/>
  <c r="E56" i="7"/>
  <c r="C51" i="39"/>
  <c r="E55" i="7"/>
  <c r="C50" i="39"/>
  <c r="E54" i="7"/>
  <c r="C49" i="39"/>
  <c r="E53" i="7"/>
  <c r="C48" i="39"/>
  <c r="E52" i="7"/>
  <c r="C47" i="39"/>
  <c r="E51" i="7"/>
  <c r="C46" i="39"/>
  <c r="E50" i="7"/>
  <c r="C45" i="39"/>
  <c r="E49" i="7"/>
  <c r="C44" i="39"/>
  <c r="E48" i="7"/>
  <c r="C43" i="39"/>
  <c r="E47" i="7"/>
  <c r="C42" i="39"/>
  <c r="E45" i="7"/>
  <c r="C40" i="39"/>
  <c r="E44" i="7"/>
  <c r="C39" i="39"/>
  <c r="E43" i="7"/>
  <c r="C38" i="39"/>
  <c r="E42" i="7"/>
  <c r="C37" i="39"/>
  <c r="E41" i="7"/>
  <c r="C36" i="39"/>
  <c r="E40" i="7"/>
  <c r="C35" i="39"/>
  <c r="E39" i="7"/>
  <c r="C34" i="39"/>
  <c r="E38" i="7"/>
  <c r="C33" i="39"/>
  <c r="E37" i="7"/>
  <c r="C32" i="39"/>
  <c r="E36" i="7"/>
  <c r="C31" i="39"/>
  <c r="E35" i="7"/>
  <c r="C30" i="39"/>
  <c r="E34" i="7"/>
  <c r="C29" i="39"/>
  <c r="E33" i="7"/>
  <c r="C28" i="39"/>
  <c r="E32" i="7"/>
  <c r="C27" i="39"/>
  <c r="E31" i="7"/>
  <c r="C26" i="39"/>
  <c r="E30" i="7"/>
  <c r="C25" i="39"/>
  <c r="E29" i="7"/>
  <c r="C24" i="39"/>
  <c r="E28" i="7"/>
  <c r="C23" i="39"/>
  <c r="E27" i="7"/>
  <c r="C22" i="39"/>
  <c r="E26" i="7"/>
  <c r="C21" i="39"/>
  <c r="E25" i="7"/>
  <c r="C20" i="39"/>
  <c r="E24" i="7"/>
  <c r="C19" i="39"/>
  <c r="E23" i="7"/>
  <c r="C18" i="39"/>
  <c r="E22" i="7"/>
  <c r="C17" i="39"/>
  <c r="E21" i="7"/>
  <c r="C16" i="39"/>
  <c r="E20" i="7"/>
  <c r="C15" i="39"/>
  <c r="E19" i="7"/>
  <c r="C14" i="39"/>
  <c r="E18" i="7"/>
  <c r="C13" i="39"/>
  <c r="E17" i="7"/>
  <c r="C12" i="39"/>
  <c r="E16" i="7"/>
  <c r="C11" i="39"/>
  <c r="E15" i="7"/>
  <c r="C10" i="39"/>
  <c r="E14" i="7"/>
  <c r="C9" i="39"/>
  <c r="E13" i="7"/>
  <c r="C8" i="39"/>
  <c r="E12" i="7"/>
  <c r="C7" i="39"/>
  <c r="E11" i="7"/>
  <c r="C6" i="39"/>
  <c r="E10" i="7"/>
  <c r="C5" i="39"/>
  <c r="E9" i="7"/>
  <c r="C4" i="39"/>
  <c r="E8" i="7"/>
  <c r="C3" i="39"/>
  <c r="E7" i="7"/>
  <c r="C2" i="39"/>
  <c r="D56" i="7"/>
  <c r="B51" i="39"/>
  <c r="D55" i="7"/>
  <c r="B50" i="39"/>
  <c r="D54" i="7"/>
  <c r="B49" i="39"/>
  <c r="D53" i="7"/>
  <c r="B48" i="39"/>
  <c r="D52" i="7"/>
  <c r="B47" i="39"/>
  <c r="D51" i="7"/>
  <c r="B46" i="39"/>
  <c r="D50" i="7"/>
  <c r="B45" i="39"/>
  <c r="D49" i="7"/>
  <c r="B44" i="39"/>
  <c r="D48" i="7"/>
  <c r="B43" i="39"/>
  <c r="D47" i="7"/>
  <c r="B42" i="39"/>
  <c r="D46" i="7"/>
  <c r="B41" i="39"/>
  <c r="D45" i="7"/>
  <c r="B40" i="39"/>
  <c r="D44" i="7"/>
  <c r="B39" i="39"/>
  <c r="D43" i="7"/>
  <c r="B38" i="39"/>
  <c r="D42" i="7"/>
  <c r="B37" i="39"/>
  <c r="D41" i="7"/>
  <c r="B36" i="39"/>
  <c r="D40" i="7"/>
  <c r="B35" i="39"/>
  <c r="D39" i="7"/>
  <c r="B34" i="39"/>
  <c r="D38" i="7"/>
  <c r="B33" i="39"/>
  <c r="D37" i="7"/>
  <c r="B32" i="39"/>
  <c r="D36" i="7"/>
  <c r="B31" i="39"/>
  <c r="D35" i="7"/>
  <c r="B30" i="39"/>
  <c r="D34" i="7"/>
  <c r="B29" i="39"/>
  <c r="D33" i="7"/>
  <c r="B28" i="39"/>
  <c r="D32" i="7"/>
  <c r="B27" i="39"/>
  <c r="D31" i="7"/>
  <c r="B26" i="39"/>
  <c r="D30" i="7"/>
  <c r="B25" i="39"/>
  <c r="D29" i="7"/>
  <c r="B24" i="39"/>
  <c r="D28" i="7"/>
  <c r="B23" i="39"/>
  <c r="D27" i="7"/>
  <c r="B22" i="39"/>
  <c r="D26" i="7"/>
  <c r="B21" i="39"/>
  <c r="D25" i="7"/>
  <c r="B20" i="39"/>
  <c r="D24" i="7"/>
  <c r="B19" i="39"/>
  <c r="D23" i="7"/>
  <c r="B18" i="39"/>
  <c r="D22" i="7"/>
  <c r="B17" i="39"/>
  <c r="D21" i="7"/>
  <c r="B16" i="39"/>
  <c r="D20" i="7"/>
  <c r="B15" i="39"/>
  <c r="D19" i="7"/>
  <c r="B14" i="39"/>
  <c r="D18" i="7"/>
  <c r="B13" i="39"/>
  <c r="D17" i="7"/>
  <c r="B12" i="39"/>
  <c r="D16" i="7"/>
  <c r="B11" i="39"/>
  <c r="D15" i="7"/>
  <c r="B10" i="39"/>
  <c r="D14" i="7"/>
  <c r="B9" i="39"/>
  <c r="D13" i="7"/>
  <c r="B8" i="39"/>
  <c r="D12" i="7"/>
  <c r="B7" i="39"/>
  <c r="D11" i="7"/>
  <c r="B6" i="39"/>
  <c r="D10" i="7"/>
  <c r="B5" i="39"/>
  <c r="D9" i="7"/>
  <c r="B4" i="39"/>
  <c r="D8" i="7"/>
  <c r="B3" i="39"/>
  <c r="D7" i="7"/>
  <c r="B2" i="39"/>
  <c r="I38" i="4"/>
  <c r="B24" i="21"/>
  <c r="I20" i="4"/>
  <c r="B6" i="21"/>
  <c r="I32" i="4"/>
  <c r="B18" i="21"/>
  <c r="I50" i="4"/>
  <c r="B36" i="21"/>
  <c r="I16" i="4"/>
  <c r="B2" i="21"/>
  <c r="I53" i="4"/>
  <c r="B39" i="21"/>
  <c r="I28" i="4"/>
  <c r="B14" i="21"/>
  <c r="I42" i="4"/>
  <c r="B28" i="21"/>
  <c r="I34" i="4"/>
  <c r="B20" i="21"/>
  <c r="I17" i="4"/>
  <c r="B3" i="21"/>
  <c r="I49" i="4"/>
  <c r="B35" i="21"/>
  <c r="I45" i="4"/>
  <c r="B31" i="21"/>
  <c r="I25" i="4"/>
  <c r="B11" i="21"/>
  <c r="I22" i="4"/>
  <c r="B8" i="21"/>
  <c r="I19" i="4"/>
  <c r="B5" i="21"/>
  <c r="I24" i="4"/>
  <c r="B10" i="21"/>
  <c r="I54" i="4"/>
  <c r="B40" i="21"/>
  <c r="I33" i="4"/>
  <c r="B19" i="21"/>
  <c r="I47" i="4"/>
  <c r="B33" i="21"/>
  <c r="I29" i="4"/>
  <c r="B15" i="21"/>
  <c r="I37" i="4"/>
  <c r="B23" i="21"/>
  <c r="I39" i="4"/>
  <c r="B25" i="21"/>
  <c r="I27" i="4"/>
  <c r="B13" i="21"/>
  <c r="I21" i="4"/>
  <c r="B7" i="21"/>
  <c r="I52" i="4"/>
  <c r="B38" i="21"/>
  <c r="I26" i="4"/>
  <c r="B12" i="21"/>
  <c r="I31" i="4"/>
  <c r="B17" i="21"/>
  <c r="I55" i="4"/>
  <c r="B41" i="21"/>
  <c r="I51" i="4"/>
  <c r="B37" i="21"/>
  <c r="I44" i="4"/>
  <c r="B30" i="21"/>
  <c r="I18" i="4"/>
  <c r="B4" i="21"/>
  <c r="I48" i="4"/>
  <c r="B34" i="21"/>
  <c r="I23" i="4"/>
  <c r="B9" i="21"/>
  <c r="I43" i="4"/>
  <c r="B29" i="21"/>
  <c r="I36" i="4"/>
  <c r="B22" i="21"/>
  <c r="I41" i="4"/>
  <c r="B27" i="21"/>
  <c r="I40" i="4"/>
  <c r="B26" i="21"/>
  <c r="I46" i="4"/>
  <c r="B32" i="21"/>
  <c r="I30" i="4"/>
  <c r="B16" i="21"/>
  <c r="I35" i="4"/>
  <c r="B21" i="21"/>
</calcChain>
</file>

<file path=xl/sharedStrings.xml><?xml version="1.0" encoding="utf-8"?>
<sst xmlns="http://schemas.openxmlformats.org/spreadsheetml/2006/main" count="658" uniqueCount="371">
  <si>
    <t>.excel_last</t>
  </si>
  <si>
    <t>(FJBLMDP@GOVFIN + FJBLMCP@GOVFIN)</t>
  </si>
  <si>
    <t>FJBLSSP@GOVFIN</t>
  </si>
  <si>
    <t>FJBLEIP@GOVFIN</t>
  </si>
  <si>
    <t>FJBLONP@GOVFIN</t>
  </si>
  <si>
    <t>HJBDEMSP@GOVFIN</t>
  </si>
  <si>
    <t>HJBDEIP@GOVFIN</t>
  </si>
  <si>
    <t>.DESC</t>
  </si>
  <si>
    <t xml:space="preserve">FJBLMDP: CBO Ext Baseline as % of GDP: Outlays: Medicaid, CHIP &amp; Exch Subsidies(FY, %) FJBLMCP: CBO Extended Baseline as % of GDP: Outlays: Medicare (Fiscal Year, %)  </t>
  </si>
  <si>
    <t xml:space="preserve">CBO Extended Baseline as % of GDP: Outlays: Social Security(Fiscal Yr, %)  </t>
  </si>
  <si>
    <t xml:space="preserve">CBO Extended Baseline as % of GDP: Outlays: Net Interest(Fiscal Yr, %)  </t>
  </si>
  <si>
    <t xml:space="preserve">CBO Extended Baseline as % of GDP: Outlays: Other Noninterest(Fiscal Yr, %)  </t>
  </si>
  <si>
    <t>CBO: Federal Outlays as a Percentage of GDP: Major Health Care Programs (Fiscal Year, %) MANUAL ENTRY</t>
  </si>
  <si>
    <t xml:space="preserve">CBO: Fed Mandatory Outlays as Percent of GDP: Social Security(Fiscal Year, %)  </t>
  </si>
  <si>
    <t xml:space="preserve">CBO: Federal Outlays as a Percentage of GDP: Net Interest (Fiscal Year, %)  </t>
  </si>
  <si>
    <t>CBO: Federal Outlays as a Percentage of GDP: Other Noninterest (Fiscal Yr, %) MANUAL CALCULATION
= Total outlays - net interest - socail security - major health</t>
  </si>
  <si>
    <t>.T1</t>
  </si>
  <si>
    <t xml:space="preserve">2013 </t>
  </si>
  <si>
    <t xml:space="preserve">1973 </t>
  </si>
  <si>
    <t>.TN</t>
  </si>
  <si>
    <t xml:space="preserve">RESULT: 2089 FJBLMDP: 2089 FJBLMCP: 2089 </t>
  </si>
  <si>
    <t xml:space="preserve">2089 </t>
  </si>
  <si>
    <t>.SOURCE</t>
  </si>
  <si>
    <t xml:space="preserve">FJBLMDP: CBO FJBLMCP: CBO </t>
  </si>
  <si>
    <t xml:space="preserve">CBO </t>
  </si>
  <si>
    <t>CBO</t>
  </si>
  <si>
    <t>.DTLM</t>
  </si>
  <si>
    <t xml:space="preserve">FJBLMDP: Jul-15-2014 11:35 FJBLMCP: Jul-15-2014 11:35 </t>
  </si>
  <si>
    <t xml:space="preserve">Jul-15-2014 11:27 </t>
  </si>
  <si>
    <t xml:space="preserve">Apr-14-2014 12:46 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</si>
  <si>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</si>
  <si>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</si>
  <si>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</si>
  <si>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</si>
  <si>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</si>
  <si>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</si>
  <si>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</si>
  <si>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</si>
  <si>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</si>
  <si>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</si>
  <si>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</si>
  <si>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</si>
  <si>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</si>
  <si>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</si>
  <si>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</si>
  <si>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</si>
  <si>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</si>
  <si>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</si>
  <si>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</si>
  <si>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</si>
  <si>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</si>
  <si>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</si>
  <si>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</si>
  <si>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</si>
  <si>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</si>
  <si>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</si>
  <si>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</si>
  <si>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</si>
  <si>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</si>
  <si>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</si>
  <si>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</si>
  <si>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</si>
  <si>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</si>
  <si>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</si>
  <si>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</si>
  <si>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</si>
  <si>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</si>
  <si>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</si>
  <si>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</si>
  <si>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</si>
  <si>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</si>
  <si>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</si>
  <si>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</si>
  <si>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</si>
  <si>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</si>
  <si>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</si>
  <si>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</si>
  <si>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</si>
  <si>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</si>
  <si>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</si>
  <si>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</si>
  <si>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</si>
  <si>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</si>
  <si>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</si>
  <si>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</si>
  <si>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</si>
  <si>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</si>
  <si>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</si>
  <si>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</si>
  <si>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</si>
  <si>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</si>
  <si>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</si>
  <si>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State, Local, and Federal</t>
  </si>
  <si>
    <t>State Government</t>
  </si>
  <si>
    <t>Local Government</t>
  </si>
  <si>
    <t>Federal Government Except Postal Service</t>
  </si>
  <si>
    <t>LASGOVA@USECON</t>
  </si>
  <si>
    <t>LALGOVA@USECON</t>
  </si>
  <si>
    <t>LAFGVXA@USECON</t>
  </si>
  <si>
    <t>LAFGT@USECON</t>
  </si>
  <si>
    <t xml:space="preserve">BLS </t>
  </si>
  <si>
    <t xml:space="preserve">All Employees: State Government (SA, Thous)  </t>
  </si>
  <si>
    <t xml:space="preserve">All Employees: Local Government (SA, Thous)  </t>
  </si>
  <si>
    <t xml:space="preserve">All Employees: Federal Govt Except Postal Service (SA, Thous)  </t>
  </si>
  <si>
    <t xml:space="preserve">BLS/H </t>
  </si>
  <si>
    <t xml:space="preserve">All Employees: Fed Gov Decennial Census Temp &amp; Intermittent Workers(NSA,Thous)  </t>
  </si>
  <si>
    <t>Outlays</t>
  </si>
  <si>
    <t>Revenues</t>
  </si>
  <si>
    <t>Revenues/Outlays as a share of GDP History and 10-year projections</t>
  </si>
  <si>
    <t>History</t>
  </si>
  <si>
    <t>Projections</t>
  </si>
  <si>
    <t xml:space="preserve">Revenues </t>
  </si>
  <si>
    <t>HJBUDRP@GOVFIN</t>
  </si>
  <si>
    <t>HJBUDEP@GOVFIN</t>
  </si>
  <si>
    <t>FJBUDRP@GOVFIN</t>
  </si>
  <si>
    <t>FJBUDEP@GOVFIN</t>
  </si>
  <si>
    <t xml:space="preserve">CBO: Federal Revenues as a Percentage of GDP (Fiscal Year, %)  </t>
  </si>
  <si>
    <t xml:space="preserve">CBO: Federal Outlays as a Percentage of GDP (Fiscal Year, %)  </t>
  </si>
  <si>
    <t xml:space="preserve">CBO Baseline as % of GDP: Revenues (Fiscal Yr, %)  </t>
  </si>
  <si>
    <t xml:space="preserve">CBO Baseline Projectins as % of GDP: Outlays (Fiscal Yr, %)  </t>
  </si>
  <si>
    <t>Total Federal Budget Surplus/Deficit</t>
  </si>
  <si>
    <t>FJBUD@USECON</t>
  </si>
  <si>
    <t xml:space="preserve">Federal Budget Surplus or Deficit {-}: CBO Projections (Fiscal Yr, Bil.$)  </t>
  </si>
  <si>
    <t>Debt to GDP Ratio</t>
  </si>
  <si>
    <t>PDPPBUD@GOVFIN</t>
  </si>
  <si>
    <t xml:space="preserve">Debt Held by the Public as a Percentage of GDP: CBO's Baseline (Fiscal Yr, %)  </t>
  </si>
  <si>
    <t>Medicaid</t>
  </si>
  <si>
    <t>Net Interest on the Public Debt</t>
  </si>
  <si>
    <t>Total Receipts</t>
  </si>
  <si>
    <t>Individual and Payroll Tax</t>
  </si>
  <si>
    <t xml:space="preserve">Corporate and other </t>
  </si>
  <si>
    <t>Medicare*</t>
  </si>
  <si>
    <t>Social Security  Benefits</t>
  </si>
  <si>
    <t>**Medicare outalays are net of offsetting receipts</t>
  </si>
  <si>
    <t>Other Activities***</t>
  </si>
  <si>
    <t>Defense</t>
  </si>
  <si>
    <t>Quarterly</t>
  </si>
  <si>
    <t>Q</t>
  </si>
  <si>
    <t>Billions of Chained 2009 Dollars</t>
  </si>
  <si>
    <t>A842RX1Q020SBEA</t>
  </si>
  <si>
    <t>Real government consumption expenditures and gross investment: State and local: Gross investment: Structures</t>
  </si>
  <si>
    <t>lin</t>
  </si>
  <si>
    <t>U.S. Department of Commerce: Bureau of Economic Analysis</t>
  </si>
  <si>
    <t>date</t>
  </si>
  <si>
    <t>value</t>
  </si>
  <si>
    <t>3 month Moving Average</t>
  </si>
  <si>
    <t>Monthly Change</t>
  </si>
  <si>
    <t>Federal (Ex-Census)</t>
  </si>
  <si>
    <t>State&amp;Local</t>
  </si>
  <si>
    <t>Projection Year:</t>
  </si>
  <si>
    <t>Actual?</t>
  </si>
  <si>
    <t>Projection?</t>
  </si>
  <si>
    <t>Actual</t>
  </si>
  <si>
    <t>Projected</t>
  </si>
  <si>
    <t xml:space="preserve">*Adjusted for timing shifts. </t>
  </si>
  <si>
    <t>Federal</t>
  </si>
  <si>
    <t>USRTPG@GOVFIN</t>
  </si>
  <si>
    <t>USRTIIG@GOVFIN</t>
  </si>
  <si>
    <t>USRTCIG@GOVFIN</t>
  </si>
  <si>
    <t>USRTGG@GOVFIN</t>
  </si>
  <si>
    <t/>
  </si>
  <si>
    <t xml:space="preserve">Q1-1988 </t>
  </si>
  <si>
    <t xml:space="preserve">CENSUS </t>
  </si>
  <si>
    <t xml:space="preserve">Total US: State &amp; Local Govt Revenue: Property Taxes (Mil.$)  </t>
  </si>
  <si>
    <t xml:space="preserve">Total US: State &amp; Local Govt Revenue: Individual Income Taxes (Mil.$)  </t>
  </si>
  <si>
    <t xml:space="preserve">Total US: State &amp; Local Govt Revenue: Corporation Net Income Taxes(Mil.$)  </t>
  </si>
  <si>
    <t xml:space="preserve">Total US: State &amp; Local Govt Revenue: General Sales &amp; Receipts Taxes (Mil.$)  </t>
  </si>
  <si>
    <t>Sum of all taxes</t>
  </si>
  <si>
    <t>YOY</t>
  </si>
  <si>
    <t>4-Qtr MA</t>
  </si>
  <si>
    <t>State &amp; Local</t>
  </si>
  <si>
    <t>1999-01-01 to 2014-04-01</t>
  </si>
  <si>
    <t xml:space="preserve">***Includes unemployment insurance,  TARP and GSE outlays </t>
  </si>
  <si>
    <t>stateandlocaltaxes</t>
  </si>
  <si>
    <t>rev</t>
  </si>
  <si>
    <t>revproj</t>
  </si>
  <si>
    <t>outl</t>
  </si>
  <si>
    <t>outlproj</t>
  </si>
  <si>
    <t xml:space="preserve">Aug-27-2014 11:27 </t>
  </si>
  <si>
    <t>deficit_actual</t>
  </si>
  <si>
    <t>deficit_proj</t>
  </si>
  <si>
    <t>debt_actual</t>
  </si>
  <si>
    <t>debt_projection</t>
  </si>
  <si>
    <t xml:space="preserve">Aug-27-2014 11:46 </t>
  </si>
  <si>
    <t>healthproj</t>
  </si>
  <si>
    <t>otheract</t>
  </si>
  <si>
    <t>otherproj</t>
  </si>
  <si>
    <t>ssact</t>
  </si>
  <si>
    <t>ssproj</t>
  </si>
  <si>
    <t xml:space="preserve">RESULT: 2014 FJBLMDP: 2014 FJBLMCP: 2014 </t>
  </si>
  <si>
    <t xml:space="preserve">2014 </t>
  </si>
  <si>
    <t xml:space="preserve">Aug-27-2014 12:17 </t>
  </si>
  <si>
    <t>interestproj</t>
  </si>
  <si>
    <t>healthactj</t>
  </si>
  <si>
    <t>interestact</t>
  </si>
  <si>
    <t>Federal Receipts and Outlays</t>
  </si>
  <si>
    <t>Total Outlays**</t>
  </si>
  <si>
    <t>Source: Hutchins Center Calculations based on CBO data.</t>
  </si>
  <si>
    <t>1974 2035</t>
  </si>
  <si>
    <t>200901</t>
  </si>
  <si>
    <t>200902</t>
  </si>
  <si>
    <t>200903</t>
  </si>
  <si>
    <t>200904</t>
  </si>
  <si>
    <t>200905</t>
  </si>
  <si>
    <t>200906</t>
  </si>
  <si>
    <t>200907</t>
  </si>
  <si>
    <t>200908</t>
  </si>
  <si>
    <t>200909</t>
  </si>
  <si>
    <t>200910</t>
  </si>
  <si>
    <t>200911</t>
  </si>
  <si>
    <t>200912</t>
  </si>
  <si>
    <t>201001</t>
  </si>
  <si>
    <t>201002</t>
  </si>
  <si>
    <t>201003</t>
  </si>
  <si>
    <t>201004</t>
  </si>
  <si>
    <t>201005</t>
  </si>
  <si>
    <t>201006</t>
  </si>
  <si>
    <t>201007</t>
  </si>
  <si>
    <t>201008</t>
  </si>
  <si>
    <t>201009</t>
  </si>
  <si>
    <t>201010</t>
  </si>
  <si>
    <t>201011</t>
  </si>
  <si>
    <t>201012</t>
  </si>
  <si>
    <t>201101</t>
  </si>
  <si>
    <t>201102</t>
  </si>
  <si>
    <t>201103</t>
  </si>
  <si>
    <t>201104</t>
  </si>
  <si>
    <t>201105</t>
  </si>
  <si>
    <t>201106</t>
  </si>
  <si>
    <t>201107</t>
  </si>
  <si>
    <t>201108</t>
  </si>
  <si>
    <t>201109</t>
  </si>
  <si>
    <t>201110</t>
  </si>
  <si>
    <t>201111</t>
  </si>
  <si>
    <t>201112</t>
  </si>
  <si>
    <t>201201</t>
  </si>
  <si>
    <t>201202</t>
  </si>
  <si>
    <t>201203</t>
  </si>
  <si>
    <t>201204</t>
  </si>
  <si>
    <t>201205</t>
  </si>
  <si>
    <t>201206</t>
  </si>
  <si>
    <t>201207</t>
  </si>
  <si>
    <t>201208</t>
  </si>
  <si>
    <t>201209</t>
  </si>
  <si>
    <t>201210</t>
  </si>
  <si>
    <t>201211</t>
  </si>
  <si>
    <t>201212</t>
  </si>
  <si>
    <t>201301</t>
  </si>
  <si>
    <t>201302</t>
  </si>
  <si>
    <t>201303</t>
  </si>
  <si>
    <t>201304</t>
  </si>
  <si>
    <t>201305</t>
  </si>
  <si>
    <t>201306</t>
  </si>
  <si>
    <t>201307</t>
  </si>
  <si>
    <t>201308</t>
  </si>
  <si>
    <t>201309</t>
  </si>
  <si>
    <t>201310</t>
  </si>
  <si>
    <t>201311</t>
  </si>
  <si>
    <t>201312</t>
  </si>
  <si>
    <t>201401</t>
  </si>
  <si>
    <t>201402</t>
  </si>
  <si>
    <t>201403</t>
  </si>
  <si>
    <t>201404</t>
  </si>
  <si>
    <t>201405</t>
  </si>
  <si>
    <t>201406</t>
  </si>
  <si>
    <t>201407</t>
  </si>
  <si>
    <t>201408</t>
  </si>
  <si>
    <t xml:space="preserve">Sep-05-2014 08:31 </t>
  </si>
  <si>
    <t xml:space="preserve">Sep-05-2014 08:41 </t>
  </si>
  <si>
    <t>200810</t>
  </si>
  <si>
    <t>200811</t>
  </si>
  <si>
    <t>200812</t>
  </si>
  <si>
    <t>Instructions for Updating This Data:</t>
  </si>
  <si>
    <t>4. Then Press the" Save CSV Files" Button to save each individual CSV</t>
  </si>
  <si>
    <t>5. Save this Workbook</t>
  </si>
  <si>
    <t>6. If all the charts look okay, save as PDF</t>
  </si>
  <si>
    <t>Key:</t>
  </si>
  <si>
    <t>Log:</t>
  </si>
  <si>
    <t>Date</t>
  </si>
  <si>
    <t>Spreadsheet</t>
  </si>
  <si>
    <t>Comment</t>
  </si>
  <si>
    <t>1. Go to the "Real Structures" tab and press "Update Fred Data"</t>
  </si>
  <si>
    <t>2. Update the data in CBO Monthly Calculations Final (manually enter)</t>
  </si>
  <si>
    <t>2. Click on the Run Button (Below) -- This Updates the Haver data and copies in the updated CBO data</t>
  </si>
  <si>
    <t>3. Manually add commas to the CBO table (in Panel_TaxesandSpending)</t>
  </si>
  <si>
    <t xml:space="preserve">3. Update the Haver data in the Fiscal Impact file. </t>
  </si>
  <si>
    <t xml:space="preserve">7. Combine the PDFs into one document </t>
  </si>
  <si>
    <t>jobs_state</t>
  </si>
  <si>
    <t>State and Local Employment</t>
  </si>
  <si>
    <t>jobs_fed</t>
  </si>
  <si>
    <t>Federal Employment</t>
  </si>
  <si>
    <t>jobs_structures</t>
  </si>
  <si>
    <t>State and Local Government Spending on Structures</t>
  </si>
  <si>
    <t>taxes_state</t>
  </si>
  <si>
    <t>taxes_cbo</t>
  </si>
  <si>
    <t>long_revenue</t>
  </si>
  <si>
    <t>long_defecit</t>
  </si>
  <si>
    <t>long_category</t>
  </si>
  <si>
    <t>fiscal_i</t>
  </si>
  <si>
    <t>long_debt</t>
  </si>
  <si>
    <t>State and Local Tax Receipts</t>
  </si>
  <si>
    <t>Federal Revenue and Outlays</t>
  </si>
  <si>
    <t>Federal Spending by Category</t>
  </si>
  <si>
    <t>Federal Budget Defecit or Surplus</t>
  </si>
  <si>
    <t>Federal Debt Held by the Public</t>
  </si>
  <si>
    <t>Fiscal Impact Measure</t>
  </si>
  <si>
    <t>Past 12 Months, 
Billions of $</t>
  </si>
  <si>
    <t>Rolling 12-Month Window</t>
  </si>
  <si>
    <t>1975 2024</t>
  </si>
  <si>
    <t>Q1-2009</t>
  </si>
  <si>
    <t xml:space="preserve">Q2-2014 </t>
  </si>
  <si>
    <t xml:space="preserve">Sep-23-2014 11:57 </t>
  </si>
  <si>
    <t>Q2-2009</t>
  </si>
  <si>
    <t>Q3-2009</t>
  </si>
  <si>
    <t>Q4-2009</t>
  </si>
  <si>
    <t>Q1-2010</t>
  </si>
  <si>
    <t>Q2-2010</t>
  </si>
  <si>
    <t>Q3-2010</t>
  </si>
  <si>
    <t>Q4-2010</t>
  </si>
  <si>
    <t>Q1-2011</t>
  </si>
  <si>
    <t>Q2-2011</t>
  </si>
  <si>
    <t>Q3-2011</t>
  </si>
  <si>
    <t>Q4-2011</t>
  </si>
  <si>
    <t>Q1-2012</t>
  </si>
  <si>
    <t>Q2-2012</t>
  </si>
  <si>
    <t>Q3-2012</t>
  </si>
  <si>
    <t>Q4-2012</t>
  </si>
  <si>
    <t>Q1-2013</t>
  </si>
  <si>
    <t>Q2-2013</t>
  </si>
  <si>
    <t>Q3-2013</t>
  </si>
  <si>
    <t>Q4-2013</t>
  </si>
  <si>
    <t>Q1-2014</t>
  </si>
  <si>
    <t>Q2-2014</t>
  </si>
  <si>
    <t>200810 !M</t>
  </si>
  <si>
    <t>Q1-2007</t>
  </si>
  <si>
    <t>Q2-2007</t>
  </si>
  <si>
    <t>Q3-2007</t>
  </si>
  <si>
    <t>Q4-2007</t>
  </si>
  <si>
    <t>Q1-2008</t>
  </si>
  <si>
    <t>Q2-2008</t>
  </si>
  <si>
    <t>Q3-2008</t>
  </si>
  <si>
    <t>Q4-2008</t>
  </si>
  <si>
    <t>Q2-2002</t>
  </si>
  <si>
    <t>Q2-2002 !Q</t>
  </si>
  <si>
    <t>Q3-2002</t>
  </si>
  <si>
    <t>Q4-2002</t>
  </si>
  <si>
    <t>Q1-2003</t>
  </si>
  <si>
    <t>Q2-2003</t>
  </si>
  <si>
    <t>Q3-2003</t>
  </si>
  <si>
    <t>Q4-2003</t>
  </si>
  <si>
    <t>Q1-2004</t>
  </si>
  <si>
    <t>Q2-2004</t>
  </si>
  <si>
    <t>Q3-2004</t>
  </si>
  <si>
    <t>Q4-2004</t>
  </si>
  <si>
    <t>Q1-2005</t>
  </si>
  <si>
    <t>Q2-2005</t>
  </si>
  <si>
    <t>Q3-2005</t>
  </si>
  <si>
    <t>Q4-2005</t>
  </si>
  <si>
    <t>Q1-2006</t>
  </si>
  <si>
    <t>Q2-2006</t>
  </si>
  <si>
    <t>Q3-2006</t>
  </si>
  <si>
    <t>Q4-2006</t>
  </si>
  <si>
    <t>Year-Over-Year 
Percentage Change (%)</t>
  </si>
  <si>
    <t>FISCAL BAROMETER</t>
  </si>
  <si>
    <t>FISCAL IMPACT</t>
  </si>
  <si>
    <t>JOBS+PUBLIC CONTRUCTION</t>
  </si>
  <si>
    <t>TAXES+SPENDING</t>
  </si>
  <si>
    <t>THE LONGER RUN</t>
  </si>
  <si>
    <t>Spending</t>
  </si>
  <si>
    <t>MonthlyChange</t>
  </si>
  <si>
    <t>MovingAverage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</si>
</sst>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"/>
    <numFmt numFmtId="165" formatCode="0.000"/>
    <numFmt numFmtId="166" formatCode="yyyy"/>
    <numFmt numFmtId="167" formatCode="0.0000"/>
    <numFmt numFmtId="168" formatCode="mmm&quot;-&quot;yyyy"/>
    <numFmt numFmtId="169" formatCode="mm/dd/yyyy"/>
    <numFmt numFmtId="170" formatCode="0.0%"/>
  </numFmts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Bell Centennial Address"/>
      <family val="2"/>
    </font>
    <font>
      <sz val="10"/>
      <name val="Arial"/>
      <family val="2"/>
    </font>
    <font>
      <sz val="11"/>
      <color rgb="FF1F497D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8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Georgia"/>
      <family val="1"/>
    </font>
    <font>
      <b/>
      <sz val="11"/>
      <color theme="1"/>
      <name val="Georgia"/>
      <family val="1"/>
    </font>
    <font>
      <sz val="11"/>
      <color theme="0"/>
      <name val="Georgia"/>
      <family val="1"/>
    </font>
    <font>
      <sz val="22.5"/>
      <color rgb="FF524A48"/>
      <name val="Times New Roman"/>
      <family val="1"/>
    </font>
    <font>
      <sz val="8"/>
      <color theme="1"/>
      <name val="Times New Roman"/>
      <family val="1"/>
    </font>
    <font>
      <sz val="8"/>
      <color rgb="FFB9CDE5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5376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5" fillId="0" borderId="0"/>
  </cellStyleXfs>
  <cellXfs count="108">
    <xf numFmtId="0" fontId="0" fillId="0" borderId="0" xfId="0"/>
    <xf numFmtId="0" fontId="2" fillId="0" borderId="0" xfId="0" quotePrefix="1" applyFont="1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wrapText="1"/>
    </xf>
    <xf numFmtId="165" fontId="2" fillId="0" borderId="0" xfId="0" applyNumberFormat="1" applyFont="1" applyAlignment="1">
      <alignment wrapText="1"/>
    </xf>
    <xf numFmtId="164" fontId="2" fillId="0" borderId="0" xfId="0" applyNumberFormat="1" applyFont="1"/>
    <xf numFmtId="165" fontId="2" fillId="0" borderId="0" xfId="0" applyNumberFormat="1" applyFont="1"/>
    <xf numFmtId="166" fontId="2" fillId="0" borderId="0" xfId="0" applyNumberFormat="1" applyFont="1"/>
    <xf numFmtId="0" fontId="0" fillId="0" borderId="0" xfId="0"/>
    <xf numFmtId="0" fontId="3" fillId="0" borderId="0" xfId="1"/>
    <xf numFmtId="0" fontId="0" fillId="0" borderId="0" xfId="0" quotePrefix="1"/>
    <xf numFmtId="0" fontId="0" fillId="0" borderId="0" xfId="0"/>
    <xf numFmtId="0" fontId="0" fillId="0" borderId="0" xfId="0" quotePrefix="1"/>
    <xf numFmtId="168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5" fontId="0" fillId="0" borderId="0" xfId="0" applyNumberFormat="1"/>
    <xf numFmtId="0" fontId="0" fillId="0" borderId="0" xfId="0" applyFill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6" fontId="0" fillId="0" borderId="0" xfId="0" applyNumberFormat="1"/>
    <xf numFmtId="0" fontId="0" fillId="2" borderId="0" xfId="0" applyFill="1"/>
    <xf numFmtId="169" fontId="0" fillId="0" borderId="0" xfId="0" applyNumberFormat="1"/>
    <xf numFmtId="169" fontId="3" fillId="0" borderId="0" xfId="1" applyNumberFormat="1"/>
    <xf numFmtId="164" fontId="3" fillId="0" borderId="0" xfId="1" applyNumberFormat="1"/>
    <xf numFmtId="0" fontId="0" fillId="3" borderId="0" xfId="0" applyFill="1"/>
    <xf numFmtId="0" fontId="0" fillId="3" borderId="0" xfId="0" applyFill="1" applyAlignment="1">
      <alignment wrapText="1"/>
    </xf>
    <xf numFmtId="1" fontId="0" fillId="3" borderId="0" xfId="0" applyNumberFormat="1" applyFill="1"/>
    <xf numFmtId="164" fontId="0" fillId="3" borderId="0" xfId="0" applyNumberFormat="1" applyFill="1"/>
    <xf numFmtId="0" fontId="6" fillId="0" borderId="0" xfId="0" applyFont="1" applyAlignment="1">
      <alignment vertical="center"/>
    </xf>
    <xf numFmtId="0" fontId="0" fillId="0" borderId="0" xfId="0" applyFill="1" applyAlignment="1">
      <alignment wrapText="1"/>
    </xf>
    <xf numFmtId="164" fontId="0" fillId="0" borderId="0" xfId="0" applyNumberFormat="1" applyFill="1"/>
    <xf numFmtId="0" fontId="0" fillId="4" borderId="0" xfId="0" applyFill="1"/>
    <xf numFmtId="0" fontId="0" fillId="4" borderId="0" xfId="0" applyFill="1" applyAlignment="1">
      <alignment wrapText="1"/>
    </xf>
    <xf numFmtId="164" fontId="0" fillId="4" borderId="0" xfId="0" applyNumberFormat="1" applyFill="1"/>
    <xf numFmtId="0" fontId="8" fillId="3" borderId="0" xfId="1" applyFont="1" applyFill="1"/>
    <xf numFmtId="169" fontId="0" fillId="3" borderId="0" xfId="0" applyNumberFormat="1" applyFill="1"/>
    <xf numFmtId="1" fontId="6" fillId="0" borderId="0" xfId="0" applyNumberFormat="1" applyFont="1" applyFill="1" applyAlignment="1">
      <alignment vertical="center"/>
    </xf>
    <xf numFmtId="168" fontId="0" fillId="3" borderId="0" xfId="0" applyNumberFormat="1" applyFill="1"/>
    <xf numFmtId="1" fontId="0" fillId="0" borderId="0" xfId="0" applyNumberFormat="1" applyFill="1"/>
    <xf numFmtId="166" fontId="0" fillId="3" borderId="0" xfId="0" applyNumberFormat="1" applyFill="1"/>
    <xf numFmtId="165" fontId="0" fillId="3" borderId="0" xfId="0" applyNumberFormat="1" applyFill="1"/>
    <xf numFmtId="0" fontId="3" fillId="0" borderId="0" xfId="1" applyFill="1"/>
    <xf numFmtId="166" fontId="2" fillId="3" borderId="0" xfId="0" applyNumberFormat="1" applyFont="1" applyFill="1"/>
    <xf numFmtId="167" fontId="2" fillId="3" borderId="0" xfId="0" applyNumberFormat="1" applyFont="1" applyFill="1"/>
    <xf numFmtId="164" fontId="2" fillId="3" borderId="0" xfId="0" applyNumberFormat="1" applyFont="1" applyFill="1"/>
    <xf numFmtId="165" fontId="2" fillId="3" borderId="0" xfId="0" applyNumberFormat="1" applyFont="1" applyFill="1"/>
    <xf numFmtId="166" fontId="2" fillId="0" borderId="0" xfId="0" applyNumberFormat="1" applyFont="1" applyFill="1"/>
    <xf numFmtId="167" fontId="2" fillId="0" borderId="0" xfId="0" applyNumberFormat="1" applyFont="1" applyFill="1"/>
    <xf numFmtId="164" fontId="2" fillId="0" borderId="0" xfId="0" applyNumberFormat="1" applyFont="1" applyFill="1"/>
    <xf numFmtId="0" fontId="2" fillId="0" borderId="0" xfId="0" applyFont="1" applyFill="1"/>
    <xf numFmtId="0" fontId="2" fillId="3" borderId="0" xfId="0" applyFont="1" applyFill="1"/>
    <xf numFmtId="169" fontId="0" fillId="0" borderId="0" xfId="0" applyNumberFormat="1" applyFill="1"/>
    <xf numFmtId="0" fontId="7" fillId="4" borderId="0" xfId="0" applyFont="1" applyFill="1"/>
    <xf numFmtId="0" fontId="6" fillId="0" borderId="0" xfId="0" applyFont="1" applyFill="1" applyAlignment="1">
      <alignment vertical="center"/>
    </xf>
    <xf numFmtId="0" fontId="9" fillId="0" borderId="0" xfId="0" applyFont="1"/>
    <xf numFmtId="164" fontId="9" fillId="0" borderId="0" xfId="0" applyNumberFormat="1" applyFont="1" applyAlignment="1">
      <alignment wrapText="1"/>
    </xf>
    <xf numFmtId="164" fontId="9" fillId="0" borderId="0" xfId="0" applyNumberFormat="1" applyFont="1"/>
    <xf numFmtId="164" fontId="9" fillId="3" borderId="0" xfId="0" applyNumberFormat="1" applyFont="1" applyFill="1"/>
    <xf numFmtId="167" fontId="9" fillId="3" borderId="0" xfId="0" applyNumberFormat="1" applyFont="1" applyFill="1"/>
    <xf numFmtId="165" fontId="9" fillId="3" borderId="0" xfId="0" applyNumberFormat="1" applyFont="1" applyFill="1"/>
    <xf numFmtId="2" fontId="0" fillId="4" borderId="0" xfId="0" applyNumberFormat="1" applyFill="1"/>
    <xf numFmtId="14" fontId="0" fillId="0" borderId="0" xfId="0" applyNumberFormat="1"/>
    <xf numFmtId="0" fontId="10" fillId="2" borderId="0" xfId="0" applyFont="1" applyFill="1"/>
    <xf numFmtId="0" fontId="11" fillId="2" borderId="0" xfId="0" applyFont="1" applyFill="1"/>
    <xf numFmtId="14" fontId="0" fillId="2" borderId="0" xfId="0" applyNumberFormat="1" applyFont="1" applyFill="1" applyAlignment="1">
      <alignment horizontal="left"/>
    </xf>
    <xf numFmtId="14" fontId="0" fillId="2" borderId="0" xfId="0" applyNumberFormat="1" applyFill="1"/>
    <xf numFmtId="0" fontId="13" fillId="2" borderId="0" xfId="0" applyFont="1" applyFill="1" applyBorder="1"/>
    <xf numFmtId="0" fontId="0" fillId="2" borderId="0" xfId="0" applyFill="1" applyBorder="1"/>
    <xf numFmtId="0" fontId="13" fillId="2" borderId="0" xfId="0" applyFont="1" applyFill="1" applyBorder="1" applyAlignment="1">
      <alignment horizontal="center"/>
    </xf>
    <xf numFmtId="170" fontId="13" fillId="2" borderId="0" xfId="0" applyNumberFormat="1" applyFont="1" applyFill="1" applyBorder="1" applyAlignment="1">
      <alignment horizontal="center"/>
    </xf>
    <xf numFmtId="0" fontId="13" fillId="2" borderId="4" xfId="0" applyFont="1" applyFill="1" applyBorder="1"/>
    <xf numFmtId="0" fontId="14" fillId="2" borderId="4" xfId="0" applyFont="1" applyFill="1" applyBorder="1"/>
    <xf numFmtId="0" fontId="0" fillId="2" borderId="5" xfId="0" applyFill="1" applyBorder="1"/>
    <xf numFmtId="0" fontId="13" fillId="2" borderId="6" xfId="0" applyFont="1" applyFill="1" applyBorder="1"/>
    <xf numFmtId="0" fontId="13" fillId="2" borderId="7" xfId="0" applyFont="1" applyFill="1" applyBorder="1"/>
    <xf numFmtId="0" fontId="0" fillId="2" borderId="8" xfId="0" applyFill="1" applyBorder="1"/>
    <xf numFmtId="0" fontId="14" fillId="2" borderId="0" xfId="0" applyFont="1" applyFill="1" applyBorder="1"/>
    <xf numFmtId="0" fontId="13" fillId="2" borderId="7" xfId="0" applyFont="1" applyFill="1" applyBorder="1" applyAlignment="1">
      <alignment horizontal="center"/>
    </xf>
    <xf numFmtId="170" fontId="13" fillId="2" borderId="7" xfId="0" applyNumberFormat="1" applyFont="1" applyFill="1" applyBorder="1" applyAlignment="1">
      <alignment horizontal="center"/>
    </xf>
    <xf numFmtId="0" fontId="12" fillId="5" borderId="4" xfId="0" applyFont="1" applyFill="1" applyBorder="1"/>
    <xf numFmtId="0" fontId="12" fillId="5" borderId="0" xfId="0" applyFont="1" applyFill="1" applyBorder="1"/>
    <xf numFmtId="0" fontId="13" fillId="5" borderId="4" xfId="0" applyFont="1" applyFill="1" applyBorder="1"/>
    <xf numFmtId="0" fontId="13" fillId="5" borderId="0" xfId="0" applyFont="1" applyFill="1" applyBorder="1"/>
    <xf numFmtId="0" fontId="13" fillId="5" borderId="0" xfId="0" applyFont="1" applyFill="1" applyBorder="1" applyAlignment="1">
      <alignment horizontal="center"/>
    </xf>
    <xf numFmtId="170" fontId="13" fillId="5" borderId="0" xfId="0" applyNumberFormat="1" applyFont="1" applyFill="1" applyBorder="1" applyAlignment="1">
      <alignment horizontal="center"/>
    </xf>
    <xf numFmtId="0" fontId="0" fillId="5" borderId="5" xfId="0" applyFill="1" applyBorder="1"/>
    <xf numFmtId="0" fontId="14" fillId="2" borderId="1" xfId="0" applyFont="1" applyFill="1" applyBorder="1"/>
    <xf numFmtId="0" fontId="14" fillId="2" borderId="2" xfId="0" applyFont="1" applyFill="1" applyBorder="1"/>
    <xf numFmtId="0" fontId="14" fillId="2" borderId="3" xfId="0" applyFont="1" applyFill="1" applyBorder="1"/>
    <xf numFmtId="0" fontId="14" fillId="2" borderId="5" xfId="0" applyFont="1" applyFill="1" applyBorder="1"/>
    <xf numFmtId="0" fontId="0" fillId="2" borderId="0" xfId="0" applyFill="1" applyAlignment="1">
      <alignment wrapText="1"/>
    </xf>
    <xf numFmtId="0" fontId="16" fillId="2" borderId="0" xfId="0" applyFont="1" applyFill="1" applyAlignment="1">
      <alignment vertical="center"/>
    </xf>
    <xf numFmtId="0" fontId="17" fillId="2" borderId="0" xfId="0" applyFont="1" applyFill="1"/>
    <xf numFmtId="0" fontId="18" fillId="2" borderId="0" xfId="0" applyFont="1" applyFill="1"/>
    <xf numFmtId="0" fontId="13" fillId="2" borderId="0" xfId="0" applyNumberFormat="1" applyFont="1" applyFill="1" applyBorder="1" applyAlignment="1">
      <alignment horizontal="center"/>
    </xf>
    <xf numFmtId="0" fontId="13" fillId="5" borderId="0" xfId="0" applyNumberFormat="1" applyFont="1" applyFill="1" applyBorder="1" applyAlignment="1">
      <alignment horizontal="center"/>
    </xf>
    <xf numFmtId="0" fontId="13" fillId="2" borderId="7" xfId="0" applyNumberFormat="1" applyFont="1" applyFill="1" applyBorder="1" applyAlignment="1">
      <alignment horizontal="center"/>
    </xf>
    <xf numFmtId="0" fontId="16" fillId="2" borderId="0" xfId="0" applyFont="1" applyFill="1" applyAlignment="1">
      <alignment horizontal="center" vertical="center"/>
    </xf>
    <xf numFmtId="0" fontId="15" fillId="5" borderId="0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</cellXfs>
  <cellStyles count="5">
    <cellStyle name="Hyperlink" xfId="1" builtinId="8"/>
    <cellStyle name="Normal" xfId="0" builtinId="0"/>
    <cellStyle name="Normal 2" xfId="4"/>
    <cellStyle name="Normal 3" xfId="2"/>
    <cellStyle name="Normal 4" xfId="3"/>
  </cellStyles>
  <dxfs count="0"/>
  <tableStyles count="0" defaultTableStyle="TableStyleMedium2" defaultPivotStyle="PivotStyleLight16"/>
  <colors>
    <mruColors>
      <color rgb="FFB9CDE5"/>
      <color rgb="FFA4C7F2"/>
      <color rgb="FF053769"/>
      <color rgb="FF1F497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State &amp; Local Employment</a:t>
            </a:r>
          </a:p>
        </c:rich>
      </c:tx>
      <c:layout>
        <c:manualLayout>
          <c:xMode val="edge"/>
          <c:yMode val="edge"/>
          <c:x val="1.7407879954062929E-3"/>
          <c:y val="2.682985904270986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641347245337345"/>
          <c:y val="0.21574059492563427"/>
          <c:w val="0.8690860579513654"/>
          <c:h val="0.61077121609798779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</c:numCache>
            </c:numRef>
          </c:cat>
          <c:val>
            <c:numRef>
              <c:f>'Change in Employment'!$I$7:$I$200</c:f>
              <c:numCache>
                <c:formatCode>0</c:formatCode>
                <c:ptCount val="194"/>
                <c:pt idx="0">
                  <c:v>0</c:v>
                </c:pt>
                <c:pt idx="1">
                  <c:v>5000</c:v>
                </c:pt>
                <c:pt idx="2">
                  <c:v>-1000</c:v>
                </c:pt>
                <c:pt idx="3">
                  <c:v>12000</c:v>
                </c:pt>
                <c:pt idx="4">
                  <c:v>-12000</c:v>
                </c:pt>
                <c:pt idx="5">
                  <c:v>-18000</c:v>
                </c:pt>
                <c:pt idx="6">
                  <c:v>-8000</c:v>
                </c:pt>
                <c:pt idx="7">
                  <c:v>2000</c:v>
                </c:pt>
                <c:pt idx="8">
                  <c:v>5000</c:v>
                </c:pt>
                <c:pt idx="9">
                  <c:v>-67000</c:v>
                </c:pt>
                <c:pt idx="10">
                  <c:v>17000</c:v>
                </c:pt>
                <c:pt idx="11">
                  <c:v>-87000</c:v>
                </c:pt>
                <c:pt idx="12">
                  <c:v>56000</c:v>
                </c:pt>
                <c:pt idx="13">
                  <c:v>10000</c:v>
                </c:pt>
                <c:pt idx="14">
                  <c:v>-40000</c:v>
                </c:pt>
                <c:pt idx="15">
                  <c:v>-31000</c:v>
                </c:pt>
                <c:pt idx="16">
                  <c:v>-23000</c:v>
                </c:pt>
                <c:pt idx="17">
                  <c:v>-8000</c:v>
                </c:pt>
                <c:pt idx="18">
                  <c:v>-5000</c:v>
                </c:pt>
                <c:pt idx="19">
                  <c:v>-7000</c:v>
                </c:pt>
                <c:pt idx="20">
                  <c:v>-10000</c:v>
                </c:pt>
                <c:pt idx="21">
                  <c:v>-42000</c:v>
                </c:pt>
                <c:pt idx="22">
                  <c:v>-50000</c:v>
                </c:pt>
                <c:pt idx="23">
                  <c:v>-88000</c:v>
                </c:pt>
                <c:pt idx="24">
                  <c:v>45000</c:v>
                </c:pt>
                <c:pt idx="25">
                  <c:v>-12000</c:v>
                </c:pt>
                <c:pt idx="26">
                  <c:v>-27000</c:v>
                </c:pt>
                <c:pt idx="27">
                  <c:v>-6000</c:v>
                </c:pt>
                <c:pt idx="28">
                  <c:v>-56000</c:v>
                </c:pt>
                <c:pt idx="29">
                  <c:v>-20000</c:v>
                </c:pt>
                <c:pt idx="30">
                  <c:v>6000</c:v>
                </c:pt>
                <c:pt idx="31">
                  <c:v>-64000</c:v>
                </c:pt>
                <c:pt idx="32">
                  <c:v>44000</c:v>
                </c:pt>
                <c:pt idx="33">
                  <c:v>-114000</c:v>
                </c:pt>
                <c:pt idx="34">
                  <c:v>5000</c:v>
                </c:pt>
                <c:pt idx="35">
                  <c:v>-41000</c:v>
                </c:pt>
                <c:pt idx="36">
                  <c:v>3000</c:v>
                </c:pt>
                <c:pt idx="37">
                  <c:v>-21000</c:v>
                </c:pt>
                <c:pt idx="38">
                  <c:v>-22000</c:v>
                </c:pt>
                <c:pt idx="39">
                  <c:v>2000</c:v>
                </c:pt>
                <c:pt idx="40">
                  <c:v>4000</c:v>
                </c:pt>
                <c:pt idx="41">
                  <c:v>-2000</c:v>
                </c:pt>
                <c:pt idx="42">
                  <c:v>-6000</c:v>
                </c:pt>
                <c:pt idx="43">
                  <c:v>-20000</c:v>
                </c:pt>
                <c:pt idx="44">
                  <c:v>14000</c:v>
                </c:pt>
                <c:pt idx="45">
                  <c:v>-2000</c:v>
                </c:pt>
                <c:pt idx="46">
                  <c:v>9000</c:v>
                </c:pt>
                <c:pt idx="47">
                  <c:v>2000</c:v>
                </c:pt>
                <c:pt idx="48">
                  <c:v>-32000</c:v>
                </c:pt>
                <c:pt idx="49">
                  <c:v>-3000</c:v>
                </c:pt>
                <c:pt idx="50">
                  <c:v>1000</c:v>
                </c:pt>
                <c:pt idx="51">
                  <c:v>-17000</c:v>
                </c:pt>
                <c:pt idx="52">
                  <c:v>16000</c:v>
                </c:pt>
                <c:pt idx="53">
                  <c:v>-2000</c:v>
                </c:pt>
                <c:pt idx="54">
                  <c:v>13000</c:v>
                </c:pt>
                <c:pt idx="55">
                  <c:v>0</c:v>
                </c:pt>
                <c:pt idx="56">
                  <c:v>1000</c:v>
                </c:pt>
                <c:pt idx="57">
                  <c:v>-10000</c:v>
                </c:pt>
                <c:pt idx="58">
                  <c:v>29000</c:v>
                </c:pt>
                <c:pt idx="59">
                  <c:v>16000</c:v>
                </c:pt>
                <c:pt idx="60">
                  <c:v>2000</c:v>
                </c:pt>
                <c:pt idx="61">
                  <c:v>-5000</c:v>
                </c:pt>
                <c:pt idx="62">
                  <c:v>1000</c:v>
                </c:pt>
                <c:pt idx="63">
                  <c:v>-7000</c:v>
                </c:pt>
                <c:pt idx="64">
                  <c:v>24000</c:v>
                </c:pt>
                <c:pt idx="65">
                  <c:v>8000</c:v>
                </c:pt>
                <c:pt idx="66">
                  <c:v>26000</c:v>
                </c:pt>
                <c:pt idx="67">
                  <c:v>2000</c:v>
                </c:pt>
                <c:pt idx="68">
                  <c:v>4000</c:v>
                </c:pt>
                <c:pt idx="69">
                  <c:v>0</c:v>
                </c:pt>
                <c:pt idx="70">
                  <c:v>5000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236112896"/>
        <c:axId val="236114688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</c:numCache>
            </c:numRef>
          </c:cat>
          <c:val>
            <c:numRef>
              <c:f>'Change in Employment'!$J$7:$J$200</c:f>
              <c:numCache>
                <c:formatCode>0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5333.333333333333</c:v>
                </c:pt>
                <c:pt idx="4">
                  <c:v>-333.33333333333331</c:v>
                </c:pt>
                <c:pt idx="5">
                  <c:v>-6000</c:v>
                </c:pt>
                <c:pt idx="6">
                  <c:v>-12666.666666666666</c:v>
                </c:pt>
                <c:pt idx="7">
                  <c:v>-8000</c:v>
                </c:pt>
                <c:pt idx="8">
                  <c:v>-333.33333333333331</c:v>
                </c:pt>
                <c:pt idx="9">
                  <c:v>-20000</c:v>
                </c:pt>
                <c:pt idx="10">
                  <c:v>-15000</c:v>
                </c:pt>
                <c:pt idx="11">
                  <c:v>-45666.666666666664</c:v>
                </c:pt>
                <c:pt idx="12">
                  <c:v>-4666.666666666667</c:v>
                </c:pt>
                <c:pt idx="13">
                  <c:v>-7000</c:v>
                </c:pt>
                <c:pt idx="14">
                  <c:v>8666.6666666666661</c:v>
                </c:pt>
                <c:pt idx="15">
                  <c:v>-20333.333333333332</c:v>
                </c:pt>
                <c:pt idx="16">
                  <c:v>-31333.333333333332</c:v>
                </c:pt>
                <c:pt idx="17">
                  <c:v>-20666.666666666668</c:v>
                </c:pt>
                <c:pt idx="18">
                  <c:v>-12000</c:v>
                </c:pt>
                <c:pt idx="19">
                  <c:v>-6666.666666666667</c:v>
                </c:pt>
                <c:pt idx="20">
                  <c:v>-7333.333333333333</c:v>
                </c:pt>
                <c:pt idx="21">
                  <c:v>-19666.666666666668</c:v>
                </c:pt>
                <c:pt idx="22">
                  <c:v>-34000</c:v>
                </c:pt>
                <c:pt idx="23">
                  <c:v>-60000</c:v>
                </c:pt>
                <c:pt idx="24">
                  <c:v>-31000</c:v>
                </c:pt>
                <c:pt idx="25">
                  <c:v>-18333.333333333332</c:v>
                </c:pt>
                <c:pt idx="26">
                  <c:v>2000</c:v>
                </c:pt>
                <c:pt idx="27">
                  <c:v>-15000</c:v>
                </c:pt>
                <c:pt idx="28">
                  <c:v>-29666.666666666668</c:v>
                </c:pt>
                <c:pt idx="29">
                  <c:v>-27333.333333333332</c:v>
                </c:pt>
                <c:pt idx="30">
                  <c:v>-23333.333333333332</c:v>
                </c:pt>
                <c:pt idx="31">
                  <c:v>-26000</c:v>
                </c:pt>
                <c:pt idx="32">
                  <c:v>-4666.666666666667</c:v>
                </c:pt>
                <c:pt idx="33">
                  <c:v>-44666.666666666664</c:v>
                </c:pt>
                <c:pt idx="34">
                  <c:v>-21666.666666666668</c:v>
                </c:pt>
                <c:pt idx="35">
                  <c:v>-50000</c:v>
                </c:pt>
                <c:pt idx="36">
                  <c:v>-11000</c:v>
                </c:pt>
                <c:pt idx="37">
                  <c:v>-19666.666666666668</c:v>
                </c:pt>
                <c:pt idx="38">
                  <c:v>-13333.333333333334</c:v>
                </c:pt>
                <c:pt idx="39">
                  <c:v>-13666.666666666666</c:v>
                </c:pt>
                <c:pt idx="40">
                  <c:v>-5333.333333333333</c:v>
                </c:pt>
                <c:pt idx="41">
                  <c:v>1333.3333333333333</c:v>
                </c:pt>
                <c:pt idx="42">
                  <c:v>-1333.3333333333333</c:v>
                </c:pt>
                <c:pt idx="43">
                  <c:v>-9333.3333333333339</c:v>
                </c:pt>
                <c:pt idx="44">
                  <c:v>-4000</c:v>
                </c:pt>
                <c:pt idx="45">
                  <c:v>-2666.6666666666665</c:v>
                </c:pt>
                <c:pt idx="46">
                  <c:v>7000</c:v>
                </c:pt>
                <c:pt idx="47">
                  <c:v>3000</c:v>
                </c:pt>
                <c:pt idx="48">
                  <c:v>-7000</c:v>
                </c:pt>
                <c:pt idx="49">
                  <c:v>-11000</c:v>
                </c:pt>
                <c:pt idx="50">
                  <c:v>-11333.333333333334</c:v>
                </c:pt>
                <c:pt idx="51">
                  <c:v>-6333.333333333333</c:v>
                </c:pt>
                <c:pt idx="52">
                  <c:v>0</c:v>
                </c:pt>
                <c:pt idx="53">
                  <c:v>-1000</c:v>
                </c:pt>
                <c:pt idx="54">
                  <c:v>9000</c:v>
                </c:pt>
                <c:pt idx="55">
                  <c:v>3666.6666666666665</c:v>
                </c:pt>
                <c:pt idx="56">
                  <c:v>4666.666666666667</c:v>
                </c:pt>
                <c:pt idx="57">
                  <c:v>-3000</c:v>
                </c:pt>
                <c:pt idx="58">
                  <c:v>6666.666666666667</c:v>
                </c:pt>
                <c:pt idx="59">
                  <c:v>11666.666666666666</c:v>
                </c:pt>
                <c:pt idx="60">
                  <c:v>15666.666666666666</c:v>
                </c:pt>
                <c:pt idx="61">
                  <c:v>4333.333333333333</c:v>
                </c:pt>
                <c:pt idx="62">
                  <c:v>-666.66666666666663</c:v>
                </c:pt>
                <c:pt idx="63">
                  <c:v>-3666.6666666666665</c:v>
                </c:pt>
                <c:pt idx="64">
                  <c:v>6000</c:v>
                </c:pt>
                <c:pt idx="65">
                  <c:v>8333.3333333333339</c:v>
                </c:pt>
                <c:pt idx="66">
                  <c:v>19333.333333333332</c:v>
                </c:pt>
                <c:pt idx="67">
                  <c:v>12000</c:v>
                </c:pt>
                <c:pt idx="68">
                  <c:v>10666.666666666666</c:v>
                </c:pt>
                <c:pt idx="69">
                  <c:v>2000</c:v>
                </c:pt>
                <c:pt idx="70">
                  <c:v>3000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112896"/>
        <c:axId val="236114688"/>
      </c:lineChart>
      <c:dateAx>
        <c:axId val="236112896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236114688"/>
        <c:crosses val="autoZero"/>
        <c:auto val="1"/>
        <c:lblOffset val="100"/>
        <c:baseTimeUnit val="months"/>
        <c:majorUnit val="1"/>
        <c:majorTimeUnit val="years"/>
      </c:dateAx>
      <c:valAx>
        <c:axId val="236114688"/>
        <c:scaling>
          <c:orientation val="minMax"/>
          <c:max val="100000"/>
          <c:min val="-10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236112896"/>
        <c:crosses val="autoZero"/>
        <c:crossBetween val="between"/>
        <c:majorUnit val="50000"/>
      </c:valAx>
    </c:plotArea>
    <c:legend>
      <c:legendPos val="b"/>
      <c:layout>
        <c:manualLayout>
          <c:xMode val="edge"/>
          <c:yMode val="edge"/>
          <c:x val="0.14858515478285872"/>
          <c:y val="0.13061242344706911"/>
          <c:w val="0.77768208661417326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5" l="0.5" r="0.5" t="0.5" header="0.3" footer="0.3"/>
    <c:pageSetup orientation="portrait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Federal Employment</a:t>
            </a:r>
          </a:p>
        </c:rich>
      </c:tx>
      <c:layout>
        <c:manualLayout>
          <c:xMode val="edge"/>
          <c:yMode val="edge"/>
          <c:x val="1.1720584148643598E-3"/>
          <c:y val="1.85170603674540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08386037033133"/>
          <c:y val="0.25462948381452316"/>
          <c:w val="0.84832302057794673"/>
          <c:h val="0.57188232720909882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</c:numCache>
            </c:numRef>
          </c:cat>
          <c:val>
            <c:numRef>
              <c:f>'Change in Employment'!$L$7:$L$200</c:f>
              <c:numCache>
                <c:formatCode>0.0</c:formatCode>
                <c:ptCount val="194"/>
                <c:pt idx="0">
                  <c:v>#N/A</c:v>
                </c:pt>
                <c:pt idx="1">
                  <c:v>8700.0000000000455</c:v>
                </c:pt>
                <c:pt idx="2">
                  <c:v>2899.9999999998636</c:v>
                </c:pt>
                <c:pt idx="3">
                  <c:v>7900.0000000000909</c:v>
                </c:pt>
                <c:pt idx="4">
                  <c:v>7699.9999999998181</c:v>
                </c:pt>
                <c:pt idx="5">
                  <c:v>800.0000000001819</c:v>
                </c:pt>
                <c:pt idx="6">
                  <c:v>11800.000000000182</c:v>
                </c:pt>
                <c:pt idx="7">
                  <c:v>7799.9999999997272</c:v>
                </c:pt>
                <c:pt idx="8">
                  <c:v>17400.000000000091</c:v>
                </c:pt>
                <c:pt idx="9">
                  <c:v>15800.000000000182</c:v>
                </c:pt>
                <c:pt idx="10">
                  <c:v>8899.9999999996362</c:v>
                </c:pt>
                <c:pt idx="11">
                  <c:v>3900.0000000000909</c:v>
                </c:pt>
                <c:pt idx="12">
                  <c:v>11000</c:v>
                </c:pt>
                <c:pt idx="13">
                  <c:v>6400.0000000000909</c:v>
                </c:pt>
                <c:pt idx="14">
                  <c:v>9199.9999999998181</c:v>
                </c:pt>
                <c:pt idx="15">
                  <c:v>5400.0000000000909</c:v>
                </c:pt>
                <c:pt idx="16">
                  <c:v>3700.0000000002728</c:v>
                </c:pt>
                <c:pt idx="17">
                  <c:v>6099.9999999999091</c:v>
                </c:pt>
                <c:pt idx="18">
                  <c:v>400.00000000009095</c:v>
                </c:pt>
                <c:pt idx="19">
                  <c:v>21299.999999999727</c:v>
                </c:pt>
                <c:pt idx="20">
                  <c:v>3099.9999999999091</c:v>
                </c:pt>
                <c:pt idx="21">
                  <c:v>6000</c:v>
                </c:pt>
                <c:pt idx="22">
                  <c:v>5700.0000000002728</c:v>
                </c:pt>
                <c:pt idx="23">
                  <c:v>1099.9999999999091</c:v>
                </c:pt>
                <c:pt idx="24">
                  <c:v>4599.9999999999091</c:v>
                </c:pt>
                <c:pt idx="25">
                  <c:v>2599.9999999999091</c:v>
                </c:pt>
                <c:pt idx="26">
                  <c:v>6100.0000000003638</c:v>
                </c:pt>
                <c:pt idx="27">
                  <c:v>5899.9999999996362</c:v>
                </c:pt>
                <c:pt idx="28">
                  <c:v>2600.0000000003638</c:v>
                </c:pt>
                <c:pt idx="29">
                  <c:v>3500</c:v>
                </c:pt>
                <c:pt idx="30">
                  <c:v>1599.9999999999091</c:v>
                </c:pt>
                <c:pt idx="31">
                  <c:v>1500</c:v>
                </c:pt>
                <c:pt idx="32">
                  <c:v>-8800.0000000001819</c:v>
                </c:pt>
                <c:pt idx="33">
                  <c:v>-2299.9999999997272</c:v>
                </c:pt>
                <c:pt idx="34">
                  <c:v>-1100.0000000003638</c:v>
                </c:pt>
                <c:pt idx="35">
                  <c:v>-99.999999999909051</c:v>
                </c:pt>
                <c:pt idx="36">
                  <c:v>-699.9999999998181</c:v>
                </c:pt>
                <c:pt idx="37">
                  <c:v>-3000</c:v>
                </c:pt>
                <c:pt idx="38">
                  <c:v>-1500</c:v>
                </c:pt>
                <c:pt idx="39">
                  <c:v>-5800.0000000001819</c:v>
                </c:pt>
                <c:pt idx="40">
                  <c:v>-3699.9999999998181</c:v>
                </c:pt>
                <c:pt idx="41">
                  <c:v>1400.0000000000909</c:v>
                </c:pt>
                <c:pt idx="42">
                  <c:v>-700.00000000027285</c:v>
                </c:pt>
                <c:pt idx="43">
                  <c:v>900.00000000009095</c:v>
                </c:pt>
                <c:pt idx="44">
                  <c:v>-199.9999999998181</c:v>
                </c:pt>
                <c:pt idx="45">
                  <c:v>-8400.0000000000909</c:v>
                </c:pt>
                <c:pt idx="46">
                  <c:v>7199.9999999998181</c:v>
                </c:pt>
                <c:pt idx="47">
                  <c:v>6300.0000000001819</c:v>
                </c:pt>
                <c:pt idx="48">
                  <c:v>-3900.0000000000909</c:v>
                </c:pt>
                <c:pt idx="49">
                  <c:v>-599.99999999990905</c:v>
                </c:pt>
                <c:pt idx="50">
                  <c:v>-1500</c:v>
                </c:pt>
                <c:pt idx="51">
                  <c:v>-3900.0000000000909</c:v>
                </c:pt>
                <c:pt idx="52">
                  <c:v>-2400.0000000000909</c:v>
                </c:pt>
                <c:pt idx="53">
                  <c:v>-4099.9999999999091</c:v>
                </c:pt>
                <c:pt idx="54">
                  <c:v>-9300.0000000001819</c:v>
                </c:pt>
                <c:pt idx="55">
                  <c:v>-10699.999999999818</c:v>
                </c:pt>
                <c:pt idx="56">
                  <c:v>-6800.0000000001819</c:v>
                </c:pt>
                <c:pt idx="57">
                  <c:v>-7199.9999999998181</c:v>
                </c:pt>
                <c:pt idx="58">
                  <c:v>-7900.0000000000909</c:v>
                </c:pt>
                <c:pt idx="59">
                  <c:v>-4900.0000000000909</c:v>
                </c:pt>
                <c:pt idx="60">
                  <c:v>-9299.9999999997272</c:v>
                </c:pt>
                <c:pt idx="61">
                  <c:v>4199.9999999998181</c:v>
                </c:pt>
                <c:pt idx="62">
                  <c:v>-6299.9999999997272</c:v>
                </c:pt>
                <c:pt idx="63">
                  <c:v>-5600.0000000003638</c:v>
                </c:pt>
                <c:pt idx="64">
                  <c:v>-6299.9999999997272</c:v>
                </c:pt>
                <c:pt idx="65">
                  <c:v>-4000</c:v>
                </c:pt>
                <c:pt idx="66">
                  <c:v>-2800.0000000001819</c:v>
                </c:pt>
                <c:pt idx="67">
                  <c:v>200.00000000027285</c:v>
                </c:pt>
                <c:pt idx="68">
                  <c:v>199.9999999998181</c:v>
                </c:pt>
                <c:pt idx="69">
                  <c:v>1599.9999999999091</c:v>
                </c:pt>
                <c:pt idx="70">
                  <c:v>1099.9999999999091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217737856"/>
        <c:axId val="217739648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</c:numCache>
            </c:numRef>
          </c:cat>
          <c:val>
            <c:numRef>
              <c:f>'Change in Employment'!$M$7:$M$200</c:f>
              <c:numCache>
                <c:formatCode>0.0</c:formatCode>
                <c:ptCount val="19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6500</c:v>
                </c:pt>
                <c:pt idx="4" formatCode="0.00">
                  <c:v>6166.6666666665915</c:v>
                </c:pt>
                <c:pt idx="5" formatCode="0.00">
                  <c:v>5466.666666666697</c:v>
                </c:pt>
                <c:pt idx="6" formatCode="0.00">
                  <c:v>6766.666666666727</c:v>
                </c:pt>
                <c:pt idx="7" formatCode="0.00">
                  <c:v>6800.00000000003</c:v>
                </c:pt>
                <c:pt idx="8" formatCode="0.00">
                  <c:v>12333.333333333334</c:v>
                </c:pt>
                <c:pt idx="9" formatCode="0.00">
                  <c:v>13666.666666666666</c:v>
                </c:pt>
                <c:pt idx="10" formatCode="0.00">
                  <c:v>14033.333333333305</c:v>
                </c:pt>
                <c:pt idx="11" formatCode="0.00">
                  <c:v>9533.333333333303</c:v>
                </c:pt>
                <c:pt idx="12" formatCode="0.00">
                  <c:v>7933.3333333332421</c:v>
                </c:pt>
                <c:pt idx="13" formatCode="0.00">
                  <c:v>7100.0000000000609</c:v>
                </c:pt>
                <c:pt idx="14" formatCode="0.00">
                  <c:v>8866.666666666637</c:v>
                </c:pt>
                <c:pt idx="15" formatCode="0.00">
                  <c:v>7000</c:v>
                </c:pt>
                <c:pt idx="16" formatCode="0.00">
                  <c:v>6100.0000000000609</c:v>
                </c:pt>
                <c:pt idx="17" formatCode="0.00">
                  <c:v>5066.6666666667579</c:v>
                </c:pt>
                <c:pt idx="18" formatCode="0.00">
                  <c:v>3400.0000000000909</c:v>
                </c:pt>
                <c:pt idx="19" formatCode="0.00">
                  <c:v>9266.6666666665751</c:v>
                </c:pt>
                <c:pt idx="20" formatCode="0.00">
                  <c:v>8266.6666666665751</c:v>
                </c:pt>
                <c:pt idx="21" formatCode="0.00">
                  <c:v>10133.333333333212</c:v>
                </c:pt>
                <c:pt idx="22" formatCode="0.00">
                  <c:v>4933.333333333394</c:v>
                </c:pt>
                <c:pt idx="23" formatCode="0.00">
                  <c:v>4266.666666666727</c:v>
                </c:pt>
                <c:pt idx="24" formatCode="0.00">
                  <c:v>3800.0000000000305</c:v>
                </c:pt>
                <c:pt idx="25" formatCode="0.00">
                  <c:v>2766.6666666665756</c:v>
                </c:pt>
                <c:pt idx="26" formatCode="0.00">
                  <c:v>4433.333333333394</c:v>
                </c:pt>
                <c:pt idx="27" formatCode="0.00">
                  <c:v>4866.666666666636</c:v>
                </c:pt>
                <c:pt idx="28" formatCode="0.00">
                  <c:v>4866.6666666667879</c:v>
                </c:pt>
                <c:pt idx="29" formatCode="0.00">
                  <c:v>4000</c:v>
                </c:pt>
                <c:pt idx="30" formatCode="0.00">
                  <c:v>2566.6666666667575</c:v>
                </c:pt>
                <c:pt idx="31" formatCode="0.00">
                  <c:v>2199.9999999999695</c:v>
                </c:pt>
                <c:pt idx="32" formatCode="0.00">
                  <c:v>-1900.0000000000909</c:v>
                </c:pt>
                <c:pt idx="33" formatCode="0.00">
                  <c:v>-3199.9999999999695</c:v>
                </c:pt>
                <c:pt idx="34" formatCode="0.00">
                  <c:v>-4066.6666666667575</c:v>
                </c:pt>
                <c:pt idx="35" formatCode="0.00">
                  <c:v>-1166.6666666666667</c:v>
                </c:pt>
                <c:pt idx="36" formatCode="0.00">
                  <c:v>-633.33333333336361</c:v>
                </c:pt>
                <c:pt idx="37" formatCode="0.00">
                  <c:v>-1266.6666666665758</c:v>
                </c:pt>
                <c:pt idx="38" formatCode="0.00">
                  <c:v>-1733.3333333332728</c:v>
                </c:pt>
                <c:pt idx="39" formatCode="0.00">
                  <c:v>-3433.333333333394</c:v>
                </c:pt>
                <c:pt idx="40" formatCode="0.00">
                  <c:v>-3666.6666666666665</c:v>
                </c:pt>
                <c:pt idx="41" formatCode="0.00">
                  <c:v>-2699.9999999999695</c:v>
                </c:pt>
                <c:pt idx="42" formatCode="0.00">
                  <c:v>-1000</c:v>
                </c:pt>
                <c:pt idx="43" formatCode="0.00">
                  <c:v>533.33333333330302</c:v>
                </c:pt>
                <c:pt idx="44" formatCode="0.00">
                  <c:v>0</c:v>
                </c:pt>
                <c:pt idx="45" formatCode="0.00">
                  <c:v>-2566.666666666606</c:v>
                </c:pt>
                <c:pt idx="46" formatCode="0.00">
                  <c:v>-466.66666666669698</c:v>
                </c:pt>
                <c:pt idx="47" formatCode="0.00">
                  <c:v>1699.9999999999698</c:v>
                </c:pt>
                <c:pt idx="48" formatCode="0.00">
                  <c:v>3199.9999999999695</c:v>
                </c:pt>
                <c:pt idx="49" formatCode="0.00">
                  <c:v>600.0000000000606</c:v>
                </c:pt>
                <c:pt idx="50" formatCode="0.00">
                  <c:v>-2000</c:v>
                </c:pt>
                <c:pt idx="51" formatCode="0.00">
                  <c:v>-2000</c:v>
                </c:pt>
                <c:pt idx="52" formatCode="0.00">
                  <c:v>-2600.0000000000605</c:v>
                </c:pt>
                <c:pt idx="53" formatCode="0.00">
                  <c:v>-3466.666666666697</c:v>
                </c:pt>
                <c:pt idx="54" formatCode="0.00">
                  <c:v>-5266.666666666727</c:v>
                </c:pt>
                <c:pt idx="55" formatCode="0.00">
                  <c:v>-8033.333333333303</c:v>
                </c:pt>
                <c:pt idx="56" formatCode="0.00">
                  <c:v>-8933.333333333394</c:v>
                </c:pt>
                <c:pt idx="57" formatCode="0.00">
                  <c:v>-8233.3333333332721</c:v>
                </c:pt>
                <c:pt idx="58" formatCode="0.00">
                  <c:v>-7300.00000000003</c:v>
                </c:pt>
                <c:pt idx="59" formatCode="0.00">
                  <c:v>-6666.666666666667</c:v>
                </c:pt>
                <c:pt idx="60" formatCode="0.00">
                  <c:v>-7366.666666666636</c:v>
                </c:pt>
                <c:pt idx="61" formatCode="0.00">
                  <c:v>-3333.3333333333335</c:v>
                </c:pt>
                <c:pt idx="62" formatCode="0.00">
                  <c:v>-3799.9999999998786</c:v>
                </c:pt>
                <c:pt idx="63" formatCode="0.00">
                  <c:v>-2566.6666666667575</c:v>
                </c:pt>
                <c:pt idx="64" formatCode="0.00">
                  <c:v>-6066.666666666606</c:v>
                </c:pt>
                <c:pt idx="65" formatCode="0.00">
                  <c:v>-5300.00000000003</c:v>
                </c:pt>
                <c:pt idx="66" formatCode="0.00">
                  <c:v>-4366.666666666636</c:v>
                </c:pt>
                <c:pt idx="67" formatCode="0.00">
                  <c:v>-2199.9999999999695</c:v>
                </c:pt>
                <c:pt idx="68" formatCode="0.00">
                  <c:v>-800.00000000003035</c:v>
                </c:pt>
                <c:pt idx="69" formatCode="0.00">
                  <c:v>666.66666666666663</c:v>
                </c:pt>
                <c:pt idx="70" formatCode="0.00">
                  <c:v>966.66666666654544</c:v>
                </c:pt>
                <c:pt idx="71" formatCode="0.00">
                  <c:v>0</c:v>
                </c:pt>
                <c:pt idx="72" formatCode="0.00">
                  <c:v>0</c:v>
                </c:pt>
                <c:pt idx="73" formatCode="0.00">
                  <c:v>0</c:v>
                </c:pt>
                <c:pt idx="74" formatCode="0.00">
                  <c:v>0</c:v>
                </c:pt>
                <c:pt idx="75" formatCode="0.00">
                  <c:v>0</c:v>
                </c:pt>
                <c:pt idx="76" formatCode="0.00">
                  <c:v>0</c:v>
                </c:pt>
                <c:pt idx="77" formatCode="0.00">
                  <c:v>0</c:v>
                </c:pt>
                <c:pt idx="78" formatCode="0.00">
                  <c:v>0</c:v>
                </c:pt>
                <c:pt idx="79" formatCode="0.00">
                  <c:v>0</c:v>
                </c:pt>
                <c:pt idx="80" formatCode="0.00">
                  <c:v>0</c:v>
                </c:pt>
                <c:pt idx="81" formatCode="0.00">
                  <c:v>0</c:v>
                </c:pt>
                <c:pt idx="82" formatCode="0.00">
                  <c:v>0</c:v>
                </c:pt>
                <c:pt idx="83" formatCode="0.00">
                  <c:v>0</c:v>
                </c:pt>
                <c:pt idx="84" formatCode="0.00">
                  <c:v>0</c:v>
                </c:pt>
                <c:pt idx="85" formatCode="0.00">
                  <c:v>0</c:v>
                </c:pt>
                <c:pt idx="86" formatCode="0.00">
                  <c:v>0</c:v>
                </c:pt>
                <c:pt idx="87" formatCode="0.00">
                  <c:v>0</c:v>
                </c:pt>
                <c:pt idx="88" formatCode="0.00">
                  <c:v>0</c:v>
                </c:pt>
                <c:pt idx="89" formatCode="0.00">
                  <c:v>0</c:v>
                </c:pt>
                <c:pt idx="90" formatCode="0.00">
                  <c:v>0</c:v>
                </c:pt>
                <c:pt idx="91" formatCode="0.00">
                  <c:v>0</c:v>
                </c:pt>
                <c:pt idx="92" formatCode="0.00">
                  <c:v>0</c:v>
                </c:pt>
                <c:pt idx="93" formatCode="0.00">
                  <c:v>0</c:v>
                </c:pt>
                <c:pt idx="94" formatCode="0.00">
                  <c:v>0</c:v>
                </c:pt>
                <c:pt idx="95" formatCode="0.00">
                  <c:v>0</c:v>
                </c:pt>
                <c:pt idx="96" formatCode="0.00">
                  <c:v>0</c:v>
                </c:pt>
                <c:pt idx="97" formatCode="0.00">
                  <c:v>0</c:v>
                </c:pt>
                <c:pt idx="98" formatCode="0.00">
                  <c:v>0</c:v>
                </c:pt>
                <c:pt idx="99" formatCode="0.00">
                  <c:v>0</c:v>
                </c:pt>
                <c:pt idx="100" formatCode="0.00">
                  <c:v>0</c:v>
                </c:pt>
                <c:pt idx="101" formatCode="0.00">
                  <c:v>0</c:v>
                </c:pt>
                <c:pt idx="102" formatCode="0.00">
                  <c:v>0</c:v>
                </c:pt>
                <c:pt idx="103" formatCode="0.00">
                  <c:v>0</c:v>
                </c:pt>
                <c:pt idx="104" formatCode="0.00">
                  <c:v>0</c:v>
                </c:pt>
                <c:pt idx="105" formatCode="0.00">
                  <c:v>0</c:v>
                </c:pt>
                <c:pt idx="106" formatCode="0.00">
                  <c:v>0</c:v>
                </c:pt>
                <c:pt idx="107" formatCode="0.00">
                  <c:v>0</c:v>
                </c:pt>
                <c:pt idx="108" formatCode="0.00">
                  <c:v>0</c:v>
                </c:pt>
                <c:pt idx="109" formatCode="0.00">
                  <c:v>0</c:v>
                </c:pt>
                <c:pt idx="110" formatCode="0.00">
                  <c:v>0</c:v>
                </c:pt>
                <c:pt idx="111" formatCode="0.00">
                  <c:v>0</c:v>
                </c:pt>
                <c:pt idx="112" formatCode="0.00">
                  <c:v>0</c:v>
                </c:pt>
                <c:pt idx="113" formatCode="0.00">
                  <c:v>0</c:v>
                </c:pt>
                <c:pt idx="114" formatCode="0.00">
                  <c:v>0</c:v>
                </c:pt>
                <c:pt idx="115" formatCode="0.00">
                  <c:v>0</c:v>
                </c:pt>
                <c:pt idx="116" formatCode="0.00">
                  <c:v>0</c:v>
                </c:pt>
                <c:pt idx="117" formatCode="0.00">
                  <c:v>0</c:v>
                </c:pt>
                <c:pt idx="118" formatCode="0.00">
                  <c:v>0</c:v>
                </c:pt>
                <c:pt idx="119" formatCode="0.00">
                  <c:v>0</c:v>
                </c:pt>
                <c:pt idx="120" formatCode="0.00">
                  <c:v>0</c:v>
                </c:pt>
                <c:pt idx="121" formatCode="0.00">
                  <c:v>0</c:v>
                </c:pt>
                <c:pt idx="122" formatCode="0.00">
                  <c:v>0</c:v>
                </c:pt>
                <c:pt idx="123" formatCode="0.00">
                  <c:v>0</c:v>
                </c:pt>
                <c:pt idx="124" formatCode="0.00">
                  <c:v>0</c:v>
                </c:pt>
                <c:pt idx="125" formatCode="0.00">
                  <c:v>0</c:v>
                </c:pt>
                <c:pt idx="126" formatCode="0.0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737856"/>
        <c:axId val="217739648"/>
      </c:lineChart>
      <c:dateAx>
        <c:axId val="217737856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217739648"/>
        <c:crosses val="autoZero"/>
        <c:auto val="1"/>
        <c:lblOffset val="100"/>
        <c:baseTimeUnit val="months"/>
        <c:majorUnit val="1"/>
        <c:majorTimeUnit val="years"/>
      </c:dateAx>
      <c:valAx>
        <c:axId val="217739648"/>
        <c:scaling>
          <c:orientation val="minMax"/>
          <c:max val="20000"/>
          <c:min val="-2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217737856"/>
        <c:crosses val="autoZero"/>
        <c:crossBetween val="between"/>
        <c:majorUnit val="10000"/>
      </c:valAx>
    </c:plotArea>
    <c:legend>
      <c:legendPos val="b"/>
      <c:layout>
        <c:manualLayout>
          <c:xMode val="edge"/>
          <c:yMode val="edge"/>
          <c:x val="0.12691290474045824"/>
          <c:y val="0.14291426071741031"/>
          <c:w val="0.72559875328083989"/>
          <c:h val="9.2535620547431571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6.8216988649234247E-4"/>
          <c:y val="8.85433070866141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77375513968959"/>
          <c:y val="0.2093915135608049"/>
          <c:w val="0.83485264039858331"/>
          <c:h val="0.61526859142607171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Structures'!$A$8:$A$100</c:f>
              <c:numCache>
                <c:formatCode>mm/dd/yyyy</c:formatCode>
                <c:ptCount val="93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</c:numCache>
            </c:numRef>
          </c:cat>
          <c:val>
            <c:numRef>
              <c:f>'Real Structures'!$B$8:$B$100</c:f>
              <c:numCache>
                <c:formatCode>0.0</c:formatCode>
                <c:ptCount val="93"/>
                <c:pt idx="0">
                  <c:v>288.7</c:v>
                </c:pt>
                <c:pt idx="1">
                  <c:v>294.7</c:v>
                </c:pt>
                <c:pt idx="2">
                  <c:v>293.3</c:v>
                </c:pt>
                <c:pt idx="3">
                  <c:v>282.39999999999998</c:v>
                </c:pt>
                <c:pt idx="4">
                  <c:v>273.60000000000002</c:v>
                </c:pt>
                <c:pt idx="5">
                  <c:v>284.2</c:v>
                </c:pt>
                <c:pt idx="6">
                  <c:v>285.60000000000002</c:v>
                </c:pt>
                <c:pt idx="7">
                  <c:v>274.5</c:v>
                </c:pt>
                <c:pt idx="8">
                  <c:v>265.7</c:v>
                </c:pt>
                <c:pt idx="9">
                  <c:v>261.39999999999998</c:v>
                </c:pt>
                <c:pt idx="10">
                  <c:v>258.60000000000002</c:v>
                </c:pt>
                <c:pt idx="11">
                  <c:v>257.89999999999998</c:v>
                </c:pt>
                <c:pt idx="12">
                  <c:v>249.2</c:v>
                </c:pt>
                <c:pt idx="13">
                  <c:v>247.1</c:v>
                </c:pt>
                <c:pt idx="14">
                  <c:v>240.5</c:v>
                </c:pt>
                <c:pt idx="15">
                  <c:v>233.4</c:v>
                </c:pt>
                <c:pt idx="16">
                  <c:v>228.6</c:v>
                </c:pt>
                <c:pt idx="17">
                  <c:v>233.7</c:v>
                </c:pt>
                <c:pt idx="18">
                  <c:v>233</c:v>
                </c:pt>
                <c:pt idx="19">
                  <c:v>231.2</c:v>
                </c:pt>
                <c:pt idx="20">
                  <c:v>223.6</c:v>
                </c:pt>
                <c:pt idx="21">
                  <c:v>232.1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8582528"/>
        <c:axId val="248584064"/>
      </c:lineChart>
      <c:dateAx>
        <c:axId val="24858252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48584064"/>
        <c:crosses val="autoZero"/>
        <c:auto val="1"/>
        <c:lblOffset val="100"/>
        <c:baseTimeUnit val="months"/>
        <c:majorUnit val="1"/>
        <c:majorTimeUnit val="years"/>
      </c:dateAx>
      <c:valAx>
        <c:axId val="248584064"/>
        <c:scaling>
          <c:orientation val="minMax"/>
          <c:max val="320"/>
          <c:min val="2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48582528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3.7297770960143678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Taxes'!$B$16:$B$100</c:f>
              <c:numCache>
                <c:formatCode>mmm"-"yyyy</c:formatCode>
                <c:ptCount val="85"/>
                <c:pt idx="0">
                  <c:v>38168</c:v>
                </c:pt>
                <c:pt idx="1">
                  <c:v>38260</c:v>
                </c:pt>
                <c:pt idx="2">
                  <c:v>38352</c:v>
                </c:pt>
                <c:pt idx="3">
                  <c:v>38442</c:v>
                </c:pt>
                <c:pt idx="4">
                  <c:v>38533</c:v>
                </c:pt>
                <c:pt idx="5">
                  <c:v>38625</c:v>
                </c:pt>
                <c:pt idx="6">
                  <c:v>38717</c:v>
                </c:pt>
                <c:pt idx="7">
                  <c:v>38807</c:v>
                </c:pt>
                <c:pt idx="8">
                  <c:v>38898</c:v>
                </c:pt>
                <c:pt idx="9">
                  <c:v>38990</c:v>
                </c:pt>
                <c:pt idx="10">
                  <c:v>39082</c:v>
                </c:pt>
                <c:pt idx="11">
                  <c:v>39172</c:v>
                </c:pt>
                <c:pt idx="12">
                  <c:v>39263</c:v>
                </c:pt>
                <c:pt idx="13">
                  <c:v>39355</c:v>
                </c:pt>
                <c:pt idx="14">
                  <c:v>39447</c:v>
                </c:pt>
                <c:pt idx="15">
                  <c:v>39538</c:v>
                </c:pt>
                <c:pt idx="16">
                  <c:v>39629</c:v>
                </c:pt>
                <c:pt idx="17">
                  <c:v>39721</c:v>
                </c:pt>
                <c:pt idx="18">
                  <c:v>39813</c:v>
                </c:pt>
                <c:pt idx="19">
                  <c:v>39903</c:v>
                </c:pt>
                <c:pt idx="20">
                  <c:v>39994</c:v>
                </c:pt>
                <c:pt idx="21">
                  <c:v>40086</c:v>
                </c:pt>
                <c:pt idx="22">
                  <c:v>40178</c:v>
                </c:pt>
                <c:pt idx="23">
                  <c:v>40268</c:v>
                </c:pt>
                <c:pt idx="24">
                  <c:v>40359</c:v>
                </c:pt>
                <c:pt idx="25">
                  <c:v>40451</c:v>
                </c:pt>
                <c:pt idx="26">
                  <c:v>40543</c:v>
                </c:pt>
                <c:pt idx="27">
                  <c:v>40633</c:v>
                </c:pt>
                <c:pt idx="28">
                  <c:v>40724</c:v>
                </c:pt>
                <c:pt idx="29">
                  <c:v>40816</c:v>
                </c:pt>
                <c:pt idx="30">
                  <c:v>40908</c:v>
                </c:pt>
                <c:pt idx="31">
                  <c:v>40999</c:v>
                </c:pt>
                <c:pt idx="32">
                  <c:v>41090</c:v>
                </c:pt>
                <c:pt idx="33">
                  <c:v>41182</c:v>
                </c:pt>
                <c:pt idx="34">
                  <c:v>41274</c:v>
                </c:pt>
                <c:pt idx="35">
                  <c:v>41364</c:v>
                </c:pt>
                <c:pt idx="36">
                  <c:v>41455</c:v>
                </c:pt>
                <c:pt idx="37">
                  <c:v>41547</c:v>
                </c:pt>
                <c:pt idx="38">
                  <c:v>41639</c:v>
                </c:pt>
                <c:pt idx="39">
                  <c:v>41729</c:v>
                </c:pt>
                <c:pt idx="40">
                  <c:v>41820</c:v>
                </c:pt>
              </c:numCache>
            </c:numRef>
          </c:cat>
          <c:val>
            <c:numRef>
              <c:f>'State and Local Taxes'!$I$16:$I$100</c:f>
              <c:numCache>
                <c:formatCode>General</c:formatCode>
                <c:ptCount val="85"/>
                <c:pt idx="0">
                  <c:v>8.4668850475957902E-2</c:v>
                </c:pt>
                <c:pt idx="1">
                  <c:v>7.7355372377818199E-2</c:v>
                </c:pt>
                <c:pt idx="2">
                  <c:v>8.7155219216713931E-2</c:v>
                </c:pt>
                <c:pt idx="3">
                  <c:v>9.1891992433863146E-2</c:v>
                </c:pt>
                <c:pt idx="4">
                  <c:v>0.10554327532003155</c:v>
                </c:pt>
                <c:pt idx="5">
                  <c:v>0.11286371446153654</c:v>
                </c:pt>
                <c:pt idx="6">
                  <c:v>0.10713404615695266</c:v>
                </c:pt>
                <c:pt idx="7">
                  <c:v>0.10428649195065243</c:v>
                </c:pt>
                <c:pt idx="8">
                  <c:v>8.9825844314116221E-2</c:v>
                </c:pt>
                <c:pt idx="9">
                  <c:v>8.1490248325742087E-2</c:v>
                </c:pt>
                <c:pt idx="10">
                  <c:v>7.8124292015429975E-2</c:v>
                </c:pt>
                <c:pt idx="11">
                  <c:v>7.4419293738985148E-2</c:v>
                </c:pt>
                <c:pt idx="12">
                  <c:v>6.7165969925399804E-2</c:v>
                </c:pt>
                <c:pt idx="13">
                  <c:v>6.1469495952349407E-2</c:v>
                </c:pt>
                <c:pt idx="14">
                  <c:v>5.5742610957206451E-2</c:v>
                </c:pt>
                <c:pt idx="15">
                  <c:v>4.2831654343297498E-2</c:v>
                </c:pt>
                <c:pt idx="16">
                  <c:v>3.2506110606088878E-2</c:v>
                </c:pt>
                <c:pt idx="17">
                  <c:v>3.4112519525701213E-2</c:v>
                </c:pt>
                <c:pt idx="18">
                  <c:v>3.1858930056209878E-2</c:v>
                </c:pt>
                <c:pt idx="19">
                  <c:v>2.4784763905281892E-2</c:v>
                </c:pt>
                <c:pt idx="20">
                  <c:v>-1.0277739259967222E-2</c:v>
                </c:pt>
                <c:pt idx="21">
                  <c:v>-3.0534348460171945E-2</c:v>
                </c:pt>
                <c:pt idx="22">
                  <c:v>-3.8799180571538583E-2</c:v>
                </c:pt>
                <c:pt idx="23">
                  <c:v>-3.8376489810108966E-2</c:v>
                </c:pt>
                <c:pt idx="24">
                  <c:v>-5.8307719074097986E-3</c:v>
                </c:pt>
                <c:pt idx="25">
                  <c:v>1.3128412645023041E-2</c:v>
                </c:pt>
                <c:pt idx="26">
                  <c:v>1.1787426809910045E-2</c:v>
                </c:pt>
                <c:pt idx="27">
                  <c:v>2.7107959090362455E-2</c:v>
                </c:pt>
                <c:pt idx="28">
                  <c:v>4.2550513394760514E-2</c:v>
                </c:pt>
                <c:pt idx="29">
                  <c:v>4.1665284901465149E-2</c:v>
                </c:pt>
                <c:pt idx="30">
                  <c:v>5.1786615043659001E-2</c:v>
                </c:pt>
                <c:pt idx="31">
                  <c:v>4.5467232762942844E-2</c:v>
                </c:pt>
                <c:pt idx="32">
                  <c:v>3.312359756279798E-2</c:v>
                </c:pt>
                <c:pt idx="33">
                  <c:v>3.8314979040426356E-2</c:v>
                </c:pt>
                <c:pt idx="34">
                  <c:v>3.6606162855621904E-2</c:v>
                </c:pt>
                <c:pt idx="35">
                  <c:v>4.5498227428281746E-2</c:v>
                </c:pt>
                <c:pt idx="36">
                  <c:v>5.3365810626742061E-2</c:v>
                </c:pt>
                <c:pt idx="37">
                  <c:v>5.4641510076560984E-2</c:v>
                </c:pt>
                <c:pt idx="38">
                  <c:v>5.2387927754517116E-2</c:v>
                </c:pt>
                <c:pt idx="39">
                  <c:v>4.3400985219357091E-2</c:v>
                </c:pt>
                <c:pt idx="40">
                  <c:v>2.7035936441361846E-2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929600"/>
        <c:axId val="235931136"/>
      </c:lineChart>
      <c:dateAx>
        <c:axId val="235929600"/>
        <c:scaling>
          <c:orientation val="minMax"/>
          <c:min val="38047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35931136"/>
        <c:crossesAt val="0"/>
        <c:auto val="1"/>
        <c:lblOffset val="100"/>
        <c:baseTimeUnit val="months"/>
        <c:majorUnit val="1"/>
        <c:majorTimeUnit val="years"/>
      </c:dateAx>
      <c:valAx>
        <c:axId val="23593113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ysClr val="windowText" lastClr="000000"/>
            </a:solidFill>
            <a:prstDash val="solid"/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35929600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7.0104548375723497E-4"/>
          <c:y val="2.110126859142607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788119022343667E-2"/>
          <c:y val="0.20989282589676289"/>
          <c:w val="0.85828738746140643"/>
          <c:h val="0.59387248468941378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Category'!$B$7:$B$100</c:f>
              <c:numCache>
                <c:formatCode>yyyy</c:formatCode>
                <c:ptCount val="94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Category'!$C$8:$C$68</c:f>
              <c:numCache>
                <c:formatCode>0.0000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5.0999999999999996</c:v>
                </c:pt>
                <c:pt idx="41">
                  <c:v>5.3</c:v>
                </c:pt>
                <c:pt idx="42">
                  <c:v>5.3</c:v>
                </c:pt>
                <c:pt idx="43">
                  <c:v>5.3</c:v>
                </c:pt>
                <c:pt idx="44">
                  <c:v>5.4</c:v>
                </c:pt>
                <c:pt idx="45">
                  <c:v>5.6</c:v>
                </c:pt>
                <c:pt idx="46">
                  <c:v>5.7</c:v>
                </c:pt>
                <c:pt idx="47">
                  <c:v>5.9</c:v>
                </c:pt>
                <c:pt idx="48">
                  <c:v>6</c:v>
                </c:pt>
                <c:pt idx="49">
                  <c:v>5.9</c:v>
                </c:pt>
                <c:pt idx="50">
                  <c:v>6.1</c:v>
                </c:pt>
                <c:pt idx="51">
                  <c:v>6.3</c:v>
                </c:pt>
                <c:pt idx="52">
                  <c:v>6.3</c:v>
                </c:pt>
                <c:pt idx="53">
                  <c:v>6.5</c:v>
                </c:pt>
                <c:pt idx="54">
                  <c:v>6.6</c:v>
                </c:pt>
                <c:pt idx="55">
                  <c:v>6.8</c:v>
                </c:pt>
                <c:pt idx="56">
                  <c:v>6.9</c:v>
                </c:pt>
                <c:pt idx="57">
                  <c:v>7.1</c:v>
                </c:pt>
                <c:pt idx="58">
                  <c:v>7.1999999999999993</c:v>
                </c:pt>
                <c:pt idx="59">
                  <c:v>7.3000000000000007</c:v>
                </c:pt>
                <c:pt idx="60">
                  <c:v>7.5</c:v>
                </c:pt>
              </c:numCache>
            </c:numRef>
          </c:val>
          <c:smooth val="0"/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Category'!$B$7:$B$100</c:f>
              <c:numCache>
                <c:formatCode>yyyy</c:formatCode>
                <c:ptCount val="94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Category'!$D$8:$D$100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4.9000000000000004</c:v>
                </c:pt>
                <c:pt idx="41">
                  <c:v>4.9000000000000004</c:v>
                </c:pt>
                <c:pt idx="42">
                  <c:v>4.9000000000000004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5.2</c:v>
                </c:pt>
                <c:pt idx="46">
                  <c:v>5.3</c:v>
                </c:pt>
                <c:pt idx="47">
                  <c:v>5.4</c:v>
                </c:pt>
                <c:pt idx="48">
                  <c:v>5.5</c:v>
                </c:pt>
                <c:pt idx="49">
                  <c:v>5.6</c:v>
                </c:pt>
                <c:pt idx="50">
                  <c:v>5.7</c:v>
                </c:pt>
                <c:pt idx="51">
                  <c:v>5.8</c:v>
                </c:pt>
                <c:pt idx="52">
                  <c:v>5.9</c:v>
                </c:pt>
                <c:pt idx="53">
                  <c:v>6</c:v>
                </c:pt>
                <c:pt idx="54">
                  <c:v>6.1</c:v>
                </c:pt>
                <c:pt idx="55">
                  <c:v>6.2</c:v>
                </c:pt>
                <c:pt idx="56">
                  <c:v>6.2</c:v>
                </c:pt>
                <c:pt idx="57">
                  <c:v>6.3</c:v>
                </c:pt>
                <c:pt idx="58">
                  <c:v>6.3</c:v>
                </c:pt>
                <c:pt idx="59">
                  <c:v>6.4</c:v>
                </c:pt>
                <c:pt idx="60">
                  <c:v>6.4</c:v>
                </c:pt>
              </c:numCache>
            </c:numRef>
          </c:val>
          <c:smooth val="0"/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Category'!$B$7:$B$100</c:f>
              <c:numCache>
                <c:formatCode>yyyy</c:formatCode>
                <c:ptCount val="94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Category'!$E$7:$E$100</c:f>
              <c:numCache>
                <c:formatCode>0.0</c:formatCode>
                <c:ptCount val="9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1.3</c:v>
                </c:pt>
                <c:pt idx="41">
                  <c:v>1.5</c:v>
                </c:pt>
                <c:pt idx="42">
                  <c:v>1.7</c:v>
                </c:pt>
                <c:pt idx="43">
                  <c:v>2</c:v>
                </c:pt>
                <c:pt idx="44">
                  <c:v>2.2999999999999998</c:v>
                </c:pt>
                <c:pt idx="45">
                  <c:v>2.6</c:v>
                </c:pt>
                <c:pt idx="46">
                  <c:v>2.8</c:v>
                </c:pt>
                <c:pt idx="47">
                  <c:v>2.9</c:v>
                </c:pt>
                <c:pt idx="48">
                  <c:v>3.1</c:v>
                </c:pt>
                <c:pt idx="49">
                  <c:v>3.2</c:v>
                </c:pt>
                <c:pt idx="50">
                  <c:v>3.3</c:v>
                </c:pt>
                <c:pt idx="51">
                  <c:v>3.4</c:v>
                </c:pt>
                <c:pt idx="52">
                  <c:v>3.5</c:v>
                </c:pt>
                <c:pt idx="53">
                  <c:v>3.6</c:v>
                </c:pt>
                <c:pt idx="54">
                  <c:v>3.7</c:v>
                </c:pt>
                <c:pt idx="55">
                  <c:v>3.8</c:v>
                </c:pt>
                <c:pt idx="56">
                  <c:v>3.9</c:v>
                </c:pt>
                <c:pt idx="57">
                  <c:v>4</c:v>
                </c:pt>
                <c:pt idx="58">
                  <c:v>4.0999999999999996</c:v>
                </c:pt>
                <c:pt idx="59">
                  <c:v>4.0999999999999996</c:v>
                </c:pt>
                <c:pt idx="60">
                  <c:v>4.2</c:v>
                </c:pt>
                <c:pt idx="61">
                  <c:v>4.3</c:v>
                </c:pt>
              </c:numCache>
            </c:numRef>
          </c:val>
          <c:smooth val="0"/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Category'!$B$7:$B$100</c:f>
              <c:numCache>
                <c:formatCode>yyyy</c:formatCode>
                <c:ptCount val="94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Category'!$F$7:$F$100</c:f>
              <c:numCache>
                <c:formatCode>0.0</c:formatCode>
                <c:ptCount val="9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9.3000000000000007</c:v>
                </c:pt>
                <c:pt idx="41">
                  <c:v>9.4</c:v>
                </c:pt>
                <c:pt idx="42">
                  <c:v>9.1</c:v>
                </c:pt>
                <c:pt idx="43">
                  <c:v>8.6999999999999993</c:v>
                </c:pt>
                <c:pt idx="44">
                  <c:v>8.3000000000000007</c:v>
                </c:pt>
                <c:pt idx="45">
                  <c:v>8.1</c:v>
                </c:pt>
                <c:pt idx="46">
                  <c:v>7.9</c:v>
                </c:pt>
                <c:pt idx="47">
                  <c:v>7.8</c:v>
                </c:pt>
                <c:pt idx="48">
                  <c:v>7.7</c:v>
                </c:pt>
                <c:pt idx="49">
                  <c:v>7.5</c:v>
                </c:pt>
                <c:pt idx="50">
                  <c:v>7.3</c:v>
                </c:pt>
                <c:pt idx="51">
                  <c:v>7.3</c:v>
                </c:pt>
                <c:pt idx="52">
                  <c:v>7.3</c:v>
                </c:pt>
                <c:pt idx="53">
                  <c:v>7.3</c:v>
                </c:pt>
                <c:pt idx="54">
                  <c:v>7.2</c:v>
                </c:pt>
                <c:pt idx="55">
                  <c:v>7.2</c:v>
                </c:pt>
                <c:pt idx="56">
                  <c:v>7.2</c:v>
                </c:pt>
                <c:pt idx="57">
                  <c:v>7.1</c:v>
                </c:pt>
                <c:pt idx="58">
                  <c:v>7.1</c:v>
                </c:pt>
                <c:pt idx="59">
                  <c:v>7.1</c:v>
                </c:pt>
                <c:pt idx="60">
                  <c:v>7</c:v>
                </c:pt>
                <c:pt idx="61">
                  <c:v>7</c:v>
                </c:pt>
              </c:numCache>
            </c:numRef>
          </c:val>
          <c:smooth val="0"/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Category'!$B$7:$B$100</c:f>
              <c:numCache>
                <c:formatCode>yyyy</c:formatCode>
                <c:ptCount val="94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Category'!$G$9:$G$100</c:f>
              <c:numCache>
                <c:formatCode>0.0</c:formatCode>
                <c:ptCount val="92"/>
                <c:pt idx="0">
                  <c:v>1.3162782254122969</c:v>
                </c:pt>
                <c:pt idx="1">
                  <c:v>1.4026992050286557</c:v>
                </c:pt>
                <c:pt idx="2">
                  <c:v>1.4270759033897003</c:v>
                </c:pt>
                <c:pt idx="3">
                  <c:v>1.4752385677182129</c:v>
                </c:pt>
                <c:pt idx="4">
                  <c:v>1.6078161453817341</c:v>
                </c:pt>
                <c:pt idx="5">
                  <c:v>1.7448242350860701</c:v>
                </c:pt>
                <c:pt idx="6">
                  <c:v>1.8921067917952274</c:v>
                </c:pt>
                <c:pt idx="7">
                  <c:v>1.9833100351590627</c:v>
                </c:pt>
                <c:pt idx="8">
                  <c:v>1.9244464402041577</c:v>
                </c:pt>
                <c:pt idx="9">
                  <c:v>2.0312501829464629</c:v>
                </c:pt>
                <c:pt idx="10">
                  <c:v>2.0599420200394616</c:v>
                </c:pt>
                <c:pt idx="11">
                  <c:v>2.1085452881976217</c:v>
                </c:pt>
                <c:pt idx="12">
                  <c:v>2.0827429014815357</c:v>
                </c:pt>
                <c:pt idx="13">
                  <c:v>2.1061853958051873</c:v>
                </c:pt>
                <c:pt idx="14">
                  <c:v>2.2999999999999998</c:v>
                </c:pt>
                <c:pt idx="15">
                  <c:v>2.5299078154344707</c:v>
                </c:pt>
                <c:pt idx="16">
                  <c:v>2.8595627629774385</c:v>
                </c:pt>
                <c:pt idx="17">
                  <c:v>2.9974944351441342</c:v>
                </c:pt>
                <c:pt idx="18">
                  <c:v>3.1102358375881352</c:v>
                </c:pt>
                <c:pt idx="19">
                  <c:v>3.2433530146736427</c:v>
                </c:pt>
                <c:pt idx="20">
                  <c:v>3.299735845154498</c:v>
                </c:pt>
                <c:pt idx="21">
                  <c:v>3.335942427046557</c:v>
                </c:pt>
                <c:pt idx="22">
                  <c:v>3.2549247331040334</c:v>
                </c:pt>
                <c:pt idx="23">
                  <c:v>3.1143601157238918</c:v>
                </c:pt>
                <c:pt idx="24">
                  <c:v>3.0850578221829381</c:v>
                </c:pt>
                <c:pt idx="25">
                  <c:v>3.2846332353212522</c:v>
                </c:pt>
                <c:pt idx="26">
                  <c:v>3.482648479472767</c:v>
                </c:pt>
                <c:pt idx="27">
                  <c:v>3.6240893059204211</c:v>
                </c:pt>
                <c:pt idx="28">
                  <c:v>3.6865359325762777</c:v>
                </c:pt>
                <c:pt idx="29">
                  <c:v>3.7328352940720144</c:v>
                </c:pt>
                <c:pt idx="30">
                  <c:v>3.7332432210278284</c:v>
                </c:pt>
                <c:pt idx="31">
                  <c:v>3.9609143487411824</c:v>
                </c:pt>
                <c:pt idx="32">
                  <c:v>4.0264297924753025</c:v>
                </c:pt>
                <c:pt idx="33">
                  <c:v>4.7425070766498312</c:v>
                </c:pt>
                <c:pt idx="34">
                  <c:v>4.9159376394391332</c:v>
                </c:pt>
                <c:pt idx="35">
                  <c:v>4.9622166656105851</c:v>
                </c:pt>
                <c:pt idx="36">
                  <c:v>4.5096067365988004</c:v>
                </c:pt>
                <c:pt idx="37">
                  <c:v>4.6168276011391223</c:v>
                </c:pt>
                <c:pt idx="38" formatCode="0.0000">
                  <c:v>4.9000000000000004</c:v>
                </c:pt>
              </c:numCache>
            </c:numRef>
          </c:val>
          <c:smooth val="0"/>
        </c:ser>
        <c:ser>
          <c:idx val="7"/>
          <c:order val="5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Category'!$B$7:$B$100</c:f>
              <c:numCache>
                <c:formatCode>yyyy</c:formatCode>
                <c:ptCount val="94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Category'!$I$7:$I$68</c:f>
              <c:numCache>
                <c:formatCode>0.000</c:formatCode>
                <c:ptCount val="62"/>
                <c:pt idx="0">
                  <c:v>1.4430000000000001</c:v>
                </c:pt>
                <c:pt idx="1">
                  <c:v>1.4430000000000001</c:v>
                </c:pt>
                <c:pt idx="2">
                  <c:v>1.4930000000000001</c:v>
                </c:pt>
                <c:pt idx="3">
                  <c:v>1.474</c:v>
                </c:pt>
                <c:pt idx="4">
                  <c:v>1.556</c:v>
                </c:pt>
                <c:pt idx="5">
                  <c:v>1.659</c:v>
                </c:pt>
                <c:pt idx="6">
                  <c:v>1.8779999999999999</c:v>
                </c:pt>
                <c:pt idx="7">
                  <c:v>2.1909999999999998</c:v>
                </c:pt>
                <c:pt idx="8">
                  <c:v>2.5659999999999998</c:v>
                </c:pt>
                <c:pt idx="9">
                  <c:v>2.536</c:v>
                </c:pt>
                <c:pt idx="10">
                  <c:v>2.8109999999999999</c:v>
                </c:pt>
                <c:pt idx="11">
                  <c:v>3.032</c:v>
                </c:pt>
                <c:pt idx="12">
                  <c:v>2.9990000000000001</c:v>
                </c:pt>
                <c:pt idx="13">
                  <c:v>2.899</c:v>
                </c:pt>
                <c:pt idx="14">
                  <c:v>2.9449999999999998</c:v>
                </c:pt>
                <c:pt idx="15">
                  <c:v>3.0339999999999998</c:v>
                </c:pt>
                <c:pt idx="16">
                  <c:v>3.117</c:v>
                </c:pt>
                <c:pt idx="17">
                  <c:v>3.1819999999999999</c:v>
                </c:pt>
                <c:pt idx="18">
                  <c:v>3.0979999999999999</c:v>
                </c:pt>
                <c:pt idx="19">
                  <c:v>2.9239999999999999</c:v>
                </c:pt>
                <c:pt idx="20">
                  <c:v>2.819</c:v>
                </c:pt>
                <c:pt idx="21">
                  <c:v>3.0609999999999999</c:v>
                </c:pt>
                <c:pt idx="22">
                  <c:v>3.0209999999999999</c:v>
                </c:pt>
                <c:pt idx="23">
                  <c:v>2.8759999999999999</c:v>
                </c:pt>
                <c:pt idx="24">
                  <c:v>2.6930000000000001</c:v>
                </c:pt>
                <c:pt idx="25">
                  <c:v>2.415</c:v>
                </c:pt>
                <c:pt idx="26">
                  <c:v>2.1960000000000002</c:v>
                </c:pt>
                <c:pt idx="27">
                  <c:v>1.9510000000000001</c:v>
                </c:pt>
                <c:pt idx="28">
                  <c:v>1.571</c:v>
                </c:pt>
                <c:pt idx="29">
                  <c:v>1.351</c:v>
                </c:pt>
                <c:pt idx="30">
                  <c:v>1.325</c:v>
                </c:pt>
                <c:pt idx="31">
                  <c:v>1.427</c:v>
                </c:pt>
                <c:pt idx="32">
                  <c:v>1.6559999999999999</c:v>
                </c:pt>
                <c:pt idx="33">
                  <c:v>1.655</c:v>
                </c:pt>
                <c:pt idx="34">
                  <c:v>1.7130000000000001</c:v>
                </c:pt>
                <c:pt idx="35">
                  <c:v>1.2969999999999999</c:v>
                </c:pt>
                <c:pt idx="36">
                  <c:v>1.3260000000000001</c:v>
                </c:pt>
                <c:pt idx="37">
                  <c:v>1.4950000000000001</c:v>
                </c:pt>
                <c:pt idx="38">
                  <c:v>1.369</c:v>
                </c:pt>
                <c:pt idx="39">
                  <c:v>1.3280000000000001</c:v>
                </c:pt>
                <c:pt idx="40" formatCode="0.0">
                  <c:v>1.3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</c:numCache>
            </c:numRef>
          </c:val>
          <c:smooth val="0"/>
        </c:ser>
        <c:ser>
          <c:idx val="5"/>
          <c:order val="6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Category'!$B$7:$B$100</c:f>
              <c:numCache>
                <c:formatCode>yyyy</c:formatCode>
                <c:ptCount val="94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3.9460000000000002</c:v>
                </c:pt>
                <c:pt idx="1">
                  <c:v>4.0609999999999999</c:v>
                </c:pt>
                <c:pt idx="2">
                  <c:v>4.1260000000000003</c:v>
                </c:pt>
                <c:pt idx="3">
                  <c:v>4.0579999999999998</c:v>
                </c:pt>
                <c:pt idx="4">
                  <c:v>3.992</c:v>
                </c:pt>
                <c:pt idx="5">
                  <c:v>4.1849999999999996</c:v>
                </c:pt>
                <c:pt idx="6">
                  <c:v>4.3929999999999998</c:v>
                </c:pt>
                <c:pt idx="7">
                  <c:v>4.6449999999999996</c:v>
                </c:pt>
                <c:pt idx="8">
                  <c:v>4.7590000000000003</c:v>
                </c:pt>
                <c:pt idx="9">
                  <c:v>4.4539999999999997</c:v>
                </c:pt>
                <c:pt idx="10">
                  <c:v>4.3659999999999997</c:v>
                </c:pt>
                <c:pt idx="11">
                  <c:v>4.3330000000000002</c:v>
                </c:pt>
                <c:pt idx="12">
                  <c:v>4.2889999999999997</c:v>
                </c:pt>
                <c:pt idx="13">
                  <c:v>4.2060000000000004</c:v>
                </c:pt>
                <c:pt idx="14">
                  <c:v>4.1360000000000001</c:v>
                </c:pt>
                <c:pt idx="15">
                  <c:v>4.1680000000000001</c:v>
                </c:pt>
                <c:pt idx="16">
                  <c:v>4.3659999999999997</c:v>
                </c:pt>
                <c:pt idx="17">
                  <c:v>4.4320000000000004</c:v>
                </c:pt>
                <c:pt idx="18">
                  <c:v>4.444</c:v>
                </c:pt>
                <c:pt idx="19">
                  <c:v>4.4029999999999996</c:v>
                </c:pt>
                <c:pt idx="20">
                  <c:v>4.3949999999999996</c:v>
                </c:pt>
                <c:pt idx="21">
                  <c:v>4.3499999999999996</c:v>
                </c:pt>
                <c:pt idx="22">
                  <c:v>4.2709999999999999</c:v>
                </c:pt>
                <c:pt idx="23">
                  <c:v>4.2</c:v>
                </c:pt>
                <c:pt idx="24">
                  <c:v>4.0679999999999996</c:v>
                </c:pt>
                <c:pt idx="25">
                  <c:v>3.9990000000000001</c:v>
                </c:pt>
                <c:pt idx="26">
                  <c:v>4.0629999999999997</c:v>
                </c:pt>
                <c:pt idx="27">
                  <c:v>4.1550000000000002</c:v>
                </c:pt>
                <c:pt idx="28">
                  <c:v>4.1509999999999998</c:v>
                </c:pt>
                <c:pt idx="29">
                  <c:v>4.0650000000000004</c:v>
                </c:pt>
                <c:pt idx="30">
                  <c:v>4.024</c:v>
                </c:pt>
                <c:pt idx="31">
                  <c:v>3.9740000000000002</c:v>
                </c:pt>
                <c:pt idx="32">
                  <c:v>4.0590000000000002</c:v>
                </c:pt>
                <c:pt idx="33">
                  <c:v>4.1479999999999997</c:v>
                </c:pt>
                <c:pt idx="34">
                  <c:v>4.702</c:v>
                </c:pt>
                <c:pt idx="35">
                  <c:v>4.7380000000000004</c:v>
                </c:pt>
                <c:pt idx="36">
                  <c:v>4.7110000000000003</c:v>
                </c:pt>
                <c:pt idx="37">
                  <c:v>4.7699999999999996</c:v>
                </c:pt>
                <c:pt idx="38">
                  <c:v>4.8570000000000002</c:v>
                </c:pt>
                <c:pt idx="39" formatCode="0.0">
                  <c:v>4.9000000000000004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6"/>
          <c:order val="7"/>
          <c:tx>
            <c:v>Everything Else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Category'!$B$7:$B$100</c:f>
              <c:numCache>
                <c:formatCode>yyyy</c:formatCode>
                <c:ptCount val="94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Category'!$J$8:$J$68</c:f>
              <c:numCache>
                <c:formatCode>0.000</c:formatCode>
                <c:ptCount val="61"/>
                <c:pt idx="0">
                  <c:v>14.061962622625108</c:v>
                </c:pt>
                <c:pt idx="1">
                  <c:v>13.896721774587704</c:v>
                </c:pt>
                <c:pt idx="2">
                  <c:v>13.172300794971344</c:v>
                </c:pt>
                <c:pt idx="3">
                  <c:v>13.094924096610299</c:v>
                </c:pt>
                <c:pt idx="4">
                  <c:v>12.485761432281786</c:v>
                </c:pt>
                <c:pt idx="5">
                  <c:v>13.458183854618268</c:v>
                </c:pt>
                <c:pt idx="6">
                  <c:v>13.28217576491393</c:v>
                </c:pt>
                <c:pt idx="7">
                  <c:v>13.399893208204775</c:v>
                </c:pt>
                <c:pt idx="8">
                  <c:v>13.549689964840935</c:v>
                </c:pt>
                <c:pt idx="9">
                  <c:v>12.359553559795842</c:v>
                </c:pt>
                <c:pt idx="10">
                  <c:v>12.731749817053538</c:v>
                </c:pt>
                <c:pt idx="11">
                  <c:v>12.44205797996054</c:v>
                </c:pt>
                <c:pt idx="12">
                  <c:v>11.699454711802376</c:v>
                </c:pt>
                <c:pt idx="13">
                  <c:v>11.414257098518464</c:v>
                </c:pt>
                <c:pt idx="14">
                  <c:v>11.257814604194813</c:v>
                </c:pt>
                <c:pt idx="15">
                  <c:v>11.585277471331413</c:v>
                </c:pt>
                <c:pt idx="16">
                  <c:v>11.59509218456553</c:v>
                </c:pt>
                <c:pt idx="17">
                  <c:v>11.080437237022561</c:v>
                </c:pt>
                <c:pt idx="18">
                  <c:v>10.376505564855869</c:v>
                </c:pt>
                <c:pt idx="19">
                  <c:v>9.9757641624118669</c:v>
                </c:pt>
                <c:pt idx="20">
                  <c:v>9.2886469853263574</c:v>
                </c:pt>
                <c:pt idx="21">
                  <c:v>8.888264154845503</c:v>
                </c:pt>
                <c:pt idx="22">
                  <c:v>8.3910575729534429</c:v>
                </c:pt>
                <c:pt idx="23">
                  <c:v>8.3050752668959653</c:v>
                </c:pt>
                <c:pt idx="24">
                  <c:v>8.2906398842761106</c:v>
                </c:pt>
                <c:pt idx="25">
                  <c:v>8.3379421778170606</c:v>
                </c:pt>
                <c:pt idx="26">
                  <c:v>8.3283667646787478</c:v>
                </c:pt>
                <c:pt idx="27">
                  <c:v>9.2743515205272313</c:v>
                </c:pt>
                <c:pt idx="28">
                  <c:v>9.9309106940795786</c:v>
                </c:pt>
                <c:pt idx="29">
                  <c:v>9.8874640674237213</c:v>
                </c:pt>
                <c:pt idx="30">
                  <c:v>9.9931647059279847</c:v>
                </c:pt>
                <c:pt idx="31">
                  <c:v>10.035756778972173</c:v>
                </c:pt>
                <c:pt idx="32">
                  <c:v>9.3730856512588137</c:v>
                </c:pt>
                <c:pt idx="33">
                  <c:v>10.324570207524697</c:v>
                </c:pt>
                <c:pt idx="34">
                  <c:v>13.663492923350168</c:v>
                </c:pt>
                <c:pt idx="35">
                  <c:v>12.392062360560868</c:v>
                </c:pt>
                <c:pt idx="36">
                  <c:v>12.247783334389416</c:v>
                </c:pt>
                <c:pt idx="37">
                  <c:v>11.329393263401201</c:v>
                </c:pt>
                <c:pt idx="38">
                  <c:v>9.9731723988608785</c:v>
                </c:pt>
                <c:pt idx="39" formatCode="0.0">
                  <c:v>9.3000000000000007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918464"/>
        <c:axId val="235920000"/>
      </c:lineChart>
      <c:dateAx>
        <c:axId val="235918464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35920000"/>
        <c:crosses val="autoZero"/>
        <c:auto val="1"/>
        <c:lblOffset val="100"/>
        <c:baseTimeUnit val="months"/>
        <c:majorUnit val="10"/>
        <c:majorTimeUnit val="years"/>
      </c:dateAx>
      <c:valAx>
        <c:axId val="235920000"/>
        <c:scaling>
          <c:orientation val="minMax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35918464"/>
        <c:crosses val="autoZero"/>
        <c:crossBetween val="midCat"/>
        <c:majorUnit val="4"/>
      </c:valAx>
    </c:plotArea>
    <c:legend>
      <c:legendPos val="t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9.5865230387868178E-2"/>
          <c:y val="0.21475229658792652"/>
          <c:w val="0.90413485152354789"/>
          <c:h val="0.1100472440944881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Federal Debt Held by the Public</a:t>
            </a:r>
          </a:p>
        </c:rich>
      </c:tx>
      <c:layout>
        <c:manualLayout>
          <c:xMode val="edge"/>
          <c:yMode val="edge"/>
          <c:x val="1.1419133624964431E-3"/>
          <c:y val="6.193132108486439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982639135794489E-2"/>
          <c:y val="0.22545548993875766"/>
          <c:w val="0.87395700287022682"/>
          <c:h val="0.5787817147856517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'Debt to GDP Ratio'!$D$6:$D$100</c:f>
              <c:numCache>
                <c:formatCode>General</c:formatCode>
                <c:ptCount val="95"/>
                <c:pt idx="0">
                  <c:v>24.5</c:v>
                </c:pt>
                <c:pt idx="1">
                  <c:v>26.7</c:v>
                </c:pt>
                <c:pt idx="2">
                  <c:v>27.1</c:v>
                </c:pt>
                <c:pt idx="3">
                  <c:v>26.6</c:v>
                </c:pt>
                <c:pt idx="4">
                  <c:v>24.9</c:v>
                </c:pt>
                <c:pt idx="5">
                  <c:v>25.5</c:v>
                </c:pt>
                <c:pt idx="6">
                  <c:v>25.2</c:v>
                </c:pt>
                <c:pt idx="7">
                  <c:v>27.9</c:v>
                </c:pt>
                <c:pt idx="8">
                  <c:v>32.1</c:v>
                </c:pt>
                <c:pt idx="9">
                  <c:v>33.1</c:v>
                </c:pt>
                <c:pt idx="10">
                  <c:v>35.299999999999997</c:v>
                </c:pt>
                <c:pt idx="11">
                  <c:v>38.4</c:v>
                </c:pt>
                <c:pt idx="12">
                  <c:v>39.5</c:v>
                </c:pt>
                <c:pt idx="13">
                  <c:v>39.799999999999997</c:v>
                </c:pt>
                <c:pt idx="14">
                  <c:v>39.299999999999997</c:v>
                </c:pt>
                <c:pt idx="15">
                  <c:v>40.799999999999997</c:v>
                </c:pt>
                <c:pt idx="16">
                  <c:v>44</c:v>
                </c:pt>
                <c:pt idx="17">
                  <c:v>46.6</c:v>
                </c:pt>
                <c:pt idx="18">
                  <c:v>47.8</c:v>
                </c:pt>
                <c:pt idx="19">
                  <c:v>47.7</c:v>
                </c:pt>
                <c:pt idx="20">
                  <c:v>47.5</c:v>
                </c:pt>
                <c:pt idx="21">
                  <c:v>46.8</c:v>
                </c:pt>
                <c:pt idx="22">
                  <c:v>44.5</c:v>
                </c:pt>
                <c:pt idx="23">
                  <c:v>41.6</c:v>
                </c:pt>
                <c:pt idx="24">
                  <c:v>38.200000000000003</c:v>
                </c:pt>
                <c:pt idx="25">
                  <c:v>33.6</c:v>
                </c:pt>
                <c:pt idx="26">
                  <c:v>31.4</c:v>
                </c:pt>
                <c:pt idx="27">
                  <c:v>32.5</c:v>
                </c:pt>
                <c:pt idx="28">
                  <c:v>34.5</c:v>
                </c:pt>
                <c:pt idx="29">
                  <c:v>35.5</c:v>
                </c:pt>
                <c:pt idx="30">
                  <c:v>35.6</c:v>
                </c:pt>
                <c:pt idx="31">
                  <c:v>35.299999999999997</c:v>
                </c:pt>
                <c:pt idx="32">
                  <c:v>35.1</c:v>
                </c:pt>
                <c:pt idx="33">
                  <c:v>39.299999999999997</c:v>
                </c:pt>
                <c:pt idx="34">
                  <c:v>52.3</c:v>
                </c:pt>
                <c:pt idx="35">
                  <c:v>61</c:v>
                </c:pt>
                <c:pt idx="36">
                  <c:v>65.8</c:v>
                </c:pt>
                <c:pt idx="37">
                  <c:v>70.099999999999994</c:v>
                </c:pt>
                <c:pt idx="38">
                  <c:v>72</c:v>
                </c:pt>
                <c:pt idx="39">
                  <c:v>74.400000000000006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74.400000000000006</c:v>
                </c:pt>
                <c:pt idx="40">
                  <c:v>74</c:v>
                </c:pt>
                <c:pt idx="41">
                  <c:v>73.599999999999994</c:v>
                </c:pt>
                <c:pt idx="42">
                  <c:v>73</c:v>
                </c:pt>
                <c:pt idx="43">
                  <c:v>72.8</c:v>
                </c:pt>
                <c:pt idx="44">
                  <c:v>73.099999999999994</c:v>
                </c:pt>
                <c:pt idx="45">
                  <c:v>73.599999999999994</c:v>
                </c:pt>
                <c:pt idx="46">
                  <c:v>74.3</c:v>
                </c:pt>
                <c:pt idx="47">
                  <c:v>75.400000000000006</c:v>
                </c:pt>
                <c:pt idx="48">
                  <c:v>76.400000000000006</c:v>
                </c:pt>
                <c:pt idx="49">
                  <c:v>77.2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010496"/>
        <c:axId val="236012288"/>
      </c:lineChart>
      <c:dateAx>
        <c:axId val="23601049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36012288"/>
        <c:crosses val="autoZero"/>
        <c:auto val="1"/>
        <c:lblOffset val="100"/>
        <c:baseTimeUnit val="months"/>
        <c:majorUnit val="5"/>
        <c:majorTimeUnit val="years"/>
      </c:dateAx>
      <c:valAx>
        <c:axId val="236012288"/>
        <c:scaling>
          <c:orientation val="minMax"/>
          <c:max val="80"/>
          <c:min val="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36010496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0921213785845945E-2"/>
          <c:y val="0.20671478565179352"/>
          <c:w val="0.87201824728171629"/>
          <c:h val="0.594366251093613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Deficit!$B$7:$B$100</c:f>
              <c:numCache>
                <c:formatCode>yyyy</c:formatCode>
                <c:ptCount val="94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Deficit!$D$7:$D$100</c:f>
              <c:numCache>
                <c:formatCode>0</c:formatCode>
                <c:ptCount val="94"/>
                <c:pt idx="0">
                  <c:v>-53</c:v>
                </c:pt>
                <c:pt idx="1">
                  <c:v>-74</c:v>
                </c:pt>
                <c:pt idx="2">
                  <c:v>-54</c:v>
                </c:pt>
                <c:pt idx="3">
                  <c:v>-59</c:v>
                </c:pt>
                <c:pt idx="4">
                  <c:v>-41</c:v>
                </c:pt>
                <c:pt idx="5">
                  <c:v>-74</c:v>
                </c:pt>
                <c:pt idx="6">
                  <c:v>-79</c:v>
                </c:pt>
                <c:pt idx="7">
                  <c:v>-128</c:v>
                </c:pt>
                <c:pt idx="8">
                  <c:v>-208</c:v>
                </c:pt>
                <c:pt idx="9">
                  <c:v>-185</c:v>
                </c:pt>
                <c:pt idx="10">
                  <c:v>-212</c:v>
                </c:pt>
                <c:pt idx="11">
                  <c:v>-221</c:v>
                </c:pt>
                <c:pt idx="12">
                  <c:v>-150</c:v>
                </c:pt>
                <c:pt idx="13">
                  <c:v>-155</c:v>
                </c:pt>
                <c:pt idx="14">
                  <c:v>-153</c:v>
                </c:pt>
                <c:pt idx="15">
                  <c:v>-221</c:v>
                </c:pt>
                <c:pt idx="16">
                  <c:v>-269</c:v>
                </c:pt>
                <c:pt idx="17">
                  <c:v>-290</c:v>
                </c:pt>
                <c:pt idx="18">
                  <c:v>-255</c:v>
                </c:pt>
                <c:pt idx="19">
                  <c:v>-203</c:v>
                </c:pt>
                <c:pt idx="20">
                  <c:v>-164</c:v>
                </c:pt>
                <c:pt idx="21">
                  <c:v>-107</c:v>
                </c:pt>
                <c:pt idx="22">
                  <c:v>-22</c:v>
                </c:pt>
                <c:pt idx="23">
                  <c:v>69</c:v>
                </c:pt>
                <c:pt idx="24">
                  <c:v>126</c:v>
                </c:pt>
                <c:pt idx="25">
                  <c:v>236</c:v>
                </c:pt>
                <c:pt idx="26">
                  <c:v>128</c:v>
                </c:pt>
                <c:pt idx="27">
                  <c:v>-158</c:v>
                </c:pt>
                <c:pt idx="28">
                  <c:v>-378</c:v>
                </c:pt>
                <c:pt idx="29">
                  <c:v>-413</c:v>
                </c:pt>
                <c:pt idx="30">
                  <c:v>-318</c:v>
                </c:pt>
                <c:pt idx="31">
                  <c:v>-248</c:v>
                </c:pt>
                <c:pt idx="32">
                  <c:v>-161</c:v>
                </c:pt>
                <c:pt idx="33">
                  <c:v>-459</c:v>
                </c:pt>
                <c:pt idx="34">
                  <c:v>-1413</c:v>
                </c:pt>
                <c:pt idx="35">
                  <c:v>-1294</c:v>
                </c:pt>
                <c:pt idx="36">
                  <c:v>-1300</c:v>
                </c:pt>
                <c:pt idx="37">
                  <c:v>-1087</c:v>
                </c:pt>
                <c:pt idx="38">
                  <c:v>-680</c:v>
                </c:pt>
                <c:pt idx="39">
                  <c:v>-506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Deficit!$B$7:$B$100</c:f>
              <c:numCache>
                <c:formatCode>yyyy</c:formatCode>
                <c:ptCount val="94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Deficit!$E$7:$E$56</c:f>
              <c:numCache>
                <c:formatCode>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-506</c:v>
                </c:pt>
                <c:pt idx="40">
                  <c:v>-469</c:v>
                </c:pt>
                <c:pt idx="41">
                  <c:v>-556</c:v>
                </c:pt>
                <c:pt idx="42">
                  <c:v>-530</c:v>
                </c:pt>
                <c:pt idx="43">
                  <c:v>-560</c:v>
                </c:pt>
                <c:pt idx="44">
                  <c:v>-661</c:v>
                </c:pt>
                <c:pt idx="45">
                  <c:v>-737</c:v>
                </c:pt>
                <c:pt idx="46">
                  <c:v>-820</c:v>
                </c:pt>
                <c:pt idx="47">
                  <c:v>-946</c:v>
                </c:pt>
                <c:pt idx="48">
                  <c:v>-957</c:v>
                </c:pt>
                <c:pt idx="49">
                  <c:v>-960</c:v>
                </c:pt>
              </c:numCache>
            </c:numRef>
          </c:val>
          <c:smooth val="0"/>
        </c:ser>
        <c:ser>
          <c:idx val="2"/>
          <c:order val="2"/>
          <c:tx>
            <c:v>zeroline</c:v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Deficit!$B$7:$B$100</c:f>
              <c:numCache>
                <c:formatCode>yyyy</c:formatCode>
                <c:ptCount val="94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Deficit!$F$7:$F$56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659072"/>
        <c:axId val="236660608"/>
      </c:lineChart>
      <c:dateAx>
        <c:axId val="23665907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36660608"/>
        <c:crossesAt val="-1500"/>
        <c:auto val="1"/>
        <c:lblOffset val="100"/>
        <c:baseTimeUnit val="months"/>
        <c:majorUnit val="5"/>
        <c:majorTimeUnit val="years"/>
      </c:dateAx>
      <c:valAx>
        <c:axId val="236660608"/>
        <c:scaling>
          <c:orientation val="minMax"/>
          <c:max val="300"/>
          <c:min val="-15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36659072"/>
        <c:crosses val="autoZero"/>
        <c:crossBetween val="midCat"/>
        <c:majorUnit val="50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</a:t>
            </a: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4989198435204E-2"/>
          <c:y val="0.19212981189851269"/>
          <c:w val="0.87450459317585305"/>
          <c:h val="0.65532092579336676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GDP'!$B$7:$B$100</c:f>
              <c:numCache>
                <c:formatCode>yyyy</c:formatCode>
                <c:ptCount val="94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GDP'!$E$9:$E$57</c:f>
              <c:numCache>
                <c:formatCode>0.000</c:formatCode>
                <c:ptCount val="49"/>
                <c:pt idx="0">
                  <c:v>16.649000000000001</c:v>
                </c:pt>
                <c:pt idx="1">
                  <c:v>17.529</c:v>
                </c:pt>
                <c:pt idx="2">
                  <c:v>17.538</c:v>
                </c:pt>
                <c:pt idx="3">
                  <c:v>18.027000000000001</c:v>
                </c:pt>
                <c:pt idx="4">
                  <c:v>18.489999999999998</c:v>
                </c:pt>
                <c:pt idx="5">
                  <c:v>19.094999999999999</c:v>
                </c:pt>
                <c:pt idx="6">
                  <c:v>18.641999999999999</c:v>
                </c:pt>
                <c:pt idx="7">
                  <c:v>16.96</c:v>
                </c:pt>
                <c:pt idx="8">
                  <c:v>16.86</c:v>
                </c:pt>
                <c:pt idx="9">
                  <c:v>17.189</c:v>
                </c:pt>
                <c:pt idx="10">
                  <c:v>16.956</c:v>
                </c:pt>
                <c:pt idx="11">
                  <c:v>17.864999999999998</c:v>
                </c:pt>
                <c:pt idx="12">
                  <c:v>17.638000000000002</c:v>
                </c:pt>
                <c:pt idx="13">
                  <c:v>17.794</c:v>
                </c:pt>
                <c:pt idx="14">
                  <c:v>17.448</c:v>
                </c:pt>
                <c:pt idx="15">
                  <c:v>17.266999999999999</c:v>
                </c:pt>
                <c:pt idx="16">
                  <c:v>16.957999999999998</c:v>
                </c:pt>
                <c:pt idx="17">
                  <c:v>16.988</c:v>
                </c:pt>
                <c:pt idx="18">
                  <c:v>17.486000000000001</c:v>
                </c:pt>
                <c:pt idx="19">
                  <c:v>17.826000000000001</c:v>
                </c:pt>
                <c:pt idx="20">
                  <c:v>18.213000000000001</c:v>
                </c:pt>
                <c:pt idx="21">
                  <c:v>18.616</c:v>
                </c:pt>
                <c:pt idx="22">
                  <c:v>19.227</c:v>
                </c:pt>
                <c:pt idx="23">
                  <c:v>19.207999999999998</c:v>
                </c:pt>
                <c:pt idx="24">
                  <c:v>19.945</c:v>
                </c:pt>
                <c:pt idx="25">
                  <c:v>18.84</c:v>
                </c:pt>
                <c:pt idx="26">
                  <c:v>17.033000000000001</c:v>
                </c:pt>
                <c:pt idx="27">
                  <c:v>15.725</c:v>
                </c:pt>
                <c:pt idx="28">
                  <c:v>15.55</c:v>
                </c:pt>
                <c:pt idx="29">
                  <c:v>16.707000000000001</c:v>
                </c:pt>
                <c:pt idx="30">
                  <c:v>17.585999999999999</c:v>
                </c:pt>
                <c:pt idx="31">
                  <c:v>17.927</c:v>
                </c:pt>
                <c:pt idx="32">
                  <c:v>17.105</c:v>
                </c:pt>
                <c:pt idx="33">
                  <c:v>14.603999999999999</c:v>
                </c:pt>
                <c:pt idx="34">
                  <c:v>14.621</c:v>
                </c:pt>
                <c:pt idx="35">
                  <c:v>14.97</c:v>
                </c:pt>
                <c:pt idx="36">
                  <c:v>15.224</c:v>
                </c:pt>
                <c:pt idx="37">
                  <c:v>16.684999999999999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GDP'!$B$7:$B$100</c:f>
              <c:numCache>
                <c:formatCode>yyyy</c:formatCode>
                <c:ptCount val="94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GDP'!$F$9:$F$100</c:f>
              <c:numCache>
                <c:formatCode>0.000</c:formatCode>
                <c:ptCount val="92"/>
                <c:pt idx="0">
                  <c:v>20.766999999999999</c:v>
                </c:pt>
                <c:pt idx="1">
                  <c:v>20.175000000000001</c:v>
                </c:pt>
                <c:pt idx="2">
                  <c:v>20.135999999999999</c:v>
                </c:pt>
                <c:pt idx="3">
                  <c:v>19.611999999999998</c:v>
                </c:pt>
                <c:pt idx="4">
                  <c:v>21.129000000000001</c:v>
                </c:pt>
                <c:pt idx="5">
                  <c:v>21.611000000000001</c:v>
                </c:pt>
                <c:pt idx="6">
                  <c:v>22.503</c:v>
                </c:pt>
                <c:pt idx="7">
                  <c:v>22.827999999999999</c:v>
                </c:pt>
                <c:pt idx="8">
                  <c:v>21.548999999999999</c:v>
                </c:pt>
                <c:pt idx="9">
                  <c:v>22.161000000000001</c:v>
                </c:pt>
                <c:pt idx="10">
                  <c:v>21.834</c:v>
                </c:pt>
                <c:pt idx="11">
                  <c:v>20.995999999999999</c:v>
                </c:pt>
                <c:pt idx="12">
                  <c:v>20.648</c:v>
                </c:pt>
                <c:pt idx="13">
                  <c:v>20.533999999999999</c:v>
                </c:pt>
                <c:pt idx="14">
                  <c:v>21.184999999999999</c:v>
                </c:pt>
                <c:pt idx="15">
                  <c:v>21.672999999999998</c:v>
                </c:pt>
                <c:pt idx="16">
                  <c:v>21.47</c:v>
                </c:pt>
                <c:pt idx="17">
                  <c:v>20.742000000000001</c:v>
                </c:pt>
                <c:pt idx="18">
                  <c:v>20.308</c:v>
                </c:pt>
                <c:pt idx="19">
                  <c:v>19.988</c:v>
                </c:pt>
                <c:pt idx="20">
                  <c:v>19.559000000000001</c:v>
                </c:pt>
                <c:pt idx="21">
                  <c:v>18.873999999999999</c:v>
                </c:pt>
                <c:pt idx="22">
                  <c:v>18.452999999999999</c:v>
                </c:pt>
                <c:pt idx="23">
                  <c:v>17.888000000000002</c:v>
                </c:pt>
                <c:pt idx="24">
                  <c:v>17.617999999999999</c:v>
                </c:pt>
                <c:pt idx="25">
                  <c:v>17.626999999999999</c:v>
                </c:pt>
                <c:pt idx="26">
                  <c:v>18.483000000000001</c:v>
                </c:pt>
                <c:pt idx="27">
                  <c:v>19.056999999999999</c:v>
                </c:pt>
                <c:pt idx="28">
                  <c:v>18.963999999999999</c:v>
                </c:pt>
                <c:pt idx="29">
                  <c:v>19.177</c:v>
                </c:pt>
                <c:pt idx="30">
                  <c:v>19.399000000000001</c:v>
                </c:pt>
                <c:pt idx="31">
                  <c:v>19.047999999999998</c:v>
                </c:pt>
                <c:pt idx="32">
                  <c:v>20.212</c:v>
                </c:pt>
                <c:pt idx="33">
                  <c:v>24.405000000000001</c:v>
                </c:pt>
                <c:pt idx="34">
                  <c:v>23.372</c:v>
                </c:pt>
                <c:pt idx="35">
                  <c:v>23.416</c:v>
                </c:pt>
                <c:pt idx="36">
                  <c:v>21.978000000000002</c:v>
                </c:pt>
                <c:pt idx="37">
                  <c:v>20.77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GDP'!$B$7:$B$100</c:f>
              <c:numCache>
                <c:formatCode>yyyy</c:formatCode>
                <c:ptCount val="94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GDP'!$C$9:$C$100</c:f>
              <c:numCache>
                <c:formatCode>0.0</c:formatCode>
                <c:ptCount val="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15.2</c:v>
                </c:pt>
                <c:pt idx="37">
                  <c:v>16.7</c:v>
                </c:pt>
                <c:pt idx="38">
                  <c:v>17.5</c:v>
                </c:pt>
                <c:pt idx="39">
                  <c:v>18.3</c:v>
                </c:pt>
                <c:pt idx="40">
                  <c:v>18.100000000000001</c:v>
                </c:pt>
                <c:pt idx="41">
                  <c:v>18.100000000000001</c:v>
                </c:pt>
                <c:pt idx="42">
                  <c:v>18</c:v>
                </c:pt>
                <c:pt idx="43">
                  <c:v>18</c:v>
                </c:pt>
                <c:pt idx="44">
                  <c:v>18.100000000000001</c:v>
                </c:pt>
                <c:pt idx="45">
                  <c:v>18.100000000000001</c:v>
                </c:pt>
                <c:pt idx="46">
                  <c:v>18.100000000000001</c:v>
                </c:pt>
                <c:pt idx="47">
                  <c:v>18.2</c:v>
                </c:pt>
                <c:pt idx="48">
                  <c:v>18.2</c:v>
                </c:pt>
              </c:numCache>
            </c:numRef>
          </c:val>
          <c:smooth val="0"/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GDP'!$B$7:$B$100</c:f>
              <c:numCache>
                <c:formatCode>yyyy</c:formatCode>
                <c:ptCount val="94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GDP'!$D$9:$D$57</c:f>
              <c:numCache>
                <c:formatCode>0.0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22</c:v>
                </c:pt>
                <c:pt idx="37">
                  <c:v>20.8</c:v>
                </c:pt>
                <c:pt idx="38">
                  <c:v>20.399999999999999</c:v>
                </c:pt>
                <c:pt idx="39">
                  <c:v>20.9</c:v>
                </c:pt>
                <c:pt idx="40">
                  <c:v>21</c:v>
                </c:pt>
                <c:pt idx="41">
                  <c:v>20.8</c:v>
                </c:pt>
                <c:pt idx="42">
                  <c:v>20.7</c:v>
                </c:pt>
                <c:pt idx="43">
                  <c:v>21.1</c:v>
                </c:pt>
                <c:pt idx="44">
                  <c:v>21.3</c:v>
                </c:pt>
                <c:pt idx="45">
                  <c:v>21.5</c:v>
                </c:pt>
                <c:pt idx="46">
                  <c:v>21.9</c:v>
                </c:pt>
                <c:pt idx="47">
                  <c:v>21.9</c:v>
                </c:pt>
                <c:pt idx="48">
                  <c:v>21.8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706816"/>
        <c:axId val="248906496"/>
      </c:lineChart>
      <c:dateAx>
        <c:axId val="23670681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48906496"/>
        <c:crosses val="autoZero"/>
        <c:auto val="1"/>
        <c:lblOffset val="100"/>
        <c:baseTimeUnit val="months"/>
        <c:majorUnit val="5"/>
        <c:majorTimeUnit val="years"/>
      </c:dateAx>
      <c:valAx>
        <c:axId val="248906496"/>
        <c:scaling>
          <c:orientation val="minMax"/>
          <c:max val="26"/>
          <c:min val="1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36706816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27741403773573953"/>
          <c:y val="0.69124398512685914"/>
          <c:w val="0.46234687505497818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  <a:prstDash val="dash"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png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11</xdr:row>
      <xdr:rowOff>19050</xdr:rowOff>
    </xdr:from>
    <xdr:to>
      <xdr:col>7</xdr:col>
      <xdr:colOff>476251</xdr:colOff>
      <xdr:row>13</xdr:row>
      <xdr:rowOff>95250</xdr:rowOff>
    </xdr:to>
    <xdr:sp macro="[0]!CSVall" textlink="">
      <xdr:nvSpPr>
        <xdr:cNvPr id="2" name="Rectangle 1"/>
        <xdr:cNvSpPr/>
      </xdr:nvSpPr>
      <xdr:spPr>
        <a:xfrm>
          <a:off x="2914651" y="1733550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 CSV Files</a:t>
          </a:r>
        </a:p>
      </xdr:txBody>
    </xdr:sp>
    <xdr:clientData/>
  </xdr:twoCellAnchor>
  <xdr:twoCellAnchor>
    <xdr:from>
      <xdr:col>1</xdr:col>
      <xdr:colOff>57150</xdr:colOff>
      <xdr:row>11</xdr:row>
      <xdr:rowOff>47625</xdr:rowOff>
    </xdr:from>
    <xdr:to>
      <xdr:col>4</xdr:col>
      <xdr:colOff>57150</xdr:colOff>
      <xdr:row>13</xdr:row>
      <xdr:rowOff>123825</xdr:rowOff>
    </xdr:to>
    <xdr:sp macro="[2]!GetData" textlink="">
      <xdr:nvSpPr>
        <xdr:cNvPr id="3" name="Rectangle 2"/>
        <xdr:cNvSpPr/>
      </xdr:nvSpPr>
      <xdr:spPr>
        <a:xfrm>
          <a:off x="666750" y="1762125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Update Haver</a:t>
          </a:r>
        </a:p>
      </xdr:txBody>
    </xdr:sp>
    <xdr:clientData/>
  </xdr:twoCellAnchor>
  <xdr:twoCellAnchor>
    <xdr:from>
      <xdr:col>8</xdr:col>
      <xdr:colOff>152400</xdr:colOff>
      <xdr:row>11</xdr:row>
      <xdr:rowOff>0</xdr:rowOff>
    </xdr:from>
    <xdr:to>
      <xdr:col>11</xdr:col>
      <xdr:colOff>352425</xdr:colOff>
      <xdr:row>13</xdr:row>
      <xdr:rowOff>152400</xdr:rowOff>
    </xdr:to>
    <xdr:sp macro="[0]!PDFGraphs" textlink="">
      <xdr:nvSpPr>
        <xdr:cNvPr id="4" name="Rectangle 3"/>
        <xdr:cNvSpPr/>
      </xdr:nvSpPr>
      <xdr:spPr>
        <a:xfrm>
          <a:off x="5029200" y="1714500"/>
          <a:ext cx="202882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PDF Charts</a:t>
          </a:r>
        </a:p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8</xdr:col>
      <xdr:colOff>167204</xdr:colOff>
      <xdr:row>11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13</xdr:row>
      <xdr:rowOff>0</xdr:rowOff>
    </xdr:from>
    <xdr:to>
      <xdr:col>8</xdr:col>
      <xdr:colOff>168195</xdr:colOff>
      <xdr:row>25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0</xdr:colOff>
      <xdr:row>27</xdr:row>
      <xdr:rowOff>0</xdr:rowOff>
    </xdr:from>
    <xdr:to>
      <xdr:col>8</xdr:col>
      <xdr:colOff>166551</xdr:colOff>
      <xdr:row>39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5313</xdr:colOff>
      <xdr:row>0</xdr:row>
      <xdr:rowOff>131040</xdr:rowOff>
    </xdr:from>
    <xdr:to>
      <xdr:col>8</xdr:col>
      <xdr:colOff>333646</xdr:colOff>
      <xdr:row>1</xdr:row>
      <xdr:rowOff>64365</xdr:rowOff>
    </xdr:to>
    <xdr:pic>
      <xdr:nvPicPr>
        <xdr:cNvPr id="8" name="Picture 7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6008" y="131040"/>
          <a:ext cx="93700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273159</xdr:colOff>
      <xdr:row>0</xdr:row>
      <xdr:rowOff>129490</xdr:rowOff>
    </xdr:from>
    <xdr:to>
      <xdr:col>2</xdr:col>
      <xdr:colOff>740</xdr:colOff>
      <xdr:row>1</xdr:row>
      <xdr:rowOff>62815</xdr:rowOff>
    </xdr:to>
    <xdr:pic>
      <xdr:nvPicPr>
        <xdr:cNvPr id="9" name="Picture 8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159" y="129490"/>
          <a:ext cx="95222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0.905</cdr:y>
    </cdr:from>
    <cdr:to>
      <cdr:x>0.36826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068839"/>
          <a:ext cx="2017060" cy="217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seasonally adjusted</a:t>
          </a:r>
        </a:p>
      </cdr:txBody>
    </cdr:sp>
  </cdr:relSizeAnchor>
  <cdr:relSizeAnchor xmlns:cdr="http://schemas.openxmlformats.org/drawingml/2006/chartDrawing">
    <cdr:from>
      <cdr:x>0.00343</cdr:x>
      <cdr:y>0.07614</cdr:y>
    </cdr:from>
    <cdr:to>
      <cdr:x>0.46351</cdr:x>
      <cdr:y>0.16769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183" y="174064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Number of Jobs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1.7296E-7</cdr:x>
      <cdr:y>0.92014</cdr:y>
    </cdr:from>
    <cdr:to>
      <cdr:x>0.62109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" y="2524125"/>
          <a:ext cx="3590923" cy="2083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</a:t>
          </a:r>
          <a:r>
            <a:rPr lang="en-US" sz="9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excludes Postal Service and Census Workers</a:t>
          </a:r>
          <a:endParaRPr lang="en-US" sz="9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 xmlns:a="http://schemas.openxmlformats.org/drawingml/2006/main">
          <a:pPr algn="l"/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0.01014</cdr:x>
      <cdr:y>0.07124</cdr:y>
    </cdr:from>
    <cdr:to>
      <cdr:x>0.47013</cdr:x>
      <cdr:y>0.16279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162858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Number of Jobs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0.91521</cdr:y>
    </cdr:from>
    <cdr:to>
      <cdr:x>0.32156</cdr:x>
      <cdr:y>0.97059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092166"/>
          <a:ext cx="1853930" cy="126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</cdr:x>
      <cdr:y>0.09281</cdr:y>
    </cdr:from>
    <cdr:to>
      <cdr:x>0.46014</cdr:x>
      <cdr:y>0.18436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2167"/>
          <a:ext cx="2652903" cy="209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Billions of Chained 2009 Dollars,  Annual Rate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</xdr:colOff>
      <xdr:row>27</xdr:row>
      <xdr:rowOff>163285</xdr:rowOff>
    </xdr:from>
    <xdr:to>
      <xdr:col>8</xdr:col>
      <xdr:colOff>575787</xdr:colOff>
      <xdr:row>43</xdr:row>
      <xdr:rowOff>108857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0</xdr:row>
      <xdr:rowOff>132519</xdr:rowOff>
    </xdr:from>
    <xdr:to>
      <xdr:col>8</xdr:col>
      <xdr:colOff>321129</xdr:colOff>
      <xdr:row>1</xdr:row>
      <xdr:rowOff>65844</xdr:rowOff>
    </xdr:to>
    <xdr:pic>
      <xdr:nvPicPr>
        <xdr:cNvPr id="4" name="Picture 3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90391" y="132519"/>
          <a:ext cx="934042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285750</xdr:colOff>
      <xdr:row>0</xdr:row>
      <xdr:rowOff>130969</xdr:rowOff>
    </xdr:from>
    <xdr:to>
      <xdr:col>2</xdr:col>
      <xdr:colOff>2476</xdr:colOff>
      <xdr:row>1</xdr:row>
      <xdr:rowOff>64294</xdr:rowOff>
    </xdr:to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30969"/>
          <a:ext cx="93116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0.92187</cdr:y>
    </cdr:from>
    <cdr:to>
      <cdr:x>0.34375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528874"/>
          <a:ext cx="197354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</cdr:x>
      <cdr:y>0.05246</cdr:y>
    </cdr:from>
    <cdr:to>
      <cdr:x>0.92525</cdr:x>
      <cdr:y>0.12547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43909"/>
          <a:ext cx="5312074" cy="200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50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Year-Over-Year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37</xdr:row>
      <xdr:rowOff>0</xdr:rowOff>
    </xdr:from>
    <xdr:to>
      <xdr:col>8</xdr:col>
      <xdr:colOff>40340</xdr:colOff>
      <xdr:row>46</xdr:row>
      <xdr:rowOff>114300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26</xdr:row>
      <xdr:rowOff>0</xdr:rowOff>
    </xdr:from>
    <xdr:to>
      <xdr:col>8</xdr:col>
      <xdr:colOff>40340</xdr:colOff>
      <xdr:row>35</xdr:row>
      <xdr:rowOff>114300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</xdr:row>
      <xdr:rowOff>0</xdr:rowOff>
    </xdr:from>
    <xdr:to>
      <xdr:col>8</xdr:col>
      <xdr:colOff>40340</xdr:colOff>
      <xdr:row>14</xdr:row>
      <xdr:rowOff>114300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15</xdr:row>
      <xdr:rowOff>85725</xdr:rowOff>
    </xdr:from>
    <xdr:to>
      <xdr:col>8</xdr:col>
      <xdr:colOff>41955</xdr:colOff>
      <xdr:row>25</xdr:row>
      <xdr:rowOff>9525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7</xdr:col>
      <xdr:colOff>0</xdr:colOff>
      <xdr:row>0</xdr:row>
      <xdr:rowOff>134470</xdr:rowOff>
    </xdr:from>
    <xdr:to>
      <xdr:col>8</xdr:col>
      <xdr:colOff>328333</xdr:colOff>
      <xdr:row>1</xdr:row>
      <xdr:rowOff>67795</xdr:rowOff>
    </xdr:to>
    <xdr:pic>
      <xdr:nvPicPr>
        <xdr:cNvPr id="15" name="Picture 14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35824" y="134470"/>
          <a:ext cx="933450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283983</xdr:colOff>
      <xdr:row>0</xdr:row>
      <xdr:rowOff>134470</xdr:rowOff>
    </xdr:from>
    <xdr:to>
      <xdr:col>2</xdr:col>
      <xdr:colOff>709</xdr:colOff>
      <xdr:row>1</xdr:row>
      <xdr:rowOff>67795</xdr:rowOff>
    </xdr:to>
    <xdr:pic>
      <xdr:nvPicPr>
        <xdr:cNvPr id="19" name="Picture 18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983" y="134470"/>
          <a:ext cx="939937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0.90834</cdr:y>
    </cdr:from>
    <cdr:to>
      <cdr:x>0.44875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61172"/>
          <a:ext cx="2462022" cy="1676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0.0801</cdr:y>
    </cdr:from>
    <cdr:to>
      <cdr:x>0.45193</cdr:x>
      <cdr:y>0.19372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46496"/>
          <a:ext cx="2491740" cy="2077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0.00387</cdr:x>
      <cdr:y>0.90104</cdr:y>
    </cdr:from>
    <cdr:to>
      <cdr:x>0.34326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19050" y="1647825"/>
          <a:ext cx="1668828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0.08516</cdr:y>
    </cdr:from>
    <cdr:to>
      <cdr:x>0.45193</cdr:x>
      <cdr:y>0.22247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55740"/>
          <a:ext cx="2491740" cy="2511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0.88927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19810"/>
          <a:ext cx="3275562" cy="201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0.07626</cdr:y>
    </cdr:from>
    <cdr:to>
      <cdr:x>0.58173</cdr:x>
      <cdr:y>0.24361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39465"/>
          <a:ext cx="3191604" cy="306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Billions of Dollars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0.91378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914819"/>
          <a:ext cx="3456832" cy="1806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0.0016</cdr:x>
      <cdr:y>0.07332</cdr:y>
    </cdr:from>
    <cdr:to>
      <cdr:x>0.45353</cdr:x>
      <cdr:y>0.17749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822" y="134080"/>
          <a:ext cx="2491740" cy="1905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ari%20Sastry/test4have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PSastry\Documents\dlx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ending by Category (2)"/>
    </sheetNames>
    <sheetDataSet>
      <sheetData sheetId="0">
        <row r="1">
          <cell r="A1" t="str">
            <v>1974 2034</v>
          </cell>
          <cell r="B1" t="str">
            <v>.excel_last</v>
          </cell>
          <cell r="C1" t="str">
            <v>(FJBLMDP@GOVFIN + FJBLMCP@GOVFIN)</v>
          </cell>
          <cell r="D1" t="str">
            <v>FJBLSSP@GOVFIN</v>
          </cell>
          <cell r="E1" t="str">
            <v>FJBLEIP@GOVFIN</v>
          </cell>
          <cell r="F1" t="str">
            <v>FJBLONP@GOVFIN</v>
          </cell>
          <cell r="G1" t="str">
            <v>HJBDEMSP@GOVFIN</v>
          </cell>
          <cell r="H1" t="str">
            <v>HJBDEIP@GOVFIN</v>
          </cell>
        </row>
        <row r="2">
          <cell r="A2" t="str">
            <v>.DESC</v>
          </cell>
          <cell r="C2" t="str">
            <v xml:space="preserve">FJBLMDP: CBO Ext Baseline as % of GDP: Outlays: Medicaid, CHIP &amp; Exch Subsidies(FY, %) FJBLMCP: CBO Extended Baseline as % of GDP: Outlays: Medicare (Fiscal Year, %)  </v>
          </cell>
          <cell r="D2" t="str">
            <v xml:space="preserve">CBO Extended Baseline as % of GDP: Outlays: Social Security(Fiscal Yr, %)  </v>
          </cell>
          <cell r="E2" t="str">
            <v xml:space="preserve">CBO Extended Baseline as % of GDP: Outlays: Net Interest(Fiscal Yr, %)  </v>
          </cell>
          <cell r="F2" t="str">
            <v xml:space="preserve">CBO Extended Baseline as % of GDP: Outlays: Other Noninterest(Fiscal Yr, %)  </v>
          </cell>
          <cell r="G2" t="str">
            <v xml:space="preserve">CBO: Fed Mandatory Outlays as Percent of GDP: Social Security(Fiscal Year, %)  </v>
          </cell>
          <cell r="H2" t="str">
            <v xml:space="preserve">CBO: Federal Outlays as a Percentage of GDP: Net Interest (Fiscal Year, %)  </v>
          </cell>
          <cell r="I2" t="str">
            <v>CBO: Federal Outlays as a Percentage of GDP: Other Noninterest (Fiscal Yr, %) MANUAL CALCULATION
= Total outlays - net interest - socail security - major health</v>
          </cell>
        </row>
        <row r="3">
          <cell r="A3" t="str">
            <v>.T1</v>
          </cell>
          <cell r="C3" t="str">
            <v xml:space="preserve">RESULT: 2014 FJBLMDP: 2014 FJBLMCP: 2014 </v>
          </cell>
          <cell r="D3" t="str">
            <v xml:space="preserve">2014 </v>
          </cell>
          <cell r="E3" t="str">
            <v xml:space="preserve">2014 </v>
          </cell>
          <cell r="F3" t="str">
            <v xml:space="preserve">2014 </v>
          </cell>
          <cell r="G3" t="str">
            <v xml:space="preserve">1973 </v>
          </cell>
          <cell r="H3" t="str">
            <v xml:space="preserve">1973 </v>
          </cell>
        </row>
        <row r="4">
          <cell r="A4" t="str">
            <v>.TN</v>
          </cell>
          <cell r="C4" t="str">
            <v xml:space="preserve">RESULT: 2089 FJBLMDP: 2089 FJBLMCP: 2089 </v>
          </cell>
          <cell r="D4" t="str">
            <v xml:space="preserve">2089 </v>
          </cell>
          <cell r="E4" t="str">
            <v xml:space="preserve">2089 </v>
          </cell>
          <cell r="F4" t="str">
            <v xml:space="preserve">2089 </v>
          </cell>
          <cell r="G4" t="str">
            <v xml:space="preserve">2013 </v>
          </cell>
          <cell r="H4" t="str">
            <v xml:space="preserve">2013 </v>
          </cell>
        </row>
        <row r="5">
          <cell r="A5" t="str">
            <v>.SOURCE</v>
          </cell>
          <cell r="C5" t="str">
            <v xml:space="preserve">FJBLMDP: CBO FJBLMCP: CBO </v>
          </cell>
          <cell r="D5" t="str">
            <v xml:space="preserve">CBO </v>
          </cell>
          <cell r="E5" t="str">
            <v xml:space="preserve">CBO </v>
          </cell>
          <cell r="F5" t="str">
            <v xml:space="preserve">CBO </v>
          </cell>
          <cell r="G5" t="str">
            <v xml:space="preserve">CBO </v>
          </cell>
          <cell r="H5" t="str">
            <v xml:space="preserve">CBO </v>
          </cell>
        </row>
        <row r="6">
          <cell r="A6" t="str">
            <v>.DTLM</v>
          </cell>
          <cell r="C6" t="str">
            <v xml:space="preserve">FJBLMDP: Jul-15-2014 11:35 FJBLMCP: Jul-15-2014 11:35 </v>
          </cell>
          <cell r="D6" t="str">
            <v xml:space="preserve">Jul-15-2014 11:27 </v>
          </cell>
          <cell r="E6" t="str">
            <v xml:space="preserve">Jul-15-2014 11:27 </v>
          </cell>
          <cell r="F6" t="str">
            <v xml:space="preserve">Jul-15-2014 11:27 </v>
          </cell>
          <cell r="G6" t="str">
            <v xml:space="preserve">Aug-27-2014 12:17 </v>
          </cell>
          <cell r="H6" t="str">
            <v xml:space="preserve">Apr-14-2014 12:46 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1"/>
    </sheetNames>
    <definedNames>
      <definedName name="GetDat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LAFGVXA@USECON" TargetMode="External"/><Relationship Id="rId2" Type="http://schemas.openxmlformats.org/officeDocument/2006/relationships/hyperlink" Target="mailto:LALGOVA@USECON" TargetMode="External"/><Relationship Id="rId1" Type="http://schemas.openxmlformats.org/officeDocument/2006/relationships/hyperlink" Target="mailto:LASGOVA@USECON" TargetMode="Externa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mailto:LAFGT@USECON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://research.stlouisfed.org/fred2/series/A842RX1Q020SBEA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HJBUDRP@GOVFIN" TargetMode="External"/><Relationship Id="rId2" Type="http://schemas.openxmlformats.org/officeDocument/2006/relationships/hyperlink" Target="mailto:FJBUDEP@GOVFIN" TargetMode="External"/><Relationship Id="rId1" Type="http://schemas.openxmlformats.org/officeDocument/2006/relationships/hyperlink" Target="mailto:FJBUDRP@GOVFIN" TargetMode="External"/><Relationship Id="rId4" Type="http://schemas.openxmlformats.org/officeDocument/2006/relationships/hyperlink" Target="mailto:HJBUDEP@GOVFIN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FJBUD@USECON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mailto:PDPPBUD@GOVFIN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40"/>
  <sheetViews>
    <sheetView zoomScaleNormal="100" workbookViewId="0">
      <selection activeCell="M20" sqref="M20"/>
    </sheetView>
  </sheetViews>
  <sheetFormatPr defaultRowHeight="15"/>
  <cols>
    <col min="1" max="1" width="9.140625" style="28"/>
    <col min="2" max="2" width="14.7109375" style="28" bestFit="1" customWidth="1"/>
    <col min="3" max="16384" width="9.140625" style="28"/>
  </cols>
  <sheetData>
    <row r="1" spans="1:2">
      <c r="A1" s="28" t="s">
        <v>272</v>
      </c>
    </row>
    <row r="2" spans="1:2">
      <c r="A2" s="28" t="s">
        <v>281</v>
      </c>
    </row>
    <row r="3" spans="1:2">
      <c r="A3" s="28" t="s">
        <v>282</v>
      </c>
    </row>
    <row r="4" spans="1:2">
      <c r="A4" s="28" t="s">
        <v>285</v>
      </c>
    </row>
    <row r="5" spans="1:2">
      <c r="A5" s="28" t="s">
        <v>283</v>
      </c>
    </row>
    <row r="6" spans="1:2">
      <c r="A6" s="28" t="s">
        <v>284</v>
      </c>
    </row>
    <row r="7" spans="1:2">
      <c r="A7" s="28" t="s">
        <v>273</v>
      </c>
    </row>
    <row r="8" spans="1:2">
      <c r="A8" s="28" t="s">
        <v>274</v>
      </c>
    </row>
    <row r="9" spans="1:2">
      <c r="A9" s="28" t="s">
        <v>275</v>
      </c>
    </row>
    <row r="10" spans="1:2">
      <c r="A10" s="28" t="s">
        <v>286</v>
      </c>
    </row>
    <row r="16" spans="1:2">
      <c r="B16" s="70" t="s">
        <v>276</v>
      </c>
    </row>
    <row r="17" spans="1:3">
      <c r="B17" s="28" t="s">
        <v>287</v>
      </c>
      <c r="C17" s="28" t="s">
        <v>288</v>
      </c>
    </row>
    <row r="18" spans="1:3">
      <c r="B18" s="28" t="s">
        <v>289</v>
      </c>
      <c r="C18" s="28" t="s">
        <v>290</v>
      </c>
    </row>
    <row r="19" spans="1:3">
      <c r="B19" s="28" t="s">
        <v>291</v>
      </c>
      <c r="C19" s="28" t="s">
        <v>292</v>
      </c>
    </row>
    <row r="20" spans="1:3">
      <c r="B20" s="28" t="s">
        <v>293</v>
      </c>
      <c r="C20" s="28" t="s">
        <v>300</v>
      </c>
    </row>
    <row r="21" spans="1:3">
      <c r="B21" s="28" t="s">
        <v>294</v>
      </c>
      <c r="C21" s="28" t="s">
        <v>195</v>
      </c>
    </row>
    <row r="22" spans="1:3">
      <c r="B22" s="28" t="s">
        <v>295</v>
      </c>
      <c r="C22" s="28" t="s">
        <v>301</v>
      </c>
    </row>
    <row r="23" spans="1:3">
      <c r="B23" s="28" t="s">
        <v>296</v>
      </c>
      <c r="C23" s="28" t="s">
        <v>303</v>
      </c>
    </row>
    <row r="24" spans="1:3">
      <c r="B24" s="28" t="s">
        <v>297</v>
      </c>
      <c r="C24" s="28" t="s">
        <v>302</v>
      </c>
    </row>
    <row r="25" spans="1:3">
      <c r="B25" s="28" t="s">
        <v>299</v>
      </c>
      <c r="C25" s="28" t="s">
        <v>304</v>
      </c>
    </row>
    <row r="26" spans="1:3">
      <c r="B26" s="28" t="s">
        <v>298</v>
      </c>
      <c r="C26" s="28" t="s">
        <v>305</v>
      </c>
    </row>
    <row r="30" spans="1:3">
      <c r="A30" s="71" t="s">
        <v>277</v>
      </c>
    </row>
    <row r="31" spans="1:3">
      <c r="A31" s="28" t="s">
        <v>278</v>
      </c>
      <c r="B31" s="28" t="s">
        <v>279</v>
      </c>
      <c r="C31" s="28" t="s">
        <v>280</v>
      </c>
    </row>
    <row r="32" spans="1:3">
      <c r="A32" s="72"/>
    </row>
    <row r="33" spans="1:1">
      <c r="A33" s="73"/>
    </row>
    <row r="34" spans="1:1">
      <c r="A34" s="73"/>
    </row>
    <row r="35" spans="1:1">
      <c r="A35" s="73"/>
    </row>
    <row r="36" spans="1:1">
      <c r="A36" s="73"/>
    </row>
    <row r="37" spans="1:1">
      <c r="A37" s="73"/>
    </row>
    <row r="38" spans="1:1">
      <c r="A38" s="73"/>
    </row>
    <row r="39" spans="1:1">
      <c r="A39" s="73"/>
    </row>
    <row r="40" spans="1:1">
      <c r="A40" s="7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0000"/>
  </sheetPr>
  <dimension ref="A1:I9"/>
  <sheetViews>
    <sheetView view="pageBreakPreview" zoomScale="70" zoomScaleNormal="100" zoomScaleSheetLayoutView="70" workbookViewId="0">
      <selection activeCell="N19" sqref="N19"/>
    </sheetView>
  </sheetViews>
  <sheetFormatPr defaultRowHeight="15"/>
  <cols>
    <col min="1" max="16384" width="9.140625" style="28"/>
  </cols>
  <sheetData>
    <row r="1" spans="1:9" ht="15" customHeight="1">
      <c r="A1" s="99"/>
      <c r="B1" s="99"/>
      <c r="C1" s="105" t="s">
        <v>363</v>
      </c>
      <c r="D1" s="105"/>
      <c r="E1" s="105"/>
      <c r="F1" s="105"/>
      <c r="G1" s="105"/>
      <c r="H1" s="99"/>
      <c r="I1" s="99"/>
    </row>
    <row r="2" spans="1:9" ht="15" customHeight="1">
      <c r="A2" s="99"/>
      <c r="B2" s="99"/>
      <c r="C2" s="105"/>
      <c r="D2" s="105"/>
      <c r="E2" s="105"/>
      <c r="F2" s="105"/>
      <c r="G2" s="105"/>
      <c r="H2" s="99"/>
      <c r="I2" s="99"/>
    </row>
    <row r="3" spans="1:9">
      <c r="A3" s="101" t="s">
        <v>364</v>
      </c>
      <c r="B3" s="100"/>
      <c r="C3" s="100" t="s">
        <v>365</v>
      </c>
      <c r="D3" s="100"/>
      <c r="E3" s="100"/>
      <c r="F3" s="101" t="s">
        <v>366</v>
      </c>
      <c r="G3" s="100"/>
      <c r="H3" s="101" t="s">
        <v>367</v>
      </c>
      <c r="I3" s="100"/>
    </row>
    <row r="9" spans="1:9" ht="105">
      <c r="D9" s="98" t="s">
        <v>306</v>
      </c>
      <c r="G9" s="98" t="s">
        <v>362</v>
      </c>
    </row>
  </sheetData>
  <mergeCells count="1">
    <mergeCell ref="C1:G2"/>
  </mergeCells>
  <pageMargins left="0.7" right="0.7" top="0.75" bottom="0.75" header="0.3" footer="0.3"/>
  <pageSetup orientation="portrait" r:id="rId1"/>
  <headerFooter>
    <oddFooter>&amp;L&amp;G&amp;R&amp;D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0000"/>
  </sheetPr>
  <dimension ref="A1:I49"/>
  <sheetViews>
    <sheetView view="pageBreakPreview" zoomScale="70" zoomScaleNormal="100" zoomScaleSheetLayoutView="70" workbookViewId="0">
      <selection activeCell="L44" sqref="L44"/>
    </sheetView>
  </sheetViews>
  <sheetFormatPr defaultRowHeight="15"/>
  <cols>
    <col min="1" max="16384" width="9.140625" style="28"/>
  </cols>
  <sheetData>
    <row r="1" spans="1:9" ht="15" customHeight="1">
      <c r="B1" s="99"/>
      <c r="C1" s="105" t="s">
        <v>363</v>
      </c>
      <c r="D1" s="105"/>
      <c r="E1" s="105"/>
      <c r="F1" s="105"/>
      <c r="G1" s="105"/>
      <c r="H1" s="99"/>
      <c r="I1" s="99"/>
    </row>
    <row r="2" spans="1:9" ht="15" customHeight="1">
      <c r="A2" s="99"/>
      <c r="B2" s="99"/>
      <c r="C2" s="105"/>
      <c r="D2" s="105"/>
      <c r="E2" s="105"/>
      <c r="F2" s="105"/>
      <c r="G2" s="105"/>
      <c r="H2" s="99"/>
      <c r="I2" s="99"/>
    </row>
    <row r="3" spans="1:9">
      <c r="A3" s="101" t="s">
        <v>364</v>
      </c>
      <c r="B3" s="100"/>
      <c r="C3" s="101" t="s">
        <v>365</v>
      </c>
      <c r="D3" s="100"/>
      <c r="E3" s="100"/>
      <c r="F3" s="100" t="s">
        <v>366</v>
      </c>
      <c r="G3" s="100"/>
      <c r="H3" s="101" t="s">
        <v>367</v>
      </c>
      <c r="I3" s="100"/>
    </row>
    <row r="7" spans="1:9">
      <c r="A7" s="94" t="s">
        <v>195</v>
      </c>
      <c r="B7" s="95"/>
      <c r="C7" s="95"/>
      <c r="D7" s="95"/>
      <c r="E7" s="95"/>
      <c r="F7" s="95"/>
      <c r="G7" s="95"/>
      <c r="H7" s="95"/>
      <c r="I7" s="96"/>
    </row>
    <row r="8" spans="1:9">
      <c r="A8" s="79" t="s">
        <v>307</v>
      </c>
      <c r="B8" s="84"/>
      <c r="C8" s="84"/>
      <c r="D8" s="84"/>
      <c r="E8" s="84"/>
      <c r="F8" s="84"/>
      <c r="G8" s="84"/>
      <c r="H8" s="84"/>
      <c r="I8" s="97"/>
    </row>
    <row r="9" spans="1:9" ht="15" customHeight="1">
      <c r="A9" s="87"/>
      <c r="B9" s="88"/>
      <c r="C9" s="88"/>
      <c r="D9" s="106" t="s">
        <v>306</v>
      </c>
      <c r="E9" s="106"/>
      <c r="F9" s="106"/>
      <c r="G9" s="106" t="s">
        <v>362</v>
      </c>
      <c r="H9" s="106"/>
      <c r="I9" s="107"/>
    </row>
    <row r="10" spans="1:9">
      <c r="A10" s="87"/>
      <c r="B10" s="88"/>
      <c r="C10" s="88"/>
      <c r="D10" s="106"/>
      <c r="E10" s="106"/>
      <c r="F10" s="106"/>
      <c r="G10" s="106"/>
      <c r="H10" s="106"/>
      <c r="I10" s="107"/>
    </row>
    <row r="11" spans="1:9">
      <c r="A11" s="79" t="s">
        <v>128</v>
      </c>
      <c r="B11" s="74"/>
      <c r="C11" s="74"/>
      <c r="D11" s="74"/>
      <c r="E11" s="102">
        <v>2965</v>
      </c>
      <c r="F11" s="76"/>
      <c r="G11" s="77"/>
      <c r="H11" s="77">
        <v>8.5000000000000006E-2</v>
      </c>
      <c r="I11" s="80"/>
    </row>
    <row r="12" spans="1:9">
      <c r="A12" s="78" t="s">
        <v>129</v>
      </c>
      <c r="B12" s="74"/>
      <c r="C12" s="74"/>
      <c r="D12" s="74"/>
      <c r="E12" s="102">
        <v>2394</v>
      </c>
      <c r="F12" s="76"/>
      <c r="G12" s="77"/>
      <c r="H12" s="77">
        <v>7.4999999999999997E-2</v>
      </c>
      <c r="I12" s="80"/>
    </row>
    <row r="13" spans="1:9">
      <c r="A13" s="78" t="s">
        <v>130</v>
      </c>
      <c r="B13" s="74"/>
      <c r="C13" s="74"/>
      <c r="D13" s="74"/>
      <c r="E13" s="102">
        <v>570</v>
      </c>
      <c r="F13" s="76"/>
      <c r="G13" s="77"/>
      <c r="H13" s="77">
        <v>0.13100000000000001</v>
      </c>
      <c r="I13" s="80"/>
    </row>
    <row r="14" spans="1:9">
      <c r="A14" s="89"/>
      <c r="B14" s="90"/>
      <c r="C14" s="90"/>
      <c r="D14" s="90"/>
      <c r="E14" s="103"/>
      <c r="F14" s="91"/>
      <c r="G14" s="92"/>
      <c r="H14" s="92"/>
      <c r="I14" s="93"/>
    </row>
    <row r="15" spans="1:9">
      <c r="A15" s="79" t="s">
        <v>196</v>
      </c>
      <c r="B15" s="74"/>
      <c r="C15" s="74"/>
      <c r="D15" s="74"/>
      <c r="E15" s="102">
        <v>3481</v>
      </c>
      <c r="F15" s="76"/>
      <c r="G15" s="77"/>
      <c r="H15" s="77">
        <v>0.01</v>
      </c>
      <c r="I15" s="80"/>
    </row>
    <row r="16" spans="1:9">
      <c r="A16" s="78" t="s">
        <v>135</v>
      </c>
      <c r="B16" s="74"/>
      <c r="C16" s="74"/>
      <c r="D16" s="74"/>
      <c r="E16" s="102">
        <v>580</v>
      </c>
      <c r="F16" s="76"/>
      <c r="G16" s="77"/>
      <c r="H16" s="77">
        <v>-4.9000000000000002E-2</v>
      </c>
      <c r="I16" s="80"/>
    </row>
    <row r="17" spans="1:9">
      <c r="A17" s="78" t="s">
        <v>132</v>
      </c>
      <c r="B17" s="74"/>
      <c r="C17" s="74"/>
      <c r="D17" s="74"/>
      <c r="E17" s="102">
        <v>836</v>
      </c>
      <c r="F17" s="76"/>
      <c r="G17" s="77"/>
      <c r="H17" s="77">
        <v>4.4999999999999998E-2</v>
      </c>
      <c r="I17" s="80"/>
    </row>
    <row r="18" spans="1:9">
      <c r="A18" s="78" t="s">
        <v>131</v>
      </c>
      <c r="B18" s="74"/>
      <c r="C18" s="74"/>
      <c r="D18" s="74"/>
      <c r="E18" s="102">
        <v>487</v>
      </c>
      <c r="F18" s="76"/>
      <c r="G18" s="77"/>
      <c r="H18" s="77">
        <v>2.1000000000000001E-2</v>
      </c>
      <c r="I18" s="80"/>
    </row>
    <row r="19" spans="1:9">
      <c r="A19" s="78" t="s">
        <v>126</v>
      </c>
      <c r="B19" s="74"/>
      <c r="C19" s="74"/>
      <c r="D19" s="74"/>
      <c r="E19" s="102">
        <v>294</v>
      </c>
      <c r="F19" s="76"/>
      <c r="G19" s="77"/>
      <c r="H19" s="77">
        <v>0.114</v>
      </c>
      <c r="I19" s="80"/>
    </row>
    <row r="20" spans="1:9">
      <c r="A20" s="78" t="s">
        <v>127</v>
      </c>
      <c r="B20" s="74"/>
      <c r="C20" s="74"/>
      <c r="D20" s="74"/>
      <c r="E20" s="102">
        <v>271</v>
      </c>
      <c r="F20" s="76"/>
      <c r="G20" s="77"/>
      <c r="H20" s="77">
        <v>5.4000000000000006E-2</v>
      </c>
      <c r="I20" s="80"/>
    </row>
    <row r="21" spans="1:9">
      <c r="A21" s="81" t="s">
        <v>134</v>
      </c>
      <c r="B21" s="82"/>
      <c r="C21" s="82"/>
      <c r="D21" s="82"/>
      <c r="E21" s="104">
        <v>1013</v>
      </c>
      <c r="F21" s="85"/>
      <c r="G21" s="86"/>
      <c r="H21" s="86">
        <v>6.0000000000000001E-3</v>
      </c>
      <c r="I21" s="83"/>
    </row>
    <row r="22" spans="1:9">
      <c r="A22" s="74" t="s">
        <v>197</v>
      </c>
      <c r="B22" s="74"/>
      <c r="C22" s="74"/>
      <c r="D22" s="74"/>
      <c r="E22" s="74"/>
      <c r="F22" s="74"/>
      <c r="G22" s="74"/>
      <c r="H22" s="74"/>
      <c r="I22" s="75"/>
    </row>
    <row r="23" spans="1:9">
      <c r="A23" s="74" t="s">
        <v>154</v>
      </c>
      <c r="B23" s="74"/>
      <c r="C23" s="74"/>
      <c r="D23" s="74"/>
      <c r="E23" s="74"/>
      <c r="F23" s="74"/>
      <c r="G23" s="74"/>
      <c r="H23" s="74"/>
      <c r="I23" s="75"/>
    </row>
    <row r="24" spans="1:9">
      <c r="A24" s="74" t="s">
        <v>133</v>
      </c>
      <c r="B24" s="74"/>
      <c r="C24" s="74"/>
      <c r="D24" s="74"/>
      <c r="E24" s="74"/>
      <c r="F24" s="74"/>
      <c r="G24" s="74"/>
      <c r="H24" s="74"/>
      <c r="I24" s="75"/>
    </row>
    <row r="25" spans="1:9">
      <c r="A25" s="74" t="s">
        <v>172</v>
      </c>
      <c r="B25" s="74"/>
      <c r="C25" s="74"/>
      <c r="D25" s="74"/>
      <c r="E25" s="74"/>
      <c r="F25" s="74"/>
      <c r="G25" s="74"/>
      <c r="H25" s="74"/>
      <c r="I25" s="75"/>
    </row>
    <row r="47" spans="1:9">
      <c r="A47" s="22"/>
      <c r="B47" s="22"/>
      <c r="C47" s="22"/>
      <c r="D47" s="22"/>
      <c r="E47" s="22"/>
      <c r="F47" s="22"/>
      <c r="G47" s="22"/>
      <c r="H47" s="22"/>
      <c r="I47" s="22"/>
    </row>
    <row r="48" spans="1:9">
      <c r="A48" s="22"/>
      <c r="B48" s="22"/>
      <c r="C48" s="22"/>
      <c r="D48" s="22"/>
      <c r="E48" s="22"/>
      <c r="F48" s="22"/>
      <c r="G48" s="22"/>
      <c r="H48" s="22"/>
      <c r="I48" s="22"/>
    </row>
    <row r="49" spans="1:9">
      <c r="A49" s="22"/>
      <c r="B49" s="22"/>
      <c r="C49" s="22"/>
      <c r="D49" s="22"/>
      <c r="E49" s="22"/>
      <c r="F49" s="22"/>
      <c r="G49" s="22"/>
      <c r="H49" s="22"/>
      <c r="I49" s="22"/>
    </row>
  </sheetData>
  <mergeCells count="3">
    <mergeCell ref="G9:I10"/>
    <mergeCell ref="D9:F10"/>
    <mergeCell ref="C1:G2"/>
  </mergeCells>
  <pageMargins left="0.7" right="0.7" top="0.75" bottom="0.75" header="0.3" footer="0.3"/>
  <pageSetup orientation="portrait" r:id="rId1"/>
  <headerFooter>
    <oddFooter>&amp;L&amp;G&amp;R&amp;D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FF0000"/>
  </sheetPr>
  <dimension ref="A1:I49"/>
  <sheetViews>
    <sheetView tabSelected="1" view="pageBreakPreview" topLeftCell="A4" zoomScaleNormal="100" zoomScaleSheetLayoutView="100" zoomScalePageLayoutView="85" workbookViewId="0">
      <selection activeCell="K32" sqref="K32"/>
    </sheetView>
  </sheetViews>
  <sheetFormatPr defaultRowHeight="15"/>
  <cols>
    <col min="1" max="16384" width="9.140625" style="28"/>
  </cols>
  <sheetData>
    <row r="1" spans="1:9" ht="15" customHeight="1">
      <c r="A1" s="99"/>
      <c r="B1" s="99"/>
      <c r="C1" s="105" t="s">
        <v>363</v>
      </c>
      <c r="D1" s="105"/>
      <c r="E1" s="105"/>
      <c r="F1" s="105"/>
      <c r="G1" s="105"/>
      <c r="H1" s="99"/>
      <c r="I1" s="99"/>
    </row>
    <row r="2" spans="1:9" ht="15" customHeight="1">
      <c r="A2" s="99"/>
      <c r="B2" s="99"/>
      <c r="C2" s="105"/>
      <c r="D2" s="105"/>
      <c r="E2" s="105"/>
      <c r="F2" s="105"/>
      <c r="G2" s="105"/>
      <c r="H2" s="99"/>
      <c r="I2" s="99"/>
    </row>
    <row r="3" spans="1:9">
      <c r="A3" s="101" t="s">
        <v>364</v>
      </c>
      <c r="B3" s="101"/>
      <c r="C3" s="101" t="s">
        <v>365</v>
      </c>
      <c r="D3" s="101"/>
      <c r="E3" s="101"/>
      <c r="F3" s="101" t="s">
        <v>366</v>
      </c>
      <c r="G3" s="101"/>
      <c r="H3" s="100" t="s">
        <v>367</v>
      </c>
      <c r="I3" s="100"/>
    </row>
    <row r="9" spans="1:9">
      <c r="D9" s="98"/>
      <c r="G9" s="98"/>
    </row>
    <row r="49" s="22" customFormat="1"/>
  </sheetData>
  <mergeCells count="1">
    <mergeCell ref="C1:G2"/>
  </mergeCells>
  <pageMargins left="0.7" right="0.7" top="0.75" bottom="0.75" header="0.3" footer="0.3"/>
  <pageSetup orientation="portrait" r:id="rId1"/>
  <headerFooter>
    <oddFooter>&amp;L&amp;G&amp;R&amp;D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54"/>
  <sheetViews>
    <sheetView zoomScale="85" zoomScaleNormal="85" workbookViewId="0">
      <selection activeCell="C22" sqref="C22"/>
    </sheetView>
  </sheetViews>
  <sheetFormatPr defaultRowHeight="15"/>
  <cols>
    <col min="1" max="1" width="9.85546875" style="9" bestFit="1" customWidth="1"/>
    <col min="2" max="2" width="9.42578125" style="9" bestFit="1" customWidth="1"/>
    <col min="7" max="8" width="9.140625" style="23"/>
    <col min="9" max="10" width="11.85546875" style="32" bestFit="1" customWidth="1"/>
    <col min="11" max="11" width="11.42578125" style="22" customWidth="1"/>
    <col min="12" max="13" width="19.42578125" style="39" bestFit="1" customWidth="1"/>
    <col min="14" max="14" width="9.140625" style="12"/>
  </cols>
  <sheetData>
    <row r="1" spans="1:20">
      <c r="A1" s="69" t="str">
        <f ca="1">TEXT(TODAY(), "yyyymm")</f>
        <v>201409</v>
      </c>
      <c r="C1" s="9" t="s">
        <v>92</v>
      </c>
      <c r="D1" s="9"/>
      <c r="E1" s="9"/>
      <c r="F1" s="9"/>
    </row>
    <row r="2" spans="1:20" ht="26.25">
      <c r="C2" s="9" t="s">
        <v>93</v>
      </c>
      <c r="D2" s="9" t="s">
        <v>94</v>
      </c>
      <c r="E2" s="9" t="s">
        <v>95</v>
      </c>
      <c r="F2" s="9"/>
      <c r="I2" s="42" t="s">
        <v>170</v>
      </c>
      <c r="L2" s="60" t="s">
        <v>155</v>
      </c>
    </row>
    <row r="3" spans="1:20">
      <c r="A3" s="25" t="s">
        <v>333</v>
      </c>
      <c r="B3" s="11" t="s">
        <v>0</v>
      </c>
      <c r="C3" s="10" t="s">
        <v>96</v>
      </c>
      <c r="D3" s="10" t="s">
        <v>97</v>
      </c>
      <c r="E3" s="10" t="s">
        <v>98</v>
      </c>
      <c r="F3" s="10" t="s">
        <v>99</v>
      </c>
      <c r="G3" s="24"/>
      <c r="H3" s="24"/>
    </row>
    <row r="4" spans="1:20">
      <c r="A4" s="9" t="s">
        <v>7</v>
      </c>
      <c r="C4" t="s">
        <v>101</v>
      </c>
      <c r="D4" t="s">
        <v>102</v>
      </c>
      <c r="E4" t="s">
        <v>103</v>
      </c>
      <c r="F4" t="s">
        <v>105</v>
      </c>
      <c r="I4" s="32" t="s">
        <v>148</v>
      </c>
      <c r="J4" s="32" t="s">
        <v>148</v>
      </c>
      <c r="L4" s="39" t="s">
        <v>147</v>
      </c>
      <c r="M4" s="39" t="s">
        <v>147</v>
      </c>
    </row>
    <row r="5" spans="1:20" ht="45">
      <c r="A5" s="9" t="s">
        <v>22</v>
      </c>
      <c r="C5" t="s">
        <v>100</v>
      </c>
      <c r="D5" t="s">
        <v>100</v>
      </c>
      <c r="E5" t="s">
        <v>100</v>
      </c>
      <c r="F5" t="s">
        <v>104</v>
      </c>
      <c r="I5" s="33" t="s">
        <v>146</v>
      </c>
      <c r="J5" s="33" t="s">
        <v>145</v>
      </c>
      <c r="K5" s="37"/>
      <c r="L5" s="40" t="s">
        <v>146</v>
      </c>
      <c r="M5" s="40" t="s">
        <v>145</v>
      </c>
    </row>
    <row r="6" spans="1:20">
      <c r="A6" s="9" t="s">
        <v>26</v>
      </c>
      <c r="C6" t="s">
        <v>267</v>
      </c>
      <c r="D6" t="s">
        <v>267</v>
      </c>
      <c r="E6" t="s">
        <v>267</v>
      </c>
      <c r="F6" t="s">
        <v>268</v>
      </c>
    </row>
    <row r="7" spans="1:20">
      <c r="A7" s="9" t="s">
        <v>269</v>
      </c>
      <c r="B7" s="14">
        <v>39752</v>
      </c>
      <c r="C7" s="15">
        <v>5182</v>
      </c>
      <c r="D7" s="15">
        <v>14595</v>
      </c>
      <c r="E7" s="26">
        <v>2035</v>
      </c>
      <c r="F7" s="15">
        <v>0</v>
      </c>
      <c r="G7" s="15"/>
      <c r="H7" s="15">
        <v>1000</v>
      </c>
      <c r="I7" s="34" t="e">
        <f>IF(C7&lt;&gt;"", ((C7+D7)-(C6+D6))*1000, "")</f>
        <v>#VALUE!</v>
      </c>
      <c r="J7" s="34" t="str">
        <f>IF(I6&lt;&gt;"", IF(I7&lt;&gt;"", (AVERAGE(I5:I7)), ""), "")</f>
        <v/>
      </c>
      <c r="L7" s="41" t="e">
        <v>#N/A</v>
      </c>
      <c r="M7" s="41" t="e">
        <v>#N/A</v>
      </c>
      <c r="R7" s="15"/>
      <c r="S7" s="15"/>
      <c r="T7" s="15"/>
    </row>
    <row r="8" spans="1:20">
      <c r="A8" s="9" t="s">
        <v>270</v>
      </c>
      <c r="B8" s="14">
        <v>39782</v>
      </c>
      <c r="C8" s="15">
        <v>5194</v>
      </c>
      <c r="D8" s="15">
        <v>14588</v>
      </c>
      <c r="E8" s="26">
        <v>2044.7</v>
      </c>
      <c r="F8" s="15">
        <v>1</v>
      </c>
      <c r="G8" s="15"/>
      <c r="H8" s="15"/>
      <c r="I8" s="34">
        <f>IF(C8&lt;&gt;"", ((C8+D8)-(C7+D7))*1000, "")</f>
        <v>5000</v>
      </c>
      <c r="J8" s="34" t="e">
        <f>IF(I7&lt;&gt;"", IF(I8&lt;&gt;"", (AVERAGE(I6:I8)), ""), "")</f>
        <v>#VALUE!</v>
      </c>
      <c r="L8" s="41">
        <f>IF(E8&lt;&gt;"", ((E8-F8)-(E7-F7))*1000, "")</f>
        <v>8700.0000000000455</v>
      </c>
      <c r="M8" s="41" t="e">
        <v>#N/A</v>
      </c>
      <c r="R8" s="26"/>
      <c r="T8" s="16"/>
    </row>
    <row r="9" spans="1:20">
      <c r="A9" s="9" t="s">
        <v>271</v>
      </c>
      <c r="B9" s="14">
        <v>39813</v>
      </c>
      <c r="C9" s="15">
        <v>5191</v>
      </c>
      <c r="D9" s="15">
        <v>14590</v>
      </c>
      <c r="E9" s="26">
        <v>2049.6</v>
      </c>
      <c r="F9" s="15">
        <v>3</v>
      </c>
      <c r="G9" s="15"/>
      <c r="H9" s="15"/>
      <c r="I9" s="34">
        <f t="shared" ref="I9:I72" si="0">IF(C9&lt;&gt;"", ((C9+D9)-(C8+D8))*1000, "")</f>
        <v>-1000</v>
      </c>
      <c r="J9" s="34" t="e">
        <f t="shared" ref="J9:J72" si="1">IF(I8&lt;&gt;"", IF(I9&lt;&gt;"", (AVERAGE(I7:I9)), ""), "")</f>
        <v>#VALUE!</v>
      </c>
      <c r="K9" s="38"/>
      <c r="L9" s="41">
        <f t="shared" ref="L9:L72" si="2">IF(E9&lt;&gt;"", ((E9-F9)-(E8-F8))*1000, "")</f>
        <v>2899.9999999998636</v>
      </c>
      <c r="M9" s="41" t="e">
        <v>#N/A</v>
      </c>
      <c r="R9" s="15"/>
      <c r="T9" s="16"/>
    </row>
    <row r="10" spans="1:20">
      <c r="A10" s="9" t="s">
        <v>199</v>
      </c>
      <c r="B10" s="14">
        <v>39844</v>
      </c>
      <c r="C10" s="15">
        <v>5206</v>
      </c>
      <c r="D10" s="15">
        <v>14587</v>
      </c>
      <c r="E10" s="26">
        <v>2059.5</v>
      </c>
      <c r="F10" s="15">
        <v>5</v>
      </c>
      <c r="G10" s="15"/>
      <c r="H10" s="15"/>
      <c r="I10" s="34">
        <f t="shared" si="0"/>
        <v>12000</v>
      </c>
      <c r="J10" s="34">
        <f t="shared" si="1"/>
        <v>5333.333333333333</v>
      </c>
      <c r="K10" s="38"/>
      <c r="L10" s="41">
        <f t="shared" si="2"/>
        <v>7900.0000000000909</v>
      </c>
      <c r="M10" s="68">
        <f>IF(L9&lt;&gt;"", IF(L10&lt;&gt;"", AVERAGE(L8:L10), ""), "")</f>
        <v>6500</v>
      </c>
      <c r="N10" s="16"/>
      <c r="R10" s="26"/>
    </row>
    <row r="11" spans="1:20">
      <c r="A11" s="9" t="s">
        <v>200</v>
      </c>
      <c r="B11" s="14">
        <v>39872</v>
      </c>
      <c r="C11" s="15">
        <v>5190</v>
      </c>
      <c r="D11" s="15">
        <v>14591</v>
      </c>
      <c r="E11" s="26">
        <v>2068.1999999999998</v>
      </c>
      <c r="F11" s="15">
        <v>6</v>
      </c>
      <c r="G11" s="15"/>
      <c r="H11" s="15"/>
      <c r="I11" s="34">
        <f t="shared" si="0"/>
        <v>-12000</v>
      </c>
      <c r="J11" s="34">
        <f t="shared" si="1"/>
        <v>-333.33333333333331</v>
      </c>
      <c r="K11" s="38"/>
      <c r="L11" s="41">
        <f t="shared" si="2"/>
        <v>7699.9999999998181</v>
      </c>
      <c r="M11" s="68">
        <f t="shared" ref="M11:M74" si="3">IF(L10&lt;&gt;"", IF(L11&lt;&gt;"", AVERAGE(L9:L11), ""), "")</f>
        <v>6166.6666666665915</v>
      </c>
      <c r="N11" s="16"/>
      <c r="R11" s="15"/>
    </row>
    <row r="12" spans="1:20">
      <c r="A12" s="9" t="s">
        <v>201</v>
      </c>
      <c r="B12" s="14">
        <v>39903</v>
      </c>
      <c r="C12" s="15">
        <v>5180</v>
      </c>
      <c r="D12" s="15">
        <v>14583</v>
      </c>
      <c r="E12" s="26">
        <v>2075</v>
      </c>
      <c r="F12" s="15">
        <v>12</v>
      </c>
      <c r="G12" s="15"/>
      <c r="H12" s="15"/>
      <c r="I12" s="34">
        <f t="shared" si="0"/>
        <v>-18000</v>
      </c>
      <c r="J12" s="34">
        <f t="shared" si="1"/>
        <v>-6000</v>
      </c>
      <c r="L12" s="41">
        <f t="shared" si="2"/>
        <v>800.0000000001819</v>
      </c>
      <c r="M12" s="68">
        <f t="shared" si="3"/>
        <v>5466.666666666697</v>
      </c>
      <c r="N12" s="16"/>
      <c r="R12" s="26"/>
    </row>
    <row r="13" spans="1:20">
      <c r="A13" s="9" t="s">
        <v>202</v>
      </c>
      <c r="B13" s="14">
        <v>39933</v>
      </c>
      <c r="C13" s="15">
        <v>5182</v>
      </c>
      <c r="D13" s="15">
        <v>14573</v>
      </c>
      <c r="E13" s="26">
        <v>2200.8000000000002</v>
      </c>
      <c r="F13" s="15">
        <v>126</v>
      </c>
      <c r="G13" s="15"/>
      <c r="H13" s="15"/>
      <c r="I13" s="34">
        <f t="shared" si="0"/>
        <v>-8000</v>
      </c>
      <c r="J13" s="34">
        <f t="shared" si="1"/>
        <v>-12666.666666666666</v>
      </c>
      <c r="K13" s="38"/>
      <c r="L13" s="41">
        <f t="shared" si="2"/>
        <v>11800.000000000182</v>
      </c>
      <c r="M13" s="68">
        <f t="shared" si="3"/>
        <v>6766.666666666727</v>
      </c>
      <c r="N13" s="16"/>
      <c r="R13" s="15"/>
    </row>
    <row r="14" spans="1:20">
      <c r="A14" s="9" t="s">
        <v>203</v>
      </c>
      <c r="B14" s="14">
        <v>39964</v>
      </c>
      <c r="C14" s="15">
        <v>5187</v>
      </c>
      <c r="D14" s="15">
        <v>14570</v>
      </c>
      <c r="E14" s="26">
        <v>2151.6</v>
      </c>
      <c r="F14" s="15">
        <v>69</v>
      </c>
      <c r="G14" s="15"/>
      <c r="H14" s="15"/>
      <c r="I14" s="34">
        <f t="shared" si="0"/>
        <v>2000</v>
      </c>
      <c r="J14" s="34">
        <f t="shared" si="1"/>
        <v>-8000</v>
      </c>
      <c r="K14" s="38"/>
      <c r="L14" s="41">
        <f t="shared" si="2"/>
        <v>7799.9999999997272</v>
      </c>
      <c r="M14" s="68">
        <f t="shared" si="3"/>
        <v>6800.00000000003</v>
      </c>
      <c r="N14" s="16"/>
      <c r="R14" s="26"/>
    </row>
    <row r="15" spans="1:20">
      <c r="A15" s="9" t="s">
        <v>204</v>
      </c>
      <c r="B15" s="14">
        <v>39994</v>
      </c>
      <c r="C15" s="15">
        <v>5176</v>
      </c>
      <c r="D15" s="15">
        <v>14586</v>
      </c>
      <c r="E15" s="26">
        <v>2109</v>
      </c>
      <c r="F15" s="15">
        <v>9</v>
      </c>
      <c r="G15" s="15"/>
      <c r="H15" s="15"/>
      <c r="I15" s="34">
        <f t="shared" si="0"/>
        <v>5000</v>
      </c>
      <c r="J15" s="34">
        <f t="shared" si="1"/>
        <v>-333.33333333333331</v>
      </c>
      <c r="K15" s="38"/>
      <c r="L15" s="41">
        <f t="shared" si="2"/>
        <v>17400.000000000091</v>
      </c>
      <c r="M15" s="68">
        <f t="shared" si="3"/>
        <v>12333.333333333334</v>
      </c>
      <c r="N15" s="16"/>
      <c r="R15" s="15"/>
    </row>
    <row r="16" spans="1:20">
      <c r="A16" s="9" t="s">
        <v>205</v>
      </c>
      <c r="B16" s="14">
        <v>40025</v>
      </c>
      <c r="C16" s="15">
        <v>5122</v>
      </c>
      <c r="D16" s="15">
        <v>14573</v>
      </c>
      <c r="E16" s="26">
        <v>2119.8000000000002</v>
      </c>
      <c r="F16" s="15">
        <v>4</v>
      </c>
      <c r="G16" s="15"/>
      <c r="H16" s="15"/>
      <c r="I16" s="34">
        <f t="shared" si="0"/>
        <v>-67000</v>
      </c>
      <c r="J16" s="34">
        <f t="shared" si="1"/>
        <v>-20000</v>
      </c>
      <c r="K16" s="38"/>
      <c r="L16" s="41">
        <f t="shared" si="2"/>
        <v>15800.000000000182</v>
      </c>
      <c r="M16" s="68">
        <f t="shared" si="3"/>
        <v>13666.666666666666</v>
      </c>
      <c r="N16" s="16"/>
      <c r="R16" s="26"/>
    </row>
    <row r="17" spans="1:18">
      <c r="A17" s="9" t="s">
        <v>206</v>
      </c>
      <c r="B17" s="14">
        <v>40056</v>
      </c>
      <c r="C17" s="15">
        <v>5170</v>
      </c>
      <c r="D17" s="15">
        <v>14542</v>
      </c>
      <c r="E17" s="26">
        <v>2129.6999999999998</v>
      </c>
      <c r="F17" s="15">
        <v>5</v>
      </c>
      <c r="G17" s="15"/>
      <c r="H17" s="15"/>
      <c r="I17" s="34">
        <f t="shared" si="0"/>
        <v>17000</v>
      </c>
      <c r="J17" s="34">
        <f t="shared" si="1"/>
        <v>-15000</v>
      </c>
      <c r="K17" s="38"/>
      <c r="L17" s="41">
        <f t="shared" si="2"/>
        <v>8899.9999999996362</v>
      </c>
      <c r="M17" s="68">
        <f t="shared" si="3"/>
        <v>14033.333333333305</v>
      </c>
      <c r="N17" s="16"/>
      <c r="R17" s="15"/>
    </row>
    <row r="18" spans="1:18">
      <c r="A18" s="9" t="s">
        <v>207</v>
      </c>
      <c r="B18" s="14">
        <v>40086</v>
      </c>
      <c r="C18" s="15">
        <v>5144</v>
      </c>
      <c r="D18" s="15">
        <v>14481</v>
      </c>
      <c r="E18" s="26">
        <v>2136.6</v>
      </c>
      <c r="F18" s="15">
        <v>8</v>
      </c>
      <c r="G18" s="15"/>
      <c r="H18" s="15"/>
      <c r="I18" s="34">
        <f t="shared" si="0"/>
        <v>-87000</v>
      </c>
      <c r="J18" s="34">
        <f t="shared" si="1"/>
        <v>-45666.666666666664</v>
      </c>
      <c r="K18" s="38"/>
      <c r="L18" s="41">
        <f t="shared" si="2"/>
        <v>3900.0000000000909</v>
      </c>
      <c r="M18" s="68">
        <f t="shared" si="3"/>
        <v>9533.333333333303</v>
      </c>
      <c r="N18" s="16"/>
      <c r="R18" s="26"/>
    </row>
    <row r="19" spans="1:18">
      <c r="A19" s="9" t="s">
        <v>208</v>
      </c>
      <c r="B19" s="14">
        <v>40117</v>
      </c>
      <c r="C19" s="15">
        <v>5158</v>
      </c>
      <c r="D19" s="15">
        <v>14523</v>
      </c>
      <c r="E19" s="26">
        <v>2156.6</v>
      </c>
      <c r="F19" s="15">
        <v>17</v>
      </c>
      <c r="G19" s="15"/>
      <c r="H19" s="15"/>
      <c r="I19" s="34">
        <f t="shared" si="0"/>
        <v>56000</v>
      </c>
      <c r="J19" s="34">
        <f t="shared" si="1"/>
        <v>-4666.666666666667</v>
      </c>
      <c r="K19" s="38"/>
      <c r="L19" s="41">
        <f t="shared" si="2"/>
        <v>11000</v>
      </c>
      <c r="M19" s="68">
        <f t="shared" si="3"/>
        <v>7933.3333333332421</v>
      </c>
      <c r="N19" s="16"/>
      <c r="R19" s="15"/>
    </row>
    <row r="20" spans="1:18">
      <c r="A20" s="9" t="s">
        <v>209</v>
      </c>
      <c r="B20" s="14">
        <v>40147</v>
      </c>
      <c r="C20" s="15">
        <v>5152</v>
      </c>
      <c r="D20" s="15">
        <v>14539</v>
      </c>
      <c r="E20" s="26">
        <v>2159</v>
      </c>
      <c r="F20" s="15">
        <v>13</v>
      </c>
      <c r="G20" s="15"/>
      <c r="H20" s="15"/>
      <c r="I20" s="34">
        <f t="shared" si="0"/>
        <v>10000</v>
      </c>
      <c r="J20" s="34">
        <f t="shared" si="1"/>
        <v>-7000</v>
      </c>
      <c r="K20" s="38"/>
      <c r="L20" s="41">
        <f t="shared" si="2"/>
        <v>6400.0000000000909</v>
      </c>
      <c r="M20" s="68">
        <f t="shared" si="3"/>
        <v>7100.0000000000609</v>
      </c>
      <c r="N20" s="16"/>
      <c r="R20" s="26"/>
    </row>
    <row r="21" spans="1:18">
      <c r="A21" s="9" t="s">
        <v>210</v>
      </c>
      <c r="B21" s="14">
        <v>40178</v>
      </c>
      <c r="C21" s="15">
        <v>5150</v>
      </c>
      <c r="D21" s="15">
        <v>14501</v>
      </c>
      <c r="E21" s="26">
        <v>2170.1999999999998</v>
      </c>
      <c r="F21" s="15">
        <v>15</v>
      </c>
      <c r="G21" s="15"/>
      <c r="H21" s="15"/>
      <c r="I21" s="34">
        <f t="shared" si="0"/>
        <v>-40000</v>
      </c>
      <c r="J21" s="34">
        <f t="shared" si="1"/>
        <v>8666.6666666666661</v>
      </c>
      <c r="K21" s="38"/>
      <c r="L21" s="41">
        <f t="shared" si="2"/>
        <v>9199.9999999998181</v>
      </c>
      <c r="M21" s="68">
        <f t="shared" si="3"/>
        <v>8866.666666666637</v>
      </c>
      <c r="N21" s="16"/>
      <c r="R21" s="15"/>
    </row>
    <row r="22" spans="1:18">
      <c r="A22" s="9" t="s">
        <v>211</v>
      </c>
      <c r="B22" s="14">
        <v>40209</v>
      </c>
      <c r="C22" s="15">
        <v>5141</v>
      </c>
      <c r="D22" s="15">
        <v>14479</v>
      </c>
      <c r="E22" s="26">
        <v>2184.6</v>
      </c>
      <c r="F22" s="15">
        <v>24</v>
      </c>
      <c r="G22" s="15"/>
      <c r="H22" s="15"/>
      <c r="I22" s="34">
        <f t="shared" si="0"/>
        <v>-31000</v>
      </c>
      <c r="J22" s="34">
        <f t="shared" si="1"/>
        <v>-20333.333333333332</v>
      </c>
      <c r="K22" s="38"/>
      <c r="L22" s="41">
        <f t="shared" si="2"/>
        <v>5400.0000000000909</v>
      </c>
      <c r="M22" s="68">
        <f t="shared" si="3"/>
        <v>7000</v>
      </c>
      <c r="N22" s="16"/>
      <c r="R22" s="26"/>
    </row>
    <row r="23" spans="1:18">
      <c r="A23" s="9" t="s">
        <v>212</v>
      </c>
      <c r="B23" s="14">
        <v>40237</v>
      </c>
      <c r="C23" s="15">
        <v>5147</v>
      </c>
      <c r="D23" s="15">
        <v>14450</v>
      </c>
      <c r="E23" s="26">
        <v>2203.3000000000002</v>
      </c>
      <c r="F23" s="15">
        <v>39</v>
      </c>
      <c r="G23" s="15"/>
      <c r="H23" s="15"/>
      <c r="I23" s="34">
        <f t="shared" si="0"/>
        <v>-23000</v>
      </c>
      <c r="J23" s="34">
        <f t="shared" si="1"/>
        <v>-31333.333333333332</v>
      </c>
      <c r="K23" s="38"/>
      <c r="L23" s="41">
        <f t="shared" si="2"/>
        <v>3700.0000000002728</v>
      </c>
      <c r="M23" s="68">
        <f t="shared" si="3"/>
        <v>6100.0000000000609</v>
      </c>
      <c r="N23" s="16"/>
      <c r="R23" s="15"/>
    </row>
    <row r="24" spans="1:18">
      <c r="A24" s="9" t="s">
        <v>213</v>
      </c>
      <c r="B24" s="14">
        <v>40268</v>
      </c>
      <c r="C24" s="15">
        <v>5140</v>
      </c>
      <c r="D24" s="15">
        <v>14449</v>
      </c>
      <c r="E24" s="26">
        <v>2257.4</v>
      </c>
      <c r="F24" s="15">
        <v>87</v>
      </c>
      <c r="G24" s="15"/>
      <c r="H24" s="15"/>
      <c r="I24" s="34">
        <f t="shared" si="0"/>
        <v>-8000</v>
      </c>
      <c r="J24" s="34">
        <f t="shared" si="1"/>
        <v>-20666.666666666668</v>
      </c>
      <c r="K24" s="38"/>
      <c r="L24" s="41">
        <f t="shared" si="2"/>
        <v>6099.9999999999091</v>
      </c>
      <c r="M24" s="68">
        <f t="shared" si="3"/>
        <v>5066.6666666667579</v>
      </c>
      <c r="N24" s="16"/>
      <c r="R24" s="26"/>
    </row>
    <row r="25" spans="1:18">
      <c r="A25" s="9" t="s">
        <v>214</v>
      </c>
      <c r="B25" s="14">
        <v>40298</v>
      </c>
      <c r="C25" s="15">
        <v>5136</v>
      </c>
      <c r="D25" s="15">
        <v>14448</v>
      </c>
      <c r="E25" s="26">
        <v>2324.8000000000002</v>
      </c>
      <c r="F25" s="15">
        <v>154</v>
      </c>
      <c r="G25" s="15"/>
      <c r="H25" s="15"/>
      <c r="I25" s="34">
        <f t="shared" si="0"/>
        <v>-5000</v>
      </c>
      <c r="J25" s="34">
        <f t="shared" si="1"/>
        <v>-12000</v>
      </c>
      <c r="K25" s="38"/>
      <c r="L25" s="41">
        <f t="shared" si="2"/>
        <v>400.00000000009095</v>
      </c>
      <c r="M25" s="68">
        <f t="shared" si="3"/>
        <v>3400.0000000000909</v>
      </c>
      <c r="N25" s="16"/>
      <c r="R25" s="15"/>
    </row>
    <row r="26" spans="1:18">
      <c r="A26" s="9" t="s">
        <v>215</v>
      </c>
      <c r="B26" s="14">
        <v>40329</v>
      </c>
      <c r="C26" s="15">
        <v>5135</v>
      </c>
      <c r="D26" s="15">
        <v>14442</v>
      </c>
      <c r="E26" s="26">
        <v>2756.1</v>
      </c>
      <c r="F26" s="15">
        <v>564</v>
      </c>
      <c r="G26" s="15"/>
      <c r="H26" s="15"/>
      <c r="I26" s="34">
        <f t="shared" si="0"/>
        <v>-7000</v>
      </c>
      <c r="J26" s="34">
        <f t="shared" si="1"/>
        <v>-6666.666666666667</v>
      </c>
      <c r="K26" s="38"/>
      <c r="L26" s="41">
        <f t="shared" si="2"/>
        <v>21299.999999999727</v>
      </c>
      <c r="M26" s="68">
        <f t="shared" si="3"/>
        <v>9266.6666666665751</v>
      </c>
      <c r="N26" s="16"/>
      <c r="R26" s="26"/>
    </row>
    <row r="27" spans="1:18">
      <c r="A27" s="9" t="s">
        <v>216</v>
      </c>
      <c r="B27" s="14">
        <v>40359</v>
      </c>
      <c r="C27" s="15">
        <v>5139</v>
      </c>
      <c r="D27" s="15">
        <v>14428</v>
      </c>
      <c r="E27" s="26">
        <v>2534.1999999999998</v>
      </c>
      <c r="F27" s="15">
        <v>339</v>
      </c>
      <c r="G27" s="15"/>
      <c r="H27" s="15"/>
      <c r="I27" s="34">
        <f t="shared" si="0"/>
        <v>-10000</v>
      </c>
      <c r="J27" s="34">
        <f t="shared" si="1"/>
        <v>-7333.333333333333</v>
      </c>
      <c r="K27" s="38"/>
      <c r="L27" s="41">
        <f t="shared" si="2"/>
        <v>3099.9999999999091</v>
      </c>
      <c r="M27" s="68">
        <f t="shared" si="3"/>
        <v>8266.6666666665751</v>
      </c>
      <c r="N27" s="16"/>
      <c r="R27" s="15"/>
    </row>
    <row r="28" spans="1:18">
      <c r="A28" s="9" t="s">
        <v>217</v>
      </c>
      <c r="B28" s="14">
        <v>40390</v>
      </c>
      <c r="C28" s="15">
        <v>5138</v>
      </c>
      <c r="D28" s="15">
        <v>14387</v>
      </c>
      <c r="E28" s="26">
        <v>2397.1999999999998</v>
      </c>
      <c r="F28" s="15">
        <v>196</v>
      </c>
      <c r="G28" s="15"/>
      <c r="H28" s="15"/>
      <c r="I28" s="34">
        <f t="shared" si="0"/>
        <v>-42000</v>
      </c>
      <c r="J28" s="34">
        <f t="shared" si="1"/>
        <v>-19666.666666666668</v>
      </c>
      <c r="K28" s="38"/>
      <c r="L28" s="41">
        <f t="shared" si="2"/>
        <v>6000</v>
      </c>
      <c r="M28" s="68">
        <f t="shared" si="3"/>
        <v>10133.333333333212</v>
      </c>
      <c r="N28" s="16"/>
      <c r="R28" s="26"/>
    </row>
    <row r="29" spans="1:18">
      <c r="A29" s="9" t="s">
        <v>218</v>
      </c>
      <c r="B29" s="14">
        <v>40421</v>
      </c>
      <c r="C29" s="15">
        <v>5130</v>
      </c>
      <c r="D29" s="15">
        <v>14345</v>
      </c>
      <c r="E29" s="26">
        <v>2288.9</v>
      </c>
      <c r="F29" s="15">
        <v>82</v>
      </c>
      <c r="G29" s="15"/>
      <c r="H29" s="15"/>
      <c r="I29" s="34">
        <f t="shared" si="0"/>
        <v>-50000</v>
      </c>
      <c r="J29" s="34">
        <f t="shared" si="1"/>
        <v>-34000</v>
      </c>
      <c r="K29" s="38"/>
      <c r="L29" s="41">
        <f t="shared" si="2"/>
        <v>5700.0000000002728</v>
      </c>
      <c r="M29" s="68">
        <f t="shared" si="3"/>
        <v>4933.333333333394</v>
      </c>
      <c r="N29" s="16"/>
      <c r="R29" s="15"/>
    </row>
    <row r="30" spans="1:18">
      <c r="A30" s="9" t="s">
        <v>219</v>
      </c>
      <c r="B30" s="14">
        <v>40451</v>
      </c>
      <c r="C30" s="15">
        <v>5126</v>
      </c>
      <c r="D30" s="15">
        <v>14261</v>
      </c>
      <c r="E30" s="26">
        <v>2214</v>
      </c>
      <c r="F30" s="15">
        <v>6</v>
      </c>
      <c r="G30" s="15"/>
      <c r="H30" s="15"/>
      <c r="I30" s="34">
        <f t="shared" si="0"/>
        <v>-88000</v>
      </c>
      <c r="J30" s="34">
        <f t="shared" si="1"/>
        <v>-60000</v>
      </c>
      <c r="K30" s="38"/>
      <c r="L30" s="41">
        <f t="shared" si="2"/>
        <v>1099.9999999999091</v>
      </c>
      <c r="M30" s="68">
        <f t="shared" si="3"/>
        <v>4266.666666666727</v>
      </c>
      <c r="N30" s="16"/>
      <c r="R30" s="26"/>
    </row>
    <row r="31" spans="1:18">
      <c r="A31" s="9" t="s">
        <v>220</v>
      </c>
      <c r="B31" s="14">
        <v>40482</v>
      </c>
      <c r="C31" s="15">
        <v>5139</v>
      </c>
      <c r="D31" s="15">
        <v>14293</v>
      </c>
      <c r="E31" s="26">
        <v>2213.6</v>
      </c>
      <c r="F31" s="15">
        <v>1</v>
      </c>
      <c r="G31" s="15"/>
      <c r="H31" s="15"/>
      <c r="I31" s="34">
        <f t="shared" si="0"/>
        <v>45000</v>
      </c>
      <c r="J31" s="34">
        <f t="shared" si="1"/>
        <v>-31000</v>
      </c>
      <c r="K31" s="38"/>
      <c r="L31" s="41">
        <f t="shared" si="2"/>
        <v>4599.9999999999091</v>
      </c>
      <c r="M31" s="68">
        <f t="shared" si="3"/>
        <v>3800.0000000000305</v>
      </c>
      <c r="N31" s="16"/>
      <c r="R31" s="15"/>
    </row>
    <row r="32" spans="1:18">
      <c r="A32" s="9" t="s">
        <v>221</v>
      </c>
      <c r="B32" s="14">
        <v>40512</v>
      </c>
      <c r="C32" s="15">
        <v>5139</v>
      </c>
      <c r="D32" s="15">
        <v>14281</v>
      </c>
      <c r="E32" s="26">
        <v>2215.1999999999998</v>
      </c>
      <c r="F32" s="15">
        <v>0</v>
      </c>
      <c r="G32" s="15"/>
      <c r="H32" s="15"/>
      <c r="I32" s="34">
        <f t="shared" si="0"/>
        <v>-12000</v>
      </c>
      <c r="J32" s="34">
        <f t="shared" si="1"/>
        <v>-18333.333333333332</v>
      </c>
      <c r="K32" s="38"/>
      <c r="L32" s="41">
        <f t="shared" si="2"/>
        <v>2599.9999999999091</v>
      </c>
      <c r="M32" s="68">
        <f t="shared" si="3"/>
        <v>2766.6666666665756</v>
      </c>
      <c r="N32" s="16"/>
      <c r="R32" s="26"/>
    </row>
    <row r="33" spans="1:18">
      <c r="A33" s="9" t="s">
        <v>222</v>
      </c>
      <c r="B33" s="14">
        <v>40543</v>
      </c>
      <c r="C33" s="15">
        <v>5135</v>
      </c>
      <c r="D33" s="15">
        <v>14258</v>
      </c>
      <c r="E33" s="26">
        <v>2221.3000000000002</v>
      </c>
      <c r="F33" s="15">
        <v>0</v>
      </c>
      <c r="G33" s="15"/>
      <c r="H33" s="15"/>
      <c r="I33" s="34">
        <f t="shared" si="0"/>
        <v>-27000</v>
      </c>
      <c r="J33" s="34">
        <f t="shared" si="1"/>
        <v>2000</v>
      </c>
      <c r="K33" s="38"/>
      <c r="L33" s="41">
        <f t="shared" si="2"/>
        <v>6100.0000000003638</v>
      </c>
      <c r="M33" s="68">
        <f t="shared" si="3"/>
        <v>4433.333333333394</v>
      </c>
      <c r="N33" s="16"/>
      <c r="R33" s="15"/>
    </row>
    <row r="34" spans="1:18">
      <c r="A34" s="9" t="s">
        <v>223</v>
      </c>
      <c r="B34" s="14">
        <v>40574</v>
      </c>
      <c r="C34" s="15">
        <v>5141</v>
      </c>
      <c r="D34" s="15">
        <v>14246</v>
      </c>
      <c r="E34" s="26">
        <v>2228.1999999999998</v>
      </c>
      <c r="F34" s="15">
        <v>1</v>
      </c>
      <c r="G34" s="15"/>
      <c r="H34" s="15"/>
      <c r="I34" s="34">
        <f t="shared" si="0"/>
        <v>-6000</v>
      </c>
      <c r="J34" s="34">
        <f t="shared" si="1"/>
        <v>-15000</v>
      </c>
      <c r="K34" s="38"/>
      <c r="L34" s="41">
        <f t="shared" si="2"/>
        <v>5899.9999999996362</v>
      </c>
      <c r="M34" s="68">
        <f t="shared" si="3"/>
        <v>4866.666666666636</v>
      </c>
      <c r="N34" s="16"/>
      <c r="R34" s="26"/>
    </row>
    <row r="35" spans="1:18">
      <c r="A35" s="9" t="s">
        <v>224</v>
      </c>
      <c r="B35" s="14">
        <v>40602</v>
      </c>
      <c r="C35" s="15">
        <v>5107</v>
      </c>
      <c r="D35" s="15">
        <v>14224</v>
      </c>
      <c r="E35" s="26">
        <v>2232.8000000000002</v>
      </c>
      <c r="F35" s="15">
        <v>3</v>
      </c>
      <c r="G35" s="15"/>
      <c r="H35" s="15"/>
      <c r="I35" s="34">
        <f t="shared" si="0"/>
        <v>-56000</v>
      </c>
      <c r="J35" s="34">
        <f t="shared" si="1"/>
        <v>-29666.666666666668</v>
      </c>
      <c r="K35" s="38"/>
      <c r="L35" s="41">
        <f t="shared" si="2"/>
        <v>2600.0000000003638</v>
      </c>
      <c r="M35" s="68">
        <f t="shared" si="3"/>
        <v>4866.6666666667879</v>
      </c>
      <c r="N35" s="16"/>
      <c r="R35" s="15"/>
    </row>
    <row r="36" spans="1:18">
      <c r="A36" s="9" t="s">
        <v>225</v>
      </c>
      <c r="B36" s="14">
        <v>40633</v>
      </c>
      <c r="C36" s="15">
        <v>5096</v>
      </c>
      <c r="D36" s="15">
        <v>14215</v>
      </c>
      <c r="E36" s="26">
        <v>2236.3000000000002</v>
      </c>
      <c r="F36" s="15">
        <v>3</v>
      </c>
      <c r="G36" s="15"/>
      <c r="H36" s="15"/>
      <c r="I36" s="34">
        <f t="shared" si="0"/>
        <v>-20000</v>
      </c>
      <c r="J36" s="34">
        <f t="shared" si="1"/>
        <v>-27333.333333333332</v>
      </c>
      <c r="K36" s="38"/>
      <c r="L36" s="41">
        <f t="shared" si="2"/>
        <v>3500</v>
      </c>
      <c r="M36" s="68">
        <f t="shared" si="3"/>
        <v>4000</v>
      </c>
      <c r="N36" s="16"/>
      <c r="R36" s="26"/>
    </row>
    <row r="37" spans="1:18">
      <c r="A37" s="9" t="s">
        <v>226</v>
      </c>
      <c r="B37" s="14">
        <v>40663</v>
      </c>
      <c r="C37" s="15">
        <v>5091</v>
      </c>
      <c r="D37" s="15">
        <v>14226</v>
      </c>
      <c r="E37" s="26">
        <v>2234.9</v>
      </c>
      <c r="F37" s="15">
        <v>0</v>
      </c>
      <c r="G37" s="15"/>
      <c r="H37" s="15"/>
      <c r="I37" s="34">
        <f t="shared" si="0"/>
        <v>6000</v>
      </c>
      <c r="J37" s="34">
        <f t="shared" si="1"/>
        <v>-23333.333333333332</v>
      </c>
      <c r="K37" s="38"/>
      <c r="L37" s="41">
        <f t="shared" si="2"/>
        <v>1599.9999999999091</v>
      </c>
      <c r="M37" s="68">
        <f t="shared" si="3"/>
        <v>2566.6666666667575</v>
      </c>
      <c r="N37" s="16"/>
      <c r="R37" s="15"/>
    </row>
    <row r="38" spans="1:18">
      <c r="A38" s="9" t="s">
        <v>227</v>
      </c>
      <c r="B38" s="14">
        <v>40694</v>
      </c>
      <c r="C38" s="15">
        <v>5082</v>
      </c>
      <c r="D38" s="15">
        <v>14171</v>
      </c>
      <c r="E38" s="26">
        <v>2236.4</v>
      </c>
      <c r="F38" s="15">
        <v>0</v>
      </c>
      <c r="G38" s="15"/>
      <c r="H38" s="15"/>
      <c r="I38" s="34">
        <f t="shared" si="0"/>
        <v>-64000</v>
      </c>
      <c r="J38" s="34">
        <f t="shared" si="1"/>
        <v>-26000</v>
      </c>
      <c r="K38" s="38"/>
      <c r="L38" s="41">
        <f t="shared" si="2"/>
        <v>1500</v>
      </c>
      <c r="M38" s="68">
        <f t="shared" si="3"/>
        <v>2199.9999999999695</v>
      </c>
      <c r="N38" s="16"/>
      <c r="R38" s="26"/>
    </row>
    <row r="39" spans="1:18">
      <c r="A39" s="9" t="s">
        <v>228</v>
      </c>
      <c r="B39" s="14">
        <v>40724</v>
      </c>
      <c r="C39" s="15">
        <v>5079</v>
      </c>
      <c r="D39" s="15">
        <v>14218</v>
      </c>
      <c r="E39" s="26">
        <v>2227.6</v>
      </c>
      <c r="F39" s="15">
        <v>0</v>
      </c>
      <c r="G39" s="15"/>
      <c r="H39" s="15"/>
      <c r="I39" s="34">
        <f t="shared" si="0"/>
        <v>44000</v>
      </c>
      <c r="J39" s="34">
        <f t="shared" si="1"/>
        <v>-4666.666666666667</v>
      </c>
      <c r="K39" s="38"/>
      <c r="L39" s="41">
        <f t="shared" si="2"/>
        <v>-8800.0000000001819</v>
      </c>
      <c r="M39" s="68">
        <f t="shared" si="3"/>
        <v>-1900.0000000000909</v>
      </c>
      <c r="N39" s="16"/>
      <c r="R39" s="15"/>
    </row>
    <row r="40" spans="1:18">
      <c r="A40" s="9" t="s">
        <v>229</v>
      </c>
      <c r="B40" s="14">
        <v>40755</v>
      </c>
      <c r="C40" s="15">
        <v>5058</v>
      </c>
      <c r="D40" s="15">
        <v>14125</v>
      </c>
      <c r="E40" s="26">
        <v>2225.3000000000002</v>
      </c>
      <c r="F40" s="15">
        <v>0</v>
      </c>
      <c r="G40" s="15"/>
      <c r="H40" s="15"/>
      <c r="I40" s="34">
        <f t="shared" si="0"/>
        <v>-114000</v>
      </c>
      <c r="J40" s="34">
        <f t="shared" si="1"/>
        <v>-44666.666666666664</v>
      </c>
      <c r="K40" s="38"/>
      <c r="L40" s="41">
        <f t="shared" si="2"/>
        <v>-2299.9999999997272</v>
      </c>
      <c r="M40" s="68">
        <f t="shared" si="3"/>
        <v>-3199.9999999999695</v>
      </c>
      <c r="N40" s="16"/>
      <c r="R40" s="26"/>
    </row>
    <row r="41" spans="1:18">
      <c r="A41" s="9" t="s">
        <v>230</v>
      </c>
      <c r="B41" s="14">
        <v>40786</v>
      </c>
      <c r="C41" s="15">
        <v>5080</v>
      </c>
      <c r="D41" s="15">
        <v>14108</v>
      </c>
      <c r="E41" s="26">
        <v>2224.1999999999998</v>
      </c>
      <c r="F41" s="15">
        <v>0</v>
      </c>
      <c r="G41" s="15"/>
      <c r="H41" s="15"/>
      <c r="I41" s="34">
        <f t="shared" si="0"/>
        <v>5000</v>
      </c>
      <c r="J41" s="34">
        <f t="shared" si="1"/>
        <v>-21666.666666666668</v>
      </c>
      <c r="K41" s="38"/>
      <c r="L41" s="41">
        <f t="shared" si="2"/>
        <v>-1100.0000000003638</v>
      </c>
      <c r="M41" s="68">
        <f t="shared" si="3"/>
        <v>-4066.6666666667575</v>
      </c>
      <c r="N41" s="16"/>
      <c r="R41" s="15"/>
    </row>
    <row r="42" spans="1:18">
      <c r="A42" s="9" t="s">
        <v>231</v>
      </c>
      <c r="B42" s="14">
        <v>40816</v>
      </c>
      <c r="C42" s="15">
        <v>5079</v>
      </c>
      <c r="D42" s="15">
        <v>14068</v>
      </c>
      <c r="E42" s="26">
        <v>2224.1</v>
      </c>
      <c r="F42" s="15">
        <v>0</v>
      </c>
      <c r="G42" s="15"/>
      <c r="H42" s="15"/>
      <c r="I42" s="34">
        <f t="shared" si="0"/>
        <v>-41000</v>
      </c>
      <c r="J42" s="34">
        <f t="shared" si="1"/>
        <v>-50000</v>
      </c>
      <c r="K42" s="38"/>
      <c r="L42" s="41">
        <f t="shared" si="2"/>
        <v>-99.999999999909051</v>
      </c>
      <c r="M42" s="68">
        <f t="shared" si="3"/>
        <v>-1166.6666666666667</v>
      </c>
      <c r="N42" s="16"/>
      <c r="R42" s="26"/>
    </row>
    <row r="43" spans="1:18">
      <c r="A43" s="9" t="s">
        <v>232</v>
      </c>
      <c r="B43" s="14">
        <v>40847</v>
      </c>
      <c r="C43" s="15">
        <v>5055</v>
      </c>
      <c r="D43" s="15">
        <v>14095</v>
      </c>
      <c r="E43" s="26">
        <v>2223.4</v>
      </c>
      <c r="F43" s="15">
        <v>0</v>
      </c>
      <c r="G43" s="15"/>
      <c r="H43" s="15"/>
      <c r="I43" s="34">
        <f t="shared" si="0"/>
        <v>3000</v>
      </c>
      <c r="J43" s="34">
        <f t="shared" si="1"/>
        <v>-11000</v>
      </c>
      <c r="K43" s="38"/>
      <c r="L43" s="41">
        <f t="shared" si="2"/>
        <v>-699.9999999998181</v>
      </c>
      <c r="M43" s="68">
        <f t="shared" si="3"/>
        <v>-633.33333333336361</v>
      </c>
      <c r="N43" s="16"/>
      <c r="R43" s="15"/>
    </row>
    <row r="44" spans="1:18">
      <c r="A44" s="9" t="s">
        <v>233</v>
      </c>
      <c r="B44" s="14">
        <v>40877</v>
      </c>
      <c r="C44" s="15">
        <v>5048</v>
      </c>
      <c r="D44" s="15">
        <v>14081</v>
      </c>
      <c r="E44" s="26">
        <v>2220.4</v>
      </c>
      <c r="F44" s="15">
        <v>0</v>
      </c>
      <c r="G44" s="15"/>
      <c r="H44" s="15"/>
      <c r="I44" s="34">
        <f t="shared" si="0"/>
        <v>-21000</v>
      </c>
      <c r="J44" s="34">
        <f t="shared" si="1"/>
        <v>-19666.666666666668</v>
      </c>
      <c r="K44" s="38"/>
      <c r="L44" s="41">
        <f t="shared" si="2"/>
        <v>-3000</v>
      </c>
      <c r="M44" s="68">
        <f t="shared" si="3"/>
        <v>-1266.6666666665758</v>
      </c>
      <c r="N44" s="16"/>
      <c r="R44" s="26"/>
    </row>
    <row r="45" spans="1:18">
      <c r="A45" s="9" t="s">
        <v>234</v>
      </c>
      <c r="B45" s="14">
        <v>40908</v>
      </c>
      <c r="C45" s="15">
        <v>5041</v>
      </c>
      <c r="D45" s="15">
        <v>14066</v>
      </c>
      <c r="E45" s="26">
        <v>2218.9</v>
      </c>
      <c r="F45" s="15">
        <v>0</v>
      </c>
      <c r="G45" s="15"/>
      <c r="H45" s="15"/>
      <c r="I45" s="34">
        <f t="shared" si="0"/>
        <v>-22000</v>
      </c>
      <c r="J45" s="34">
        <f t="shared" si="1"/>
        <v>-13333.333333333334</v>
      </c>
      <c r="K45" s="38"/>
      <c r="L45" s="41">
        <f t="shared" si="2"/>
        <v>-1500</v>
      </c>
      <c r="M45" s="68">
        <f t="shared" si="3"/>
        <v>-1733.3333333332728</v>
      </c>
      <c r="N45" s="16"/>
      <c r="R45" s="15"/>
    </row>
    <row r="46" spans="1:18">
      <c r="A46" s="9" t="s">
        <v>235</v>
      </c>
      <c r="B46" s="14">
        <v>40939</v>
      </c>
      <c r="C46" s="15">
        <v>5048</v>
      </c>
      <c r="D46" s="15">
        <v>14061</v>
      </c>
      <c r="E46" s="26">
        <v>2213.1</v>
      </c>
      <c r="F46" s="15">
        <v>0</v>
      </c>
      <c r="G46" s="15"/>
      <c r="H46" s="15"/>
      <c r="I46" s="34">
        <f t="shared" si="0"/>
        <v>2000</v>
      </c>
      <c r="J46" s="34">
        <f t="shared" si="1"/>
        <v>-13666.666666666666</v>
      </c>
      <c r="K46" s="38"/>
      <c r="L46" s="41">
        <f t="shared" si="2"/>
        <v>-5800.0000000001819</v>
      </c>
      <c r="M46" s="68">
        <f t="shared" si="3"/>
        <v>-3433.333333333394</v>
      </c>
      <c r="N46" s="16"/>
      <c r="R46" s="26"/>
    </row>
    <row r="47" spans="1:18">
      <c r="A47" s="9" t="s">
        <v>236</v>
      </c>
      <c r="B47" s="14">
        <v>40968</v>
      </c>
      <c r="C47" s="15">
        <v>5049</v>
      </c>
      <c r="D47" s="15">
        <v>14064</v>
      </c>
      <c r="E47" s="26">
        <v>2209.4</v>
      </c>
      <c r="F47" s="15">
        <v>0</v>
      </c>
      <c r="G47" s="15"/>
      <c r="H47" s="15"/>
      <c r="I47" s="34">
        <f t="shared" si="0"/>
        <v>4000</v>
      </c>
      <c r="J47" s="34">
        <f t="shared" si="1"/>
        <v>-5333.333333333333</v>
      </c>
      <c r="K47" s="38"/>
      <c r="L47" s="41">
        <f t="shared" si="2"/>
        <v>-3699.9999999998181</v>
      </c>
      <c r="M47" s="68">
        <f t="shared" si="3"/>
        <v>-3666.6666666666665</v>
      </c>
      <c r="N47" s="16"/>
      <c r="R47" s="15"/>
    </row>
    <row r="48" spans="1:18">
      <c r="A48" s="9" t="s">
        <v>237</v>
      </c>
      <c r="B48" s="14">
        <v>40999</v>
      </c>
      <c r="C48" s="15">
        <v>5053</v>
      </c>
      <c r="D48" s="15">
        <v>14058</v>
      </c>
      <c r="E48" s="26">
        <v>2210.8000000000002</v>
      </c>
      <c r="F48" s="15">
        <v>0</v>
      </c>
      <c r="G48" s="15"/>
      <c r="H48" s="15"/>
      <c r="I48" s="34">
        <f t="shared" si="0"/>
        <v>-2000</v>
      </c>
      <c r="J48" s="34">
        <f t="shared" si="1"/>
        <v>1333.3333333333333</v>
      </c>
      <c r="K48" s="38"/>
      <c r="L48" s="41">
        <f t="shared" si="2"/>
        <v>1400.0000000000909</v>
      </c>
      <c r="M48" s="68">
        <f t="shared" si="3"/>
        <v>-2699.9999999999695</v>
      </c>
      <c r="N48" s="16"/>
      <c r="R48" s="26"/>
    </row>
    <row r="49" spans="1:18">
      <c r="A49" s="9" t="s">
        <v>238</v>
      </c>
      <c r="B49" s="14">
        <v>41029</v>
      </c>
      <c r="C49" s="15">
        <v>5058</v>
      </c>
      <c r="D49" s="15">
        <v>14047</v>
      </c>
      <c r="E49" s="26">
        <v>2210.1</v>
      </c>
      <c r="F49" s="15">
        <v>0</v>
      </c>
      <c r="G49" s="15"/>
      <c r="H49" s="15"/>
      <c r="I49" s="34">
        <f t="shared" si="0"/>
        <v>-6000</v>
      </c>
      <c r="J49" s="34">
        <f t="shared" si="1"/>
        <v>-1333.3333333333333</v>
      </c>
      <c r="K49" s="38"/>
      <c r="L49" s="41">
        <f t="shared" si="2"/>
        <v>-700.00000000027285</v>
      </c>
      <c r="M49" s="68">
        <f t="shared" si="3"/>
        <v>-1000</v>
      </c>
      <c r="N49" s="16"/>
      <c r="R49" s="15"/>
    </row>
    <row r="50" spans="1:18">
      <c r="A50" s="9" t="s">
        <v>239</v>
      </c>
      <c r="B50" s="14">
        <v>41060</v>
      </c>
      <c r="C50" s="15">
        <v>5049</v>
      </c>
      <c r="D50" s="15">
        <v>14036</v>
      </c>
      <c r="E50" s="26">
        <v>2211</v>
      </c>
      <c r="F50" s="15">
        <v>0</v>
      </c>
      <c r="G50" s="15"/>
      <c r="H50" s="15"/>
      <c r="I50" s="34">
        <f t="shared" si="0"/>
        <v>-20000</v>
      </c>
      <c r="J50" s="34">
        <f t="shared" si="1"/>
        <v>-9333.3333333333339</v>
      </c>
      <c r="K50" s="38"/>
      <c r="L50" s="41">
        <f>IF(E50&lt;&gt;"", ((E50-F50)-(E49-F49))*1000, "")</f>
        <v>900.00000000009095</v>
      </c>
      <c r="M50" s="68">
        <f t="shared" si="3"/>
        <v>533.33333333330302</v>
      </c>
      <c r="N50" s="16"/>
      <c r="R50" s="26"/>
    </row>
    <row r="51" spans="1:18">
      <c r="A51" s="9" t="s">
        <v>240</v>
      </c>
      <c r="B51" s="14">
        <v>41090</v>
      </c>
      <c r="C51" s="15">
        <v>5056</v>
      </c>
      <c r="D51" s="15">
        <v>14043</v>
      </c>
      <c r="E51" s="26">
        <v>2210.8000000000002</v>
      </c>
      <c r="F51" s="15">
        <v>0</v>
      </c>
      <c r="G51" s="15"/>
      <c r="H51" s="15"/>
      <c r="I51" s="34">
        <f t="shared" si="0"/>
        <v>14000</v>
      </c>
      <c r="J51" s="34">
        <f t="shared" si="1"/>
        <v>-4000</v>
      </c>
      <c r="K51" s="38"/>
      <c r="L51" s="41">
        <f t="shared" si="2"/>
        <v>-199.9999999998181</v>
      </c>
      <c r="M51" s="68">
        <f t="shared" si="3"/>
        <v>0</v>
      </c>
      <c r="N51" s="26"/>
      <c r="R51" s="15"/>
    </row>
    <row r="52" spans="1:18">
      <c r="A52" s="9" t="s">
        <v>241</v>
      </c>
      <c r="B52" s="14">
        <v>41121</v>
      </c>
      <c r="C52" s="15">
        <v>5053</v>
      </c>
      <c r="D52" s="15">
        <v>14044</v>
      </c>
      <c r="E52" s="26">
        <v>2202.4</v>
      </c>
      <c r="F52" s="15">
        <v>0</v>
      </c>
      <c r="G52" s="15"/>
      <c r="H52" s="15"/>
      <c r="I52" s="34">
        <f t="shared" si="0"/>
        <v>-2000</v>
      </c>
      <c r="J52" s="34">
        <f t="shared" si="1"/>
        <v>-2666.6666666666665</v>
      </c>
      <c r="K52" s="38"/>
      <c r="L52" s="41">
        <f t="shared" si="2"/>
        <v>-8400.0000000000909</v>
      </c>
      <c r="M52" s="68">
        <f t="shared" si="3"/>
        <v>-2566.666666666606</v>
      </c>
      <c r="N52" s="16"/>
      <c r="R52" s="26"/>
    </row>
    <row r="53" spans="1:18">
      <c r="A53" s="9" t="s">
        <v>242</v>
      </c>
      <c r="B53" s="14">
        <v>41152</v>
      </c>
      <c r="C53" s="15">
        <v>5058</v>
      </c>
      <c r="D53" s="15">
        <v>14048</v>
      </c>
      <c r="E53" s="26">
        <v>2209.6</v>
      </c>
      <c r="F53" s="15">
        <v>0</v>
      </c>
      <c r="G53" s="15"/>
      <c r="H53" s="15"/>
      <c r="I53" s="34">
        <f t="shared" si="0"/>
        <v>9000</v>
      </c>
      <c r="J53" s="34">
        <f t="shared" si="1"/>
        <v>7000</v>
      </c>
      <c r="K53" s="38"/>
      <c r="L53" s="41">
        <f t="shared" si="2"/>
        <v>7199.9999999998181</v>
      </c>
      <c r="M53" s="68">
        <f t="shared" si="3"/>
        <v>-466.66666666669698</v>
      </c>
      <c r="N53" s="16"/>
      <c r="R53" s="15"/>
    </row>
    <row r="54" spans="1:18">
      <c r="A54" s="9" t="s">
        <v>243</v>
      </c>
      <c r="B54" s="14">
        <v>41182</v>
      </c>
      <c r="C54" s="15">
        <v>5074</v>
      </c>
      <c r="D54" s="15">
        <v>14034</v>
      </c>
      <c r="E54" s="26">
        <v>2215.9</v>
      </c>
      <c r="F54" s="15">
        <v>0</v>
      </c>
      <c r="G54" s="15"/>
      <c r="H54" s="15"/>
      <c r="I54" s="34">
        <f t="shared" si="0"/>
        <v>2000</v>
      </c>
      <c r="J54" s="34">
        <f t="shared" si="1"/>
        <v>3000</v>
      </c>
      <c r="K54" s="38"/>
      <c r="L54" s="41">
        <f t="shared" si="2"/>
        <v>6300.0000000001819</v>
      </c>
      <c r="M54" s="68">
        <f t="shared" si="3"/>
        <v>1699.9999999999698</v>
      </c>
      <c r="N54" s="16"/>
      <c r="R54" s="26"/>
    </row>
    <row r="55" spans="1:18">
      <c r="A55" s="9" t="s">
        <v>244</v>
      </c>
      <c r="B55" s="14">
        <v>41213</v>
      </c>
      <c r="C55" s="15">
        <v>5052</v>
      </c>
      <c r="D55" s="15">
        <v>14024</v>
      </c>
      <c r="E55" s="26">
        <v>2212</v>
      </c>
      <c r="F55" s="15">
        <v>0</v>
      </c>
      <c r="G55" s="15"/>
      <c r="H55" s="15"/>
      <c r="I55" s="34">
        <f t="shared" si="0"/>
        <v>-32000</v>
      </c>
      <c r="J55" s="34">
        <f t="shared" si="1"/>
        <v>-7000</v>
      </c>
      <c r="K55" s="38"/>
      <c r="L55" s="41">
        <f t="shared" si="2"/>
        <v>-3900.0000000000909</v>
      </c>
      <c r="M55" s="68">
        <f t="shared" si="3"/>
        <v>3199.9999999999695</v>
      </c>
      <c r="N55" s="16"/>
      <c r="R55" s="15"/>
    </row>
    <row r="56" spans="1:18">
      <c r="A56" s="9" t="s">
        <v>245</v>
      </c>
      <c r="B56" s="14">
        <v>41243</v>
      </c>
      <c r="C56" s="15">
        <v>5052</v>
      </c>
      <c r="D56" s="15">
        <v>14021</v>
      </c>
      <c r="E56" s="26">
        <v>2211.4</v>
      </c>
      <c r="F56" s="15">
        <v>0</v>
      </c>
      <c r="G56" s="15"/>
      <c r="H56" s="15"/>
      <c r="I56" s="34">
        <f t="shared" si="0"/>
        <v>-3000</v>
      </c>
      <c r="J56" s="34">
        <f t="shared" si="1"/>
        <v>-11000</v>
      </c>
      <c r="K56" s="38"/>
      <c r="L56" s="41">
        <f t="shared" si="2"/>
        <v>-599.99999999990905</v>
      </c>
      <c r="M56" s="68">
        <f t="shared" si="3"/>
        <v>600.0000000000606</v>
      </c>
      <c r="N56" s="16"/>
      <c r="R56" s="26"/>
    </row>
    <row r="57" spans="1:18">
      <c r="A57" s="9" t="s">
        <v>246</v>
      </c>
      <c r="B57" s="14">
        <v>41274</v>
      </c>
      <c r="C57" s="15">
        <v>5050</v>
      </c>
      <c r="D57" s="15">
        <v>14024</v>
      </c>
      <c r="E57" s="26">
        <v>2209.9</v>
      </c>
      <c r="F57" s="15">
        <v>0</v>
      </c>
      <c r="G57" s="15"/>
      <c r="H57" s="15"/>
      <c r="I57" s="34">
        <f t="shared" si="0"/>
        <v>1000</v>
      </c>
      <c r="J57" s="34">
        <f t="shared" si="1"/>
        <v>-11333.333333333334</v>
      </c>
      <c r="K57" s="38"/>
      <c r="L57" s="41">
        <f t="shared" si="2"/>
        <v>-1500</v>
      </c>
      <c r="M57" s="68">
        <f t="shared" si="3"/>
        <v>-2000</v>
      </c>
      <c r="N57" s="16"/>
      <c r="R57" s="15"/>
    </row>
    <row r="58" spans="1:18">
      <c r="A58" s="9" t="s">
        <v>247</v>
      </c>
      <c r="B58" s="14">
        <v>41305</v>
      </c>
      <c r="C58" s="15">
        <v>5034</v>
      </c>
      <c r="D58" s="15">
        <v>14023</v>
      </c>
      <c r="E58" s="26">
        <v>2206</v>
      </c>
      <c r="F58" s="15">
        <v>0</v>
      </c>
      <c r="G58" s="15"/>
      <c r="H58" s="15"/>
      <c r="I58" s="34">
        <f t="shared" si="0"/>
        <v>-17000</v>
      </c>
      <c r="J58" s="34">
        <f t="shared" si="1"/>
        <v>-6333.333333333333</v>
      </c>
      <c r="K58" s="38"/>
      <c r="L58" s="41">
        <f t="shared" si="2"/>
        <v>-3900.0000000000909</v>
      </c>
      <c r="M58" s="68">
        <f t="shared" si="3"/>
        <v>-2000</v>
      </c>
      <c r="N58" s="16"/>
      <c r="R58" s="26"/>
    </row>
    <row r="59" spans="1:18">
      <c r="A59" s="9" t="s">
        <v>248</v>
      </c>
      <c r="B59" s="14">
        <v>41333</v>
      </c>
      <c r="C59" s="15">
        <v>5049</v>
      </c>
      <c r="D59" s="15">
        <v>14024</v>
      </c>
      <c r="E59" s="26">
        <v>2203.6</v>
      </c>
      <c r="F59" s="15">
        <v>0</v>
      </c>
      <c r="G59" s="15"/>
      <c r="H59" s="15"/>
      <c r="I59" s="34">
        <f t="shared" si="0"/>
        <v>16000</v>
      </c>
      <c r="J59" s="34">
        <f t="shared" si="1"/>
        <v>0</v>
      </c>
      <c r="K59" s="38"/>
      <c r="L59" s="41">
        <f t="shared" si="2"/>
        <v>-2400.0000000000909</v>
      </c>
      <c r="M59" s="68">
        <f t="shared" si="3"/>
        <v>-2600.0000000000605</v>
      </c>
      <c r="N59" s="16"/>
      <c r="R59" s="15"/>
    </row>
    <row r="60" spans="1:18">
      <c r="A60" s="9" t="s">
        <v>249</v>
      </c>
      <c r="B60" s="14">
        <v>41364</v>
      </c>
      <c r="C60" s="15">
        <v>5056</v>
      </c>
      <c r="D60" s="15">
        <v>14015</v>
      </c>
      <c r="E60" s="26">
        <v>2199.5</v>
      </c>
      <c r="F60" s="15">
        <v>0</v>
      </c>
      <c r="G60" s="15"/>
      <c r="H60" s="15"/>
      <c r="I60" s="34">
        <f t="shared" si="0"/>
        <v>-2000</v>
      </c>
      <c r="J60" s="34">
        <f t="shared" si="1"/>
        <v>-1000</v>
      </c>
      <c r="K60" s="38"/>
      <c r="L60" s="41">
        <f t="shared" si="2"/>
        <v>-4099.9999999999091</v>
      </c>
      <c r="M60" s="68">
        <f t="shared" si="3"/>
        <v>-3466.666666666697</v>
      </c>
      <c r="N60" s="16"/>
      <c r="R60" s="26"/>
    </row>
    <row r="61" spans="1:18">
      <c r="A61" s="9" t="s">
        <v>250</v>
      </c>
      <c r="B61" s="14">
        <v>41394</v>
      </c>
      <c r="C61" s="15">
        <v>5053</v>
      </c>
      <c r="D61" s="15">
        <v>14031</v>
      </c>
      <c r="E61" s="26">
        <v>2190.1999999999998</v>
      </c>
      <c r="F61" s="15">
        <v>0</v>
      </c>
      <c r="G61" s="15"/>
      <c r="H61" s="15"/>
      <c r="I61" s="34">
        <f t="shared" si="0"/>
        <v>13000</v>
      </c>
      <c r="J61" s="34">
        <f t="shared" si="1"/>
        <v>9000</v>
      </c>
      <c r="K61" s="38"/>
      <c r="L61" s="41">
        <f t="shared" si="2"/>
        <v>-9300.0000000001819</v>
      </c>
      <c r="M61" s="68">
        <f t="shared" si="3"/>
        <v>-5266.666666666727</v>
      </c>
      <c r="N61" s="16"/>
      <c r="R61" s="15"/>
    </row>
    <row r="62" spans="1:18">
      <c r="A62" s="9" t="s">
        <v>251</v>
      </c>
      <c r="B62" s="14">
        <v>41425</v>
      </c>
      <c r="C62" s="15">
        <v>5047</v>
      </c>
      <c r="D62" s="15">
        <v>14037</v>
      </c>
      <c r="E62" s="26">
        <v>2179.5</v>
      </c>
      <c r="F62" s="15">
        <v>0</v>
      </c>
      <c r="G62" s="15"/>
      <c r="H62" s="15"/>
      <c r="I62" s="34">
        <f t="shared" si="0"/>
        <v>0</v>
      </c>
      <c r="J62" s="34">
        <f t="shared" si="1"/>
        <v>3666.6666666666665</v>
      </c>
      <c r="K62" s="38"/>
      <c r="L62" s="41">
        <f t="shared" si="2"/>
        <v>-10699.999999999818</v>
      </c>
      <c r="M62" s="68">
        <f t="shared" si="3"/>
        <v>-8033.333333333303</v>
      </c>
      <c r="N62" s="16"/>
      <c r="R62" s="26"/>
    </row>
    <row r="63" spans="1:18">
      <c r="A63" s="9" t="s">
        <v>252</v>
      </c>
      <c r="B63" s="14">
        <v>41455</v>
      </c>
      <c r="C63" s="15">
        <v>5034</v>
      </c>
      <c r="D63" s="15">
        <v>14051</v>
      </c>
      <c r="E63" s="26">
        <v>2172.6999999999998</v>
      </c>
      <c r="F63" s="15">
        <v>0</v>
      </c>
      <c r="G63" s="15"/>
      <c r="H63" s="15"/>
      <c r="I63" s="34">
        <f t="shared" si="0"/>
        <v>1000</v>
      </c>
      <c r="J63" s="34">
        <f t="shared" si="1"/>
        <v>4666.666666666667</v>
      </c>
      <c r="K63" s="38"/>
      <c r="L63" s="41">
        <f t="shared" si="2"/>
        <v>-6800.0000000001819</v>
      </c>
      <c r="M63" s="68">
        <f t="shared" si="3"/>
        <v>-8933.333333333394</v>
      </c>
      <c r="N63" s="16"/>
      <c r="R63" s="15"/>
    </row>
    <row r="64" spans="1:18">
      <c r="A64" s="9" t="s">
        <v>253</v>
      </c>
      <c r="B64" s="14">
        <v>41486</v>
      </c>
      <c r="C64" s="15">
        <v>5025</v>
      </c>
      <c r="D64" s="15">
        <v>14050</v>
      </c>
      <c r="E64" s="26">
        <v>2165.5</v>
      </c>
      <c r="F64" s="15">
        <v>0</v>
      </c>
      <c r="G64" s="15"/>
      <c r="H64" s="15"/>
      <c r="I64" s="34">
        <f t="shared" si="0"/>
        <v>-10000</v>
      </c>
      <c r="J64" s="34">
        <f t="shared" si="1"/>
        <v>-3000</v>
      </c>
      <c r="K64" s="38"/>
      <c r="L64" s="41">
        <f t="shared" si="2"/>
        <v>-7199.9999999998181</v>
      </c>
      <c r="M64" s="68">
        <f t="shared" si="3"/>
        <v>-8233.3333333332721</v>
      </c>
      <c r="N64" s="16"/>
      <c r="R64" s="26"/>
    </row>
    <row r="65" spans="1:18">
      <c r="A65" s="9" t="s">
        <v>254</v>
      </c>
      <c r="B65" s="14">
        <v>41517</v>
      </c>
      <c r="C65" s="15">
        <v>5039</v>
      </c>
      <c r="D65" s="15">
        <v>14065</v>
      </c>
      <c r="E65" s="26">
        <v>2157.6</v>
      </c>
      <c r="F65" s="15">
        <v>0</v>
      </c>
      <c r="G65" s="15"/>
      <c r="H65" s="15"/>
      <c r="I65" s="34">
        <f t="shared" si="0"/>
        <v>29000</v>
      </c>
      <c r="J65" s="34">
        <f t="shared" si="1"/>
        <v>6666.666666666667</v>
      </c>
      <c r="K65" s="38"/>
      <c r="L65" s="41">
        <f t="shared" si="2"/>
        <v>-7900.0000000000909</v>
      </c>
      <c r="M65" s="68">
        <f t="shared" si="3"/>
        <v>-7300.00000000003</v>
      </c>
      <c r="N65" s="16"/>
      <c r="R65" s="15"/>
    </row>
    <row r="66" spans="1:18">
      <c r="A66" s="9" t="s">
        <v>255</v>
      </c>
      <c r="B66" s="14">
        <v>41547</v>
      </c>
      <c r="C66" s="15">
        <v>5051</v>
      </c>
      <c r="D66" s="15">
        <v>14069</v>
      </c>
      <c r="E66" s="26">
        <v>2152.6999999999998</v>
      </c>
      <c r="F66" s="15">
        <v>0</v>
      </c>
      <c r="G66" s="15"/>
      <c r="H66" s="15"/>
      <c r="I66" s="34">
        <f t="shared" si="0"/>
        <v>16000</v>
      </c>
      <c r="J66" s="34">
        <f t="shared" si="1"/>
        <v>11666.666666666666</v>
      </c>
      <c r="K66" s="38"/>
      <c r="L66" s="41">
        <f t="shared" si="2"/>
        <v>-4900.0000000000909</v>
      </c>
      <c r="M66" s="68">
        <f t="shared" si="3"/>
        <v>-6666.666666666667</v>
      </c>
      <c r="N66" s="16"/>
      <c r="R66" s="26"/>
    </row>
    <row r="67" spans="1:18">
      <c r="A67" s="9" t="s">
        <v>256</v>
      </c>
      <c r="B67" s="14">
        <v>41578</v>
      </c>
      <c r="C67" s="15">
        <v>5057</v>
      </c>
      <c r="D67" s="15">
        <v>14065</v>
      </c>
      <c r="E67" s="26">
        <v>2143.4</v>
      </c>
      <c r="F67" s="15">
        <v>0</v>
      </c>
      <c r="G67" s="15"/>
      <c r="H67" s="15"/>
      <c r="I67" s="34">
        <f t="shared" si="0"/>
        <v>2000</v>
      </c>
      <c r="J67" s="34">
        <f t="shared" si="1"/>
        <v>15666.666666666666</v>
      </c>
      <c r="K67" s="38"/>
      <c r="L67" s="41">
        <f t="shared" si="2"/>
        <v>-9299.9999999997272</v>
      </c>
      <c r="M67" s="68">
        <f t="shared" si="3"/>
        <v>-7366.666666666636</v>
      </c>
      <c r="N67" s="16"/>
      <c r="R67" s="15"/>
    </row>
    <row r="68" spans="1:18">
      <c r="A68" s="9" t="s">
        <v>257</v>
      </c>
      <c r="B68" s="14">
        <v>41608</v>
      </c>
      <c r="C68" s="15">
        <v>5060</v>
      </c>
      <c r="D68" s="15">
        <v>14057</v>
      </c>
      <c r="E68" s="26">
        <v>2147.6</v>
      </c>
      <c r="F68" s="15">
        <v>0</v>
      </c>
      <c r="G68" s="15"/>
      <c r="H68" s="15"/>
      <c r="I68" s="34">
        <f t="shared" si="0"/>
        <v>-5000</v>
      </c>
      <c r="J68" s="34">
        <f t="shared" si="1"/>
        <v>4333.333333333333</v>
      </c>
      <c r="K68" s="38"/>
      <c r="L68" s="41">
        <f t="shared" si="2"/>
        <v>4199.9999999998181</v>
      </c>
      <c r="M68" s="68">
        <f t="shared" si="3"/>
        <v>-3333.3333333333335</v>
      </c>
      <c r="N68" s="16"/>
      <c r="R68" s="26"/>
    </row>
    <row r="69" spans="1:18">
      <c r="A69" s="9" t="s">
        <v>258</v>
      </c>
      <c r="B69" s="14">
        <v>41639</v>
      </c>
      <c r="C69" s="15">
        <v>5064</v>
      </c>
      <c r="D69" s="15">
        <v>14054</v>
      </c>
      <c r="E69" s="26">
        <v>2141.3000000000002</v>
      </c>
      <c r="F69" s="15">
        <v>0</v>
      </c>
      <c r="G69" s="15"/>
      <c r="H69" s="15"/>
      <c r="I69" s="34">
        <f t="shared" si="0"/>
        <v>1000</v>
      </c>
      <c r="J69" s="34">
        <f t="shared" si="1"/>
        <v>-666.66666666666663</v>
      </c>
      <c r="K69" s="38"/>
      <c r="L69" s="41">
        <f t="shared" si="2"/>
        <v>-6299.9999999997272</v>
      </c>
      <c r="M69" s="68">
        <f t="shared" si="3"/>
        <v>-3799.9999999998786</v>
      </c>
      <c r="N69" s="16"/>
      <c r="R69" s="15"/>
    </row>
    <row r="70" spans="1:18">
      <c r="A70" s="9" t="s">
        <v>259</v>
      </c>
      <c r="B70" s="14">
        <v>41670</v>
      </c>
      <c r="C70" s="15">
        <v>5057</v>
      </c>
      <c r="D70" s="15">
        <v>14054</v>
      </c>
      <c r="E70" s="26">
        <v>2135.6999999999998</v>
      </c>
      <c r="F70" s="15">
        <v>0</v>
      </c>
      <c r="G70" s="15"/>
      <c r="H70" s="15"/>
      <c r="I70" s="34">
        <f t="shared" si="0"/>
        <v>-7000</v>
      </c>
      <c r="J70" s="34">
        <f t="shared" si="1"/>
        <v>-3666.6666666666665</v>
      </c>
      <c r="K70" s="38"/>
      <c r="L70" s="41">
        <f t="shared" si="2"/>
        <v>-5600.0000000003638</v>
      </c>
      <c r="M70" s="68">
        <f t="shared" si="3"/>
        <v>-2566.6666666667575</v>
      </c>
      <c r="N70" s="16"/>
      <c r="R70" s="26"/>
    </row>
    <row r="71" spans="1:18">
      <c r="A71" s="9" t="s">
        <v>260</v>
      </c>
      <c r="B71" s="14">
        <v>41698</v>
      </c>
      <c r="C71" s="15">
        <v>5066</v>
      </c>
      <c r="D71" s="15">
        <v>14069</v>
      </c>
      <c r="E71" s="26">
        <v>2129.4</v>
      </c>
      <c r="F71" s="15">
        <v>0</v>
      </c>
      <c r="G71" s="15"/>
      <c r="H71" s="15"/>
      <c r="I71" s="34">
        <f t="shared" si="0"/>
        <v>24000</v>
      </c>
      <c r="J71" s="34">
        <f t="shared" si="1"/>
        <v>6000</v>
      </c>
      <c r="K71" s="38"/>
      <c r="L71" s="41">
        <f t="shared" si="2"/>
        <v>-6299.9999999997272</v>
      </c>
      <c r="M71" s="68">
        <f t="shared" si="3"/>
        <v>-6066.666666666606</v>
      </c>
      <c r="N71" s="16"/>
      <c r="R71" s="15"/>
    </row>
    <row r="72" spans="1:18">
      <c r="A72" s="9" t="s">
        <v>261</v>
      </c>
      <c r="B72" s="14">
        <v>41729</v>
      </c>
      <c r="C72" s="15">
        <v>5064</v>
      </c>
      <c r="D72" s="15">
        <v>14079</v>
      </c>
      <c r="E72" s="26">
        <v>2125.4</v>
      </c>
      <c r="F72" s="15">
        <v>0</v>
      </c>
      <c r="G72" s="15"/>
      <c r="H72" s="15"/>
      <c r="I72" s="34">
        <f t="shared" si="0"/>
        <v>8000</v>
      </c>
      <c r="J72" s="34">
        <f t="shared" si="1"/>
        <v>8333.3333333333339</v>
      </c>
      <c r="K72" s="38"/>
      <c r="L72" s="41">
        <f t="shared" si="2"/>
        <v>-4000</v>
      </c>
      <c r="M72" s="68">
        <f t="shared" si="3"/>
        <v>-5300.00000000003</v>
      </c>
      <c r="N72" s="16"/>
      <c r="R72" s="26"/>
    </row>
    <row r="73" spans="1:18">
      <c r="A73" s="9" t="s">
        <v>262</v>
      </c>
      <c r="B73" s="14">
        <v>41759</v>
      </c>
      <c r="C73" s="15">
        <v>5067</v>
      </c>
      <c r="D73" s="15">
        <v>14102</v>
      </c>
      <c r="E73" s="26">
        <v>2122.6</v>
      </c>
      <c r="F73" s="15">
        <v>0</v>
      </c>
      <c r="G73" s="15"/>
      <c r="H73" s="15"/>
      <c r="I73" s="34">
        <f t="shared" ref="I73:I133" si="4">IF(C73&lt;&gt;"", ((C73+D73)-(C72+D72))*1000, "")</f>
        <v>26000</v>
      </c>
      <c r="J73" s="34">
        <f t="shared" ref="J73:J133" si="5">IF(I72&lt;&gt;"", IF(I73&lt;&gt;"", (AVERAGE(I71:I73)), ""), "")</f>
        <v>19333.333333333332</v>
      </c>
      <c r="K73" s="38"/>
      <c r="L73" s="41">
        <f t="shared" ref="L73:L133" si="6">IF(E73&lt;&gt;"", ((E73-F73)-(E72-F72))*1000, "")</f>
        <v>-2800.0000000001819</v>
      </c>
      <c r="M73" s="68">
        <f t="shared" si="3"/>
        <v>-4366.666666666636</v>
      </c>
      <c r="N73" s="16"/>
      <c r="R73" s="15"/>
    </row>
    <row r="74" spans="1:18">
      <c r="A74" s="9" t="s">
        <v>263</v>
      </c>
      <c r="B74" s="14">
        <v>41790</v>
      </c>
      <c r="C74" s="15">
        <v>5062</v>
      </c>
      <c r="D74" s="15">
        <v>14109</v>
      </c>
      <c r="E74" s="26">
        <v>2122.8000000000002</v>
      </c>
      <c r="F74" s="15">
        <v>0</v>
      </c>
      <c r="G74" s="15"/>
      <c r="H74" s="15"/>
      <c r="I74" s="34">
        <f t="shared" si="4"/>
        <v>2000</v>
      </c>
      <c r="J74" s="34">
        <f t="shared" si="5"/>
        <v>12000</v>
      </c>
      <c r="K74" s="38"/>
      <c r="L74" s="41">
        <f t="shared" si="6"/>
        <v>200.00000000027285</v>
      </c>
      <c r="M74" s="68">
        <f t="shared" si="3"/>
        <v>-2199.9999999999695</v>
      </c>
      <c r="N74" s="16"/>
      <c r="R74" s="26"/>
    </row>
    <row r="75" spans="1:18">
      <c r="A75" s="9" t="s">
        <v>264</v>
      </c>
      <c r="B75" s="14">
        <v>41820</v>
      </c>
      <c r="C75" s="15">
        <v>5061</v>
      </c>
      <c r="D75" s="15">
        <v>14114</v>
      </c>
      <c r="E75" s="26">
        <v>2123</v>
      </c>
      <c r="F75" s="15">
        <v>0</v>
      </c>
      <c r="G75" s="15"/>
      <c r="H75" s="15"/>
      <c r="I75" s="34">
        <f t="shared" si="4"/>
        <v>4000</v>
      </c>
      <c r="J75" s="34">
        <f t="shared" si="5"/>
        <v>10666.666666666666</v>
      </c>
      <c r="K75" s="38"/>
      <c r="L75" s="41">
        <f t="shared" si="6"/>
        <v>199.9999999998181</v>
      </c>
      <c r="M75" s="68">
        <f t="shared" ref="M75:M133" si="7">IF(L74&lt;&gt;"", IF(L75&lt;&gt;"", AVERAGE(L73:L75), ""), "")</f>
        <v>-800.00000000003035</v>
      </c>
      <c r="N75" s="16"/>
      <c r="R75" s="15"/>
    </row>
    <row r="76" spans="1:18">
      <c r="A76" s="9" t="s">
        <v>265</v>
      </c>
      <c r="B76" s="14">
        <v>41851</v>
      </c>
      <c r="C76" s="15">
        <v>5055</v>
      </c>
      <c r="D76" s="15">
        <v>14120</v>
      </c>
      <c r="E76" s="26">
        <v>2124.6</v>
      </c>
      <c r="F76" s="15">
        <v>0</v>
      </c>
      <c r="G76" s="15"/>
      <c r="H76" s="15"/>
      <c r="I76" s="34">
        <f t="shared" si="4"/>
        <v>0</v>
      </c>
      <c r="J76" s="34">
        <f t="shared" si="5"/>
        <v>2000</v>
      </c>
      <c r="K76" s="38"/>
      <c r="L76" s="41">
        <f t="shared" si="6"/>
        <v>1599.9999999999091</v>
      </c>
      <c r="M76" s="68">
        <f t="shared" si="7"/>
        <v>666.66666666666663</v>
      </c>
      <c r="N76" s="16"/>
      <c r="R76" s="26"/>
    </row>
    <row r="77" spans="1:18">
      <c r="A77" s="9" t="s">
        <v>266</v>
      </c>
      <c r="B77" s="14">
        <v>41882</v>
      </c>
      <c r="C77" s="15">
        <v>5056</v>
      </c>
      <c r="D77" s="15">
        <v>14124</v>
      </c>
      <c r="E77" s="26">
        <v>2125.6999999999998</v>
      </c>
      <c r="F77" s="15">
        <v>0</v>
      </c>
      <c r="G77" s="15"/>
      <c r="H77" s="15"/>
      <c r="I77" s="34">
        <f t="shared" si="4"/>
        <v>5000</v>
      </c>
      <c r="J77" s="34">
        <f t="shared" si="5"/>
        <v>3000</v>
      </c>
      <c r="K77" s="38"/>
      <c r="L77" s="41">
        <f t="shared" si="6"/>
        <v>1099.9999999999091</v>
      </c>
      <c r="M77" s="68">
        <f t="shared" si="7"/>
        <v>966.66666666654544</v>
      </c>
      <c r="N77" s="16"/>
      <c r="R77" s="15"/>
    </row>
    <row r="78" spans="1:18">
      <c r="B78" s="14"/>
      <c r="C78" s="15"/>
      <c r="D78" s="15"/>
      <c r="E78" s="26"/>
      <c r="F78" s="15"/>
      <c r="G78" s="15"/>
      <c r="H78" s="15"/>
      <c r="I78" s="34" t="str">
        <f t="shared" si="4"/>
        <v/>
      </c>
      <c r="J78" s="34" t="str">
        <f t="shared" si="5"/>
        <v/>
      </c>
      <c r="K78" s="38"/>
      <c r="L78" s="41" t="str">
        <f t="shared" si="6"/>
        <v/>
      </c>
      <c r="M78" s="68" t="str">
        <f t="shared" si="7"/>
        <v/>
      </c>
      <c r="N78" s="16"/>
      <c r="R78" s="26"/>
    </row>
    <row r="79" spans="1:18">
      <c r="B79" s="14"/>
      <c r="C79" s="15"/>
      <c r="D79" s="15"/>
      <c r="E79" s="26"/>
      <c r="F79" s="15"/>
      <c r="G79" s="15"/>
      <c r="H79" s="15"/>
      <c r="I79" s="34" t="str">
        <f t="shared" si="4"/>
        <v/>
      </c>
      <c r="J79" s="34" t="str">
        <f t="shared" si="5"/>
        <v/>
      </c>
      <c r="K79" s="38"/>
      <c r="L79" s="41" t="str">
        <f t="shared" si="6"/>
        <v/>
      </c>
      <c r="M79" s="68" t="str">
        <f t="shared" si="7"/>
        <v/>
      </c>
      <c r="N79" s="16"/>
      <c r="R79" s="15"/>
    </row>
    <row r="80" spans="1:18">
      <c r="B80" s="14"/>
      <c r="C80" s="15"/>
      <c r="D80" s="15"/>
      <c r="E80" s="26"/>
      <c r="F80" s="15"/>
      <c r="G80" s="15"/>
      <c r="H80" s="15"/>
      <c r="I80" s="34" t="str">
        <f t="shared" si="4"/>
        <v/>
      </c>
      <c r="J80" s="34" t="str">
        <f t="shared" si="5"/>
        <v/>
      </c>
      <c r="K80" s="38"/>
      <c r="L80" s="41" t="str">
        <f t="shared" si="6"/>
        <v/>
      </c>
      <c r="M80" s="68" t="str">
        <f t="shared" si="7"/>
        <v/>
      </c>
      <c r="N80" s="16"/>
      <c r="R80" s="26"/>
    </row>
    <row r="81" spans="2:18">
      <c r="B81" s="14"/>
      <c r="C81" s="15"/>
      <c r="D81" s="15"/>
      <c r="E81" s="26"/>
      <c r="F81" s="15"/>
      <c r="G81" s="15"/>
      <c r="H81" s="15"/>
      <c r="I81" s="34" t="str">
        <f t="shared" si="4"/>
        <v/>
      </c>
      <c r="J81" s="34" t="str">
        <f t="shared" si="5"/>
        <v/>
      </c>
      <c r="K81" s="38"/>
      <c r="L81" s="41" t="str">
        <f t="shared" si="6"/>
        <v/>
      </c>
      <c r="M81" s="68" t="str">
        <f t="shared" si="7"/>
        <v/>
      </c>
      <c r="N81" s="16"/>
      <c r="R81" s="15"/>
    </row>
    <row r="82" spans="2:18">
      <c r="B82" s="14"/>
      <c r="C82" s="15"/>
      <c r="D82" s="15"/>
      <c r="E82" s="26"/>
      <c r="F82" s="15"/>
      <c r="G82" s="15"/>
      <c r="H82" s="15"/>
      <c r="I82" s="34" t="str">
        <f t="shared" si="4"/>
        <v/>
      </c>
      <c r="J82" s="34" t="str">
        <f t="shared" si="5"/>
        <v/>
      </c>
      <c r="K82" s="38"/>
      <c r="L82" s="41" t="str">
        <f t="shared" si="6"/>
        <v/>
      </c>
      <c r="M82" s="68" t="str">
        <f t="shared" si="7"/>
        <v/>
      </c>
      <c r="N82" s="16"/>
      <c r="R82" s="26"/>
    </row>
    <row r="83" spans="2:18">
      <c r="B83" s="14"/>
      <c r="C83" s="15"/>
      <c r="D83" s="15"/>
      <c r="E83" s="26"/>
      <c r="F83" s="15"/>
      <c r="G83" s="15"/>
      <c r="H83" s="15"/>
      <c r="I83" s="34" t="str">
        <f t="shared" si="4"/>
        <v/>
      </c>
      <c r="J83" s="34" t="str">
        <f t="shared" si="5"/>
        <v/>
      </c>
      <c r="K83" s="38"/>
      <c r="L83" s="41" t="str">
        <f t="shared" si="6"/>
        <v/>
      </c>
      <c r="M83" s="68" t="str">
        <f t="shared" si="7"/>
        <v/>
      </c>
      <c r="N83" s="16"/>
      <c r="R83" s="15"/>
    </row>
    <row r="84" spans="2:18">
      <c r="B84" s="14"/>
      <c r="C84" s="15"/>
      <c r="D84" s="15"/>
      <c r="E84" s="26"/>
      <c r="F84" s="15"/>
      <c r="G84" s="15"/>
      <c r="H84" s="15"/>
      <c r="I84" s="34" t="str">
        <f t="shared" si="4"/>
        <v/>
      </c>
      <c r="J84" s="34" t="str">
        <f t="shared" si="5"/>
        <v/>
      </c>
      <c r="K84" s="38"/>
      <c r="L84" s="41" t="str">
        <f t="shared" si="6"/>
        <v/>
      </c>
      <c r="M84" s="68" t="str">
        <f t="shared" si="7"/>
        <v/>
      </c>
      <c r="N84" s="16"/>
      <c r="R84" s="26"/>
    </row>
    <row r="85" spans="2:18">
      <c r="B85" s="14"/>
      <c r="C85" s="15"/>
      <c r="D85" s="15"/>
      <c r="E85" s="26"/>
      <c r="F85" s="15"/>
      <c r="G85" s="15"/>
      <c r="H85" s="15"/>
      <c r="I85" s="34" t="str">
        <f t="shared" si="4"/>
        <v/>
      </c>
      <c r="J85" s="34" t="str">
        <f t="shared" si="5"/>
        <v/>
      </c>
      <c r="K85" s="38"/>
      <c r="L85" s="41" t="str">
        <f t="shared" si="6"/>
        <v/>
      </c>
      <c r="M85" s="68" t="str">
        <f t="shared" si="7"/>
        <v/>
      </c>
      <c r="N85" s="16"/>
      <c r="R85" s="15"/>
    </row>
    <row r="86" spans="2:18">
      <c r="B86" s="14"/>
      <c r="C86" s="15"/>
      <c r="D86" s="15"/>
      <c r="E86" s="26"/>
      <c r="F86" s="15"/>
      <c r="G86" s="15"/>
      <c r="H86" s="15"/>
      <c r="I86" s="34" t="str">
        <f t="shared" si="4"/>
        <v/>
      </c>
      <c r="J86" s="34" t="str">
        <f t="shared" si="5"/>
        <v/>
      </c>
      <c r="K86" s="38"/>
      <c r="L86" s="41" t="str">
        <f t="shared" si="6"/>
        <v/>
      </c>
      <c r="M86" s="68" t="str">
        <f t="shared" si="7"/>
        <v/>
      </c>
      <c r="N86" s="16"/>
      <c r="R86" s="26"/>
    </row>
    <row r="87" spans="2:18">
      <c r="B87" s="14"/>
      <c r="C87" s="15"/>
      <c r="D87" s="15"/>
      <c r="E87" s="26"/>
      <c r="F87" s="15"/>
      <c r="G87" s="15"/>
      <c r="H87" s="15"/>
      <c r="I87" s="34" t="str">
        <f t="shared" si="4"/>
        <v/>
      </c>
      <c r="J87" s="34" t="str">
        <f t="shared" si="5"/>
        <v/>
      </c>
      <c r="K87" s="38"/>
      <c r="L87" s="41" t="str">
        <f t="shared" si="6"/>
        <v/>
      </c>
      <c r="M87" s="68" t="str">
        <f t="shared" si="7"/>
        <v/>
      </c>
      <c r="N87" s="16"/>
      <c r="R87" s="15"/>
    </row>
    <row r="88" spans="2:18">
      <c r="B88" s="14"/>
      <c r="C88" s="15"/>
      <c r="D88" s="15"/>
      <c r="E88" s="26"/>
      <c r="F88" s="15"/>
      <c r="G88" s="15"/>
      <c r="H88" s="15"/>
      <c r="I88" s="34" t="str">
        <f t="shared" si="4"/>
        <v/>
      </c>
      <c r="J88" s="34" t="str">
        <f t="shared" si="5"/>
        <v/>
      </c>
      <c r="K88" s="38"/>
      <c r="L88" s="41" t="str">
        <f t="shared" si="6"/>
        <v/>
      </c>
      <c r="M88" s="68" t="str">
        <f t="shared" si="7"/>
        <v/>
      </c>
      <c r="N88" s="16"/>
      <c r="R88" s="26"/>
    </row>
    <row r="89" spans="2:18">
      <c r="B89" s="14"/>
      <c r="C89" s="15"/>
      <c r="D89" s="15"/>
      <c r="E89" s="26"/>
      <c r="F89" s="15"/>
      <c r="G89" s="15"/>
      <c r="H89" s="15"/>
      <c r="I89" s="34" t="str">
        <f t="shared" si="4"/>
        <v/>
      </c>
      <c r="J89" s="34" t="str">
        <f t="shared" si="5"/>
        <v/>
      </c>
      <c r="K89" s="38"/>
      <c r="L89" s="41" t="str">
        <f t="shared" si="6"/>
        <v/>
      </c>
      <c r="M89" s="68" t="str">
        <f t="shared" si="7"/>
        <v/>
      </c>
      <c r="N89" s="16"/>
      <c r="R89" s="15"/>
    </row>
    <row r="90" spans="2:18">
      <c r="B90" s="14"/>
      <c r="C90" s="15"/>
      <c r="D90" s="15"/>
      <c r="E90" s="26"/>
      <c r="F90" s="15"/>
      <c r="G90" s="15"/>
      <c r="H90" s="15"/>
      <c r="I90" s="34" t="str">
        <f t="shared" si="4"/>
        <v/>
      </c>
      <c r="J90" s="34" t="str">
        <f t="shared" si="5"/>
        <v/>
      </c>
      <c r="K90" s="38"/>
      <c r="L90" s="41" t="str">
        <f t="shared" si="6"/>
        <v/>
      </c>
      <c r="M90" s="68" t="str">
        <f t="shared" si="7"/>
        <v/>
      </c>
      <c r="N90" s="16"/>
      <c r="R90" s="26"/>
    </row>
    <row r="91" spans="2:18">
      <c r="B91" s="14"/>
      <c r="C91" s="15"/>
      <c r="D91" s="15"/>
      <c r="E91" s="26"/>
      <c r="F91" s="15"/>
      <c r="G91" s="15"/>
      <c r="H91" s="15"/>
      <c r="I91" s="34" t="str">
        <f t="shared" si="4"/>
        <v/>
      </c>
      <c r="J91" s="34" t="str">
        <f t="shared" si="5"/>
        <v/>
      </c>
      <c r="K91" s="38"/>
      <c r="L91" s="41" t="str">
        <f t="shared" si="6"/>
        <v/>
      </c>
      <c r="M91" s="68" t="str">
        <f t="shared" si="7"/>
        <v/>
      </c>
      <c r="N91" s="16"/>
      <c r="R91" s="15"/>
    </row>
    <row r="92" spans="2:18">
      <c r="B92" s="14"/>
      <c r="C92" s="15"/>
      <c r="D92" s="15"/>
      <c r="E92" s="26"/>
      <c r="F92" s="15"/>
      <c r="G92" s="15"/>
      <c r="H92" s="15"/>
      <c r="I92" s="34" t="str">
        <f t="shared" si="4"/>
        <v/>
      </c>
      <c r="J92" s="34" t="str">
        <f t="shared" si="5"/>
        <v/>
      </c>
      <c r="K92" s="38"/>
      <c r="L92" s="41" t="str">
        <f t="shared" si="6"/>
        <v/>
      </c>
      <c r="M92" s="68" t="str">
        <f t="shared" si="7"/>
        <v/>
      </c>
      <c r="N92" s="16"/>
      <c r="R92" s="26"/>
    </row>
    <row r="93" spans="2:18">
      <c r="B93" s="14"/>
      <c r="C93" s="15"/>
      <c r="D93" s="15"/>
      <c r="E93" s="26"/>
      <c r="F93" s="15"/>
      <c r="G93" s="15"/>
      <c r="H93" s="15"/>
      <c r="I93" s="34" t="str">
        <f t="shared" si="4"/>
        <v/>
      </c>
      <c r="J93" s="34" t="str">
        <f t="shared" si="5"/>
        <v/>
      </c>
      <c r="K93" s="38"/>
      <c r="L93" s="41" t="str">
        <f t="shared" si="6"/>
        <v/>
      </c>
      <c r="M93" s="68" t="str">
        <f t="shared" si="7"/>
        <v/>
      </c>
      <c r="N93" s="16"/>
      <c r="R93" s="15"/>
    </row>
    <row r="94" spans="2:18">
      <c r="B94" s="14"/>
      <c r="C94" s="15"/>
      <c r="D94" s="15"/>
      <c r="E94" s="26"/>
      <c r="F94" s="15"/>
      <c r="G94" s="15"/>
      <c r="H94" s="15"/>
      <c r="I94" s="34" t="str">
        <f t="shared" si="4"/>
        <v/>
      </c>
      <c r="J94" s="34" t="str">
        <f t="shared" si="5"/>
        <v/>
      </c>
      <c r="K94" s="38"/>
      <c r="L94" s="41" t="str">
        <f t="shared" si="6"/>
        <v/>
      </c>
      <c r="M94" s="68" t="str">
        <f t="shared" si="7"/>
        <v/>
      </c>
      <c r="N94" s="16"/>
      <c r="R94" s="26"/>
    </row>
    <row r="95" spans="2:18">
      <c r="B95" s="14"/>
      <c r="C95" s="15"/>
      <c r="D95" s="15"/>
      <c r="E95" s="26"/>
      <c r="F95" s="15"/>
      <c r="G95" s="15"/>
      <c r="H95" s="15"/>
      <c r="I95" s="34" t="str">
        <f t="shared" si="4"/>
        <v/>
      </c>
      <c r="J95" s="34" t="str">
        <f t="shared" si="5"/>
        <v/>
      </c>
      <c r="K95" s="38"/>
      <c r="L95" s="41" t="str">
        <f t="shared" si="6"/>
        <v/>
      </c>
      <c r="M95" s="68" t="str">
        <f t="shared" si="7"/>
        <v/>
      </c>
      <c r="N95" s="16"/>
      <c r="R95" s="15"/>
    </row>
    <row r="96" spans="2:18">
      <c r="B96" s="14"/>
      <c r="C96" s="15"/>
      <c r="D96" s="15"/>
      <c r="E96" s="26"/>
      <c r="F96" s="15"/>
      <c r="G96" s="15"/>
      <c r="H96" s="15"/>
      <c r="I96" s="34" t="str">
        <f t="shared" si="4"/>
        <v/>
      </c>
      <c r="J96" s="34" t="str">
        <f t="shared" si="5"/>
        <v/>
      </c>
      <c r="K96" s="38"/>
      <c r="L96" s="41" t="str">
        <f t="shared" si="6"/>
        <v/>
      </c>
      <c r="M96" s="68" t="str">
        <f t="shared" si="7"/>
        <v/>
      </c>
      <c r="N96" s="16"/>
      <c r="R96" s="26"/>
    </row>
    <row r="97" spans="2:18">
      <c r="B97" s="14"/>
      <c r="C97" s="15"/>
      <c r="D97" s="15"/>
      <c r="E97" s="26"/>
      <c r="F97" s="15"/>
      <c r="G97" s="15"/>
      <c r="H97" s="15"/>
      <c r="I97" s="34" t="str">
        <f t="shared" si="4"/>
        <v/>
      </c>
      <c r="J97" s="34" t="str">
        <f t="shared" si="5"/>
        <v/>
      </c>
      <c r="K97" s="38"/>
      <c r="L97" s="41" t="str">
        <f t="shared" si="6"/>
        <v/>
      </c>
      <c r="M97" s="68" t="str">
        <f t="shared" si="7"/>
        <v/>
      </c>
      <c r="N97" s="16"/>
      <c r="R97" s="15"/>
    </row>
    <row r="98" spans="2:18">
      <c r="B98" s="14"/>
      <c r="C98" s="15"/>
      <c r="D98" s="15"/>
      <c r="E98" s="26"/>
      <c r="F98" s="15"/>
      <c r="G98" s="15"/>
      <c r="H98" s="15"/>
      <c r="I98" s="34" t="str">
        <f t="shared" si="4"/>
        <v/>
      </c>
      <c r="J98" s="34" t="str">
        <f t="shared" si="5"/>
        <v/>
      </c>
      <c r="K98" s="38"/>
      <c r="L98" s="41" t="str">
        <f t="shared" si="6"/>
        <v/>
      </c>
      <c r="M98" s="68" t="str">
        <f t="shared" si="7"/>
        <v/>
      </c>
      <c r="N98" s="16"/>
      <c r="R98" s="26"/>
    </row>
    <row r="99" spans="2:18">
      <c r="B99" s="14"/>
      <c r="C99" s="15"/>
      <c r="D99" s="15"/>
      <c r="E99" s="26"/>
      <c r="F99" s="15"/>
      <c r="G99" s="15"/>
      <c r="H99" s="15"/>
      <c r="I99" s="34" t="str">
        <f t="shared" si="4"/>
        <v/>
      </c>
      <c r="J99" s="34" t="str">
        <f t="shared" si="5"/>
        <v/>
      </c>
      <c r="K99" s="38"/>
      <c r="L99" s="41" t="str">
        <f t="shared" si="6"/>
        <v/>
      </c>
      <c r="M99" s="68" t="str">
        <f t="shared" si="7"/>
        <v/>
      </c>
      <c r="N99" s="16"/>
      <c r="R99" s="15"/>
    </row>
    <row r="100" spans="2:18">
      <c r="B100" s="14"/>
      <c r="C100" s="15"/>
      <c r="D100" s="15"/>
      <c r="E100" s="26"/>
      <c r="F100" s="15"/>
      <c r="G100" s="15"/>
      <c r="H100" s="15"/>
      <c r="I100" s="34" t="str">
        <f t="shared" si="4"/>
        <v/>
      </c>
      <c r="J100" s="34" t="str">
        <f t="shared" si="5"/>
        <v/>
      </c>
      <c r="K100" s="38"/>
      <c r="L100" s="41" t="str">
        <f t="shared" si="6"/>
        <v/>
      </c>
      <c r="M100" s="68" t="str">
        <f t="shared" si="7"/>
        <v/>
      </c>
      <c r="N100" s="16"/>
      <c r="R100" s="26"/>
    </row>
    <row r="101" spans="2:18">
      <c r="B101" s="14"/>
      <c r="C101" s="15"/>
      <c r="D101" s="15"/>
      <c r="E101" s="26"/>
      <c r="F101" s="15"/>
      <c r="G101" s="15"/>
      <c r="H101" s="15"/>
      <c r="I101" s="34" t="str">
        <f t="shared" si="4"/>
        <v/>
      </c>
      <c r="J101" s="34" t="str">
        <f t="shared" si="5"/>
        <v/>
      </c>
      <c r="K101" s="38"/>
      <c r="L101" s="41" t="str">
        <f t="shared" si="6"/>
        <v/>
      </c>
      <c r="M101" s="68" t="str">
        <f t="shared" si="7"/>
        <v/>
      </c>
      <c r="N101" s="16"/>
      <c r="R101" s="15"/>
    </row>
    <row r="102" spans="2:18">
      <c r="B102" s="14"/>
      <c r="C102" s="15"/>
      <c r="D102" s="15"/>
      <c r="E102" s="26"/>
      <c r="F102" s="15"/>
      <c r="G102" s="15"/>
      <c r="H102" s="15"/>
      <c r="I102" s="34" t="str">
        <f t="shared" si="4"/>
        <v/>
      </c>
      <c r="J102" s="34" t="str">
        <f t="shared" si="5"/>
        <v/>
      </c>
      <c r="K102" s="38"/>
      <c r="L102" s="41" t="str">
        <f t="shared" si="6"/>
        <v/>
      </c>
      <c r="M102" s="68" t="str">
        <f t="shared" si="7"/>
        <v/>
      </c>
      <c r="N102" s="16"/>
      <c r="R102" s="26"/>
    </row>
    <row r="103" spans="2:18">
      <c r="B103" s="14"/>
      <c r="C103" s="15"/>
      <c r="D103" s="15"/>
      <c r="E103" s="26"/>
      <c r="F103" s="15"/>
      <c r="G103" s="15"/>
      <c r="H103" s="15"/>
      <c r="I103" s="34" t="str">
        <f t="shared" si="4"/>
        <v/>
      </c>
      <c r="J103" s="34" t="str">
        <f t="shared" si="5"/>
        <v/>
      </c>
      <c r="K103" s="38"/>
      <c r="L103" s="41" t="str">
        <f t="shared" si="6"/>
        <v/>
      </c>
      <c r="M103" s="68" t="str">
        <f t="shared" si="7"/>
        <v/>
      </c>
      <c r="N103" s="16"/>
      <c r="R103" s="15"/>
    </row>
    <row r="104" spans="2:18">
      <c r="B104" s="14"/>
      <c r="C104" s="15"/>
      <c r="D104" s="15"/>
      <c r="E104" s="26"/>
      <c r="F104" s="15"/>
      <c r="G104" s="15"/>
      <c r="H104" s="15"/>
      <c r="I104" s="34" t="str">
        <f t="shared" si="4"/>
        <v/>
      </c>
      <c r="J104" s="34" t="str">
        <f t="shared" si="5"/>
        <v/>
      </c>
      <c r="K104" s="38"/>
      <c r="L104" s="41" t="str">
        <f t="shared" si="6"/>
        <v/>
      </c>
      <c r="M104" s="68" t="str">
        <f t="shared" si="7"/>
        <v/>
      </c>
      <c r="N104" s="16"/>
      <c r="R104" s="26"/>
    </row>
    <row r="105" spans="2:18">
      <c r="B105" s="14"/>
      <c r="C105" s="15"/>
      <c r="D105" s="15"/>
      <c r="E105" s="26"/>
      <c r="F105" s="15"/>
      <c r="G105" s="15"/>
      <c r="H105" s="15"/>
      <c r="I105" s="34" t="str">
        <f t="shared" si="4"/>
        <v/>
      </c>
      <c r="J105" s="34" t="str">
        <f t="shared" si="5"/>
        <v/>
      </c>
      <c r="K105" s="38"/>
      <c r="L105" s="41" t="str">
        <f t="shared" si="6"/>
        <v/>
      </c>
      <c r="M105" s="68" t="str">
        <f t="shared" si="7"/>
        <v/>
      </c>
      <c r="N105" s="16"/>
      <c r="R105" s="15"/>
    </row>
    <row r="106" spans="2:18">
      <c r="B106" s="14"/>
      <c r="C106" s="15"/>
      <c r="D106" s="15"/>
      <c r="E106" s="26"/>
      <c r="F106" s="15"/>
      <c r="G106" s="15"/>
      <c r="H106" s="15"/>
      <c r="I106" s="34" t="str">
        <f t="shared" si="4"/>
        <v/>
      </c>
      <c r="J106" s="34" t="str">
        <f t="shared" si="5"/>
        <v/>
      </c>
      <c r="K106" s="38"/>
      <c r="L106" s="41" t="str">
        <f t="shared" si="6"/>
        <v/>
      </c>
      <c r="M106" s="68" t="str">
        <f t="shared" si="7"/>
        <v/>
      </c>
      <c r="N106" s="16"/>
      <c r="R106" s="26"/>
    </row>
    <row r="107" spans="2:18">
      <c r="B107" s="14"/>
      <c r="C107" s="15"/>
      <c r="D107" s="15"/>
      <c r="E107" s="26"/>
      <c r="F107" s="15"/>
      <c r="G107" s="15"/>
      <c r="H107" s="15"/>
      <c r="I107" s="34" t="str">
        <f t="shared" si="4"/>
        <v/>
      </c>
      <c r="J107" s="34" t="str">
        <f t="shared" si="5"/>
        <v/>
      </c>
      <c r="K107" s="38"/>
      <c r="L107" s="41" t="str">
        <f t="shared" si="6"/>
        <v/>
      </c>
      <c r="M107" s="68" t="str">
        <f t="shared" si="7"/>
        <v/>
      </c>
      <c r="N107" s="16"/>
      <c r="R107" s="15"/>
    </row>
    <row r="108" spans="2:18">
      <c r="B108" s="14"/>
      <c r="C108" s="15"/>
      <c r="D108" s="15"/>
      <c r="E108" s="26"/>
      <c r="F108" s="15"/>
      <c r="G108" s="15"/>
      <c r="H108" s="15"/>
      <c r="I108" s="34" t="str">
        <f t="shared" si="4"/>
        <v/>
      </c>
      <c r="J108" s="34" t="str">
        <f t="shared" si="5"/>
        <v/>
      </c>
      <c r="K108" s="38"/>
      <c r="L108" s="41" t="str">
        <f t="shared" si="6"/>
        <v/>
      </c>
      <c r="M108" s="68" t="str">
        <f t="shared" si="7"/>
        <v/>
      </c>
      <c r="N108" s="16"/>
      <c r="R108" s="26"/>
    </row>
    <row r="109" spans="2:18">
      <c r="B109" s="14"/>
      <c r="C109" s="15"/>
      <c r="D109" s="15"/>
      <c r="E109" s="26"/>
      <c r="F109" s="15"/>
      <c r="G109" s="15"/>
      <c r="H109" s="15"/>
      <c r="I109" s="34" t="str">
        <f t="shared" si="4"/>
        <v/>
      </c>
      <c r="J109" s="34" t="str">
        <f t="shared" si="5"/>
        <v/>
      </c>
      <c r="K109" s="38"/>
      <c r="L109" s="41" t="str">
        <f t="shared" si="6"/>
        <v/>
      </c>
      <c r="M109" s="68" t="str">
        <f t="shared" si="7"/>
        <v/>
      </c>
      <c r="N109" s="16"/>
      <c r="R109" s="15"/>
    </row>
    <row r="110" spans="2:18">
      <c r="B110" s="14"/>
      <c r="C110" s="15"/>
      <c r="D110" s="15"/>
      <c r="E110" s="26"/>
      <c r="F110" s="15"/>
      <c r="G110" s="15"/>
      <c r="H110" s="15"/>
      <c r="I110" s="34" t="str">
        <f t="shared" si="4"/>
        <v/>
      </c>
      <c r="J110" s="34" t="str">
        <f t="shared" si="5"/>
        <v/>
      </c>
      <c r="K110" s="38"/>
      <c r="L110" s="41" t="str">
        <f t="shared" si="6"/>
        <v/>
      </c>
      <c r="M110" s="68" t="str">
        <f t="shared" si="7"/>
        <v/>
      </c>
      <c r="N110" s="16"/>
      <c r="R110" s="26"/>
    </row>
    <row r="111" spans="2:18">
      <c r="B111" s="14"/>
      <c r="C111" s="15"/>
      <c r="D111" s="15"/>
      <c r="E111" s="26"/>
      <c r="F111" s="15"/>
      <c r="G111" s="15"/>
      <c r="H111" s="15"/>
      <c r="I111" s="34" t="str">
        <f t="shared" si="4"/>
        <v/>
      </c>
      <c r="J111" s="34" t="str">
        <f t="shared" si="5"/>
        <v/>
      </c>
      <c r="K111" s="38"/>
      <c r="L111" s="41" t="str">
        <f t="shared" si="6"/>
        <v/>
      </c>
      <c r="M111" s="68" t="str">
        <f t="shared" si="7"/>
        <v/>
      </c>
      <c r="N111" s="16"/>
      <c r="R111" s="15"/>
    </row>
    <row r="112" spans="2:18">
      <c r="B112" s="14"/>
      <c r="C112" s="15"/>
      <c r="D112" s="15"/>
      <c r="E112" s="26"/>
      <c r="F112" s="15"/>
      <c r="G112" s="15"/>
      <c r="H112" s="15"/>
      <c r="I112" s="34" t="str">
        <f t="shared" si="4"/>
        <v/>
      </c>
      <c r="J112" s="34" t="str">
        <f t="shared" si="5"/>
        <v/>
      </c>
      <c r="K112" s="38"/>
      <c r="L112" s="41" t="str">
        <f t="shared" si="6"/>
        <v/>
      </c>
      <c r="M112" s="68" t="str">
        <f t="shared" si="7"/>
        <v/>
      </c>
      <c r="N112" s="16"/>
      <c r="R112" s="26"/>
    </row>
    <row r="113" spans="2:18">
      <c r="B113" s="14"/>
      <c r="C113" s="15"/>
      <c r="D113" s="15"/>
      <c r="E113" s="26"/>
      <c r="F113" s="15"/>
      <c r="G113" s="15"/>
      <c r="H113" s="15"/>
      <c r="I113" s="34" t="str">
        <f t="shared" si="4"/>
        <v/>
      </c>
      <c r="J113" s="34" t="str">
        <f t="shared" si="5"/>
        <v/>
      </c>
      <c r="K113" s="38"/>
      <c r="L113" s="41" t="str">
        <f t="shared" si="6"/>
        <v/>
      </c>
      <c r="M113" s="68" t="str">
        <f t="shared" si="7"/>
        <v/>
      </c>
      <c r="N113" s="16"/>
      <c r="R113" s="15"/>
    </row>
    <row r="114" spans="2:18">
      <c r="B114" s="14"/>
      <c r="C114" s="15"/>
      <c r="D114" s="15"/>
      <c r="E114" s="26"/>
      <c r="F114" s="15"/>
      <c r="G114" s="15"/>
      <c r="H114" s="15"/>
      <c r="I114" s="34" t="str">
        <f t="shared" si="4"/>
        <v/>
      </c>
      <c r="J114" s="34" t="str">
        <f t="shared" si="5"/>
        <v/>
      </c>
      <c r="K114" s="38"/>
      <c r="L114" s="41" t="str">
        <f t="shared" si="6"/>
        <v/>
      </c>
      <c r="M114" s="68" t="str">
        <f t="shared" si="7"/>
        <v/>
      </c>
      <c r="N114" s="16"/>
      <c r="R114" s="26"/>
    </row>
    <row r="115" spans="2:18">
      <c r="B115" s="14"/>
      <c r="C115" s="15"/>
      <c r="D115" s="15"/>
      <c r="E115" s="26"/>
      <c r="F115" s="15"/>
      <c r="G115" s="15"/>
      <c r="H115" s="15"/>
      <c r="I115" s="34" t="str">
        <f t="shared" si="4"/>
        <v/>
      </c>
      <c r="J115" s="34" t="str">
        <f t="shared" si="5"/>
        <v/>
      </c>
      <c r="K115" s="38"/>
      <c r="L115" s="41" t="str">
        <f t="shared" si="6"/>
        <v/>
      </c>
      <c r="M115" s="68" t="str">
        <f t="shared" si="7"/>
        <v/>
      </c>
      <c r="N115" s="16"/>
      <c r="R115" s="15"/>
    </row>
    <row r="116" spans="2:18">
      <c r="B116" s="14"/>
      <c r="C116" s="15"/>
      <c r="D116" s="15"/>
      <c r="E116" s="26"/>
      <c r="F116" s="15"/>
      <c r="G116" s="15"/>
      <c r="H116" s="15"/>
      <c r="I116" s="34" t="str">
        <f t="shared" si="4"/>
        <v/>
      </c>
      <c r="J116" s="34" t="str">
        <f t="shared" si="5"/>
        <v/>
      </c>
      <c r="K116" s="38"/>
      <c r="L116" s="41" t="str">
        <f t="shared" si="6"/>
        <v/>
      </c>
      <c r="M116" s="68" t="str">
        <f t="shared" si="7"/>
        <v/>
      </c>
      <c r="N116" s="16"/>
      <c r="R116" s="26"/>
    </row>
    <row r="117" spans="2:18">
      <c r="B117" s="14"/>
      <c r="C117" s="15"/>
      <c r="D117" s="15"/>
      <c r="E117" s="26"/>
      <c r="F117" s="15"/>
      <c r="G117" s="15"/>
      <c r="H117" s="15"/>
      <c r="I117" s="34" t="str">
        <f t="shared" si="4"/>
        <v/>
      </c>
      <c r="J117" s="34" t="str">
        <f t="shared" si="5"/>
        <v/>
      </c>
      <c r="K117" s="38"/>
      <c r="L117" s="41" t="str">
        <f t="shared" si="6"/>
        <v/>
      </c>
      <c r="M117" s="68" t="str">
        <f t="shared" si="7"/>
        <v/>
      </c>
      <c r="N117" s="16"/>
      <c r="R117" s="15"/>
    </row>
    <row r="118" spans="2:18">
      <c r="B118" s="14"/>
      <c r="C118" s="15"/>
      <c r="D118" s="15"/>
      <c r="E118" s="26"/>
      <c r="F118" s="15"/>
      <c r="G118" s="15"/>
      <c r="H118" s="15"/>
      <c r="I118" s="34" t="str">
        <f t="shared" si="4"/>
        <v/>
      </c>
      <c r="J118" s="34" t="str">
        <f t="shared" si="5"/>
        <v/>
      </c>
      <c r="K118" s="38"/>
      <c r="L118" s="41" t="str">
        <f t="shared" si="6"/>
        <v/>
      </c>
      <c r="M118" s="68" t="str">
        <f t="shared" si="7"/>
        <v/>
      </c>
      <c r="N118" s="16"/>
      <c r="R118" s="26"/>
    </row>
    <row r="119" spans="2:18">
      <c r="B119" s="14"/>
      <c r="C119" s="15"/>
      <c r="D119" s="15"/>
      <c r="E119" s="26"/>
      <c r="F119" s="15"/>
      <c r="G119" s="15"/>
      <c r="H119" s="15"/>
      <c r="I119" s="34" t="str">
        <f t="shared" si="4"/>
        <v/>
      </c>
      <c r="J119" s="34" t="str">
        <f t="shared" si="5"/>
        <v/>
      </c>
      <c r="K119" s="38"/>
      <c r="L119" s="41" t="str">
        <f t="shared" si="6"/>
        <v/>
      </c>
      <c r="M119" s="68" t="str">
        <f t="shared" si="7"/>
        <v/>
      </c>
      <c r="N119" s="16"/>
      <c r="R119" s="15"/>
    </row>
    <row r="120" spans="2:18">
      <c r="B120" s="14"/>
      <c r="C120" s="15"/>
      <c r="D120" s="15"/>
      <c r="E120" s="26"/>
      <c r="F120" s="15"/>
      <c r="G120" s="15"/>
      <c r="H120" s="15"/>
      <c r="I120" s="34" t="str">
        <f t="shared" si="4"/>
        <v/>
      </c>
      <c r="J120" s="34" t="str">
        <f t="shared" si="5"/>
        <v/>
      </c>
      <c r="K120" s="38"/>
      <c r="L120" s="41" t="str">
        <f t="shared" si="6"/>
        <v/>
      </c>
      <c r="M120" s="68" t="str">
        <f t="shared" si="7"/>
        <v/>
      </c>
      <c r="N120" s="16"/>
      <c r="R120" s="26"/>
    </row>
    <row r="121" spans="2:18">
      <c r="B121" s="14"/>
      <c r="C121" s="15"/>
      <c r="D121" s="15"/>
      <c r="E121" s="26"/>
      <c r="F121" s="15"/>
      <c r="G121" s="15"/>
      <c r="H121" s="15"/>
      <c r="I121" s="34" t="str">
        <f t="shared" si="4"/>
        <v/>
      </c>
      <c r="J121" s="34" t="str">
        <f t="shared" si="5"/>
        <v/>
      </c>
      <c r="K121" s="38"/>
      <c r="L121" s="41" t="str">
        <f t="shared" si="6"/>
        <v/>
      </c>
      <c r="M121" s="68" t="str">
        <f t="shared" si="7"/>
        <v/>
      </c>
      <c r="N121" s="16"/>
      <c r="R121" s="15"/>
    </row>
    <row r="122" spans="2:18">
      <c r="B122" s="14"/>
      <c r="C122" s="15"/>
      <c r="D122" s="15"/>
      <c r="E122" s="26"/>
      <c r="F122" s="15"/>
      <c r="G122" s="15"/>
      <c r="H122" s="15"/>
      <c r="I122" s="34" t="str">
        <f t="shared" si="4"/>
        <v/>
      </c>
      <c r="J122" s="34" t="str">
        <f t="shared" si="5"/>
        <v/>
      </c>
      <c r="K122" s="38"/>
      <c r="L122" s="41" t="str">
        <f t="shared" si="6"/>
        <v/>
      </c>
      <c r="M122" s="68" t="str">
        <f t="shared" si="7"/>
        <v/>
      </c>
      <c r="N122" s="16"/>
      <c r="R122" s="26"/>
    </row>
    <row r="123" spans="2:18">
      <c r="B123" s="14"/>
      <c r="C123" s="15"/>
      <c r="D123" s="15"/>
      <c r="E123" s="26"/>
      <c r="F123" s="15"/>
      <c r="G123" s="15"/>
      <c r="H123" s="15"/>
      <c r="I123" s="34" t="str">
        <f t="shared" si="4"/>
        <v/>
      </c>
      <c r="J123" s="34" t="str">
        <f t="shared" si="5"/>
        <v/>
      </c>
      <c r="K123" s="38"/>
      <c r="L123" s="41" t="str">
        <f t="shared" si="6"/>
        <v/>
      </c>
      <c r="M123" s="68" t="str">
        <f t="shared" si="7"/>
        <v/>
      </c>
      <c r="N123" s="16"/>
      <c r="R123" s="15"/>
    </row>
    <row r="124" spans="2:18">
      <c r="B124" s="14"/>
      <c r="C124" s="15"/>
      <c r="D124" s="15"/>
      <c r="E124" s="26"/>
      <c r="F124" s="15"/>
      <c r="G124" s="15"/>
      <c r="H124" s="15"/>
      <c r="I124" s="34" t="str">
        <f t="shared" si="4"/>
        <v/>
      </c>
      <c r="J124" s="34" t="str">
        <f t="shared" si="5"/>
        <v/>
      </c>
      <c r="K124" s="38"/>
      <c r="L124" s="41" t="str">
        <f t="shared" si="6"/>
        <v/>
      </c>
      <c r="M124" s="68" t="str">
        <f t="shared" si="7"/>
        <v/>
      </c>
      <c r="N124" s="16"/>
      <c r="R124" s="26"/>
    </row>
    <row r="125" spans="2:18">
      <c r="B125" s="14"/>
      <c r="C125" s="15"/>
      <c r="D125" s="15"/>
      <c r="E125" s="26"/>
      <c r="F125" s="15"/>
      <c r="G125" s="15"/>
      <c r="H125" s="15"/>
      <c r="I125" s="34" t="str">
        <f t="shared" si="4"/>
        <v/>
      </c>
      <c r="J125" s="34" t="str">
        <f t="shared" si="5"/>
        <v/>
      </c>
      <c r="K125" s="38"/>
      <c r="L125" s="41" t="str">
        <f t="shared" si="6"/>
        <v/>
      </c>
      <c r="M125" s="68" t="str">
        <f t="shared" si="7"/>
        <v/>
      </c>
      <c r="N125" s="16"/>
      <c r="R125" s="15"/>
    </row>
    <row r="126" spans="2:18">
      <c r="B126" s="14"/>
      <c r="C126" s="15"/>
      <c r="D126" s="15"/>
      <c r="E126" s="26"/>
      <c r="F126" s="15"/>
      <c r="G126" s="15"/>
      <c r="H126" s="15"/>
      <c r="I126" s="34" t="str">
        <f t="shared" si="4"/>
        <v/>
      </c>
      <c r="J126" s="34" t="str">
        <f t="shared" si="5"/>
        <v/>
      </c>
      <c r="K126" s="38"/>
      <c r="L126" s="41" t="str">
        <f t="shared" si="6"/>
        <v/>
      </c>
      <c r="M126" s="68" t="str">
        <f t="shared" si="7"/>
        <v/>
      </c>
      <c r="N126" s="16"/>
      <c r="R126" s="26"/>
    </row>
    <row r="127" spans="2:18">
      <c r="B127" s="14"/>
      <c r="C127" s="15"/>
      <c r="D127" s="15"/>
      <c r="E127" s="26"/>
      <c r="F127" s="15"/>
      <c r="G127" s="15"/>
      <c r="H127" s="15"/>
      <c r="I127" s="34" t="str">
        <f t="shared" si="4"/>
        <v/>
      </c>
      <c r="J127" s="34" t="str">
        <f t="shared" si="5"/>
        <v/>
      </c>
      <c r="K127" s="38"/>
      <c r="L127" s="41" t="str">
        <f t="shared" si="6"/>
        <v/>
      </c>
      <c r="M127" s="68" t="str">
        <f t="shared" si="7"/>
        <v/>
      </c>
      <c r="N127" s="16"/>
      <c r="R127" s="15"/>
    </row>
    <row r="128" spans="2:18">
      <c r="B128" s="14"/>
      <c r="C128" s="15"/>
      <c r="D128" s="15"/>
      <c r="E128" s="26"/>
      <c r="F128" s="15"/>
      <c r="G128" s="15"/>
      <c r="H128" s="15"/>
      <c r="I128" s="34" t="str">
        <f t="shared" si="4"/>
        <v/>
      </c>
      <c r="J128" s="34" t="str">
        <f t="shared" si="5"/>
        <v/>
      </c>
      <c r="K128" s="38"/>
      <c r="L128" s="41" t="str">
        <f t="shared" si="6"/>
        <v/>
      </c>
      <c r="M128" s="68" t="str">
        <f t="shared" si="7"/>
        <v/>
      </c>
      <c r="N128" s="16"/>
      <c r="R128" s="26"/>
    </row>
    <row r="129" spans="2:18">
      <c r="B129" s="14"/>
      <c r="C129" s="15"/>
      <c r="D129" s="15"/>
      <c r="E129" s="26"/>
      <c r="F129" s="15"/>
      <c r="G129" s="15"/>
      <c r="H129" s="15"/>
      <c r="I129" s="34" t="str">
        <f t="shared" si="4"/>
        <v/>
      </c>
      <c r="J129" s="34" t="str">
        <f t="shared" si="5"/>
        <v/>
      </c>
      <c r="K129" s="38"/>
      <c r="L129" s="41" t="str">
        <f t="shared" si="6"/>
        <v/>
      </c>
      <c r="M129" s="68" t="str">
        <f t="shared" si="7"/>
        <v/>
      </c>
      <c r="N129" s="16"/>
      <c r="R129" s="15"/>
    </row>
    <row r="130" spans="2:18">
      <c r="B130" s="14"/>
      <c r="C130" s="15"/>
      <c r="D130" s="15"/>
      <c r="E130" s="26"/>
      <c r="F130" s="15"/>
      <c r="G130" s="15"/>
      <c r="H130" s="15"/>
      <c r="I130" s="34" t="str">
        <f t="shared" si="4"/>
        <v/>
      </c>
      <c r="J130" s="34" t="str">
        <f t="shared" si="5"/>
        <v/>
      </c>
      <c r="K130" s="38"/>
      <c r="L130" s="41" t="str">
        <f t="shared" si="6"/>
        <v/>
      </c>
      <c r="M130" s="68" t="str">
        <f t="shared" si="7"/>
        <v/>
      </c>
      <c r="N130" s="16"/>
      <c r="R130" s="26"/>
    </row>
    <row r="131" spans="2:18">
      <c r="B131" s="14"/>
      <c r="C131" s="15"/>
      <c r="D131" s="15"/>
      <c r="E131" s="26"/>
      <c r="F131" s="15"/>
      <c r="G131" s="15"/>
      <c r="H131" s="15"/>
      <c r="I131" s="34" t="str">
        <f t="shared" si="4"/>
        <v/>
      </c>
      <c r="J131" s="34" t="str">
        <f t="shared" si="5"/>
        <v/>
      </c>
      <c r="K131" s="38"/>
      <c r="L131" s="41" t="str">
        <f t="shared" si="6"/>
        <v/>
      </c>
      <c r="M131" s="68" t="str">
        <f t="shared" si="7"/>
        <v/>
      </c>
      <c r="N131" s="16"/>
      <c r="R131" s="15"/>
    </row>
    <row r="132" spans="2:18">
      <c r="B132" s="14"/>
      <c r="C132" s="15"/>
      <c r="D132" s="15"/>
      <c r="E132" s="26"/>
      <c r="F132" s="15"/>
      <c r="G132" s="15"/>
      <c r="H132" s="15"/>
      <c r="I132" s="34" t="str">
        <f t="shared" si="4"/>
        <v/>
      </c>
      <c r="J132" s="34" t="str">
        <f t="shared" si="5"/>
        <v/>
      </c>
      <c r="K132" s="38"/>
      <c r="L132" s="41" t="str">
        <f t="shared" si="6"/>
        <v/>
      </c>
      <c r="M132" s="68" t="str">
        <f t="shared" si="7"/>
        <v/>
      </c>
      <c r="R132" s="26"/>
    </row>
    <row r="133" spans="2:18">
      <c r="B133" s="14"/>
      <c r="C133" s="15"/>
      <c r="D133" s="15"/>
      <c r="E133" s="26"/>
      <c r="F133" s="15"/>
      <c r="I133" s="34" t="str">
        <f t="shared" si="4"/>
        <v/>
      </c>
      <c r="J133" s="34" t="str">
        <f t="shared" si="5"/>
        <v/>
      </c>
      <c r="K133" s="38"/>
      <c r="L133" s="41" t="str">
        <f t="shared" si="6"/>
        <v/>
      </c>
      <c r="M133" s="68" t="str">
        <f t="shared" si="7"/>
        <v/>
      </c>
      <c r="N133" s="26"/>
    </row>
    <row r="134" spans="2:18">
      <c r="B134" s="14"/>
      <c r="I134" s="34"/>
      <c r="J134" s="35"/>
      <c r="K134" s="38"/>
      <c r="L134" s="41"/>
      <c r="M134" s="41"/>
      <c r="N134" s="26"/>
    </row>
    <row r="135" spans="2:18">
      <c r="B135" s="14"/>
      <c r="I135" s="34"/>
      <c r="J135" s="35"/>
      <c r="K135" s="38"/>
      <c r="L135" s="41"/>
      <c r="M135" s="41"/>
      <c r="N135" s="26"/>
    </row>
    <row r="136" spans="2:18">
      <c r="B136" s="14"/>
      <c r="I136" s="34"/>
      <c r="J136" s="35"/>
      <c r="K136" s="38"/>
      <c r="L136" s="41"/>
      <c r="M136" s="41"/>
      <c r="N136" s="26"/>
    </row>
    <row r="137" spans="2:18">
      <c r="B137" s="14"/>
      <c r="I137" s="34"/>
      <c r="J137" s="35"/>
      <c r="K137" s="38"/>
      <c r="L137" s="41"/>
      <c r="M137" s="41"/>
      <c r="N137" s="26"/>
    </row>
    <row r="138" spans="2:18">
      <c r="B138" s="14"/>
      <c r="I138" s="34"/>
      <c r="J138" s="35"/>
      <c r="K138" s="38"/>
      <c r="L138" s="41"/>
      <c r="M138" s="41"/>
      <c r="N138" s="26"/>
    </row>
    <row r="139" spans="2:18">
      <c r="I139" s="34"/>
      <c r="J139" s="35"/>
    </row>
    <row r="140" spans="2:18">
      <c r="I140" s="34"/>
      <c r="J140" s="35"/>
    </row>
    <row r="141" spans="2:18">
      <c r="I141" s="34"/>
      <c r="J141" s="35"/>
    </row>
    <row r="142" spans="2:18">
      <c r="I142" s="34"/>
      <c r="J142" s="35"/>
    </row>
    <row r="143" spans="2:18">
      <c r="I143" s="34"/>
      <c r="J143" s="35"/>
    </row>
    <row r="144" spans="2:18">
      <c r="I144" s="34"/>
      <c r="J144" s="35"/>
    </row>
    <row r="145" spans="9:10">
      <c r="I145" s="34"/>
      <c r="J145" s="35"/>
    </row>
    <row r="146" spans="9:10">
      <c r="I146" s="34"/>
      <c r="J146" s="35"/>
    </row>
    <row r="147" spans="9:10">
      <c r="I147" s="34"/>
      <c r="J147" s="35"/>
    </row>
    <row r="148" spans="9:10">
      <c r="I148" s="34"/>
      <c r="J148" s="35"/>
    </row>
    <row r="149" spans="9:10">
      <c r="I149" s="34"/>
      <c r="J149" s="35"/>
    </row>
    <row r="150" spans="9:10">
      <c r="I150" s="34"/>
      <c r="J150" s="35"/>
    </row>
    <row r="151" spans="9:10">
      <c r="I151" s="34"/>
      <c r="J151" s="35"/>
    </row>
    <row r="152" spans="9:10">
      <c r="I152" s="34"/>
    </row>
    <row r="153" spans="9:10">
      <c r="I153" s="34"/>
    </row>
    <row r="154" spans="9:10">
      <c r="I154" s="34"/>
    </row>
  </sheetData>
  <hyperlinks>
    <hyperlink ref="C3" r:id="rId1"/>
    <hyperlink ref="D3" r:id="rId2"/>
    <hyperlink ref="E3" r:id="rId3"/>
    <hyperlink ref="F3" r:id="rId4"/>
  </hyperlinks>
  <pageMargins left="0.7" right="0.7" top="0.75" bottom="0.75" header="0.3" footer="0.3"/>
  <pageSetup orientation="portrait"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69"/>
  <sheetViews>
    <sheetView zoomScale="85" zoomScaleNormal="85" workbookViewId="0"/>
  </sheetViews>
  <sheetFormatPr defaultColWidth="12" defaultRowHeight="15"/>
  <cols>
    <col min="1" max="1" width="12" style="29"/>
    <col min="2" max="2" width="12" style="26"/>
    <col min="3" max="3" width="12" style="29"/>
    <col min="4" max="4" width="12" style="26"/>
    <col min="5" max="5" width="12" style="29"/>
    <col min="6" max="6" width="12" style="26"/>
    <col min="7" max="7" width="12" style="29"/>
    <col min="8" max="8" width="12" style="26"/>
  </cols>
  <sheetData>
    <row r="1" spans="1:7">
      <c r="A1" s="29" t="s">
        <v>139</v>
      </c>
    </row>
    <row r="2" spans="1:7">
      <c r="A2" s="29" t="s">
        <v>141</v>
      </c>
      <c r="B2" s="26" t="s">
        <v>138</v>
      </c>
      <c r="F2" s="43">
        <v>39814</v>
      </c>
    </row>
    <row r="3" spans="1:7">
      <c r="A3" s="29" t="s">
        <v>137</v>
      </c>
      <c r="B3" s="26" t="s">
        <v>136</v>
      </c>
    </row>
    <row r="4" spans="1:7">
      <c r="A4" s="29">
        <f>$F$2</f>
        <v>39814</v>
      </c>
      <c r="B4" s="26" t="s">
        <v>171</v>
      </c>
    </row>
    <row r="5" spans="1:7">
      <c r="A5" s="30" t="s">
        <v>140</v>
      </c>
      <c r="B5" s="31"/>
      <c r="C5" s="30"/>
      <c r="E5" s="30"/>
      <c r="G5" s="30"/>
    </row>
    <row r="6" spans="1:7">
      <c r="A6" s="29" t="s">
        <v>142</v>
      </c>
    </row>
    <row r="7" spans="1:7">
      <c r="A7" s="29" t="s">
        <v>143</v>
      </c>
      <c r="B7" s="26" t="s">
        <v>144</v>
      </c>
    </row>
    <row r="8" spans="1:7">
      <c r="A8" s="29">
        <v>39814</v>
      </c>
      <c r="B8" s="26">
        <v>288.7</v>
      </c>
    </row>
    <row r="9" spans="1:7">
      <c r="A9" s="29">
        <v>39904</v>
      </c>
      <c r="B9" s="26">
        <v>294.7</v>
      </c>
    </row>
    <row r="10" spans="1:7">
      <c r="A10" s="29">
        <v>39995</v>
      </c>
      <c r="B10" s="26">
        <v>293.3</v>
      </c>
    </row>
    <row r="11" spans="1:7">
      <c r="A11" s="29">
        <v>40087</v>
      </c>
      <c r="B11" s="26">
        <v>282.39999999999998</v>
      </c>
    </row>
    <row r="12" spans="1:7">
      <c r="A12" s="29">
        <v>40179</v>
      </c>
      <c r="B12" s="26">
        <v>273.60000000000002</v>
      </c>
    </row>
    <row r="13" spans="1:7">
      <c r="A13" s="29">
        <v>40269</v>
      </c>
      <c r="B13" s="26">
        <v>284.2</v>
      </c>
    </row>
    <row r="14" spans="1:7">
      <c r="A14" s="29">
        <v>40360</v>
      </c>
      <c r="B14" s="26">
        <v>285.60000000000002</v>
      </c>
    </row>
    <row r="15" spans="1:7">
      <c r="A15" s="29">
        <v>40452</v>
      </c>
      <c r="B15" s="26">
        <v>274.5</v>
      </c>
    </row>
    <row r="16" spans="1:7">
      <c r="A16" s="29">
        <v>40544</v>
      </c>
      <c r="B16" s="26">
        <v>265.7</v>
      </c>
    </row>
    <row r="17" spans="1:2">
      <c r="A17" s="29">
        <v>40634</v>
      </c>
      <c r="B17" s="26">
        <v>261.39999999999998</v>
      </c>
    </row>
    <row r="18" spans="1:2">
      <c r="A18" s="29">
        <v>40725</v>
      </c>
      <c r="B18" s="26">
        <v>258.60000000000002</v>
      </c>
    </row>
    <row r="19" spans="1:2">
      <c r="A19" s="29">
        <v>40817</v>
      </c>
      <c r="B19" s="26">
        <v>257.89999999999998</v>
      </c>
    </row>
    <row r="20" spans="1:2">
      <c r="A20" s="29">
        <v>40909</v>
      </c>
      <c r="B20" s="26">
        <v>249.2</v>
      </c>
    </row>
    <row r="21" spans="1:2">
      <c r="A21" s="29">
        <v>41000</v>
      </c>
      <c r="B21" s="26">
        <v>247.1</v>
      </c>
    </row>
    <row r="22" spans="1:2">
      <c r="A22" s="29">
        <v>41091</v>
      </c>
      <c r="B22" s="26">
        <v>240.5</v>
      </c>
    </row>
    <row r="23" spans="1:2">
      <c r="A23" s="29">
        <v>41183</v>
      </c>
      <c r="B23" s="26">
        <v>233.4</v>
      </c>
    </row>
    <row r="24" spans="1:2">
      <c r="A24" s="29">
        <v>41275</v>
      </c>
      <c r="B24" s="26">
        <v>228.6</v>
      </c>
    </row>
    <row r="25" spans="1:2">
      <c r="A25" s="29">
        <v>41365</v>
      </c>
      <c r="B25" s="26">
        <v>233.7</v>
      </c>
    </row>
    <row r="26" spans="1:2">
      <c r="A26" s="29">
        <v>41456</v>
      </c>
      <c r="B26" s="26">
        <v>233</v>
      </c>
    </row>
    <row r="27" spans="1:2">
      <c r="A27" s="29">
        <v>41548</v>
      </c>
      <c r="B27" s="26">
        <v>231.2</v>
      </c>
    </row>
    <row r="28" spans="1:2">
      <c r="A28" s="29">
        <v>41640</v>
      </c>
      <c r="B28" s="26">
        <v>223.6</v>
      </c>
    </row>
    <row r="29" spans="1:2">
      <c r="A29" s="29">
        <v>41730</v>
      </c>
      <c r="B29" s="26">
        <v>232.1</v>
      </c>
    </row>
    <row r="46" spans="1:2">
      <c r="A46" s="43"/>
      <c r="B46" s="35"/>
    </row>
    <row r="47" spans="1:2">
      <c r="A47" s="43"/>
      <c r="B47" s="35"/>
    </row>
    <row r="48" spans="1:2">
      <c r="A48" s="43"/>
      <c r="B48" s="35"/>
    </row>
    <row r="49" spans="1:2">
      <c r="A49" s="43"/>
      <c r="B49" s="35"/>
    </row>
    <row r="50" spans="1:2">
      <c r="A50" s="43"/>
      <c r="B50" s="35"/>
    </row>
    <row r="51" spans="1:2">
      <c r="A51" s="43"/>
      <c r="B51" s="35"/>
    </row>
    <row r="52" spans="1:2">
      <c r="A52" s="43"/>
      <c r="B52" s="35"/>
    </row>
    <row r="53" spans="1:2">
      <c r="A53" s="43"/>
      <c r="B53" s="35"/>
    </row>
    <row r="54" spans="1:2">
      <c r="A54" s="43"/>
      <c r="B54" s="35"/>
    </row>
    <row r="55" spans="1:2">
      <c r="A55" s="43"/>
      <c r="B55" s="35"/>
    </row>
    <row r="56" spans="1:2">
      <c r="A56" s="43"/>
      <c r="B56" s="35"/>
    </row>
    <row r="57" spans="1:2">
      <c r="A57" s="43"/>
      <c r="B57" s="35"/>
    </row>
    <row r="58" spans="1:2">
      <c r="A58" s="43"/>
      <c r="B58" s="35"/>
    </row>
    <row r="59" spans="1:2">
      <c r="A59" s="43"/>
      <c r="B59" s="35"/>
    </row>
    <row r="60" spans="1:2">
      <c r="A60" s="43"/>
      <c r="B60" s="35"/>
    </row>
    <row r="61" spans="1:2">
      <c r="A61" s="43"/>
      <c r="B61" s="35"/>
    </row>
    <row r="62" spans="1:2">
      <c r="A62" s="43"/>
      <c r="B62" s="35"/>
    </row>
    <row r="63" spans="1:2">
      <c r="A63" s="43"/>
      <c r="B63" s="35"/>
    </row>
    <row r="64" spans="1:2">
      <c r="A64" s="43"/>
      <c r="B64" s="35"/>
    </row>
    <row r="65" spans="1:2">
      <c r="A65" s="43"/>
      <c r="B65" s="35"/>
    </row>
    <row r="66" spans="1:2">
      <c r="A66" s="43"/>
      <c r="B66" s="35"/>
    </row>
    <row r="67" spans="1:2">
      <c r="A67" s="43"/>
      <c r="B67" s="35"/>
    </row>
    <row r="68" spans="1:2">
      <c r="A68" s="59"/>
      <c r="B68" s="38"/>
    </row>
    <row r="69" spans="1:2">
      <c r="A69" s="59"/>
      <c r="B69" s="38"/>
    </row>
  </sheetData>
  <hyperlinks>
    <hyperlink ref="A5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I60"/>
  <sheetViews>
    <sheetView topLeftCell="A22" zoomScale="85" zoomScaleNormal="85" workbookViewId="0">
      <selection activeCell="G56" sqref="G56"/>
    </sheetView>
  </sheetViews>
  <sheetFormatPr defaultRowHeight="15"/>
  <cols>
    <col min="1" max="1" width="10.7109375" style="12" bestFit="1" customWidth="1"/>
    <col min="2" max="2" width="9.140625" style="12"/>
    <col min="3" max="4" width="16.85546875" bestFit="1" customWidth="1"/>
    <col min="5" max="5" width="17.5703125" bestFit="1" customWidth="1"/>
    <col min="6" max="6" width="17" bestFit="1" customWidth="1"/>
    <col min="7" max="7" width="9.140625" style="22"/>
  </cols>
  <sheetData>
    <row r="2" spans="1:9">
      <c r="A2" s="25" t="s">
        <v>343</v>
      </c>
      <c r="B2" s="13" t="s">
        <v>0</v>
      </c>
      <c r="C2" s="36" t="s">
        <v>156</v>
      </c>
      <c r="D2" s="36" t="s">
        <v>157</v>
      </c>
      <c r="E2" s="36" t="s">
        <v>158</v>
      </c>
      <c r="F2" s="36" t="s">
        <v>159</v>
      </c>
    </row>
    <row r="3" spans="1:9">
      <c r="A3" s="12" t="s">
        <v>7</v>
      </c>
      <c r="C3" t="s">
        <v>163</v>
      </c>
      <c r="D3" t="s">
        <v>164</v>
      </c>
      <c r="E3" t="s">
        <v>165</v>
      </c>
      <c r="F3" t="s">
        <v>166</v>
      </c>
    </row>
    <row r="4" spans="1:9">
      <c r="A4" s="12" t="s">
        <v>22</v>
      </c>
      <c r="C4" t="s">
        <v>162</v>
      </c>
      <c r="D4" t="s">
        <v>162</v>
      </c>
      <c r="E4" t="s">
        <v>162</v>
      </c>
      <c r="F4" t="s">
        <v>162</v>
      </c>
      <c r="G4" s="22" t="s">
        <v>167</v>
      </c>
      <c r="I4" t="s">
        <v>169</v>
      </c>
    </row>
    <row r="5" spans="1:9">
      <c r="A5" s="12" t="s">
        <v>26</v>
      </c>
      <c r="C5" t="s">
        <v>311</v>
      </c>
      <c r="D5" t="s">
        <v>311</v>
      </c>
      <c r="E5" t="s">
        <v>311</v>
      </c>
      <c r="F5" t="s">
        <v>311</v>
      </c>
      <c r="H5" s="61" t="s">
        <v>168</v>
      </c>
    </row>
    <row r="6" spans="1:9">
      <c r="A6" s="12" t="s">
        <v>16</v>
      </c>
      <c r="B6" s="14"/>
      <c r="C6" s="15" t="s">
        <v>161</v>
      </c>
      <c r="D6" s="15" t="s">
        <v>161</v>
      </c>
      <c r="E6" s="15" t="s">
        <v>161</v>
      </c>
      <c r="F6" t="s">
        <v>161</v>
      </c>
    </row>
    <row r="7" spans="1:9">
      <c r="A7" s="12" t="s">
        <v>19</v>
      </c>
      <c r="B7" s="14"/>
      <c r="C7" s="15" t="s">
        <v>310</v>
      </c>
      <c r="D7" s="15" t="s">
        <v>310</v>
      </c>
      <c r="E7" s="15" t="s">
        <v>310</v>
      </c>
      <c r="F7" t="s">
        <v>310</v>
      </c>
    </row>
    <row r="8" spans="1:9">
      <c r="A8" s="12" t="s">
        <v>342</v>
      </c>
      <c r="B8" s="14">
        <v>37437</v>
      </c>
      <c r="C8" s="15">
        <v>61824</v>
      </c>
      <c r="D8" s="15">
        <v>56137</v>
      </c>
      <c r="E8" s="15">
        <v>10523</v>
      </c>
      <c r="F8" s="15">
        <v>58036</v>
      </c>
      <c r="G8" s="44">
        <f t="shared" ref="G8:G60" si="0">SUM(C8:F8)/1000</f>
        <v>186.52</v>
      </c>
    </row>
    <row r="9" spans="1:9">
      <c r="A9" s="12" t="s">
        <v>344</v>
      </c>
      <c r="B9" s="14">
        <v>37529</v>
      </c>
      <c r="C9" s="15">
        <v>51833</v>
      </c>
      <c r="D9" s="15">
        <v>46454</v>
      </c>
      <c r="E9" s="15">
        <v>6550</v>
      </c>
      <c r="F9" s="15">
        <v>56374</v>
      </c>
      <c r="G9" s="44">
        <f t="shared" si="0"/>
        <v>161.21100000000001</v>
      </c>
    </row>
    <row r="10" spans="1:9">
      <c r="A10" s="12" t="s">
        <v>345</v>
      </c>
      <c r="B10" s="14">
        <v>37621</v>
      </c>
      <c r="C10" s="15">
        <v>100702</v>
      </c>
      <c r="D10" s="15">
        <v>47128</v>
      </c>
      <c r="E10" s="15">
        <v>6089</v>
      </c>
      <c r="F10" s="15">
        <v>57685</v>
      </c>
      <c r="G10" s="44">
        <f t="shared" si="0"/>
        <v>211.60400000000001</v>
      </c>
    </row>
    <row r="11" spans="1:9">
      <c r="A11" s="12" t="s">
        <v>346</v>
      </c>
      <c r="B11" s="14">
        <v>37711</v>
      </c>
      <c r="C11" s="15">
        <v>77737</v>
      </c>
      <c r="D11" s="15">
        <v>44948</v>
      </c>
      <c r="E11" s="15">
        <v>7152</v>
      </c>
      <c r="F11" s="15">
        <v>56973</v>
      </c>
      <c r="G11" s="44">
        <f t="shared" si="0"/>
        <v>186.81</v>
      </c>
    </row>
    <row r="12" spans="1:9">
      <c r="A12" s="12" t="s">
        <v>347</v>
      </c>
      <c r="B12" s="14">
        <v>37802</v>
      </c>
      <c r="C12" s="15">
        <v>56873</v>
      </c>
      <c r="D12" s="15">
        <v>54381</v>
      </c>
      <c r="E12" s="15">
        <v>11148</v>
      </c>
      <c r="F12" s="15">
        <v>60554</v>
      </c>
      <c r="G12" s="44">
        <f t="shared" si="0"/>
        <v>182.95599999999999</v>
      </c>
      <c r="H12">
        <f>G12/G8-1</f>
        <v>-1.9107870469654897E-2</v>
      </c>
    </row>
    <row r="13" spans="1:9">
      <c r="A13" s="12" t="s">
        <v>348</v>
      </c>
      <c r="B13" s="14">
        <v>37894</v>
      </c>
      <c r="C13" s="15">
        <v>60429</v>
      </c>
      <c r="D13" s="15">
        <v>48999</v>
      </c>
      <c r="E13" s="15">
        <v>7389</v>
      </c>
      <c r="F13" s="15">
        <v>58881</v>
      </c>
      <c r="G13" s="44">
        <f t="shared" si="0"/>
        <v>175.69800000000001</v>
      </c>
      <c r="H13" s="23">
        <f t="shared" ref="H13:H56" si="1">G13/G9-1</f>
        <v>8.9863594915979617E-2</v>
      </c>
    </row>
    <row r="14" spans="1:9">
      <c r="A14" s="12" t="s">
        <v>349</v>
      </c>
      <c r="B14" s="14">
        <v>37986</v>
      </c>
      <c r="C14" s="15">
        <v>108519</v>
      </c>
      <c r="D14" s="15">
        <v>50757</v>
      </c>
      <c r="E14" s="15">
        <v>7002</v>
      </c>
      <c r="F14" s="15">
        <v>60025</v>
      </c>
      <c r="G14" s="44">
        <f t="shared" si="0"/>
        <v>226.303</v>
      </c>
      <c r="H14" s="23">
        <f t="shared" si="1"/>
        <v>6.9464660403395051E-2</v>
      </c>
    </row>
    <row r="15" spans="1:9">
      <c r="A15" s="12" t="s">
        <v>350</v>
      </c>
      <c r="B15" s="14">
        <v>38077</v>
      </c>
      <c r="C15" s="15">
        <v>82281</v>
      </c>
      <c r="D15" s="15">
        <v>48850</v>
      </c>
      <c r="E15" s="15">
        <v>7733</v>
      </c>
      <c r="F15" s="15">
        <v>61875</v>
      </c>
      <c r="G15" s="44">
        <f t="shared" si="0"/>
        <v>200.739</v>
      </c>
      <c r="H15" s="23">
        <f t="shared" si="1"/>
        <v>7.456238959370487E-2</v>
      </c>
    </row>
    <row r="16" spans="1:9">
      <c r="A16" s="12" t="s">
        <v>351</v>
      </c>
      <c r="B16" s="45">
        <v>38168</v>
      </c>
      <c r="C16" s="15">
        <v>61509</v>
      </c>
      <c r="D16" s="15">
        <v>63176</v>
      </c>
      <c r="E16" s="15">
        <v>11620</v>
      </c>
      <c r="F16" s="15">
        <v>65822</v>
      </c>
      <c r="G16" s="44">
        <f t="shared" si="0"/>
        <v>202.12700000000001</v>
      </c>
      <c r="H16" s="23">
        <f t="shared" si="1"/>
        <v>0.10478475699075207</v>
      </c>
      <c r="I16" s="32">
        <f>AVERAGE(H13:H16)</f>
        <v>8.4668850475957902E-2</v>
      </c>
    </row>
    <row r="17" spans="1:9">
      <c r="A17" s="12" t="s">
        <v>352</v>
      </c>
      <c r="B17" s="45">
        <v>38260</v>
      </c>
      <c r="C17" s="15">
        <v>61799</v>
      </c>
      <c r="D17" s="15">
        <v>51987</v>
      </c>
      <c r="E17" s="15">
        <v>9197</v>
      </c>
      <c r="F17" s="15">
        <v>63364</v>
      </c>
      <c r="G17" s="44">
        <f t="shared" si="0"/>
        <v>186.34700000000001</v>
      </c>
      <c r="H17" s="23">
        <f t="shared" si="1"/>
        <v>6.0609682523420805E-2</v>
      </c>
      <c r="I17" s="32">
        <f t="shared" ref="I17:I56" si="2">AVERAGE(H14:H17)</f>
        <v>7.7355372377818199E-2</v>
      </c>
    </row>
    <row r="18" spans="1:9">
      <c r="A18" s="12" t="s">
        <v>353</v>
      </c>
      <c r="B18" s="45">
        <v>38352</v>
      </c>
      <c r="C18" s="15">
        <v>120567</v>
      </c>
      <c r="D18" s="15">
        <v>55315</v>
      </c>
      <c r="E18" s="15">
        <v>8659</v>
      </c>
      <c r="F18" s="15">
        <v>66353</v>
      </c>
      <c r="G18" s="44">
        <f t="shared" si="0"/>
        <v>250.89400000000001</v>
      </c>
      <c r="H18" s="23">
        <f t="shared" si="1"/>
        <v>0.10866404775897798</v>
      </c>
      <c r="I18" s="32">
        <f t="shared" si="2"/>
        <v>8.7155219216713931E-2</v>
      </c>
    </row>
    <row r="19" spans="1:9">
      <c r="A19" s="12" t="s">
        <v>354</v>
      </c>
      <c r="B19" s="45">
        <v>38442</v>
      </c>
      <c r="C19" s="15">
        <v>87426</v>
      </c>
      <c r="D19" s="15">
        <v>55171</v>
      </c>
      <c r="E19" s="15">
        <v>9986</v>
      </c>
      <c r="F19" s="15">
        <v>66927</v>
      </c>
      <c r="G19" s="44">
        <f t="shared" si="0"/>
        <v>219.51</v>
      </c>
      <c r="H19" s="23">
        <f>G19/G15-1</f>
        <v>9.350948246230173E-2</v>
      </c>
      <c r="I19" s="32">
        <f t="shared" si="2"/>
        <v>9.1891992433863146E-2</v>
      </c>
    </row>
    <row r="20" spans="1:9">
      <c r="A20" s="12" t="s">
        <v>355</v>
      </c>
      <c r="B20" s="45">
        <v>38533</v>
      </c>
      <c r="C20" s="15">
        <v>67898</v>
      </c>
      <c r="D20" s="15">
        <v>75813</v>
      </c>
      <c r="E20" s="15">
        <v>18805</v>
      </c>
      <c r="F20" s="15">
        <v>71828</v>
      </c>
      <c r="G20" s="44">
        <f t="shared" si="0"/>
        <v>234.34399999999999</v>
      </c>
      <c r="H20" s="23">
        <f t="shared" si="1"/>
        <v>0.15938988853542568</v>
      </c>
      <c r="I20" s="32">
        <f>AVERAGE(H17:H20)</f>
        <v>0.10554327532003155</v>
      </c>
    </row>
    <row r="21" spans="1:9">
      <c r="A21" s="12" t="s">
        <v>356</v>
      </c>
      <c r="B21" s="45">
        <v>38625</v>
      </c>
      <c r="C21" s="15">
        <v>65816</v>
      </c>
      <c r="D21" s="15">
        <v>57164</v>
      </c>
      <c r="E21" s="15">
        <v>11392</v>
      </c>
      <c r="F21" s="15">
        <v>68726</v>
      </c>
      <c r="G21" s="44">
        <f t="shared" si="0"/>
        <v>203.09800000000001</v>
      </c>
      <c r="H21" s="23">
        <f t="shared" si="1"/>
        <v>8.989143908944075E-2</v>
      </c>
      <c r="I21" s="32">
        <f t="shared" si="2"/>
        <v>0.11286371446153654</v>
      </c>
    </row>
    <row r="22" spans="1:9">
      <c r="A22" s="12" t="s">
        <v>357</v>
      </c>
      <c r="B22" s="45">
        <v>38717</v>
      </c>
      <c r="C22" s="15">
        <v>131009</v>
      </c>
      <c r="D22" s="15">
        <v>59052</v>
      </c>
      <c r="E22" s="15">
        <v>11376</v>
      </c>
      <c r="F22" s="15">
        <v>70970</v>
      </c>
      <c r="G22" s="44">
        <f t="shared" si="0"/>
        <v>272.40699999999998</v>
      </c>
      <c r="H22" s="23">
        <f t="shared" si="1"/>
        <v>8.5745374540642461E-2</v>
      </c>
      <c r="I22" s="32">
        <f t="shared" si="2"/>
        <v>0.10713404615695266</v>
      </c>
    </row>
    <row r="23" spans="1:9">
      <c r="A23" s="12" t="s">
        <v>358</v>
      </c>
      <c r="B23" s="45">
        <v>38807</v>
      </c>
      <c r="C23" s="15">
        <v>94122</v>
      </c>
      <c r="D23" s="15">
        <v>60057</v>
      </c>
      <c r="E23" s="15">
        <v>11102</v>
      </c>
      <c r="F23" s="15">
        <v>72255</v>
      </c>
      <c r="G23" s="44">
        <f t="shared" si="0"/>
        <v>237.536</v>
      </c>
      <c r="H23" s="23">
        <f t="shared" si="1"/>
        <v>8.2119265637100813E-2</v>
      </c>
      <c r="I23" s="32">
        <f t="shared" si="2"/>
        <v>0.10428649195065243</v>
      </c>
    </row>
    <row r="24" spans="1:9">
      <c r="A24" s="12" t="s">
        <v>359</v>
      </c>
      <c r="B24" s="45">
        <v>38898</v>
      </c>
      <c r="C24" s="15">
        <v>72588</v>
      </c>
      <c r="D24" s="15">
        <v>89769</v>
      </c>
      <c r="E24" s="15">
        <v>19255</v>
      </c>
      <c r="F24" s="15">
        <v>76529</v>
      </c>
      <c r="G24" s="44">
        <f t="shared" si="0"/>
        <v>258.14100000000002</v>
      </c>
      <c r="H24" s="23">
        <f t="shared" si="1"/>
        <v>0.10154729798928086</v>
      </c>
      <c r="I24" s="32">
        <f t="shared" si="2"/>
        <v>8.9825844314116221E-2</v>
      </c>
    </row>
    <row r="25" spans="1:9">
      <c r="A25" s="12" t="s">
        <v>360</v>
      </c>
      <c r="B25" s="45">
        <v>38990</v>
      </c>
      <c r="C25" s="15">
        <v>66662</v>
      </c>
      <c r="D25" s="15">
        <v>60730</v>
      </c>
      <c r="E25" s="15">
        <v>13894</v>
      </c>
      <c r="F25" s="15">
        <v>73297</v>
      </c>
      <c r="G25" s="44">
        <f t="shared" si="0"/>
        <v>214.583</v>
      </c>
      <c r="H25" s="23">
        <f t="shared" si="1"/>
        <v>5.6549055135944215E-2</v>
      </c>
      <c r="I25" s="32">
        <f t="shared" si="2"/>
        <v>8.1490248325742087E-2</v>
      </c>
    </row>
    <row r="26" spans="1:9">
      <c r="A26" s="12" t="s">
        <v>361</v>
      </c>
      <c r="B26" s="45">
        <v>39082</v>
      </c>
      <c r="C26" s="15">
        <v>142804</v>
      </c>
      <c r="D26" s="15">
        <v>61664</v>
      </c>
      <c r="E26" s="15">
        <v>13165</v>
      </c>
      <c r="F26" s="15">
        <v>74464</v>
      </c>
      <c r="G26" s="44">
        <f t="shared" si="0"/>
        <v>292.09699999999998</v>
      </c>
      <c r="H26" s="23">
        <f t="shared" si="1"/>
        <v>7.228154929939401E-2</v>
      </c>
      <c r="I26" s="32">
        <f t="shared" si="2"/>
        <v>7.8124292015429975E-2</v>
      </c>
    </row>
    <row r="27" spans="1:9">
      <c r="A27" s="12" t="s">
        <v>334</v>
      </c>
      <c r="B27" s="45">
        <v>39172</v>
      </c>
      <c r="C27" s="15">
        <v>100322</v>
      </c>
      <c r="D27" s="15">
        <v>65259</v>
      </c>
      <c r="E27" s="15">
        <v>13251</v>
      </c>
      <c r="F27" s="15">
        <v>74690</v>
      </c>
      <c r="G27" s="44">
        <f t="shared" si="0"/>
        <v>253.52199999999999</v>
      </c>
      <c r="H27" s="23">
        <f t="shared" si="1"/>
        <v>6.7299272531321508E-2</v>
      </c>
      <c r="I27" s="32">
        <f t="shared" si="2"/>
        <v>7.4419293738985148E-2</v>
      </c>
    </row>
    <row r="28" spans="1:9">
      <c r="A28" s="12" t="s">
        <v>335</v>
      </c>
      <c r="B28" s="45">
        <v>39263</v>
      </c>
      <c r="C28" s="15">
        <v>78753</v>
      </c>
      <c r="D28" s="15">
        <v>97627</v>
      </c>
      <c r="E28" s="15">
        <v>20977</v>
      </c>
      <c r="F28" s="15">
        <v>79508</v>
      </c>
      <c r="G28" s="44">
        <f t="shared" si="0"/>
        <v>276.86500000000001</v>
      </c>
      <c r="H28" s="23">
        <f t="shared" si="1"/>
        <v>7.2534002734939484E-2</v>
      </c>
      <c r="I28" s="32">
        <f t="shared" si="2"/>
        <v>6.7165969925399804E-2</v>
      </c>
    </row>
    <row r="29" spans="1:9">
      <c r="A29" s="12" t="s">
        <v>336</v>
      </c>
      <c r="B29" s="45">
        <v>39355</v>
      </c>
      <c r="C29" s="15">
        <v>69286</v>
      </c>
      <c r="D29" s="15">
        <v>64945</v>
      </c>
      <c r="E29" s="15">
        <v>14076</v>
      </c>
      <c r="F29" s="15">
        <v>73521</v>
      </c>
      <c r="G29" s="44">
        <f t="shared" si="0"/>
        <v>221.828</v>
      </c>
      <c r="H29" s="23">
        <f t="shared" si="1"/>
        <v>3.3763159243742624E-2</v>
      </c>
      <c r="I29" s="32">
        <f t="shared" si="2"/>
        <v>6.1469495952349407E-2</v>
      </c>
    </row>
    <row r="30" spans="1:9">
      <c r="A30" s="12" t="s">
        <v>337</v>
      </c>
      <c r="B30" s="45">
        <v>39447</v>
      </c>
      <c r="C30" s="15">
        <v>153441</v>
      </c>
      <c r="D30" s="15">
        <v>64311</v>
      </c>
      <c r="E30" s="15">
        <v>11281</v>
      </c>
      <c r="F30" s="15">
        <v>77486</v>
      </c>
      <c r="G30" s="44">
        <f t="shared" si="0"/>
        <v>306.51900000000001</v>
      </c>
      <c r="H30" s="23">
        <f t="shared" si="1"/>
        <v>4.9374009318822187E-2</v>
      </c>
      <c r="I30" s="32">
        <f t="shared" si="2"/>
        <v>5.5742610957206451E-2</v>
      </c>
    </row>
    <row r="31" spans="1:9">
      <c r="A31" s="12" t="s">
        <v>338</v>
      </c>
      <c r="B31" s="45">
        <v>39538</v>
      </c>
      <c r="C31" s="15">
        <v>100236</v>
      </c>
      <c r="D31" s="15">
        <v>68446</v>
      </c>
      <c r="E31" s="15">
        <v>13323</v>
      </c>
      <c r="F31" s="15">
        <v>75486</v>
      </c>
      <c r="G31" s="44">
        <f t="shared" si="0"/>
        <v>257.49099999999999</v>
      </c>
      <c r="H31" s="23">
        <f t="shared" si="1"/>
        <v>1.5655446075685697E-2</v>
      </c>
      <c r="I31" s="32">
        <f t="shared" si="2"/>
        <v>4.2831654343297498E-2</v>
      </c>
    </row>
    <row r="32" spans="1:9">
      <c r="A32" s="12" t="s">
        <v>339</v>
      </c>
      <c r="B32" s="45">
        <v>39629</v>
      </c>
      <c r="C32" s="15">
        <v>80696</v>
      </c>
      <c r="D32" s="15">
        <v>106245</v>
      </c>
      <c r="E32" s="15">
        <v>18209</v>
      </c>
      <c r="F32" s="15">
        <v>80362</v>
      </c>
      <c r="G32" s="44">
        <f t="shared" si="0"/>
        <v>285.512</v>
      </c>
      <c r="H32" s="23">
        <f t="shared" si="1"/>
        <v>3.1231827786105004E-2</v>
      </c>
      <c r="I32" s="32">
        <f t="shared" si="2"/>
        <v>3.2506110606088878E-2</v>
      </c>
    </row>
    <row r="33" spans="1:9">
      <c r="A33" s="12" t="s">
        <v>340</v>
      </c>
      <c r="B33" s="45">
        <v>39721</v>
      </c>
      <c r="C33" s="15">
        <v>76929</v>
      </c>
      <c r="D33" s="15">
        <v>65680</v>
      </c>
      <c r="E33" s="15">
        <v>11550</v>
      </c>
      <c r="F33" s="15">
        <v>76584</v>
      </c>
      <c r="G33" s="44">
        <f t="shared" si="0"/>
        <v>230.74299999999999</v>
      </c>
      <c r="H33" s="23">
        <f t="shared" si="1"/>
        <v>4.0188794922191962E-2</v>
      </c>
      <c r="I33" s="32">
        <f t="shared" si="2"/>
        <v>3.4112519525701213E-2</v>
      </c>
    </row>
    <row r="34" spans="1:9">
      <c r="A34" s="12" t="s">
        <v>341</v>
      </c>
      <c r="B34" s="45">
        <v>39813</v>
      </c>
      <c r="C34" s="15">
        <v>173688</v>
      </c>
      <c r="D34" s="15">
        <v>62683</v>
      </c>
      <c r="E34" s="15">
        <v>8729</v>
      </c>
      <c r="F34" s="15">
        <v>73790</v>
      </c>
      <c r="G34" s="44">
        <f t="shared" si="0"/>
        <v>318.89</v>
      </c>
      <c r="H34" s="23">
        <f t="shared" si="1"/>
        <v>4.0359651440856847E-2</v>
      </c>
      <c r="I34" s="32">
        <f t="shared" si="2"/>
        <v>3.1858930056209878E-2</v>
      </c>
    </row>
    <row r="35" spans="1:9">
      <c r="A35" s="12" t="s">
        <v>309</v>
      </c>
      <c r="B35" s="45">
        <v>39903</v>
      </c>
      <c r="C35" s="15">
        <v>118575</v>
      </c>
      <c r="D35" s="15">
        <v>55422</v>
      </c>
      <c r="E35" s="15">
        <v>10613</v>
      </c>
      <c r="F35" s="15">
        <v>69626</v>
      </c>
      <c r="G35" s="44">
        <f t="shared" si="0"/>
        <v>254.23599999999999</v>
      </c>
      <c r="H35" s="23">
        <f t="shared" si="1"/>
        <v>-1.2641218528026243E-2</v>
      </c>
      <c r="I35" s="32">
        <f t="shared" si="2"/>
        <v>2.4784763905281892E-2</v>
      </c>
    </row>
    <row r="36" spans="1:9">
      <c r="A36" s="12" t="s">
        <v>312</v>
      </c>
      <c r="B36" s="45">
        <v>39994</v>
      </c>
      <c r="C36" s="15">
        <v>86477</v>
      </c>
      <c r="D36" s="15">
        <v>76076</v>
      </c>
      <c r="E36" s="15">
        <v>18867</v>
      </c>
      <c r="F36" s="15">
        <v>72966</v>
      </c>
      <c r="G36" s="44">
        <f t="shared" si="0"/>
        <v>254.386</v>
      </c>
      <c r="H36" s="23">
        <f t="shared" si="1"/>
        <v>-0.10901818487489146</v>
      </c>
      <c r="I36" s="32">
        <f t="shared" si="2"/>
        <v>-1.0277739259967222E-2</v>
      </c>
    </row>
    <row r="37" spans="1:9">
      <c r="A37" s="12" t="s">
        <v>313</v>
      </c>
      <c r="B37" s="45">
        <v>40086</v>
      </c>
      <c r="C37" s="15">
        <v>84302</v>
      </c>
      <c r="D37" s="15">
        <v>57990</v>
      </c>
      <c r="E37" s="15">
        <v>9673</v>
      </c>
      <c r="F37" s="15">
        <v>69355</v>
      </c>
      <c r="G37" s="44">
        <f t="shared" si="0"/>
        <v>221.32</v>
      </c>
      <c r="H37" s="23">
        <f t="shared" si="1"/>
        <v>-4.0837641878626929E-2</v>
      </c>
      <c r="I37" s="32">
        <f t="shared" si="2"/>
        <v>-3.0534348460171945E-2</v>
      </c>
    </row>
    <row r="38" spans="1:9">
      <c r="A38" s="12" t="s">
        <v>314</v>
      </c>
      <c r="B38" s="45">
        <v>40178</v>
      </c>
      <c r="C38" s="15">
        <v>182480</v>
      </c>
      <c r="D38" s="15">
        <v>60083</v>
      </c>
      <c r="E38" s="15">
        <v>9139</v>
      </c>
      <c r="F38" s="15">
        <v>69516</v>
      </c>
      <c r="G38" s="44">
        <f t="shared" si="0"/>
        <v>321.21800000000002</v>
      </c>
      <c r="H38" s="23">
        <f t="shared" si="1"/>
        <v>7.3003229953902959E-3</v>
      </c>
      <c r="I38" s="32">
        <f>AVERAGE(H35:H38)</f>
        <v>-3.8799180571538583E-2</v>
      </c>
    </row>
    <row r="39" spans="1:9">
      <c r="A39" s="12" t="s">
        <v>315</v>
      </c>
      <c r="B39" s="45">
        <v>40268</v>
      </c>
      <c r="C39" s="15">
        <v>115197</v>
      </c>
      <c r="D39" s="15">
        <v>57500</v>
      </c>
      <c r="E39" s="15">
        <v>10116</v>
      </c>
      <c r="F39" s="15">
        <v>68639</v>
      </c>
      <c r="G39" s="44">
        <f t="shared" si="0"/>
        <v>251.452</v>
      </c>
      <c r="H39" s="23">
        <f t="shared" si="1"/>
        <v>-1.0950455482307775E-2</v>
      </c>
      <c r="I39" s="32">
        <f t="shared" si="2"/>
        <v>-3.8376489810108966E-2</v>
      </c>
    </row>
    <row r="40" spans="1:9">
      <c r="A40" s="12" t="s">
        <v>316</v>
      </c>
      <c r="B40" s="45">
        <v>40359</v>
      </c>
      <c r="C40" s="15">
        <v>90617</v>
      </c>
      <c r="D40" s="15">
        <v>77243</v>
      </c>
      <c r="E40" s="15">
        <v>15645</v>
      </c>
      <c r="F40" s="15">
        <v>76265</v>
      </c>
      <c r="G40" s="44">
        <f t="shared" si="0"/>
        <v>259.77</v>
      </c>
      <c r="H40" s="23">
        <f t="shared" si="1"/>
        <v>2.1164686735905214E-2</v>
      </c>
      <c r="I40" s="32">
        <f t="shared" si="2"/>
        <v>-5.8307719074097986E-3</v>
      </c>
    </row>
    <row r="41" spans="1:9">
      <c r="A41" s="12" t="s">
        <v>317</v>
      </c>
      <c r="B41" s="45">
        <v>40451</v>
      </c>
      <c r="C41" s="15">
        <v>88204</v>
      </c>
      <c r="D41" s="15">
        <v>60206</v>
      </c>
      <c r="E41" s="15">
        <v>9488</v>
      </c>
      <c r="F41" s="15">
        <v>71168</v>
      </c>
      <c r="G41" s="44">
        <f t="shared" si="0"/>
        <v>229.066</v>
      </c>
      <c r="H41" s="23">
        <f t="shared" si="1"/>
        <v>3.4999096331104429E-2</v>
      </c>
      <c r="I41" s="32">
        <f t="shared" si="2"/>
        <v>1.3128412645023041E-2</v>
      </c>
    </row>
    <row r="42" spans="1:9">
      <c r="A42" s="12" t="s">
        <v>318</v>
      </c>
      <c r="B42" s="45">
        <v>40543</v>
      </c>
      <c r="C42" s="15">
        <v>177530</v>
      </c>
      <c r="D42" s="15">
        <v>66189</v>
      </c>
      <c r="E42" s="15">
        <v>10328</v>
      </c>
      <c r="F42" s="15">
        <v>67793</v>
      </c>
      <c r="G42" s="44">
        <f t="shared" si="0"/>
        <v>321.83999999999997</v>
      </c>
      <c r="H42" s="23">
        <f t="shared" si="1"/>
        <v>1.9363796549383139E-3</v>
      </c>
      <c r="I42" s="32">
        <f t="shared" si="2"/>
        <v>1.1787426809910045E-2</v>
      </c>
    </row>
    <row r="43" spans="1:9">
      <c r="A43" s="12" t="s">
        <v>319</v>
      </c>
      <c r="B43" s="45">
        <v>40633</v>
      </c>
      <c r="C43" s="15">
        <v>114579</v>
      </c>
      <c r="D43" s="15">
        <v>65477</v>
      </c>
      <c r="E43" s="15">
        <v>11135</v>
      </c>
      <c r="F43" s="15">
        <v>72917</v>
      </c>
      <c r="G43" s="44">
        <f t="shared" si="0"/>
        <v>264.108</v>
      </c>
      <c r="H43" s="23">
        <f t="shared" si="1"/>
        <v>5.0331673639501862E-2</v>
      </c>
      <c r="I43" s="32">
        <f t="shared" si="2"/>
        <v>2.7107959090362455E-2</v>
      </c>
    </row>
    <row r="44" spans="1:9">
      <c r="A44" s="12" t="s">
        <v>320</v>
      </c>
      <c r="B44" s="45">
        <v>40724</v>
      </c>
      <c r="C44" s="15">
        <v>89381</v>
      </c>
      <c r="D44" s="15">
        <v>91371</v>
      </c>
      <c r="E44" s="15">
        <v>18848</v>
      </c>
      <c r="F44" s="15">
        <v>81714</v>
      </c>
      <c r="G44" s="44">
        <f t="shared" si="0"/>
        <v>281.31400000000002</v>
      </c>
      <c r="H44" s="23">
        <f t="shared" si="1"/>
        <v>8.2934903953497452E-2</v>
      </c>
      <c r="I44" s="32">
        <f t="shared" si="2"/>
        <v>4.2550513394760514E-2</v>
      </c>
    </row>
    <row r="45" spans="1:9">
      <c r="A45" s="12" t="s">
        <v>321</v>
      </c>
      <c r="B45" s="45">
        <v>40816</v>
      </c>
      <c r="C45" s="15">
        <v>85726</v>
      </c>
      <c r="D45" s="15">
        <v>67443</v>
      </c>
      <c r="E45" s="15">
        <v>9817</v>
      </c>
      <c r="F45" s="15">
        <v>73286</v>
      </c>
      <c r="G45" s="44">
        <f t="shared" si="0"/>
        <v>236.27199999999999</v>
      </c>
      <c r="H45" s="23">
        <f t="shared" si="1"/>
        <v>3.145818235792297E-2</v>
      </c>
      <c r="I45" s="32">
        <f t="shared" si="2"/>
        <v>4.1665284901465149E-2</v>
      </c>
    </row>
    <row r="46" spans="1:9">
      <c r="A46" s="12" t="s">
        <v>322</v>
      </c>
      <c r="B46" s="45">
        <v>40908</v>
      </c>
      <c r="C46" s="15">
        <v>177291</v>
      </c>
      <c r="D46" s="15">
        <v>70905</v>
      </c>
      <c r="E46" s="15">
        <v>9991</v>
      </c>
      <c r="F46" s="15">
        <v>77306</v>
      </c>
      <c r="G46" s="44">
        <f t="shared" si="0"/>
        <v>335.49299999999999</v>
      </c>
      <c r="H46" s="23">
        <f t="shared" si="1"/>
        <v>4.2421700223713721E-2</v>
      </c>
      <c r="I46" s="32">
        <f t="shared" si="2"/>
        <v>5.1786615043659001E-2</v>
      </c>
    </row>
    <row r="47" spans="1:9">
      <c r="A47" s="12" t="s">
        <v>323</v>
      </c>
      <c r="B47" s="45">
        <v>40999</v>
      </c>
      <c r="C47" s="15">
        <v>113256</v>
      </c>
      <c r="D47" s="15">
        <v>68556</v>
      </c>
      <c r="E47" s="15">
        <v>11453</v>
      </c>
      <c r="F47" s="15">
        <v>77460</v>
      </c>
      <c r="G47" s="44">
        <f t="shared" si="0"/>
        <v>270.72500000000002</v>
      </c>
      <c r="H47" s="23">
        <f t="shared" si="1"/>
        <v>2.5054144516637233E-2</v>
      </c>
      <c r="I47" s="32">
        <f t="shared" si="2"/>
        <v>4.5467232762942844E-2</v>
      </c>
    </row>
    <row r="48" spans="1:9">
      <c r="A48" s="12" t="s">
        <v>324</v>
      </c>
      <c r="B48" s="45">
        <v>41090</v>
      </c>
      <c r="C48" s="15">
        <v>90026</v>
      </c>
      <c r="D48" s="15">
        <v>98125</v>
      </c>
      <c r="E48" s="15">
        <v>17763</v>
      </c>
      <c r="F48" s="15">
        <v>84841</v>
      </c>
      <c r="G48" s="44">
        <f t="shared" si="0"/>
        <v>290.755</v>
      </c>
      <c r="H48" s="23">
        <f t="shared" si="1"/>
        <v>3.3560363152917994E-2</v>
      </c>
      <c r="I48" s="32">
        <f t="shared" si="2"/>
        <v>3.312359756279798E-2</v>
      </c>
    </row>
    <row r="49" spans="1:9">
      <c r="A49" s="12" t="s">
        <v>325</v>
      </c>
      <c r="B49" s="45">
        <v>41182</v>
      </c>
      <c r="C49" s="15">
        <v>92614</v>
      </c>
      <c r="D49" s="15">
        <v>69882</v>
      </c>
      <c r="E49" s="15">
        <v>10264</v>
      </c>
      <c r="F49" s="15">
        <v>75851</v>
      </c>
      <c r="G49" s="44">
        <f t="shared" si="0"/>
        <v>248.61099999999999</v>
      </c>
      <c r="H49" s="23">
        <f t="shared" si="1"/>
        <v>5.2223708268436475E-2</v>
      </c>
      <c r="I49" s="32">
        <f t="shared" si="2"/>
        <v>3.8314979040426356E-2</v>
      </c>
    </row>
    <row r="50" spans="1:9">
      <c r="A50" s="12" t="s">
        <v>326</v>
      </c>
      <c r="B50" s="45">
        <v>41274</v>
      </c>
      <c r="C50" s="15">
        <v>179686</v>
      </c>
      <c r="D50" s="15">
        <v>76384</v>
      </c>
      <c r="E50" s="15">
        <v>10273</v>
      </c>
      <c r="F50" s="15">
        <v>81089</v>
      </c>
      <c r="G50" s="44">
        <f t="shared" si="0"/>
        <v>347.43200000000002</v>
      </c>
      <c r="H50" s="23">
        <f t="shared" si="1"/>
        <v>3.5586435484495915E-2</v>
      </c>
      <c r="I50" s="32">
        <f t="shared" si="2"/>
        <v>3.6606162855621904E-2</v>
      </c>
    </row>
    <row r="51" spans="1:9">
      <c r="A51" s="12" t="s">
        <v>327</v>
      </c>
      <c r="B51" s="45">
        <v>41364</v>
      </c>
      <c r="C51" s="15">
        <v>116016</v>
      </c>
      <c r="D51" s="15">
        <v>81023</v>
      </c>
      <c r="E51" s="15">
        <v>12481</v>
      </c>
      <c r="F51" s="15">
        <v>77617</v>
      </c>
      <c r="G51" s="44">
        <f t="shared" si="0"/>
        <v>287.137</v>
      </c>
      <c r="H51" s="23">
        <f t="shared" si="1"/>
        <v>6.0622402807276599E-2</v>
      </c>
      <c r="I51" s="32">
        <f t="shared" si="2"/>
        <v>4.5498227428281746E-2</v>
      </c>
    </row>
    <row r="52" spans="1:9">
      <c r="A52" s="12" t="s">
        <v>328</v>
      </c>
      <c r="B52" s="45">
        <v>41455</v>
      </c>
      <c r="C52" s="15">
        <v>91255</v>
      </c>
      <c r="D52" s="15">
        <v>113290</v>
      </c>
      <c r="E52" s="15">
        <v>20303</v>
      </c>
      <c r="F52" s="15">
        <v>84815</v>
      </c>
      <c r="G52" s="44">
        <f t="shared" si="0"/>
        <v>309.66300000000001</v>
      </c>
      <c r="H52" s="23">
        <f t="shared" si="1"/>
        <v>6.5030695946759254E-2</v>
      </c>
      <c r="I52" s="32">
        <f t="shared" si="2"/>
        <v>5.3365810626742061E-2</v>
      </c>
    </row>
    <row r="53" spans="1:9">
      <c r="A53" s="12" t="s">
        <v>329</v>
      </c>
      <c r="B53" s="45">
        <v>41547</v>
      </c>
      <c r="C53" s="15">
        <v>97454</v>
      </c>
      <c r="D53" s="15">
        <v>73632</v>
      </c>
      <c r="E53" s="15">
        <v>10318</v>
      </c>
      <c r="F53" s="15">
        <v>81459</v>
      </c>
      <c r="G53" s="44">
        <f t="shared" si="0"/>
        <v>262.863</v>
      </c>
      <c r="H53" s="23">
        <f t="shared" si="1"/>
        <v>5.7326506067712169E-2</v>
      </c>
      <c r="I53" s="32">
        <f t="shared" si="2"/>
        <v>5.4641510076560984E-2</v>
      </c>
    </row>
    <row r="54" spans="1:9">
      <c r="A54" s="12" t="s">
        <v>330</v>
      </c>
      <c r="B54" s="45">
        <v>41639</v>
      </c>
      <c r="C54" s="15">
        <v>183933</v>
      </c>
      <c r="D54" s="15">
        <v>77557</v>
      </c>
      <c r="E54" s="15">
        <v>10396</v>
      </c>
      <c r="F54" s="15">
        <v>84778</v>
      </c>
      <c r="G54" s="44">
        <f t="shared" si="0"/>
        <v>356.66399999999999</v>
      </c>
      <c r="H54" s="23">
        <f t="shared" si="1"/>
        <v>2.6572106196320444E-2</v>
      </c>
      <c r="I54" s="32">
        <f t="shared" si="2"/>
        <v>5.2387927754517116E-2</v>
      </c>
    </row>
    <row r="55" spans="1:9">
      <c r="A55" s="12" t="s">
        <v>331</v>
      </c>
      <c r="B55" s="45">
        <v>41729</v>
      </c>
      <c r="C55" s="15">
        <v>118080</v>
      </c>
      <c r="D55" s="15">
        <v>80717</v>
      </c>
      <c r="E55" s="15">
        <v>14029</v>
      </c>
      <c r="F55" s="15">
        <v>81396</v>
      </c>
      <c r="G55" s="44">
        <f t="shared" si="0"/>
        <v>294.22199999999998</v>
      </c>
      <c r="H55" s="23">
        <f t="shared" si="1"/>
        <v>2.4674632666636498E-2</v>
      </c>
      <c r="I55" s="32">
        <f t="shared" si="2"/>
        <v>4.3400985219357091E-2</v>
      </c>
    </row>
    <row r="56" spans="1:9">
      <c r="A56" s="12" t="s">
        <v>332</v>
      </c>
      <c r="B56" s="14">
        <v>41820</v>
      </c>
      <c r="C56" s="15">
        <v>93509</v>
      </c>
      <c r="D56" s="15">
        <v>106764</v>
      </c>
      <c r="E56" s="15">
        <v>19724</v>
      </c>
      <c r="F56" s="15">
        <v>89533</v>
      </c>
      <c r="G56" s="44">
        <f t="shared" si="0"/>
        <v>309.52999999999997</v>
      </c>
      <c r="H56" s="23">
        <f t="shared" si="1"/>
        <v>-4.2949916522172504E-4</v>
      </c>
      <c r="I56" s="32">
        <f t="shared" si="2"/>
        <v>2.7035936441361846E-2</v>
      </c>
    </row>
    <row r="57" spans="1:9">
      <c r="B57" s="14"/>
      <c r="G57" s="44">
        <f t="shared" si="0"/>
        <v>0</v>
      </c>
      <c r="H57" s="23"/>
      <c r="I57" s="23"/>
    </row>
    <row r="58" spans="1:9">
      <c r="B58" s="14"/>
      <c r="G58" s="44">
        <f t="shared" si="0"/>
        <v>0</v>
      </c>
      <c r="H58" s="23"/>
      <c r="I58" s="23"/>
    </row>
    <row r="59" spans="1:9">
      <c r="B59" s="14"/>
      <c r="G59" s="44">
        <f t="shared" si="0"/>
        <v>0</v>
      </c>
      <c r="H59" s="23"/>
      <c r="I59" s="23"/>
    </row>
    <row r="60" spans="1:9">
      <c r="B60" s="14"/>
      <c r="G60" s="44">
        <f t="shared" si="0"/>
        <v>0</v>
      </c>
      <c r="H60" s="23"/>
      <c r="I60" s="2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57"/>
  <sheetViews>
    <sheetView workbookViewId="0"/>
  </sheetViews>
  <sheetFormatPr defaultRowHeight="15"/>
  <cols>
    <col min="1" max="2" width="9.140625" style="17"/>
  </cols>
  <sheetData>
    <row r="1" spans="1:14">
      <c r="C1" s="17"/>
      <c r="D1" s="17"/>
      <c r="E1" s="17" t="s">
        <v>108</v>
      </c>
      <c r="F1" s="17"/>
    </row>
    <row r="2" spans="1:14">
      <c r="C2" s="17" t="s">
        <v>110</v>
      </c>
      <c r="D2" s="17"/>
      <c r="E2" s="17" t="s">
        <v>109</v>
      </c>
      <c r="F2" s="17"/>
    </row>
    <row r="3" spans="1:14">
      <c r="C3" s="17" t="s">
        <v>111</v>
      </c>
      <c r="D3" s="17" t="s">
        <v>106</v>
      </c>
      <c r="E3" s="17" t="s">
        <v>107</v>
      </c>
      <c r="F3" s="17" t="s">
        <v>106</v>
      </c>
    </row>
    <row r="4" spans="1:14">
      <c r="A4" s="25" t="s">
        <v>308</v>
      </c>
      <c r="B4" s="19" t="s">
        <v>0</v>
      </c>
      <c r="C4" s="18" t="s">
        <v>114</v>
      </c>
      <c r="D4" s="18" t="s">
        <v>115</v>
      </c>
      <c r="E4" s="18" t="s">
        <v>112</v>
      </c>
      <c r="F4" s="18" t="s">
        <v>113</v>
      </c>
    </row>
    <row r="5" spans="1:14">
      <c r="A5" s="17" t="s">
        <v>7</v>
      </c>
      <c r="C5" t="s">
        <v>118</v>
      </c>
      <c r="D5" t="s">
        <v>119</v>
      </c>
      <c r="E5" t="s">
        <v>116</v>
      </c>
      <c r="F5" t="s">
        <v>117</v>
      </c>
    </row>
    <row r="6" spans="1:14">
      <c r="A6" s="17" t="s">
        <v>22</v>
      </c>
      <c r="C6" t="s">
        <v>24</v>
      </c>
      <c r="D6" t="s">
        <v>24</v>
      </c>
      <c r="E6" t="s">
        <v>24</v>
      </c>
      <c r="F6" t="s">
        <v>24</v>
      </c>
    </row>
    <row r="7" spans="1:14">
      <c r="A7" s="17" t="s">
        <v>26</v>
      </c>
      <c r="C7" t="s">
        <v>183</v>
      </c>
      <c r="D7" t="s">
        <v>183</v>
      </c>
      <c r="E7" t="s">
        <v>191</v>
      </c>
      <c r="F7" t="s">
        <v>191</v>
      </c>
    </row>
    <row r="8" spans="1:14">
      <c r="A8" s="17" t="s">
        <v>31</v>
      </c>
      <c r="B8" s="27">
        <v>27759</v>
      </c>
      <c r="C8" s="26" t="e">
        <v>#N/A</v>
      </c>
      <c r="D8" s="26" t="e">
        <v>#N/A</v>
      </c>
      <c r="E8" s="21">
        <v>17.327999999999999</v>
      </c>
      <c r="F8" s="21">
        <v>20.634</v>
      </c>
    </row>
    <row r="9" spans="1:14">
      <c r="A9" s="17" t="s">
        <v>32</v>
      </c>
      <c r="B9" s="47">
        <v>28125</v>
      </c>
      <c r="C9" s="35" t="e">
        <v>#N/A</v>
      </c>
      <c r="D9" s="35" t="e">
        <v>#N/A</v>
      </c>
      <c r="E9" s="48">
        <v>16.649000000000001</v>
      </c>
      <c r="F9" s="48">
        <v>20.766999999999999</v>
      </c>
    </row>
    <row r="10" spans="1:14">
      <c r="A10" s="17" t="s">
        <v>33</v>
      </c>
      <c r="B10" s="47">
        <v>28490</v>
      </c>
      <c r="C10" s="35" t="e">
        <v>#N/A</v>
      </c>
      <c r="D10" s="35" t="e">
        <v>#N/A</v>
      </c>
      <c r="E10" s="48">
        <v>17.529</v>
      </c>
      <c r="F10" s="48">
        <v>20.175000000000001</v>
      </c>
    </row>
    <row r="11" spans="1:14">
      <c r="A11" s="17" t="s">
        <v>34</v>
      </c>
      <c r="B11" s="47">
        <v>28855</v>
      </c>
      <c r="C11" s="35" t="e">
        <v>#N/A</v>
      </c>
      <c r="D11" s="35" t="e">
        <v>#N/A</v>
      </c>
      <c r="E11" s="48">
        <v>17.538</v>
      </c>
      <c r="F11" s="48">
        <v>20.135999999999999</v>
      </c>
    </row>
    <row r="12" spans="1:14">
      <c r="A12" s="17" t="s">
        <v>35</v>
      </c>
      <c r="B12" s="47">
        <v>29220</v>
      </c>
      <c r="C12" s="35" t="e">
        <v>#N/A</v>
      </c>
      <c r="D12" s="35" t="e">
        <v>#N/A</v>
      </c>
      <c r="E12" s="48">
        <v>18.027000000000001</v>
      </c>
      <c r="F12" s="48">
        <v>19.611999999999998</v>
      </c>
      <c r="I12" s="22"/>
      <c r="J12" s="22"/>
      <c r="K12" s="22"/>
      <c r="L12" s="22"/>
      <c r="M12" s="22"/>
      <c r="N12" s="22"/>
    </row>
    <row r="13" spans="1:14">
      <c r="A13" s="17" t="s">
        <v>36</v>
      </c>
      <c r="B13" s="47">
        <v>29586</v>
      </c>
      <c r="C13" s="35" t="e">
        <v>#N/A</v>
      </c>
      <c r="D13" s="35" t="e">
        <v>#N/A</v>
      </c>
      <c r="E13" s="48">
        <v>18.489999999999998</v>
      </c>
      <c r="F13" s="48">
        <v>21.129000000000001</v>
      </c>
      <c r="I13" s="22"/>
      <c r="J13" s="22"/>
      <c r="K13" s="22"/>
      <c r="L13" s="22"/>
      <c r="M13" s="22"/>
      <c r="N13" s="22"/>
    </row>
    <row r="14" spans="1:14">
      <c r="A14" s="17" t="s">
        <v>37</v>
      </c>
      <c r="B14" s="47">
        <v>29951</v>
      </c>
      <c r="C14" s="35" t="e">
        <v>#N/A</v>
      </c>
      <c r="D14" s="35" t="e">
        <v>#N/A</v>
      </c>
      <c r="E14" s="48">
        <v>19.094999999999999</v>
      </c>
      <c r="F14" s="48">
        <v>21.611000000000001</v>
      </c>
    </row>
    <row r="15" spans="1:14">
      <c r="A15" s="17" t="s">
        <v>38</v>
      </c>
      <c r="B15" s="47">
        <v>30316</v>
      </c>
      <c r="C15" s="35" t="e">
        <v>#N/A</v>
      </c>
      <c r="D15" s="35" t="e">
        <v>#N/A</v>
      </c>
      <c r="E15" s="48">
        <v>18.641999999999999</v>
      </c>
      <c r="F15" s="48">
        <v>22.503</v>
      </c>
    </row>
    <row r="16" spans="1:14">
      <c r="A16" s="17" t="s">
        <v>39</v>
      </c>
      <c r="B16" s="47">
        <v>30681</v>
      </c>
      <c r="C16" s="35" t="e">
        <v>#N/A</v>
      </c>
      <c r="D16" s="35" t="e">
        <v>#N/A</v>
      </c>
      <c r="E16" s="48">
        <v>16.96</v>
      </c>
      <c r="F16" s="48">
        <v>22.827999999999999</v>
      </c>
    </row>
    <row r="17" spans="1:6">
      <c r="A17" s="17" t="s">
        <v>40</v>
      </c>
      <c r="B17" s="47">
        <v>31047</v>
      </c>
      <c r="C17" s="35" t="e">
        <v>#N/A</v>
      </c>
      <c r="D17" s="35" t="e">
        <v>#N/A</v>
      </c>
      <c r="E17" s="48">
        <v>16.86</v>
      </c>
      <c r="F17" s="48">
        <v>21.548999999999999</v>
      </c>
    </row>
    <row r="18" spans="1:6">
      <c r="A18" s="17" t="s">
        <v>41</v>
      </c>
      <c r="B18" s="47">
        <v>31412</v>
      </c>
      <c r="C18" s="35" t="e">
        <v>#N/A</v>
      </c>
      <c r="D18" s="35" t="e">
        <v>#N/A</v>
      </c>
      <c r="E18" s="48">
        <v>17.189</v>
      </c>
      <c r="F18" s="48">
        <v>22.161000000000001</v>
      </c>
    </row>
    <row r="19" spans="1:6">
      <c r="A19" s="17" t="s">
        <v>42</v>
      </c>
      <c r="B19" s="47">
        <v>31777</v>
      </c>
      <c r="C19" s="35" t="e">
        <v>#N/A</v>
      </c>
      <c r="D19" s="35" t="e">
        <v>#N/A</v>
      </c>
      <c r="E19" s="48">
        <v>16.956</v>
      </c>
      <c r="F19" s="48">
        <v>21.834</v>
      </c>
    </row>
    <row r="20" spans="1:6">
      <c r="A20" s="17" t="s">
        <v>43</v>
      </c>
      <c r="B20" s="47">
        <v>32142</v>
      </c>
      <c r="C20" s="35" t="e">
        <v>#N/A</v>
      </c>
      <c r="D20" s="35" t="e">
        <v>#N/A</v>
      </c>
      <c r="E20" s="48">
        <v>17.864999999999998</v>
      </c>
      <c r="F20" s="48">
        <v>20.995999999999999</v>
      </c>
    </row>
    <row r="21" spans="1:6">
      <c r="A21" s="17" t="s">
        <v>44</v>
      </c>
      <c r="B21" s="47">
        <v>32508</v>
      </c>
      <c r="C21" s="35" t="e">
        <v>#N/A</v>
      </c>
      <c r="D21" s="35" t="e">
        <v>#N/A</v>
      </c>
      <c r="E21" s="48">
        <v>17.638000000000002</v>
      </c>
      <c r="F21" s="48">
        <v>20.648</v>
      </c>
    </row>
    <row r="22" spans="1:6">
      <c r="A22" s="17" t="s">
        <v>45</v>
      </c>
      <c r="B22" s="47">
        <v>32873</v>
      </c>
      <c r="C22" s="35" t="e">
        <v>#N/A</v>
      </c>
      <c r="D22" s="35" t="e">
        <v>#N/A</v>
      </c>
      <c r="E22" s="48">
        <v>17.794</v>
      </c>
      <c r="F22" s="48">
        <v>20.533999999999999</v>
      </c>
    </row>
    <row r="23" spans="1:6">
      <c r="A23" s="17" t="s">
        <v>46</v>
      </c>
      <c r="B23" s="47">
        <v>33238</v>
      </c>
      <c r="C23" s="35" t="e">
        <v>#N/A</v>
      </c>
      <c r="D23" s="35" t="e">
        <v>#N/A</v>
      </c>
      <c r="E23" s="48">
        <v>17.448</v>
      </c>
      <c r="F23" s="48">
        <v>21.184999999999999</v>
      </c>
    </row>
    <row r="24" spans="1:6">
      <c r="A24" s="17" t="s">
        <v>47</v>
      </c>
      <c r="B24" s="47">
        <v>33603</v>
      </c>
      <c r="C24" s="35" t="e">
        <v>#N/A</v>
      </c>
      <c r="D24" s="35" t="e">
        <v>#N/A</v>
      </c>
      <c r="E24" s="48">
        <v>17.266999999999999</v>
      </c>
      <c r="F24" s="48">
        <v>21.672999999999998</v>
      </c>
    </row>
    <row r="25" spans="1:6">
      <c r="A25" s="17" t="s">
        <v>48</v>
      </c>
      <c r="B25" s="47">
        <v>33969</v>
      </c>
      <c r="C25" s="35" t="e">
        <v>#N/A</v>
      </c>
      <c r="D25" s="35" t="e">
        <v>#N/A</v>
      </c>
      <c r="E25" s="48">
        <v>16.957999999999998</v>
      </c>
      <c r="F25" s="48">
        <v>21.47</v>
      </c>
    </row>
    <row r="26" spans="1:6">
      <c r="A26" s="17" t="s">
        <v>49</v>
      </c>
      <c r="B26" s="47">
        <v>34334</v>
      </c>
      <c r="C26" s="35" t="e">
        <v>#N/A</v>
      </c>
      <c r="D26" s="35" t="e">
        <v>#N/A</v>
      </c>
      <c r="E26" s="48">
        <v>16.988</v>
      </c>
      <c r="F26" s="48">
        <v>20.742000000000001</v>
      </c>
    </row>
    <row r="27" spans="1:6">
      <c r="A27" s="17" t="s">
        <v>50</v>
      </c>
      <c r="B27" s="47">
        <v>34699</v>
      </c>
      <c r="C27" s="35" t="e">
        <v>#N/A</v>
      </c>
      <c r="D27" s="35" t="e">
        <v>#N/A</v>
      </c>
      <c r="E27" s="48">
        <v>17.486000000000001</v>
      </c>
      <c r="F27" s="48">
        <v>20.308</v>
      </c>
    </row>
    <row r="28" spans="1:6">
      <c r="A28" s="17" t="s">
        <v>51</v>
      </c>
      <c r="B28" s="47">
        <v>35064</v>
      </c>
      <c r="C28" s="35" t="e">
        <v>#N/A</v>
      </c>
      <c r="D28" s="35" t="e">
        <v>#N/A</v>
      </c>
      <c r="E28" s="48">
        <v>17.826000000000001</v>
      </c>
      <c r="F28" s="48">
        <v>19.988</v>
      </c>
    </row>
    <row r="29" spans="1:6">
      <c r="A29" s="17" t="s">
        <v>52</v>
      </c>
      <c r="B29" s="47">
        <v>35430</v>
      </c>
      <c r="C29" s="35" t="e">
        <v>#N/A</v>
      </c>
      <c r="D29" s="35" t="e">
        <v>#N/A</v>
      </c>
      <c r="E29" s="48">
        <v>18.213000000000001</v>
      </c>
      <c r="F29" s="48">
        <v>19.559000000000001</v>
      </c>
    </row>
    <row r="30" spans="1:6">
      <c r="A30" s="17" t="s">
        <v>53</v>
      </c>
      <c r="B30" s="47">
        <v>35795</v>
      </c>
      <c r="C30" s="35" t="e">
        <v>#N/A</v>
      </c>
      <c r="D30" s="35" t="e">
        <v>#N/A</v>
      </c>
      <c r="E30" s="48">
        <v>18.616</v>
      </c>
      <c r="F30" s="48">
        <v>18.873999999999999</v>
      </c>
    </row>
    <row r="31" spans="1:6">
      <c r="A31" s="17" t="s">
        <v>54</v>
      </c>
      <c r="B31" s="47">
        <v>36160</v>
      </c>
      <c r="C31" s="35" t="e">
        <v>#N/A</v>
      </c>
      <c r="D31" s="35" t="e">
        <v>#N/A</v>
      </c>
      <c r="E31" s="48">
        <v>19.227</v>
      </c>
      <c r="F31" s="48">
        <v>18.452999999999999</v>
      </c>
    </row>
    <row r="32" spans="1:6">
      <c r="A32" s="17" t="s">
        <v>55</v>
      </c>
      <c r="B32" s="47">
        <v>36525</v>
      </c>
      <c r="C32" s="35" t="e">
        <v>#N/A</v>
      </c>
      <c r="D32" s="35" t="e">
        <v>#N/A</v>
      </c>
      <c r="E32" s="48">
        <v>19.207999999999998</v>
      </c>
      <c r="F32" s="48">
        <v>17.888000000000002</v>
      </c>
    </row>
    <row r="33" spans="1:6">
      <c r="A33" s="17" t="s">
        <v>56</v>
      </c>
      <c r="B33" s="47">
        <v>36891</v>
      </c>
      <c r="C33" s="35" t="e">
        <v>#N/A</v>
      </c>
      <c r="D33" s="35" t="e">
        <v>#N/A</v>
      </c>
      <c r="E33" s="48">
        <v>19.945</v>
      </c>
      <c r="F33" s="48">
        <v>17.617999999999999</v>
      </c>
    </row>
    <row r="34" spans="1:6">
      <c r="A34" s="17" t="s">
        <v>57</v>
      </c>
      <c r="B34" s="47">
        <v>37256</v>
      </c>
      <c r="C34" s="35" t="e">
        <v>#N/A</v>
      </c>
      <c r="D34" s="35" t="e">
        <v>#N/A</v>
      </c>
      <c r="E34" s="48">
        <v>18.84</v>
      </c>
      <c r="F34" s="48">
        <v>17.626999999999999</v>
      </c>
    </row>
    <row r="35" spans="1:6">
      <c r="A35" s="17" t="s">
        <v>58</v>
      </c>
      <c r="B35" s="47">
        <v>37621</v>
      </c>
      <c r="C35" s="35" t="e">
        <v>#N/A</v>
      </c>
      <c r="D35" s="35" t="e">
        <v>#N/A</v>
      </c>
      <c r="E35" s="48">
        <v>17.033000000000001</v>
      </c>
      <c r="F35" s="48">
        <v>18.483000000000001</v>
      </c>
    </row>
    <row r="36" spans="1:6">
      <c r="A36" s="17" t="s">
        <v>59</v>
      </c>
      <c r="B36" s="47">
        <v>37986</v>
      </c>
      <c r="C36" s="35" t="e">
        <v>#N/A</v>
      </c>
      <c r="D36" s="35" t="e">
        <v>#N/A</v>
      </c>
      <c r="E36" s="48">
        <v>15.725</v>
      </c>
      <c r="F36" s="48">
        <v>19.056999999999999</v>
      </c>
    </row>
    <row r="37" spans="1:6">
      <c r="A37" s="17" t="s">
        <v>60</v>
      </c>
      <c r="B37" s="47">
        <v>38352</v>
      </c>
      <c r="C37" s="35" t="e">
        <v>#N/A</v>
      </c>
      <c r="D37" s="35" t="e">
        <v>#N/A</v>
      </c>
      <c r="E37" s="48">
        <v>15.55</v>
      </c>
      <c r="F37" s="48">
        <v>18.963999999999999</v>
      </c>
    </row>
    <row r="38" spans="1:6">
      <c r="A38" s="17" t="s">
        <v>61</v>
      </c>
      <c r="B38" s="47">
        <v>38717</v>
      </c>
      <c r="C38" s="35" t="e">
        <v>#N/A</v>
      </c>
      <c r="D38" s="35" t="e">
        <v>#N/A</v>
      </c>
      <c r="E38" s="48">
        <v>16.707000000000001</v>
      </c>
      <c r="F38" s="48">
        <v>19.177</v>
      </c>
    </row>
    <row r="39" spans="1:6">
      <c r="A39" s="17" t="s">
        <v>62</v>
      </c>
      <c r="B39" s="47">
        <v>39082</v>
      </c>
      <c r="C39" s="35" t="e">
        <v>#N/A</v>
      </c>
      <c r="D39" s="35" t="e">
        <v>#N/A</v>
      </c>
      <c r="E39" s="48">
        <v>17.585999999999999</v>
      </c>
      <c r="F39" s="48">
        <v>19.399000000000001</v>
      </c>
    </row>
    <row r="40" spans="1:6">
      <c r="A40" s="17" t="s">
        <v>63</v>
      </c>
      <c r="B40" s="47">
        <v>39447</v>
      </c>
      <c r="C40" s="35" t="e">
        <v>#N/A</v>
      </c>
      <c r="D40" s="35" t="e">
        <v>#N/A</v>
      </c>
      <c r="E40" s="48">
        <v>17.927</v>
      </c>
      <c r="F40" s="48">
        <v>19.047999999999998</v>
      </c>
    </row>
    <row r="41" spans="1:6">
      <c r="A41" s="17" t="s">
        <v>64</v>
      </c>
      <c r="B41" s="47">
        <v>39813</v>
      </c>
      <c r="C41" s="35" t="e">
        <v>#N/A</v>
      </c>
      <c r="D41" s="35" t="e">
        <v>#N/A</v>
      </c>
      <c r="E41" s="48">
        <v>17.105</v>
      </c>
      <c r="F41" s="48">
        <v>20.212</v>
      </c>
    </row>
    <row r="42" spans="1:6">
      <c r="A42" s="17" t="s">
        <v>65</v>
      </c>
      <c r="B42" s="47">
        <v>40178</v>
      </c>
      <c r="C42" s="35" t="e">
        <v>#N/A</v>
      </c>
      <c r="D42" s="35" t="e">
        <v>#N/A</v>
      </c>
      <c r="E42" s="48">
        <v>14.603999999999999</v>
      </c>
      <c r="F42" s="48">
        <v>24.405000000000001</v>
      </c>
    </row>
    <row r="43" spans="1:6">
      <c r="A43" s="17" t="s">
        <v>66</v>
      </c>
      <c r="B43" s="47">
        <v>40543</v>
      </c>
      <c r="C43" s="35" t="e">
        <v>#N/A</v>
      </c>
      <c r="D43" s="35" t="e">
        <v>#N/A</v>
      </c>
      <c r="E43" s="48">
        <v>14.621</v>
      </c>
      <c r="F43" s="48">
        <v>23.372</v>
      </c>
    </row>
    <row r="44" spans="1:6">
      <c r="A44" s="17" t="s">
        <v>67</v>
      </c>
      <c r="B44" s="47">
        <v>40908</v>
      </c>
      <c r="C44" s="35" t="e">
        <v>#N/A</v>
      </c>
      <c r="D44" s="35" t="e">
        <v>#N/A</v>
      </c>
      <c r="E44" s="48">
        <v>14.97</v>
      </c>
      <c r="F44" s="48">
        <v>23.416</v>
      </c>
    </row>
    <row r="45" spans="1:6">
      <c r="A45" s="17" t="s">
        <v>68</v>
      </c>
      <c r="B45" s="47">
        <v>41274</v>
      </c>
      <c r="C45" s="35">
        <v>15.2</v>
      </c>
      <c r="D45" s="35">
        <v>22</v>
      </c>
      <c r="E45" s="48">
        <v>15.224</v>
      </c>
      <c r="F45" s="48">
        <v>21.978000000000002</v>
      </c>
    </row>
    <row r="46" spans="1:6">
      <c r="A46" s="17" t="s">
        <v>69</v>
      </c>
      <c r="B46" s="47">
        <v>41639</v>
      </c>
      <c r="C46" s="35">
        <v>16.7</v>
      </c>
      <c r="D46" s="35">
        <v>20.8</v>
      </c>
      <c r="E46" s="48">
        <v>16.684999999999999</v>
      </c>
      <c r="F46" s="48">
        <v>20.77</v>
      </c>
    </row>
    <row r="47" spans="1:6">
      <c r="A47" s="17" t="s">
        <v>70</v>
      </c>
      <c r="B47" s="47">
        <v>42004</v>
      </c>
      <c r="C47" s="35">
        <v>17.5</v>
      </c>
      <c r="D47" s="35">
        <v>20.399999999999999</v>
      </c>
      <c r="E47" s="48" t="e">
        <v>#N/A</v>
      </c>
      <c r="F47" s="48" t="e">
        <v>#N/A</v>
      </c>
    </row>
    <row r="48" spans="1:6">
      <c r="A48" s="17" t="s">
        <v>71</v>
      </c>
      <c r="B48" s="47">
        <v>42369</v>
      </c>
      <c r="C48" s="35">
        <v>18.3</v>
      </c>
      <c r="D48" s="35">
        <v>20.9</v>
      </c>
      <c r="E48" s="48" t="e">
        <v>#N/A</v>
      </c>
      <c r="F48" s="48" t="e">
        <v>#N/A</v>
      </c>
    </row>
    <row r="49" spans="1:6">
      <c r="A49" s="17" t="s">
        <v>72</v>
      </c>
      <c r="B49" s="47">
        <v>42735</v>
      </c>
      <c r="C49" s="35">
        <v>18.100000000000001</v>
      </c>
      <c r="D49" s="35">
        <v>21</v>
      </c>
      <c r="E49" s="48" t="e">
        <v>#N/A</v>
      </c>
      <c r="F49" s="48" t="e">
        <v>#N/A</v>
      </c>
    </row>
    <row r="50" spans="1:6">
      <c r="A50" s="17" t="s">
        <v>73</v>
      </c>
      <c r="B50" s="47">
        <v>43100</v>
      </c>
      <c r="C50" s="35">
        <v>18.100000000000001</v>
      </c>
      <c r="D50" s="35">
        <v>20.8</v>
      </c>
      <c r="E50" s="48" t="e">
        <v>#N/A</v>
      </c>
      <c r="F50" s="48" t="e">
        <v>#N/A</v>
      </c>
    </row>
    <row r="51" spans="1:6">
      <c r="A51" s="17" t="s">
        <v>74</v>
      </c>
      <c r="B51" s="47">
        <v>43465</v>
      </c>
      <c r="C51" s="35">
        <v>18</v>
      </c>
      <c r="D51" s="35">
        <v>20.7</v>
      </c>
      <c r="E51" s="48" t="e">
        <v>#N/A</v>
      </c>
      <c r="F51" s="48" t="e">
        <v>#N/A</v>
      </c>
    </row>
    <row r="52" spans="1:6">
      <c r="A52" s="17" t="s">
        <v>75</v>
      </c>
      <c r="B52" s="47">
        <v>43830</v>
      </c>
      <c r="C52" s="35">
        <v>18</v>
      </c>
      <c r="D52" s="35">
        <v>21.1</v>
      </c>
      <c r="E52" s="48" t="e">
        <v>#N/A</v>
      </c>
      <c r="F52" s="48" t="e">
        <v>#N/A</v>
      </c>
    </row>
    <row r="53" spans="1:6">
      <c r="A53" s="17" t="s">
        <v>76</v>
      </c>
      <c r="B53" s="47">
        <v>44196</v>
      </c>
      <c r="C53" s="35">
        <v>18.100000000000001</v>
      </c>
      <c r="D53" s="35">
        <v>21.3</v>
      </c>
      <c r="E53" s="48" t="e">
        <v>#N/A</v>
      </c>
      <c r="F53" s="48" t="e">
        <v>#N/A</v>
      </c>
    </row>
    <row r="54" spans="1:6">
      <c r="A54" s="17" t="s">
        <v>77</v>
      </c>
      <c r="B54" s="47">
        <v>44561</v>
      </c>
      <c r="C54" s="35">
        <v>18.100000000000001</v>
      </c>
      <c r="D54" s="35">
        <v>21.5</v>
      </c>
      <c r="E54" s="48" t="e">
        <v>#N/A</v>
      </c>
      <c r="F54" s="48" t="e">
        <v>#N/A</v>
      </c>
    </row>
    <row r="55" spans="1:6">
      <c r="A55" s="17" t="s">
        <v>78</v>
      </c>
      <c r="B55" s="47">
        <v>44926</v>
      </c>
      <c r="C55" s="35">
        <v>18.100000000000001</v>
      </c>
      <c r="D55" s="35">
        <v>21.9</v>
      </c>
      <c r="E55" s="48" t="e">
        <v>#N/A</v>
      </c>
      <c r="F55" s="48" t="e">
        <v>#N/A</v>
      </c>
    </row>
    <row r="56" spans="1:6">
      <c r="A56" s="17" t="s">
        <v>79</v>
      </c>
      <c r="B56" s="47">
        <v>45291</v>
      </c>
      <c r="C56" s="35">
        <v>18.2</v>
      </c>
      <c r="D56" s="35">
        <v>21.9</v>
      </c>
      <c r="E56" s="48" t="e">
        <v>#N/A</v>
      </c>
      <c r="F56" s="48" t="e">
        <v>#N/A</v>
      </c>
    </row>
    <row r="57" spans="1:6">
      <c r="A57" s="17" t="s">
        <v>80</v>
      </c>
      <c r="B57" s="47">
        <v>45657</v>
      </c>
      <c r="C57" s="35">
        <v>18.2</v>
      </c>
      <c r="D57" s="35">
        <v>21.8</v>
      </c>
      <c r="E57" s="48" t="e">
        <v>#N/A</v>
      </c>
      <c r="F57" s="48" t="e">
        <v>#N/A</v>
      </c>
    </row>
  </sheetData>
  <hyperlinks>
    <hyperlink ref="C4" r:id="rId1"/>
    <hyperlink ref="D4" r:id="rId2"/>
    <hyperlink ref="E4" r:id="rId3"/>
    <hyperlink ref="F4" r:id="rId4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56"/>
  <sheetViews>
    <sheetView workbookViewId="0">
      <selection activeCell="K29" sqref="K29"/>
    </sheetView>
  </sheetViews>
  <sheetFormatPr defaultRowHeight="15"/>
  <cols>
    <col min="1" max="2" width="9.140625" style="17"/>
    <col min="4" max="4" width="9.140625" style="23"/>
    <col min="8" max="8" width="9.140625" customWidth="1"/>
    <col min="9" max="9" width="10" customWidth="1"/>
  </cols>
  <sheetData>
    <row r="1" spans="1:9">
      <c r="C1" s="22"/>
      <c r="E1" t="s">
        <v>149</v>
      </c>
      <c r="F1">
        <v>2014</v>
      </c>
    </row>
    <row r="2" spans="1:9">
      <c r="C2" s="22" t="s">
        <v>120</v>
      </c>
    </row>
    <row r="3" spans="1:9">
      <c r="A3" s="25" t="s">
        <v>308</v>
      </c>
      <c r="B3" s="19" t="s">
        <v>0</v>
      </c>
      <c r="C3" s="49" t="s">
        <v>121</v>
      </c>
      <c r="D3" s="24"/>
      <c r="E3" s="18"/>
      <c r="H3" s="18"/>
      <c r="I3" s="18"/>
    </row>
    <row r="4" spans="1:9">
      <c r="A4" s="17" t="s">
        <v>7</v>
      </c>
      <c r="C4" s="22" t="s">
        <v>122</v>
      </c>
    </row>
    <row r="5" spans="1:9">
      <c r="A5" s="17" t="s">
        <v>22</v>
      </c>
      <c r="C5" s="22" t="s">
        <v>24</v>
      </c>
    </row>
    <row r="6" spans="1:9">
      <c r="A6" s="17" t="s">
        <v>26</v>
      </c>
      <c r="C6" s="22" t="s">
        <v>178</v>
      </c>
      <c r="D6" s="23" t="s">
        <v>150</v>
      </c>
      <c r="E6" t="s">
        <v>151</v>
      </c>
    </row>
    <row r="7" spans="1:9">
      <c r="A7" s="17" t="s">
        <v>31</v>
      </c>
      <c r="B7" s="47">
        <v>27759</v>
      </c>
      <c r="C7" s="46">
        <v>-53</v>
      </c>
      <c r="D7" s="34">
        <f t="shared" ref="D7:D38" si="0">IF(YEAR(B7)&gt;2014, #N/A, C7)</f>
        <v>-53</v>
      </c>
      <c r="E7" s="34" t="e">
        <f t="shared" ref="E7:E38" si="1">IF(YEAR(B7)&lt;2014,#N/A,C7)</f>
        <v>#N/A</v>
      </c>
      <c r="F7">
        <v>0</v>
      </c>
      <c r="H7" s="20"/>
      <c r="I7" s="20"/>
    </row>
    <row r="8" spans="1:9">
      <c r="A8" s="17" t="s">
        <v>32</v>
      </c>
      <c r="B8" s="47">
        <v>28125</v>
      </c>
      <c r="C8" s="46">
        <v>-74</v>
      </c>
      <c r="D8" s="34">
        <f t="shared" si="0"/>
        <v>-74</v>
      </c>
      <c r="E8" s="34" t="e">
        <f t="shared" si="1"/>
        <v>#N/A</v>
      </c>
      <c r="F8" s="23">
        <v>0</v>
      </c>
      <c r="H8" s="20"/>
      <c r="I8" s="20"/>
    </row>
    <row r="9" spans="1:9">
      <c r="A9" s="17" t="s">
        <v>33</v>
      </c>
      <c r="B9" s="47">
        <v>28490</v>
      </c>
      <c r="C9" s="46">
        <v>-54</v>
      </c>
      <c r="D9" s="34">
        <f t="shared" si="0"/>
        <v>-54</v>
      </c>
      <c r="E9" s="34" t="e">
        <f t="shared" si="1"/>
        <v>#N/A</v>
      </c>
      <c r="F9" s="23">
        <v>0</v>
      </c>
      <c r="H9" s="20"/>
      <c r="I9" s="20"/>
    </row>
    <row r="10" spans="1:9">
      <c r="A10" s="17" t="s">
        <v>34</v>
      </c>
      <c r="B10" s="47">
        <v>28855</v>
      </c>
      <c r="C10" s="46">
        <v>-59</v>
      </c>
      <c r="D10" s="34">
        <f t="shared" si="0"/>
        <v>-59</v>
      </c>
      <c r="E10" s="34" t="e">
        <f t="shared" si="1"/>
        <v>#N/A</v>
      </c>
      <c r="F10" s="23">
        <v>0</v>
      </c>
      <c r="H10" s="20"/>
      <c r="I10" s="20"/>
    </row>
    <row r="11" spans="1:9">
      <c r="A11" s="17" t="s">
        <v>35</v>
      </c>
      <c r="B11" s="47">
        <v>29220</v>
      </c>
      <c r="C11" s="46">
        <v>-41</v>
      </c>
      <c r="D11" s="34">
        <f t="shared" si="0"/>
        <v>-41</v>
      </c>
      <c r="E11" s="34" t="e">
        <f t="shared" si="1"/>
        <v>#N/A</v>
      </c>
      <c r="F11" s="23">
        <v>0</v>
      </c>
      <c r="H11" s="20"/>
      <c r="I11" s="20"/>
    </row>
    <row r="12" spans="1:9">
      <c r="A12" s="17" t="s">
        <v>36</v>
      </c>
      <c r="B12" s="47">
        <v>29586</v>
      </c>
      <c r="C12" s="46">
        <v>-74</v>
      </c>
      <c r="D12" s="34">
        <f t="shared" si="0"/>
        <v>-74</v>
      </c>
      <c r="E12" s="34" t="e">
        <f t="shared" si="1"/>
        <v>#N/A</v>
      </c>
      <c r="F12" s="23">
        <v>0</v>
      </c>
      <c r="H12" s="20"/>
      <c r="I12" s="20"/>
    </row>
    <row r="13" spans="1:9">
      <c r="A13" s="17" t="s">
        <v>37</v>
      </c>
      <c r="B13" s="47">
        <v>29951</v>
      </c>
      <c r="C13" s="46">
        <v>-79</v>
      </c>
      <c r="D13" s="34">
        <f t="shared" si="0"/>
        <v>-79</v>
      </c>
      <c r="E13" s="34" t="e">
        <f t="shared" si="1"/>
        <v>#N/A</v>
      </c>
      <c r="F13" s="23">
        <v>0</v>
      </c>
      <c r="H13" s="20"/>
      <c r="I13" s="20"/>
    </row>
    <row r="14" spans="1:9">
      <c r="A14" s="17" t="s">
        <v>38</v>
      </c>
      <c r="B14" s="47">
        <v>30316</v>
      </c>
      <c r="C14" s="46">
        <v>-128</v>
      </c>
      <c r="D14" s="34">
        <f t="shared" si="0"/>
        <v>-128</v>
      </c>
      <c r="E14" s="34" t="e">
        <f t="shared" si="1"/>
        <v>#N/A</v>
      </c>
      <c r="F14" s="23">
        <v>0</v>
      </c>
      <c r="H14" s="20"/>
      <c r="I14" s="20"/>
    </row>
    <row r="15" spans="1:9">
      <c r="A15" s="17" t="s">
        <v>39</v>
      </c>
      <c r="B15" s="47">
        <v>30681</v>
      </c>
      <c r="C15" s="46">
        <v>-208</v>
      </c>
      <c r="D15" s="34">
        <f t="shared" si="0"/>
        <v>-208</v>
      </c>
      <c r="E15" s="34" t="e">
        <f t="shared" si="1"/>
        <v>#N/A</v>
      </c>
      <c r="F15" s="23">
        <v>0</v>
      </c>
      <c r="H15" s="20"/>
      <c r="I15" s="20"/>
    </row>
    <row r="16" spans="1:9">
      <c r="A16" s="17" t="s">
        <v>40</v>
      </c>
      <c r="B16" s="47">
        <v>31047</v>
      </c>
      <c r="C16" s="46">
        <v>-185</v>
      </c>
      <c r="D16" s="34">
        <f t="shared" si="0"/>
        <v>-185</v>
      </c>
      <c r="E16" s="34" t="e">
        <f t="shared" si="1"/>
        <v>#N/A</v>
      </c>
      <c r="F16" s="23">
        <v>0</v>
      </c>
      <c r="H16" s="20"/>
      <c r="I16" s="20"/>
    </row>
    <row r="17" spans="1:9">
      <c r="A17" s="17" t="s">
        <v>41</v>
      </c>
      <c r="B17" s="47">
        <v>31412</v>
      </c>
      <c r="C17" s="46">
        <v>-212</v>
      </c>
      <c r="D17" s="34">
        <f t="shared" si="0"/>
        <v>-212</v>
      </c>
      <c r="E17" s="34" t="e">
        <f t="shared" si="1"/>
        <v>#N/A</v>
      </c>
      <c r="F17" s="23">
        <v>0</v>
      </c>
      <c r="H17" s="20"/>
      <c r="I17" s="20"/>
    </row>
    <row r="18" spans="1:9">
      <c r="A18" s="17" t="s">
        <v>42</v>
      </c>
      <c r="B18" s="47">
        <v>31777</v>
      </c>
      <c r="C18" s="46">
        <v>-221</v>
      </c>
      <c r="D18" s="34">
        <f t="shared" si="0"/>
        <v>-221</v>
      </c>
      <c r="E18" s="34" t="e">
        <f t="shared" si="1"/>
        <v>#N/A</v>
      </c>
      <c r="F18" s="23">
        <v>0</v>
      </c>
      <c r="H18" s="20"/>
      <c r="I18" s="20"/>
    </row>
    <row r="19" spans="1:9">
      <c r="A19" s="17" t="s">
        <v>43</v>
      </c>
      <c r="B19" s="47">
        <v>32142</v>
      </c>
      <c r="C19" s="46">
        <v>-150</v>
      </c>
      <c r="D19" s="34">
        <f t="shared" si="0"/>
        <v>-150</v>
      </c>
      <c r="E19" s="34" t="e">
        <f t="shared" si="1"/>
        <v>#N/A</v>
      </c>
      <c r="F19" s="23">
        <v>0</v>
      </c>
      <c r="H19" s="20"/>
      <c r="I19" s="20"/>
    </row>
    <row r="20" spans="1:9">
      <c r="A20" s="17" t="s">
        <v>44</v>
      </c>
      <c r="B20" s="47">
        <v>32508</v>
      </c>
      <c r="C20" s="46">
        <v>-155</v>
      </c>
      <c r="D20" s="34">
        <f t="shared" si="0"/>
        <v>-155</v>
      </c>
      <c r="E20" s="34" t="e">
        <f t="shared" si="1"/>
        <v>#N/A</v>
      </c>
      <c r="F20" s="23">
        <v>0</v>
      </c>
      <c r="H20" s="20"/>
      <c r="I20" s="20"/>
    </row>
    <row r="21" spans="1:9">
      <c r="A21" s="17" t="s">
        <v>45</v>
      </c>
      <c r="B21" s="47">
        <v>32873</v>
      </c>
      <c r="C21" s="46">
        <v>-153</v>
      </c>
      <c r="D21" s="34">
        <f t="shared" si="0"/>
        <v>-153</v>
      </c>
      <c r="E21" s="34" t="e">
        <f t="shared" si="1"/>
        <v>#N/A</v>
      </c>
      <c r="F21" s="23">
        <v>0</v>
      </c>
      <c r="H21" s="20"/>
      <c r="I21" s="20"/>
    </row>
    <row r="22" spans="1:9">
      <c r="A22" s="17" t="s">
        <v>46</v>
      </c>
      <c r="B22" s="47">
        <v>33238</v>
      </c>
      <c r="C22" s="46">
        <v>-221</v>
      </c>
      <c r="D22" s="34">
        <f t="shared" si="0"/>
        <v>-221</v>
      </c>
      <c r="E22" s="34" t="e">
        <f t="shared" si="1"/>
        <v>#N/A</v>
      </c>
      <c r="F22" s="23">
        <v>0</v>
      </c>
      <c r="H22" s="20"/>
      <c r="I22" s="20"/>
    </row>
    <row r="23" spans="1:9">
      <c r="A23" s="17" t="s">
        <v>47</v>
      </c>
      <c r="B23" s="47">
        <v>33603</v>
      </c>
      <c r="C23" s="46">
        <v>-269</v>
      </c>
      <c r="D23" s="34">
        <f t="shared" si="0"/>
        <v>-269</v>
      </c>
      <c r="E23" s="34" t="e">
        <f t="shared" si="1"/>
        <v>#N/A</v>
      </c>
      <c r="F23" s="23">
        <v>0</v>
      </c>
      <c r="H23" s="20"/>
      <c r="I23" s="20"/>
    </row>
    <row r="24" spans="1:9">
      <c r="A24" s="17" t="s">
        <v>48</v>
      </c>
      <c r="B24" s="47">
        <v>33969</v>
      </c>
      <c r="C24" s="46">
        <v>-290</v>
      </c>
      <c r="D24" s="34">
        <f t="shared" si="0"/>
        <v>-290</v>
      </c>
      <c r="E24" s="34" t="e">
        <f t="shared" si="1"/>
        <v>#N/A</v>
      </c>
      <c r="F24" s="23">
        <v>0</v>
      </c>
      <c r="H24" s="20"/>
      <c r="I24" s="20"/>
    </row>
    <row r="25" spans="1:9">
      <c r="A25" s="17" t="s">
        <v>49</v>
      </c>
      <c r="B25" s="47">
        <v>34334</v>
      </c>
      <c r="C25" s="46">
        <v>-255</v>
      </c>
      <c r="D25" s="34">
        <f t="shared" si="0"/>
        <v>-255</v>
      </c>
      <c r="E25" s="34" t="e">
        <f t="shared" si="1"/>
        <v>#N/A</v>
      </c>
      <c r="F25" s="23">
        <v>0</v>
      </c>
      <c r="H25" s="20"/>
      <c r="I25" s="20"/>
    </row>
    <row r="26" spans="1:9">
      <c r="A26" s="17" t="s">
        <v>50</v>
      </c>
      <c r="B26" s="47">
        <v>34699</v>
      </c>
      <c r="C26" s="46">
        <v>-203</v>
      </c>
      <c r="D26" s="34">
        <f t="shared" si="0"/>
        <v>-203</v>
      </c>
      <c r="E26" s="34" t="e">
        <f t="shared" si="1"/>
        <v>#N/A</v>
      </c>
      <c r="F26" s="23">
        <v>0</v>
      </c>
      <c r="H26" s="20"/>
      <c r="I26" s="20"/>
    </row>
    <row r="27" spans="1:9">
      <c r="A27" s="17" t="s">
        <v>51</v>
      </c>
      <c r="B27" s="47">
        <v>35064</v>
      </c>
      <c r="C27" s="46">
        <v>-164</v>
      </c>
      <c r="D27" s="34">
        <f t="shared" si="0"/>
        <v>-164</v>
      </c>
      <c r="E27" s="34" t="e">
        <f t="shared" si="1"/>
        <v>#N/A</v>
      </c>
      <c r="F27" s="23">
        <v>0</v>
      </c>
      <c r="H27" s="20"/>
      <c r="I27" s="20"/>
    </row>
    <row r="28" spans="1:9">
      <c r="A28" s="17" t="s">
        <v>52</v>
      </c>
      <c r="B28" s="47">
        <v>35430</v>
      </c>
      <c r="C28" s="46">
        <v>-107</v>
      </c>
      <c r="D28" s="34">
        <f t="shared" si="0"/>
        <v>-107</v>
      </c>
      <c r="E28" s="34" t="e">
        <f t="shared" si="1"/>
        <v>#N/A</v>
      </c>
      <c r="F28" s="23">
        <v>0</v>
      </c>
      <c r="H28" s="20"/>
      <c r="I28" s="20"/>
    </row>
    <row r="29" spans="1:9">
      <c r="A29" s="17" t="s">
        <v>53</v>
      </c>
      <c r="B29" s="47">
        <v>35795</v>
      </c>
      <c r="C29" s="46">
        <v>-22</v>
      </c>
      <c r="D29" s="34">
        <f t="shared" si="0"/>
        <v>-22</v>
      </c>
      <c r="E29" s="34" t="e">
        <f t="shared" si="1"/>
        <v>#N/A</v>
      </c>
      <c r="F29" s="23">
        <v>0</v>
      </c>
      <c r="H29" s="20"/>
      <c r="I29" s="20"/>
    </row>
    <row r="30" spans="1:9">
      <c r="A30" s="17" t="s">
        <v>54</v>
      </c>
      <c r="B30" s="47">
        <v>36160</v>
      </c>
      <c r="C30" s="46">
        <v>69</v>
      </c>
      <c r="D30" s="34">
        <f t="shared" si="0"/>
        <v>69</v>
      </c>
      <c r="E30" s="34" t="e">
        <f t="shared" si="1"/>
        <v>#N/A</v>
      </c>
      <c r="F30" s="23">
        <v>0</v>
      </c>
      <c r="H30" s="20"/>
      <c r="I30" s="20"/>
    </row>
    <row r="31" spans="1:9">
      <c r="A31" s="17" t="s">
        <v>55</v>
      </c>
      <c r="B31" s="47">
        <v>36525</v>
      </c>
      <c r="C31" s="46">
        <v>126</v>
      </c>
      <c r="D31" s="34">
        <f t="shared" si="0"/>
        <v>126</v>
      </c>
      <c r="E31" s="34" t="e">
        <f t="shared" si="1"/>
        <v>#N/A</v>
      </c>
      <c r="F31" s="23">
        <v>0</v>
      </c>
      <c r="H31" s="20"/>
      <c r="I31" s="20"/>
    </row>
    <row r="32" spans="1:9">
      <c r="A32" s="17" t="s">
        <v>56</v>
      </c>
      <c r="B32" s="47">
        <v>36891</v>
      </c>
      <c r="C32" s="46">
        <v>236</v>
      </c>
      <c r="D32" s="34">
        <f t="shared" si="0"/>
        <v>236</v>
      </c>
      <c r="E32" s="34" t="e">
        <f t="shared" si="1"/>
        <v>#N/A</v>
      </c>
      <c r="F32" s="23">
        <v>0</v>
      </c>
      <c r="H32" s="20"/>
      <c r="I32" s="20"/>
    </row>
    <row r="33" spans="1:9">
      <c r="A33" s="17" t="s">
        <v>57</v>
      </c>
      <c r="B33" s="47">
        <v>37256</v>
      </c>
      <c r="C33" s="46">
        <v>128</v>
      </c>
      <c r="D33" s="34">
        <f t="shared" si="0"/>
        <v>128</v>
      </c>
      <c r="E33" s="34" t="e">
        <f t="shared" si="1"/>
        <v>#N/A</v>
      </c>
      <c r="F33" s="23">
        <v>0</v>
      </c>
      <c r="H33" s="20"/>
      <c r="I33" s="20"/>
    </row>
    <row r="34" spans="1:9">
      <c r="A34" s="17" t="s">
        <v>58</v>
      </c>
      <c r="B34" s="47">
        <v>37621</v>
      </c>
      <c r="C34" s="46">
        <v>-158</v>
      </c>
      <c r="D34" s="34">
        <f t="shared" si="0"/>
        <v>-158</v>
      </c>
      <c r="E34" s="34" t="e">
        <f t="shared" si="1"/>
        <v>#N/A</v>
      </c>
      <c r="F34" s="23">
        <v>0</v>
      </c>
      <c r="H34" s="20"/>
      <c r="I34" s="20"/>
    </row>
    <row r="35" spans="1:9">
      <c r="A35" s="17" t="s">
        <v>59</v>
      </c>
      <c r="B35" s="47">
        <v>37986</v>
      </c>
      <c r="C35" s="46">
        <v>-378</v>
      </c>
      <c r="D35" s="34">
        <f t="shared" si="0"/>
        <v>-378</v>
      </c>
      <c r="E35" s="34" t="e">
        <f t="shared" si="1"/>
        <v>#N/A</v>
      </c>
      <c r="F35" s="23">
        <v>0</v>
      </c>
      <c r="H35" s="20"/>
      <c r="I35" s="20"/>
    </row>
    <row r="36" spans="1:9">
      <c r="A36" s="17" t="s">
        <v>60</v>
      </c>
      <c r="B36" s="47">
        <v>38352</v>
      </c>
      <c r="C36" s="46">
        <v>-413</v>
      </c>
      <c r="D36" s="34">
        <f t="shared" si="0"/>
        <v>-413</v>
      </c>
      <c r="E36" s="34" t="e">
        <f t="shared" si="1"/>
        <v>#N/A</v>
      </c>
      <c r="F36" s="23">
        <v>0</v>
      </c>
      <c r="H36" s="20"/>
      <c r="I36" s="20"/>
    </row>
    <row r="37" spans="1:9">
      <c r="A37" s="17" t="s">
        <v>61</v>
      </c>
      <c r="B37" s="47">
        <v>38717</v>
      </c>
      <c r="C37" s="46">
        <v>-318</v>
      </c>
      <c r="D37" s="34">
        <f t="shared" si="0"/>
        <v>-318</v>
      </c>
      <c r="E37" s="34" t="e">
        <f t="shared" si="1"/>
        <v>#N/A</v>
      </c>
      <c r="F37" s="23">
        <v>0</v>
      </c>
      <c r="H37" s="20"/>
      <c r="I37" s="20"/>
    </row>
    <row r="38" spans="1:9">
      <c r="A38" s="17" t="s">
        <v>62</v>
      </c>
      <c r="B38" s="47">
        <v>39082</v>
      </c>
      <c r="C38" s="46">
        <v>-248</v>
      </c>
      <c r="D38" s="34">
        <f t="shared" si="0"/>
        <v>-248</v>
      </c>
      <c r="E38" s="34" t="e">
        <f t="shared" si="1"/>
        <v>#N/A</v>
      </c>
      <c r="F38" s="23">
        <v>0</v>
      </c>
      <c r="H38" s="20"/>
      <c r="I38" s="20"/>
    </row>
    <row r="39" spans="1:9">
      <c r="A39" s="17" t="s">
        <v>63</v>
      </c>
      <c r="B39" s="47">
        <v>39447</v>
      </c>
      <c r="C39" s="46">
        <v>-161</v>
      </c>
      <c r="D39" s="34">
        <f t="shared" ref="D39:D56" si="2">IF(YEAR(B39)&gt;2014, #N/A, C39)</f>
        <v>-161</v>
      </c>
      <c r="E39" s="34" t="e">
        <f t="shared" ref="E39:E56" si="3">IF(YEAR(B39)&lt;2014,#N/A,C39)</f>
        <v>#N/A</v>
      </c>
      <c r="F39" s="23">
        <v>0</v>
      </c>
      <c r="H39" s="20"/>
      <c r="I39" s="20"/>
    </row>
    <row r="40" spans="1:9">
      <c r="A40" s="17" t="s">
        <v>64</v>
      </c>
      <c r="B40" s="47">
        <v>39813</v>
      </c>
      <c r="C40" s="46">
        <v>-459</v>
      </c>
      <c r="D40" s="34">
        <f t="shared" si="2"/>
        <v>-459</v>
      </c>
      <c r="E40" s="34" t="e">
        <f t="shared" si="3"/>
        <v>#N/A</v>
      </c>
      <c r="F40" s="23">
        <v>0</v>
      </c>
      <c r="H40" s="20"/>
      <c r="I40" s="20"/>
    </row>
    <row r="41" spans="1:9">
      <c r="A41" s="17" t="s">
        <v>65</v>
      </c>
      <c r="B41" s="47">
        <v>40178</v>
      </c>
      <c r="C41" s="46">
        <v>-1413</v>
      </c>
      <c r="D41" s="34">
        <f t="shared" si="2"/>
        <v>-1413</v>
      </c>
      <c r="E41" s="34" t="e">
        <f t="shared" si="3"/>
        <v>#N/A</v>
      </c>
      <c r="F41" s="23">
        <v>0</v>
      </c>
      <c r="H41" s="20"/>
      <c r="I41" s="20"/>
    </row>
    <row r="42" spans="1:9">
      <c r="A42" s="17" t="s">
        <v>66</v>
      </c>
      <c r="B42" s="47">
        <v>40543</v>
      </c>
      <c r="C42" s="46">
        <v>-1294</v>
      </c>
      <c r="D42" s="34">
        <f t="shared" si="2"/>
        <v>-1294</v>
      </c>
      <c r="E42" s="34" t="e">
        <f t="shared" si="3"/>
        <v>#N/A</v>
      </c>
      <c r="F42" s="23">
        <v>0</v>
      </c>
      <c r="H42" s="20"/>
      <c r="I42" s="20"/>
    </row>
    <row r="43" spans="1:9">
      <c r="A43" s="17" t="s">
        <v>67</v>
      </c>
      <c r="B43" s="47">
        <v>40908</v>
      </c>
      <c r="C43" s="46">
        <v>-1300</v>
      </c>
      <c r="D43" s="34">
        <f t="shared" si="2"/>
        <v>-1300</v>
      </c>
      <c r="E43" s="34" t="e">
        <f t="shared" si="3"/>
        <v>#N/A</v>
      </c>
      <c r="F43" s="23">
        <v>0</v>
      </c>
      <c r="H43" s="20"/>
      <c r="I43" s="20"/>
    </row>
    <row r="44" spans="1:9">
      <c r="A44" s="17" t="s">
        <v>68</v>
      </c>
      <c r="B44" s="47">
        <v>41274</v>
      </c>
      <c r="C44" s="46">
        <v>-1087</v>
      </c>
      <c r="D44" s="34">
        <f t="shared" si="2"/>
        <v>-1087</v>
      </c>
      <c r="E44" s="34" t="e">
        <f t="shared" si="3"/>
        <v>#N/A</v>
      </c>
      <c r="F44" s="23">
        <v>0</v>
      </c>
      <c r="H44" s="20"/>
      <c r="I44" s="20"/>
    </row>
    <row r="45" spans="1:9">
      <c r="A45" s="17" t="s">
        <v>69</v>
      </c>
      <c r="B45" s="47">
        <v>41639</v>
      </c>
      <c r="C45" s="46">
        <v>-680</v>
      </c>
      <c r="D45" s="34">
        <f t="shared" si="2"/>
        <v>-680</v>
      </c>
      <c r="E45" s="34" t="e">
        <f t="shared" si="3"/>
        <v>#N/A</v>
      </c>
      <c r="F45" s="23">
        <v>0</v>
      </c>
      <c r="H45" s="20"/>
      <c r="I45" s="20"/>
    </row>
    <row r="46" spans="1:9">
      <c r="A46" s="17" t="s">
        <v>70</v>
      </c>
      <c r="B46" s="47">
        <v>42004</v>
      </c>
      <c r="C46" s="46">
        <v>-506</v>
      </c>
      <c r="D46" s="34">
        <f t="shared" si="2"/>
        <v>-506</v>
      </c>
      <c r="E46" s="34">
        <f t="shared" si="3"/>
        <v>-506</v>
      </c>
      <c r="F46" s="23">
        <v>0</v>
      </c>
      <c r="H46" s="20"/>
      <c r="I46" s="20"/>
    </row>
    <row r="47" spans="1:9">
      <c r="A47" s="17" t="s">
        <v>71</v>
      </c>
      <c r="B47" s="47">
        <v>42369</v>
      </c>
      <c r="C47" s="46">
        <v>-469</v>
      </c>
      <c r="D47" s="34" t="e">
        <f t="shared" si="2"/>
        <v>#N/A</v>
      </c>
      <c r="E47" s="34">
        <f t="shared" si="3"/>
        <v>-469</v>
      </c>
      <c r="F47" s="23">
        <v>0</v>
      </c>
      <c r="H47" s="20"/>
      <c r="I47" s="20"/>
    </row>
    <row r="48" spans="1:9">
      <c r="A48" s="17" t="s">
        <v>72</v>
      </c>
      <c r="B48" s="47">
        <v>42735</v>
      </c>
      <c r="C48" s="46">
        <v>-556</v>
      </c>
      <c r="D48" s="34" t="e">
        <f t="shared" si="2"/>
        <v>#N/A</v>
      </c>
      <c r="E48" s="34">
        <f t="shared" si="3"/>
        <v>-556</v>
      </c>
      <c r="F48" s="23">
        <v>0</v>
      </c>
      <c r="H48" s="20"/>
      <c r="I48" s="20"/>
    </row>
    <row r="49" spans="1:9">
      <c r="A49" s="17" t="s">
        <v>73</v>
      </c>
      <c r="B49" s="47">
        <v>43100</v>
      </c>
      <c r="C49" s="46">
        <v>-530</v>
      </c>
      <c r="D49" s="34" t="e">
        <f t="shared" si="2"/>
        <v>#N/A</v>
      </c>
      <c r="E49" s="34">
        <f t="shared" si="3"/>
        <v>-530</v>
      </c>
      <c r="F49" s="23">
        <v>0</v>
      </c>
      <c r="H49" s="20"/>
      <c r="I49" s="20"/>
    </row>
    <row r="50" spans="1:9">
      <c r="A50" s="17" t="s">
        <v>74</v>
      </c>
      <c r="B50" s="47">
        <v>43465</v>
      </c>
      <c r="C50" s="46">
        <v>-560</v>
      </c>
      <c r="D50" s="34" t="e">
        <f t="shared" si="2"/>
        <v>#N/A</v>
      </c>
      <c r="E50" s="34">
        <f t="shared" si="3"/>
        <v>-560</v>
      </c>
      <c r="F50" s="23">
        <v>0</v>
      </c>
      <c r="H50" s="20"/>
      <c r="I50" s="20"/>
    </row>
    <row r="51" spans="1:9">
      <c r="A51" s="17" t="s">
        <v>75</v>
      </c>
      <c r="B51" s="47">
        <v>43830</v>
      </c>
      <c r="C51" s="46">
        <v>-661</v>
      </c>
      <c r="D51" s="34" t="e">
        <f t="shared" si="2"/>
        <v>#N/A</v>
      </c>
      <c r="E51" s="34">
        <f t="shared" si="3"/>
        <v>-661</v>
      </c>
      <c r="F51" s="23">
        <v>0</v>
      </c>
      <c r="H51" s="20"/>
      <c r="I51" s="20"/>
    </row>
    <row r="52" spans="1:9">
      <c r="A52" s="17" t="s">
        <v>76</v>
      </c>
      <c r="B52" s="47">
        <v>44196</v>
      </c>
      <c r="C52" s="46">
        <v>-737</v>
      </c>
      <c r="D52" s="34" t="e">
        <f t="shared" si="2"/>
        <v>#N/A</v>
      </c>
      <c r="E52" s="34">
        <f t="shared" si="3"/>
        <v>-737</v>
      </c>
      <c r="F52" s="23">
        <v>0</v>
      </c>
      <c r="H52" s="20"/>
      <c r="I52" s="20"/>
    </row>
    <row r="53" spans="1:9">
      <c r="A53" s="17" t="s">
        <v>77</v>
      </c>
      <c r="B53" s="47">
        <v>44561</v>
      </c>
      <c r="C53" s="46">
        <v>-820</v>
      </c>
      <c r="D53" s="34" t="e">
        <f t="shared" si="2"/>
        <v>#N/A</v>
      </c>
      <c r="E53" s="34">
        <f t="shared" si="3"/>
        <v>-820</v>
      </c>
      <c r="F53" s="23">
        <v>0</v>
      </c>
      <c r="H53" s="20"/>
      <c r="I53" s="20"/>
    </row>
    <row r="54" spans="1:9">
      <c r="A54" s="17" t="s">
        <v>78</v>
      </c>
      <c r="B54" s="47">
        <v>44926</v>
      </c>
      <c r="C54" s="46">
        <v>-946</v>
      </c>
      <c r="D54" s="34" t="e">
        <f t="shared" si="2"/>
        <v>#N/A</v>
      </c>
      <c r="E54" s="34">
        <f t="shared" si="3"/>
        <v>-946</v>
      </c>
      <c r="F54" s="23">
        <v>0</v>
      </c>
      <c r="H54" s="20"/>
      <c r="I54" s="20"/>
    </row>
    <row r="55" spans="1:9">
      <c r="A55" s="17" t="s">
        <v>79</v>
      </c>
      <c r="B55" s="47">
        <v>45291</v>
      </c>
      <c r="C55" s="46">
        <v>-957</v>
      </c>
      <c r="D55" s="34" t="e">
        <f t="shared" si="2"/>
        <v>#N/A</v>
      </c>
      <c r="E55" s="34">
        <f t="shared" si="3"/>
        <v>-957</v>
      </c>
      <c r="F55" s="23">
        <v>0</v>
      </c>
      <c r="H55" s="20"/>
      <c r="I55" s="20"/>
    </row>
    <row r="56" spans="1:9">
      <c r="A56" s="17" t="s">
        <v>80</v>
      </c>
      <c r="B56" s="47">
        <v>45657</v>
      </c>
      <c r="C56" s="46">
        <v>-960</v>
      </c>
      <c r="D56" s="34" t="e">
        <f t="shared" si="2"/>
        <v>#N/A</v>
      </c>
      <c r="E56" s="34">
        <f t="shared" si="3"/>
        <v>-960</v>
      </c>
      <c r="F56" s="23">
        <v>0</v>
      </c>
      <c r="H56" s="20"/>
      <c r="I56" s="20"/>
    </row>
  </sheetData>
  <hyperlinks>
    <hyperlink ref="C3" r:id="rId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87"/>
  <sheetViews>
    <sheetView workbookViewId="0"/>
  </sheetViews>
  <sheetFormatPr defaultRowHeight="15"/>
  <cols>
    <col min="1" max="2" width="9.140625" style="23"/>
  </cols>
  <sheetData>
    <row r="1" spans="1:5">
      <c r="C1" s="23" t="s">
        <v>123</v>
      </c>
    </row>
    <row r="2" spans="1:5">
      <c r="A2" s="25" t="s">
        <v>308</v>
      </c>
      <c r="B2" s="25" t="s">
        <v>0</v>
      </c>
      <c r="C2" s="24" t="s">
        <v>124</v>
      </c>
    </row>
    <row r="3" spans="1:5">
      <c r="A3" s="23" t="s">
        <v>7</v>
      </c>
      <c r="C3" t="s">
        <v>125</v>
      </c>
    </row>
    <row r="4" spans="1:5">
      <c r="A4" s="23" t="s">
        <v>22</v>
      </c>
      <c r="C4" t="s">
        <v>24</v>
      </c>
    </row>
    <row r="5" spans="1:5">
      <c r="A5" s="23" t="s">
        <v>26</v>
      </c>
      <c r="C5" t="s">
        <v>183</v>
      </c>
      <c r="D5" t="s">
        <v>152</v>
      </c>
      <c r="E5" t="s">
        <v>153</v>
      </c>
    </row>
    <row r="6" spans="1:5">
      <c r="A6" s="23" t="s">
        <v>31</v>
      </c>
      <c r="B6" s="47">
        <v>27759</v>
      </c>
      <c r="C6" s="26">
        <v>24.5</v>
      </c>
      <c r="D6" s="32">
        <f>IF(YEAR(B6)&gt;2014, #N/A, C6)</f>
        <v>24.5</v>
      </c>
      <c r="E6" s="34" t="e">
        <f>IF(YEAR(B6)&lt;2014,#N/A,C6)</f>
        <v>#N/A</v>
      </c>
    </row>
    <row r="7" spans="1:5">
      <c r="A7" s="23" t="s">
        <v>32</v>
      </c>
      <c r="B7" s="47">
        <v>28125</v>
      </c>
      <c r="C7" s="26">
        <v>26.7</v>
      </c>
      <c r="D7" s="32">
        <f t="shared" ref="D7:D55" si="0">IF(YEAR(B7)&gt;2014, #N/A, C7)</f>
        <v>26.7</v>
      </c>
      <c r="E7" s="34" t="e">
        <f t="shared" ref="E7:E55" si="1">IF(YEAR(B7)&lt;2014,#N/A,C7)</f>
        <v>#N/A</v>
      </c>
    </row>
    <row r="8" spans="1:5">
      <c r="A8" s="23" t="s">
        <v>33</v>
      </c>
      <c r="B8" s="47">
        <v>28490</v>
      </c>
      <c r="C8" s="26">
        <v>27.1</v>
      </c>
      <c r="D8" s="32">
        <f t="shared" si="0"/>
        <v>27.1</v>
      </c>
      <c r="E8" s="34" t="e">
        <f t="shared" si="1"/>
        <v>#N/A</v>
      </c>
    </row>
    <row r="9" spans="1:5">
      <c r="A9" s="23" t="s">
        <v>34</v>
      </c>
      <c r="B9" s="47">
        <v>28855</v>
      </c>
      <c r="C9" s="26">
        <v>26.6</v>
      </c>
      <c r="D9" s="32">
        <f t="shared" si="0"/>
        <v>26.6</v>
      </c>
      <c r="E9" s="34" t="e">
        <f t="shared" si="1"/>
        <v>#N/A</v>
      </c>
    </row>
    <row r="10" spans="1:5">
      <c r="A10" s="23" t="s">
        <v>35</v>
      </c>
      <c r="B10" s="47">
        <v>29220</v>
      </c>
      <c r="C10" s="26">
        <v>24.9</v>
      </c>
      <c r="D10" s="32">
        <f t="shared" si="0"/>
        <v>24.9</v>
      </c>
      <c r="E10" s="34" t="e">
        <f t="shared" si="1"/>
        <v>#N/A</v>
      </c>
    </row>
    <row r="11" spans="1:5">
      <c r="A11" s="23" t="s">
        <v>36</v>
      </c>
      <c r="B11" s="47">
        <v>29586</v>
      </c>
      <c r="C11" s="26">
        <v>25.5</v>
      </c>
      <c r="D11" s="32">
        <f t="shared" si="0"/>
        <v>25.5</v>
      </c>
      <c r="E11" s="34" t="e">
        <f t="shared" si="1"/>
        <v>#N/A</v>
      </c>
    </row>
    <row r="12" spans="1:5">
      <c r="A12" s="23" t="s">
        <v>37</v>
      </c>
      <c r="B12" s="47">
        <v>29951</v>
      </c>
      <c r="C12" s="26">
        <v>25.2</v>
      </c>
      <c r="D12" s="32">
        <f t="shared" si="0"/>
        <v>25.2</v>
      </c>
      <c r="E12" s="34" t="e">
        <f t="shared" si="1"/>
        <v>#N/A</v>
      </c>
    </row>
    <row r="13" spans="1:5">
      <c r="A13" s="23" t="s">
        <v>38</v>
      </c>
      <c r="B13" s="47">
        <v>30316</v>
      </c>
      <c r="C13" s="26">
        <v>27.9</v>
      </c>
      <c r="D13" s="32">
        <f t="shared" si="0"/>
        <v>27.9</v>
      </c>
      <c r="E13" s="34" t="e">
        <f t="shared" si="1"/>
        <v>#N/A</v>
      </c>
    </row>
    <row r="14" spans="1:5">
      <c r="A14" s="23" t="s">
        <v>39</v>
      </c>
      <c r="B14" s="47">
        <v>30681</v>
      </c>
      <c r="C14" s="26">
        <v>32.1</v>
      </c>
      <c r="D14" s="32">
        <f t="shared" si="0"/>
        <v>32.1</v>
      </c>
      <c r="E14" s="34" t="e">
        <f t="shared" si="1"/>
        <v>#N/A</v>
      </c>
    </row>
    <row r="15" spans="1:5">
      <c r="A15" s="23" t="s">
        <v>40</v>
      </c>
      <c r="B15" s="47">
        <v>31047</v>
      </c>
      <c r="C15" s="26">
        <v>33.1</v>
      </c>
      <c r="D15" s="32">
        <f t="shared" si="0"/>
        <v>33.1</v>
      </c>
      <c r="E15" s="34" t="e">
        <f t="shared" si="1"/>
        <v>#N/A</v>
      </c>
    </row>
    <row r="16" spans="1:5">
      <c r="A16" s="23" t="s">
        <v>41</v>
      </c>
      <c r="B16" s="47">
        <v>31412</v>
      </c>
      <c r="C16" s="26">
        <v>35.299999999999997</v>
      </c>
      <c r="D16" s="32">
        <f t="shared" si="0"/>
        <v>35.299999999999997</v>
      </c>
      <c r="E16" s="34" t="e">
        <f t="shared" si="1"/>
        <v>#N/A</v>
      </c>
    </row>
    <row r="17" spans="1:5">
      <c r="A17" s="23" t="s">
        <v>42</v>
      </c>
      <c r="B17" s="47">
        <v>31777</v>
      </c>
      <c r="C17" s="26">
        <v>38.4</v>
      </c>
      <c r="D17" s="32">
        <f t="shared" si="0"/>
        <v>38.4</v>
      </c>
      <c r="E17" s="34" t="e">
        <f t="shared" si="1"/>
        <v>#N/A</v>
      </c>
    </row>
    <row r="18" spans="1:5">
      <c r="A18" s="23" t="s">
        <v>43</v>
      </c>
      <c r="B18" s="47">
        <v>32142</v>
      </c>
      <c r="C18" s="26">
        <v>39.5</v>
      </c>
      <c r="D18" s="32">
        <f t="shared" si="0"/>
        <v>39.5</v>
      </c>
      <c r="E18" s="34" t="e">
        <f t="shared" si="1"/>
        <v>#N/A</v>
      </c>
    </row>
    <row r="19" spans="1:5">
      <c r="A19" s="23" t="s">
        <v>44</v>
      </c>
      <c r="B19" s="47">
        <v>32508</v>
      </c>
      <c r="C19" s="26">
        <v>39.799999999999997</v>
      </c>
      <c r="D19" s="32">
        <f t="shared" si="0"/>
        <v>39.799999999999997</v>
      </c>
      <c r="E19" s="34" t="e">
        <f t="shared" si="1"/>
        <v>#N/A</v>
      </c>
    </row>
    <row r="20" spans="1:5">
      <c r="A20" s="23" t="s">
        <v>45</v>
      </c>
      <c r="B20" s="47">
        <v>32873</v>
      </c>
      <c r="C20" s="26">
        <v>39.299999999999997</v>
      </c>
      <c r="D20" s="32">
        <f t="shared" si="0"/>
        <v>39.299999999999997</v>
      </c>
      <c r="E20" s="34" t="e">
        <f t="shared" si="1"/>
        <v>#N/A</v>
      </c>
    </row>
    <row r="21" spans="1:5">
      <c r="A21" s="23" t="s">
        <v>46</v>
      </c>
      <c r="B21" s="47">
        <v>33238</v>
      </c>
      <c r="C21" s="26">
        <v>40.799999999999997</v>
      </c>
      <c r="D21" s="32">
        <f t="shared" si="0"/>
        <v>40.799999999999997</v>
      </c>
      <c r="E21" s="34" t="e">
        <f t="shared" si="1"/>
        <v>#N/A</v>
      </c>
    </row>
    <row r="22" spans="1:5">
      <c r="A22" s="23" t="s">
        <v>47</v>
      </c>
      <c r="B22" s="47">
        <v>33603</v>
      </c>
      <c r="C22" s="26">
        <v>44</v>
      </c>
      <c r="D22" s="32">
        <f t="shared" si="0"/>
        <v>44</v>
      </c>
      <c r="E22" s="34" t="e">
        <f t="shared" si="1"/>
        <v>#N/A</v>
      </c>
    </row>
    <row r="23" spans="1:5">
      <c r="A23" s="23" t="s">
        <v>48</v>
      </c>
      <c r="B23" s="47">
        <v>33969</v>
      </c>
      <c r="C23" s="26">
        <v>46.6</v>
      </c>
      <c r="D23" s="32">
        <f t="shared" si="0"/>
        <v>46.6</v>
      </c>
      <c r="E23" s="34" t="e">
        <f t="shared" si="1"/>
        <v>#N/A</v>
      </c>
    </row>
    <row r="24" spans="1:5">
      <c r="A24" s="23" t="s">
        <v>49</v>
      </c>
      <c r="B24" s="47">
        <v>34334</v>
      </c>
      <c r="C24" s="26">
        <v>47.8</v>
      </c>
      <c r="D24" s="32">
        <f t="shared" si="0"/>
        <v>47.8</v>
      </c>
      <c r="E24" s="34" t="e">
        <f t="shared" si="1"/>
        <v>#N/A</v>
      </c>
    </row>
    <row r="25" spans="1:5">
      <c r="A25" s="23" t="s">
        <v>50</v>
      </c>
      <c r="B25" s="47">
        <v>34699</v>
      </c>
      <c r="C25" s="26">
        <v>47.7</v>
      </c>
      <c r="D25" s="32">
        <f t="shared" si="0"/>
        <v>47.7</v>
      </c>
      <c r="E25" s="34" t="e">
        <f t="shared" si="1"/>
        <v>#N/A</v>
      </c>
    </row>
    <row r="26" spans="1:5">
      <c r="A26" s="23" t="s">
        <v>51</v>
      </c>
      <c r="B26" s="47">
        <v>35064</v>
      </c>
      <c r="C26" s="26">
        <v>47.5</v>
      </c>
      <c r="D26" s="32">
        <f t="shared" si="0"/>
        <v>47.5</v>
      </c>
      <c r="E26" s="34" t="e">
        <f t="shared" si="1"/>
        <v>#N/A</v>
      </c>
    </row>
    <row r="27" spans="1:5">
      <c r="A27" s="23" t="s">
        <v>52</v>
      </c>
      <c r="B27" s="47">
        <v>35430</v>
      </c>
      <c r="C27" s="26">
        <v>46.8</v>
      </c>
      <c r="D27" s="32">
        <f t="shared" si="0"/>
        <v>46.8</v>
      </c>
      <c r="E27" s="34" t="e">
        <f t="shared" si="1"/>
        <v>#N/A</v>
      </c>
    </row>
    <row r="28" spans="1:5">
      <c r="A28" s="23" t="s">
        <v>53</v>
      </c>
      <c r="B28" s="47">
        <v>35795</v>
      </c>
      <c r="C28" s="26">
        <v>44.5</v>
      </c>
      <c r="D28" s="32">
        <f t="shared" si="0"/>
        <v>44.5</v>
      </c>
      <c r="E28" s="34" t="e">
        <f t="shared" si="1"/>
        <v>#N/A</v>
      </c>
    </row>
    <row r="29" spans="1:5">
      <c r="A29" s="23" t="s">
        <v>54</v>
      </c>
      <c r="B29" s="47">
        <v>36160</v>
      </c>
      <c r="C29" s="26">
        <v>41.6</v>
      </c>
      <c r="D29" s="32">
        <f t="shared" si="0"/>
        <v>41.6</v>
      </c>
      <c r="E29" s="34" t="e">
        <f t="shared" si="1"/>
        <v>#N/A</v>
      </c>
    </row>
    <row r="30" spans="1:5">
      <c r="A30" s="23" t="s">
        <v>55</v>
      </c>
      <c r="B30" s="47">
        <v>36525</v>
      </c>
      <c r="C30" s="26">
        <v>38.200000000000003</v>
      </c>
      <c r="D30" s="32">
        <f t="shared" si="0"/>
        <v>38.200000000000003</v>
      </c>
      <c r="E30" s="34" t="e">
        <f t="shared" si="1"/>
        <v>#N/A</v>
      </c>
    </row>
    <row r="31" spans="1:5">
      <c r="A31" s="23" t="s">
        <v>56</v>
      </c>
      <c r="B31" s="47">
        <v>36891</v>
      </c>
      <c r="C31" s="26">
        <v>33.6</v>
      </c>
      <c r="D31" s="32">
        <f t="shared" si="0"/>
        <v>33.6</v>
      </c>
      <c r="E31" s="34" t="e">
        <f t="shared" si="1"/>
        <v>#N/A</v>
      </c>
    </row>
    <row r="32" spans="1:5">
      <c r="A32" s="23" t="s">
        <v>57</v>
      </c>
      <c r="B32" s="47">
        <v>37256</v>
      </c>
      <c r="C32" s="26">
        <v>31.4</v>
      </c>
      <c r="D32" s="32">
        <f t="shared" si="0"/>
        <v>31.4</v>
      </c>
      <c r="E32" s="34" t="e">
        <f t="shared" si="1"/>
        <v>#N/A</v>
      </c>
    </row>
    <row r="33" spans="1:5">
      <c r="A33" s="23" t="s">
        <v>58</v>
      </c>
      <c r="B33" s="47">
        <v>37621</v>
      </c>
      <c r="C33" s="26">
        <v>32.5</v>
      </c>
      <c r="D33" s="32">
        <f t="shared" si="0"/>
        <v>32.5</v>
      </c>
      <c r="E33" s="34" t="e">
        <f t="shared" si="1"/>
        <v>#N/A</v>
      </c>
    </row>
    <row r="34" spans="1:5">
      <c r="A34" s="23" t="s">
        <v>59</v>
      </c>
      <c r="B34" s="47">
        <v>37986</v>
      </c>
      <c r="C34" s="26">
        <v>34.5</v>
      </c>
      <c r="D34" s="32">
        <f t="shared" si="0"/>
        <v>34.5</v>
      </c>
      <c r="E34" s="34" t="e">
        <f t="shared" si="1"/>
        <v>#N/A</v>
      </c>
    </row>
    <row r="35" spans="1:5">
      <c r="A35" s="23" t="s">
        <v>60</v>
      </c>
      <c r="B35" s="47">
        <v>38352</v>
      </c>
      <c r="C35" s="26">
        <v>35.5</v>
      </c>
      <c r="D35" s="32">
        <f t="shared" si="0"/>
        <v>35.5</v>
      </c>
      <c r="E35" s="34" t="e">
        <f t="shared" si="1"/>
        <v>#N/A</v>
      </c>
    </row>
    <row r="36" spans="1:5">
      <c r="A36" s="23" t="s">
        <v>61</v>
      </c>
      <c r="B36" s="47">
        <v>38717</v>
      </c>
      <c r="C36" s="26">
        <v>35.6</v>
      </c>
      <c r="D36" s="32">
        <f t="shared" si="0"/>
        <v>35.6</v>
      </c>
      <c r="E36" s="34" t="e">
        <f t="shared" si="1"/>
        <v>#N/A</v>
      </c>
    </row>
    <row r="37" spans="1:5">
      <c r="A37" s="23" t="s">
        <v>62</v>
      </c>
      <c r="B37" s="47">
        <v>39082</v>
      </c>
      <c r="C37" s="26">
        <v>35.299999999999997</v>
      </c>
      <c r="D37" s="32">
        <f t="shared" si="0"/>
        <v>35.299999999999997</v>
      </c>
      <c r="E37" s="34" t="e">
        <f t="shared" si="1"/>
        <v>#N/A</v>
      </c>
    </row>
    <row r="38" spans="1:5">
      <c r="A38" s="23" t="s">
        <v>63</v>
      </c>
      <c r="B38" s="47">
        <v>39447</v>
      </c>
      <c r="C38" s="26">
        <v>35.1</v>
      </c>
      <c r="D38" s="32">
        <f t="shared" si="0"/>
        <v>35.1</v>
      </c>
      <c r="E38" s="34" t="e">
        <f t="shared" si="1"/>
        <v>#N/A</v>
      </c>
    </row>
    <row r="39" spans="1:5">
      <c r="A39" s="23" t="s">
        <v>64</v>
      </c>
      <c r="B39" s="47">
        <v>39813</v>
      </c>
      <c r="C39" s="26">
        <v>39.299999999999997</v>
      </c>
      <c r="D39" s="32">
        <f t="shared" si="0"/>
        <v>39.299999999999997</v>
      </c>
      <c r="E39" s="34" t="e">
        <f t="shared" si="1"/>
        <v>#N/A</v>
      </c>
    </row>
    <row r="40" spans="1:5">
      <c r="A40" s="23" t="s">
        <v>65</v>
      </c>
      <c r="B40" s="47">
        <v>40178</v>
      </c>
      <c r="C40" s="26">
        <v>52.3</v>
      </c>
      <c r="D40" s="32">
        <f t="shared" si="0"/>
        <v>52.3</v>
      </c>
      <c r="E40" s="34" t="e">
        <f t="shared" si="1"/>
        <v>#N/A</v>
      </c>
    </row>
    <row r="41" spans="1:5">
      <c r="A41" s="23" t="s">
        <v>66</v>
      </c>
      <c r="B41" s="47">
        <v>40543</v>
      </c>
      <c r="C41" s="26">
        <v>61</v>
      </c>
      <c r="D41" s="32">
        <f t="shared" si="0"/>
        <v>61</v>
      </c>
      <c r="E41" s="34" t="e">
        <f t="shared" si="1"/>
        <v>#N/A</v>
      </c>
    </row>
    <row r="42" spans="1:5">
      <c r="A42" s="23" t="s">
        <v>67</v>
      </c>
      <c r="B42" s="47">
        <v>40908</v>
      </c>
      <c r="C42" s="26">
        <v>65.8</v>
      </c>
      <c r="D42" s="32">
        <f t="shared" si="0"/>
        <v>65.8</v>
      </c>
      <c r="E42" s="34" t="e">
        <f t="shared" si="1"/>
        <v>#N/A</v>
      </c>
    </row>
    <row r="43" spans="1:5">
      <c r="A43" s="23" t="s">
        <v>68</v>
      </c>
      <c r="B43" s="47">
        <v>41274</v>
      </c>
      <c r="C43" s="26">
        <v>70.099999999999994</v>
      </c>
      <c r="D43" s="32">
        <f t="shared" si="0"/>
        <v>70.099999999999994</v>
      </c>
      <c r="E43" s="34" t="e">
        <f t="shared" si="1"/>
        <v>#N/A</v>
      </c>
    </row>
    <row r="44" spans="1:5">
      <c r="A44" s="23" t="s">
        <v>69</v>
      </c>
      <c r="B44" s="47">
        <v>41639</v>
      </c>
      <c r="C44" s="26">
        <v>72</v>
      </c>
      <c r="D44" s="32">
        <f t="shared" si="0"/>
        <v>72</v>
      </c>
      <c r="E44" s="34" t="e">
        <f t="shared" si="1"/>
        <v>#N/A</v>
      </c>
    </row>
    <row r="45" spans="1:5">
      <c r="A45" s="23" t="s">
        <v>70</v>
      </c>
      <c r="B45" s="47">
        <v>42004</v>
      </c>
      <c r="C45" s="26">
        <v>74.400000000000006</v>
      </c>
      <c r="D45" s="32">
        <f t="shared" si="0"/>
        <v>74.400000000000006</v>
      </c>
      <c r="E45" s="34">
        <f t="shared" si="1"/>
        <v>74.400000000000006</v>
      </c>
    </row>
    <row r="46" spans="1:5">
      <c r="A46" s="23" t="s">
        <v>71</v>
      </c>
      <c r="B46" s="47">
        <v>42369</v>
      </c>
      <c r="C46" s="26">
        <v>74</v>
      </c>
      <c r="D46" s="32" t="e">
        <f t="shared" si="0"/>
        <v>#N/A</v>
      </c>
      <c r="E46" s="34">
        <f t="shared" si="1"/>
        <v>74</v>
      </c>
    </row>
    <row r="47" spans="1:5">
      <c r="A47" s="23" t="s">
        <v>72</v>
      </c>
      <c r="B47" s="47">
        <v>42735</v>
      </c>
      <c r="C47" s="26">
        <v>73.599999999999994</v>
      </c>
      <c r="D47" s="32" t="e">
        <f t="shared" si="0"/>
        <v>#N/A</v>
      </c>
      <c r="E47" s="34">
        <f t="shared" si="1"/>
        <v>73.599999999999994</v>
      </c>
    </row>
    <row r="48" spans="1:5">
      <c r="A48" s="23" t="s">
        <v>73</v>
      </c>
      <c r="B48" s="47">
        <v>43100</v>
      </c>
      <c r="C48" s="26">
        <v>73</v>
      </c>
      <c r="D48" s="32" t="e">
        <f t="shared" si="0"/>
        <v>#N/A</v>
      </c>
      <c r="E48" s="34">
        <f t="shared" si="1"/>
        <v>73</v>
      </c>
    </row>
    <row r="49" spans="1:5">
      <c r="A49" s="23" t="s">
        <v>74</v>
      </c>
      <c r="B49" s="47">
        <v>43465</v>
      </c>
      <c r="C49" s="26">
        <v>72.8</v>
      </c>
      <c r="D49" s="32" t="e">
        <f t="shared" si="0"/>
        <v>#N/A</v>
      </c>
      <c r="E49" s="34">
        <f t="shared" si="1"/>
        <v>72.8</v>
      </c>
    </row>
    <row r="50" spans="1:5">
      <c r="A50" s="23" t="s">
        <v>75</v>
      </c>
      <c r="B50" s="47">
        <v>43830</v>
      </c>
      <c r="C50" s="26">
        <v>73.099999999999994</v>
      </c>
      <c r="D50" s="32" t="e">
        <f t="shared" si="0"/>
        <v>#N/A</v>
      </c>
      <c r="E50" s="34">
        <f t="shared" si="1"/>
        <v>73.099999999999994</v>
      </c>
    </row>
    <row r="51" spans="1:5">
      <c r="A51" s="23" t="s">
        <v>76</v>
      </c>
      <c r="B51" s="47">
        <v>44196</v>
      </c>
      <c r="C51" s="26">
        <v>73.599999999999994</v>
      </c>
      <c r="D51" s="32" t="e">
        <f t="shared" si="0"/>
        <v>#N/A</v>
      </c>
      <c r="E51" s="34">
        <f t="shared" si="1"/>
        <v>73.599999999999994</v>
      </c>
    </row>
    <row r="52" spans="1:5">
      <c r="A52" s="23" t="s">
        <v>77</v>
      </c>
      <c r="B52" s="47">
        <v>44561</v>
      </c>
      <c r="C52" s="26">
        <v>74.3</v>
      </c>
      <c r="D52" s="32" t="e">
        <f t="shared" si="0"/>
        <v>#N/A</v>
      </c>
      <c r="E52" s="34">
        <f t="shared" si="1"/>
        <v>74.3</v>
      </c>
    </row>
    <row r="53" spans="1:5">
      <c r="A53" s="23" t="s">
        <v>78</v>
      </c>
      <c r="B53" s="47">
        <v>44926</v>
      </c>
      <c r="C53" s="26">
        <v>75.400000000000006</v>
      </c>
      <c r="D53" s="32" t="e">
        <f t="shared" si="0"/>
        <v>#N/A</v>
      </c>
      <c r="E53" s="34">
        <f t="shared" si="1"/>
        <v>75.400000000000006</v>
      </c>
    </row>
    <row r="54" spans="1:5">
      <c r="A54" s="23" t="s">
        <v>79</v>
      </c>
      <c r="B54" s="47">
        <v>45291</v>
      </c>
      <c r="C54" s="26">
        <v>76.400000000000006</v>
      </c>
      <c r="D54" s="32" t="e">
        <f t="shared" si="0"/>
        <v>#N/A</v>
      </c>
      <c r="E54" s="34">
        <f t="shared" si="1"/>
        <v>76.400000000000006</v>
      </c>
    </row>
    <row r="55" spans="1:5">
      <c r="A55" s="23" t="s">
        <v>80</v>
      </c>
      <c r="B55" s="47">
        <v>45657</v>
      </c>
      <c r="C55" s="26">
        <v>77.2</v>
      </c>
      <c r="D55" s="32" t="e">
        <f t="shared" si="0"/>
        <v>#N/A</v>
      </c>
      <c r="E55" s="34">
        <f t="shared" si="1"/>
        <v>77.2</v>
      </c>
    </row>
    <row r="56" spans="1:5">
      <c r="B56" s="47"/>
      <c r="C56" s="26"/>
      <c r="D56" s="32"/>
      <c r="E56" s="34"/>
    </row>
    <row r="57" spans="1:5">
      <c r="B57" s="47"/>
      <c r="C57" s="26"/>
      <c r="D57" s="32"/>
      <c r="E57" s="34"/>
    </row>
    <row r="58" spans="1:5">
      <c r="B58" s="47"/>
      <c r="C58" s="26"/>
      <c r="D58" s="32"/>
      <c r="E58" s="34"/>
    </row>
    <row r="59" spans="1:5">
      <c r="B59" s="47"/>
      <c r="C59" s="26"/>
      <c r="D59" s="32"/>
      <c r="E59" s="34"/>
    </row>
    <row r="60" spans="1:5">
      <c r="B60" s="47"/>
      <c r="C60" s="26"/>
      <c r="D60" s="32"/>
      <c r="E60" s="34"/>
    </row>
    <row r="61" spans="1:5">
      <c r="B61" s="47"/>
      <c r="C61" s="26"/>
      <c r="D61" s="32"/>
      <c r="E61" s="34"/>
    </row>
    <row r="62" spans="1:5">
      <c r="B62" s="47"/>
      <c r="C62" s="26"/>
      <c r="D62" s="32"/>
      <c r="E62" s="34"/>
    </row>
    <row r="63" spans="1:5">
      <c r="B63" s="47"/>
      <c r="C63" s="26"/>
      <c r="D63" s="32"/>
      <c r="E63" s="34"/>
    </row>
    <row r="64" spans="1:5">
      <c r="B64" s="47"/>
      <c r="C64" s="26"/>
      <c r="D64" s="32"/>
      <c r="E64" s="34"/>
    </row>
    <row r="65" spans="2:5">
      <c r="B65" s="47"/>
      <c r="C65" s="26"/>
      <c r="D65" s="32"/>
      <c r="E65" s="34"/>
    </row>
    <row r="66" spans="2:5">
      <c r="B66" s="47"/>
      <c r="C66" s="26"/>
      <c r="D66" s="32"/>
      <c r="E66" s="34"/>
    </row>
    <row r="67" spans="2:5">
      <c r="B67" s="47"/>
      <c r="C67" s="26"/>
      <c r="D67" s="32"/>
      <c r="E67" s="34"/>
    </row>
    <row r="68" spans="2:5">
      <c r="B68" s="47"/>
      <c r="C68" s="26"/>
      <c r="D68" s="32"/>
      <c r="E68" s="34"/>
    </row>
    <row r="69" spans="2:5">
      <c r="B69" s="47"/>
      <c r="C69" s="26"/>
      <c r="D69" s="32"/>
      <c r="E69" s="34"/>
    </row>
    <row r="70" spans="2:5">
      <c r="B70" s="47"/>
      <c r="C70" s="26"/>
      <c r="D70" s="32"/>
      <c r="E70" s="34"/>
    </row>
    <row r="71" spans="2:5">
      <c r="B71" s="47"/>
      <c r="C71" s="26"/>
      <c r="D71" s="32"/>
      <c r="E71" s="34"/>
    </row>
    <row r="72" spans="2:5">
      <c r="B72" s="47"/>
      <c r="C72" s="26"/>
      <c r="D72" s="32"/>
      <c r="E72" s="34"/>
    </row>
    <row r="73" spans="2:5">
      <c r="B73" s="47"/>
      <c r="C73" s="26"/>
      <c r="D73" s="32"/>
      <c r="E73" s="34"/>
    </row>
    <row r="74" spans="2:5">
      <c r="B74" s="47"/>
      <c r="C74" s="26"/>
      <c r="D74" s="32"/>
      <c r="E74" s="34"/>
    </row>
    <row r="75" spans="2:5">
      <c r="B75" s="47"/>
      <c r="C75" s="26"/>
      <c r="D75" s="32"/>
      <c r="E75" s="34"/>
    </row>
    <row r="76" spans="2:5">
      <c r="B76" s="47"/>
      <c r="C76" s="26"/>
      <c r="D76" s="32"/>
      <c r="E76" s="34"/>
    </row>
    <row r="77" spans="2:5">
      <c r="B77" s="47"/>
      <c r="C77" s="26"/>
      <c r="D77" s="32"/>
      <c r="E77" s="34"/>
    </row>
    <row r="78" spans="2:5">
      <c r="B78" s="47"/>
      <c r="C78" s="26"/>
      <c r="D78" s="32"/>
      <c r="E78" s="34"/>
    </row>
    <row r="79" spans="2:5">
      <c r="B79" s="47"/>
      <c r="C79" s="26"/>
      <c r="D79" s="32"/>
      <c r="E79" s="34"/>
    </row>
    <row r="80" spans="2:5">
      <c r="B80" s="47"/>
      <c r="C80" s="26"/>
      <c r="D80" s="32"/>
      <c r="E80" s="34"/>
    </row>
    <row r="81" spans="2:5">
      <c r="B81" s="47"/>
      <c r="C81" s="26"/>
      <c r="D81" s="32"/>
      <c r="E81" s="34"/>
    </row>
    <row r="82" spans="2:5">
      <c r="B82" s="47"/>
      <c r="C82" s="26"/>
      <c r="D82" s="32"/>
      <c r="E82" s="34"/>
    </row>
    <row r="83" spans="2:5">
      <c r="B83" s="27"/>
    </row>
    <row r="84" spans="2:5">
      <c r="B84" s="27"/>
    </row>
    <row r="85" spans="2:5">
      <c r="B85" s="27"/>
    </row>
    <row r="86" spans="2:5">
      <c r="B86" s="27"/>
    </row>
    <row r="87" spans="2:5">
      <c r="B87" s="27"/>
    </row>
  </sheetData>
  <hyperlinks>
    <hyperlink ref="C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128"/>
  <sheetViews>
    <sheetView topLeftCell="A7" workbookViewId="0">
      <selection activeCell="L34" sqref="L34"/>
    </sheetView>
  </sheetViews>
  <sheetFormatPr defaultRowHeight="11.25"/>
  <cols>
    <col min="1" max="2" width="9.140625" style="2"/>
    <col min="3" max="3" width="14" style="2" customWidth="1"/>
    <col min="4" max="6" width="9.140625" style="2"/>
    <col min="7" max="7" width="10.7109375" style="62" customWidth="1"/>
    <col min="8" max="9" width="9.140625" style="2"/>
    <col min="10" max="10" width="14" style="2" customWidth="1"/>
    <col min="11" max="16384" width="9.140625" style="2"/>
  </cols>
  <sheetData>
    <row r="1" spans="1:10" ht="15">
      <c r="A1" s="1" t="s">
        <v>198</v>
      </c>
      <c r="B1" s="1" t="s">
        <v>0</v>
      </c>
      <c r="C1" s="2" t="s">
        <v>1</v>
      </c>
      <c r="D1" s="2" t="s">
        <v>2</v>
      </c>
      <c r="E1" s="2" t="s">
        <v>3</v>
      </c>
      <c r="F1" s="2" t="s">
        <v>4</v>
      </c>
      <c r="H1" s="23" t="s">
        <v>5</v>
      </c>
      <c r="I1" s="2" t="s">
        <v>6</v>
      </c>
    </row>
    <row r="2" spans="1:10" s="3" customFormat="1" ht="123.75">
      <c r="A2" s="3" t="s">
        <v>7</v>
      </c>
      <c r="C2" s="4" t="s">
        <v>8</v>
      </c>
      <c r="D2" s="4" t="s">
        <v>9</v>
      </c>
      <c r="E2" s="4" t="s">
        <v>10</v>
      </c>
      <c r="F2" s="4" t="s">
        <v>11</v>
      </c>
      <c r="G2" s="63" t="s">
        <v>12</v>
      </c>
      <c r="H2" s="4" t="s">
        <v>13</v>
      </c>
      <c r="I2" s="5" t="s">
        <v>14</v>
      </c>
      <c r="J2" s="3" t="s">
        <v>15</v>
      </c>
    </row>
    <row r="3" spans="1:10">
      <c r="A3" s="2" t="s">
        <v>16</v>
      </c>
      <c r="C3" s="6" t="s">
        <v>189</v>
      </c>
      <c r="D3" s="6" t="s">
        <v>190</v>
      </c>
      <c r="E3" s="6" t="s">
        <v>190</v>
      </c>
      <c r="F3" s="6" t="s">
        <v>190</v>
      </c>
      <c r="G3" s="64"/>
      <c r="H3" s="6" t="s">
        <v>18</v>
      </c>
      <c r="I3" s="7" t="s">
        <v>18</v>
      </c>
    </row>
    <row r="4" spans="1:10">
      <c r="A4" s="2" t="s">
        <v>19</v>
      </c>
      <c r="C4" s="6" t="s">
        <v>20</v>
      </c>
      <c r="D4" s="6" t="s">
        <v>21</v>
      </c>
      <c r="E4" s="6" t="s">
        <v>21</v>
      </c>
      <c r="F4" s="6" t="s">
        <v>21</v>
      </c>
      <c r="G4" s="64"/>
      <c r="H4" s="6" t="s">
        <v>17</v>
      </c>
      <c r="I4" s="7" t="s">
        <v>17</v>
      </c>
    </row>
    <row r="5" spans="1:10">
      <c r="A5" s="2" t="s">
        <v>22</v>
      </c>
      <c r="C5" s="6" t="s">
        <v>23</v>
      </c>
      <c r="D5" s="6" t="s">
        <v>24</v>
      </c>
      <c r="E5" s="6" t="s">
        <v>24</v>
      </c>
      <c r="F5" s="6" t="s">
        <v>24</v>
      </c>
      <c r="G5" s="64" t="s">
        <v>25</v>
      </c>
      <c r="H5" s="6" t="s">
        <v>24</v>
      </c>
      <c r="I5" s="7" t="s">
        <v>24</v>
      </c>
    </row>
    <row r="6" spans="1:10">
      <c r="A6" s="2" t="s">
        <v>26</v>
      </c>
      <c r="C6" s="6" t="s">
        <v>27</v>
      </c>
      <c r="D6" s="6" t="s">
        <v>28</v>
      </c>
      <c r="E6" s="6" t="s">
        <v>28</v>
      </c>
      <c r="F6" s="6" t="s">
        <v>28</v>
      </c>
      <c r="G6" s="64"/>
      <c r="H6" s="6" t="s">
        <v>191</v>
      </c>
      <c r="I6" s="7" t="s">
        <v>29</v>
      </c>
    </row>
    <row r="7" spans="1:10">
      <c r="A7" s="2" t="s">
        <v>30</v>
      </c>
      <c r="B7" s="50">
        <v>27394</v>
      </c>
      <c r="C7" s="51" t="e">
        <v>#N/A</v>
      </c>
      <c r="D7" s="52" t="e">
        <v>#N/A</v>
      </c>
      <c r="E7" s="52" t="e">
        <v>#N/A</v>
      </c>
      <c r="F7" s="52" t="e">
        <v>#N/A</v>
      </c>
      <c r="G7" s="65">
        <v>0.99515542995559136</v>
      </c>
      <c r="H7" s="53">
        <v>3.7</v>
      </c>
      <c r="I7" s="53">
        <v>1.4430000000000001</v>
      </c>
      <c r="J7" s="67">
        <v>11.985844570044407</v>
      </c>
    </row>
    <row r="8" spans="1:10">
      <c r="A8" s="2" t="s">
        <v>31</v>
      </c>
      <c r="B8" s="50">
        <v>27759</v>
      </c>
      <c r="C8" s="51" t="e">
        <v>#N/A</v>
      </c>
      <c r="D8" s="52" t="e">
        <v>#N/A</v>
      </c>
      <c r="E8" s="52" t="e">
        <v>#N/A</v>
      </c>
      <c r="F8" s="52" t="e">
        <v>#N/A</v>
      </c>
      <c r="G8" s="65">
        <v>1.1830373773748915</v>
      </c>
      <c r="H8" s="53">
        <v>3.9460000000000002</v>
      </c>
      <c r="I8" s="53">
        <v>1.4430000000000001</v>
      </c>
      <c r="J8" s="67">
        <v>14.061962622625108</v>
      </c>
    </row>
    <row r="9" spans="1:10">
      <c r="A9" s="2" t="s">
        <v>32</v>
      </c>
      <c r="B9" s="50">
        <v>28125</v>
      </c>
      <c r="C9" s="51" t="e">
        <v>#N/A</v>
      </c>
      <c r="D9" s="52" t="e">
        <v>#N/A</v>
      </c>
      <c r="E9" s="52" t="e">
        <v>#N/A</v>
      </c>
      <c r="F9" s="52" t="e">
        <v>#N/A</v>
      </c>
      <c r="G9" s="65">
        <v>1.3162782254122969</v>
      </c>
      <c r="H9" s="53">
        <v>4.0609999999999999</v>
      </c>
      <c r="I9" s="53">
        <v>1.4930000000000001</v>
      </c>
      <c r="J9" s="67">
        <v>13.896721774587704</v>
      </c>
    </row>
    <row r="10" spans="1:10">
      <c r="A10" s="2" t="s">
        <v>33</v>
      </c>
      <c r="B10" s="50">
        <v>28490</v>
      </c>
      <c r="C10" s="51" t="e">
        <v>#N/A</v>
      </c>
      <c r="D10" s="52" t="e">
        <v>#N/A</v>
      </c>
      <c r="E10" s="52" t="e">
        <v>#N/A</v>
      </c>
      <c r="F10" s="52" t="e">
        <v>#N/A</v>
      </c>
      <c r="G10" s="65">
        <v>1.4026992050286557</v>
      </c>
      <c r="H10" s="53">
        <v>4.1260000000000003</v>
      </c>
      <c r="I10" s="53">
        <v>1.474</v>
      </c>
      <c r="J10" s="67">
        <v>13.172300794971344</v>
      </c>
    </row>
    <row r="11" spans="1:10">
      <c r="A11" s="2" t="s">
        <v>34</v>
      </c>
      <c r="B11" s="50">
        <v>28855</v>
      </c>
      <c r="C11" s="51" t="e">
        <v>#N/A</v>
      </c>
      <c r="D11" s="52" t="e">
        <v>#N/A</v>
      </c>
      <c r="E11" s="52" t="e">
        <v>#N/A</v>
      </c>
      <c r="F11" s="52" t="e">
        <v>#N/A</v>
      </c>
      <c r="G11" s="65">
        <v>1.4270759033897003</v>
      </c>
      <c r="H11" s="53">
        <v>4.0579999999999998</v>
      </c>
      <c r="I11" s="53">
        <v>1.556</v>
      </c>
      <c r="J11" s="67">
        <v>13.094924096610299</v>
      </c>
    </row>
    <row r="12" spans="1:10">
      <c r="A12" s="2" t="s">
        <v>35</v>
      </c>
      <c r="B12" s="50">
        <v>29220</v>
      </c>
      <c r="C12" s="51" t="e">
        <v>#N/A</v>
      </c>
      <c r="D12" s="52" t="e">
        <v>#N/A</v>
      </c>
      <c r="E12" s="52" t="e">
        <v>#N/A</v>
      </c>
      <c r="F12" s="52" t="e">
        <v>#N/A</v>
      </c>
      <c r="G12" s="65">
        <v>1.4752385677182129</v>
      </c>
      <c r="H12" s="53">
        <v>3.992</v>
      </c>
      <c r="I12" s="53">
        <v>1.659</v>
      </c>
      <c r="J12" s="67">
        <v>12.485761432281786</v>
      </c>
    </row>
    <row r="13" spans="1:10">
      <c r="A13" s="2" t="s">
        <v>36</v>
      </c>
      <c r="B13" s="50">
        <v>29586</v>
      </c>
      <c r="C13" s="51" t="e">
        <v>#N/A</v>
      </c>
      <c r="D13" s="52" t="e">
        <v>#N/A</v>
      </c>
      <c r="E13" s="52" t="e">
        <v>#N/A</v>
      </c>
      <c r="F13" s="52" t="e">
        <v>#N/A</v>
      </c>
      <c r="G13" s="65">
        <v>1.6078161453817341</v>
      </c>
      <c r="H13" s="53">
        <v>4.1849999999999996</v>
      </c>
      <c r="I13" s="53">
        <v>1.8779999999999999</v>
      </c>
      <c r="J13" s="67">
        <v>13.458183854618268</v>
      </c>
    </row>
    <row r="14" spans="1:10">
      <c r="A14" s="2" t="s">
        <v>37</v>
      </c>
      <c r="B14" s="50">
        <v>29951</v>
      </c>
      <c r="C14" s="51" t="e">
        <v>#N/A</v>
      </c>
      <c r="D14" s="52" t="e">
        <v>#N/A</v>
      </c>
      <c r="E14" s="52" t="e">
        <v>#N/A</v>
      </c>
      <c r="F14" s="52" t="e">
        <v>#N/A</v>
      </c>
      <c r="G14" s="65">
        <v>1.7448242350860701</v>
      </c>
      <c r="H14" s="53">
        <v>4.3929999999999998</v>
      </c>
      <c r="I14" s="53">
        <v>2.1909999999999998</v>
      </c>
      <c r="J14" s="67">
        <v>13.28217576491393</v>
      </c>
    </row>
    <row r="15" spans="1:10">
      <c r="A15" s="2" t="s">
        <v>38</v>
      </c>
      <c r="B15" s="50">
        <v>30316</v>
      </c>
      <c r="C15" s="51" t="e">
        <v>#N/A</v>
      </c>
      <c r="D15" s="52" t="e">
        <v>#N/A</v>
      </c>
      <c r="E15" s="52" t="e">
        <v>#N/A</v>
      </c>
      <c r="F15" s="52" t="e">
        <v>#N/A</v>
      </c>
      <c r="G15" s="65">
        <v>1.8921067917952274</v>
      </c>
      <c r="H15" s="53">
        <v>4.6449999999999996</v>
      </c>
      <c r="I15" s="53">
        <v>2.5659999999999998</v>
      </c>
      <c r="J15" s="67">
        <v>13.399893208204775</v>
      </c>
    </row>
    <row r="16" spans="1:10">
      <c r="A16" s="2" t="s">
        <v>39</v>
      </c>
      <c r="B16" s="50">
        <v>30681</v>
      </c>
      <c r="C16" s="51" t="e">
        <v>#N/A</v>
      </c>
      <c r="D16" s="52" t="e">
        <v>#N/A</v>
      </c>
      <c r="E16" s="52" t="e">
        <v>#N/A</v>
      </c>
      <c r="F16" s="52" t="e">
        <v>#N/A</v>
      </c>
      <c r="G16" s="65">
        <v>1.9833100351590627</v>
      </c>
      <c r="H16" s="53">
        <v>4.7590000000000003</v>
      </c>
      <c r="I16" s="53">
        <v>2.536</v>
      </c>
      <c r="J16" s="67">
        <v>13.549689964840935</v>
      </c>
    </row>
    <row r="17" spans="1:10">
      <c r="A17" s="2" t="s">
        <v>40</v>
      </c>
      <c r="B17" s="50">
        <v>31047</v>
      </c>
      <c r="C17" s="51" t="e">
        <v>#N/A</v>
      </c>
      <c r="D17" s="52" t="e">
        <v>#N/A</v>
      </c>
      <c r="E17" s="52" t="e">
        <v>#N/A</v>
      </c>
      <c r="F17" s="52" t="e">
        <v>#N/A</v>
      </c>
      <c r="G17" s="65">
        <v>1.9244464402041577</v>
      </c>
      <c r="H17" s="53">
        <v>4.4539999999999997</v>
      </c>
      <c r="I17" s="53">
        <v>2.8109999999999999</v>
      </c>
      <c r="J17" s="67">
        <v>12.359553559795842</v>
      </c>
    </row>
    <row r="18" spans="1:10">
      <c r="A18" s="2" t="s">
        <v>41</v>
      </c>
      <c r="B18" s="50">
        <v>31412</v>
      </c>
      <c r="C18" s="51" t="e">
        <v>#N/A</v>
      </c>
      <c r="D18" s="52" t="e">
        <v>#N/A</v>
      </c>
      <c r="E18" s="52" t="e">
        <v>#N/A</v>
      </c>
      <c r="F18" s="52" t="e">
        <v>#N/A</v>
      </c>
      <c r="G18" s="65">
        <v>2.0312501829464629</v>
      </c>
      <c r="H18" s="53">
        <v>4.3659999999999997</v>
      </c>
      <c r="I18" s="53">
        <v>3.032</v>
      </c>
      <c r="J18" s="67">
        <v>12.731749817053538</v>
      </c>
    </row>
    <row r="19" spans="1:10">
      <c r="A19" s="2" t="s">
        <v>42</v>
      </c>
      <c r="B19" s="50">
        <v>31777</v>
      </c>
      <c r="C19" s="51" t="e">
        <v>#N/A</v>
      </c>
      <c r="D19" s="52" t="e">
        <v>#N/A</v>
      </c>
      <c r="E19" s="52" t="e">
        <v>#N/A</v>
      </c>
      <c r="F19" s="52" t="e">
        <v>#N/A</v>
      </c>
      <c r="G19" s="65">
        <v>2.0599420200394616</v>
      </c>
      <c r="H19" s="53">
        <v>4.3330000000000002</v>
      </c>
      <c r="I19" s="53">
        <v>2.9990000000000001</v>
      </c>
      <c r="J19" s="67">
        <v>12.44205797996054</v>
      </c>
    </row>
    <row r="20" spans="1:10">
      <c r="A20" s="2" t="s">
        <v>43</v>
      </c>
      <c r="B20" s="50">
        <v>32142</v>
      </c>
      <c r="C20" s="51" t="e">
        <v>#N/A</v>
      </c>
      <c r="D20" s="52" t="e">
        <v>#N/A</v>
      </c>
      <c r="E20" s="52" t="e">
        <v>#N/A</v>
      </c>
      <c r="F20" s="52" t="e">
        <v>#N/A</v>
      </c>
      <c r="G20" s="65">
        <v>2.1085452881976217</v>
      </c>
      <c r="H20" s="53">
        <v>4.2889999999999997</v>
      </c>
      <c r="I20" s="53">
        <v>2.899</v>
      </c>
      <c r="J20" s="67">
        <v>11.699454711802376</v>
      </c>
    </row>
    <row r="21" spans="1:10">
      <c r="A21" s="2" t="s">
        <v>44</v>
      </c>
      <c r="B21" s="50">
        <v>32508</v>
      </c>
      <c r="C21" s="51" t="e">
        <v>#N/A</v>
      </c>
      <c r="D21" s="52" t="e">
        <v>#N/A</v>
      </c>
      <c r="E21" s="52" t="e">
        <v>#N/A</v>
      </c>
      <c r="F21" s="52" t="e">
        <v>#N/A</v>
      </c>
      <c r="G21" s="65">
        <v>2.0827429014815357</v>
      </c>
      <c r="H21" s="53">
        <v>4.2060000000000004</v>
      </c>
      <c r="I21" s="53">
        <v>2.9449999999999998</v>
      </c>
      <c r="J21" s="67">
        <v>11.414257098518464</v>
      </c>
    </row>
    <row r="22" spans="1:10">
      <c r="A22" s="2" t="s">
        <v>45</v>
      </c>
      <c r="B22" s="50">
        <v>32873</v>
      </c>
      <c r="C22" s="51" t="e">
        <v>#N/A</v>
      </c>
      <c r="D22" s="52" t="e">
        <v>#N/A</v>
      </c>
      <c r="E22" s="52" t="e">
        <v>#N/A</v>
      </c>
      <c r="F22" s="52" t="e">
        <v>#N/A</v>
      </c>
      <c r="G22" s="65">
        <v>2.1061853958051873</v>
      </c>
      <c r="H22" s="53">
        <v>4.1360000000000001</v>
      </c>
      <c r="I22" s="53">
        <v>3.0339999999999998</v>
      </c>
      <c r="J22" s="67">
        <v>11.257814604194813</v>
      </c>
    </row>
    <row r="23" spans="1:10">
      <c r="A23" s="2" t="s">
        <v>46</v>
      </c>
      <c r="B23" s="50">
        <v>33238</v>
      </c>
      <c r="C23" s="51" t="e">
        <v>#N/A</v>
      </c>
      <c r="D23" s="52" t="e">
        <v>#N/A</v>
      </c>
      <c r="E23" s="52" t="e">
        <v>#N/A</v>
      </c>
      <c r="F23" s="52" t="e">
        <v>#N/A</v>
      </c>
      <c r="G23" s="65">
        <v>2.2999999999999998</v>
      </c>
      <c r="H23" s="53">
        <v>4.1680000000000001</v>
      </c>
      <c r="I23" s="53">
        <v>3.117</v>
      </c>
      <c r="J23" s="67">
        <v>11.585277471331413</v>
      </c>
    </row>
    <row r="24" spans="1:10">
      <c r="A24" s="2" t="s">
        <v>47</v>
      </c>
      <c r="B24" s="50">
        <v>33603</v>
      </c>
      <c r="C24" s="51" t="e">
        <v>#N/A</v>
      </c>
      <c r="D24" s="52" t="e">
        <v>#N/A</v>
      </c>
      <c r="E24" s="52" t="e">
        <v>#N/A</v>
      </c>
      <c r="F24" s="52" t="e">
        <v>#N/A</v>
      </c>
      <c r="G24" s="65">
        <v>2.5299078154344707</v>
      </c>
      <c r="H24" s="53">
        <v>4.3659999999999997</v>
      </c>
      <c r="I24" s="53">
        <v>3.1819999999999999</v>
      </c>
      <c r="J24" s="67">
        <v>11.59509218456553</v>
      </c>
    </row>
    <row r="25" spans="1:10">
      <c r="A25" s="2" t="s">
        <v>48</v>
      </c>
      <c r="B25" s="50">
        <v>33969</v>
      </c>
      <c r="C25" s="51" t="e">
        <v>#N/A</v>
      </c>
      <c r="D25" s="52" t="e">
        <v>#N/A</v>
      </c>
      <c r="E25" s="52" t="e">
        <v>#N/A</v>
      </c>
      <c r="F25" s="52" t="e">
        <v>#N/A</v>
      </c>
      <c r="G25" s="65">
        <v>2.8595627629774385</v>
      </c>
      <c r="H25" s="53">
        <v>4.4320000000000004</v>
      </c>
      <c r="I25" s="53">
        <v>3.0979999999999999</v>
      </c>
      <c r="J25" s="67">
        <v>11.080437237022561</v>
      </c>
    </row>
    <row r="26" spans="1:10">
      <c r="A26" s="2" t="s">
        <v>49</v>
      </c>
      <c r="B26" s="50">
        <v>34334</v>
      </c>
      <c r="C26" s="51" t="e">
        <v>#N/A</v>
      </c>
      <c r="D26" s="52" t="e">
        <v>#N/A</v>
      </c>
      <c r="E26" s="52" t="e">
        <v>#N/A</v>
      </c>
      <c r="F26" s="52" t="e">
        <v>#N/A</v>
      </c>
      <c r="G26" s="65">
        <v>2.9974944351441342</v>
      </c>
      <c r="H26" s="53">
        <v>4.444</v>
      </c>
      <c r="I26" s="53">
        <v>2.9239999999999999</v>
      </c>
      <c r="J26" s="67">
        <v>10.376505564855869</v>
      </c>
    </row>
    <row r="27" spans="1:10">
      <c r="A27" s="2" t="s">
        <v>50</v>
      </c>
      <c r="B27" s="50">
        <v>34699</v>
      </c>
      <c r="C27" s="51" t="e">
        <v>#N/A</v>
      </c>
      <c r="D27" s="52" t="e">
        <v>#N/A</v>
      </c>
      <c r="E27" s="52" t="e">
        <v>#N/A</v>
      </c>
      <c r="F27" s="52" t="e">
        <v>#N/A</v>
      </c>
      <c r="G27" s="65">
        <v>3.1102358375881352</v>
      </c>
      <c r="H27" s="53">
        <v>4.4029999999999996</v>
      </c>
      <c r="I27" s="53">
        <v>2.819</v>
      </c>
      <c r="J27" s="67">
        <v>9.9757641624118669</v>
      </c>
    </row>
    <row r="28" spans="1:10">
      <c r="A28" s="2" t="s">
        <v>51</v>
      </c>
      <c r="B28" s="50">
        <v>35064</v>
      </c>
      <c r="C28" s="51" t="e">
        <v>#N/A</v>
      </c>
      <c r="D28" s="52" t="e">
        <v>#N/A</v>
      </c>
      <c r="E28" s="52" t="e">
        <v>#N/A</v>
      </c>
      <c r="F28" s="52" t="e">
        <v>#N/A</v>
      </c>
      <c r="G28" s="65">
        <v>3.2433530146736427</v>
      </c>
      <c r="H28" s="53">
        <v>4.3949999999999996</v>
      </c>
      <c r="I28" s="53">
        <v>3.0609999999999999</v>
      </c>
      <c r="J28" s="67">
        <v>9.2886469853263574</v>
      </c>
    </row>
    <row r="29" spans="1:10">
      <c r="A29" s="2" t="s">
        <v>52</v>
      </c>
      <c r="B29" s="50">
        <v>35430</v>
      </c>
      <c r="C29" s="51" t="e">
        <v>#N/A</v>
      </c>
      <c r="D29" s="52" t="e">
        <v>#N/A</v>
      </c>
      <c r="E29" s="52" t="e">
        <v>#N/A</v>
      </c>
      <c r="F29" s="52" t="e">
        <v>#N/A</v>
      </c>
      <c r="G29" s="65">
        <v>3.299735845154498</v>
      </c>
      <c r="H29" s="53">
        <v>4.3499999999999996</v>
      </c>
      <c r="I29" s="53">
        <v>3.0209999999999999</v>
      </c>
      <c r="J29" s="67">
        <v>8.888264154845503</v>
      </c>
    </row>
    <row r="30" spans="1:10">
      <c r="A30" s="2" t="s">
        <v>53</v>
      </c>
      <c r="B30" s="50">
        <v>35795</v>
      </c>
      <c r="C30" s="51" t="e">
        <v>#N/A</v>
      </c>
      <c r="D30" s="52" t="e">
        <v>#N/A</v>
      </c>
      <c r="E30" s="52" t="e">
        <v>#N/A</v>
      </c>
      <c r="F30" s="52" t="e">
        <v>#N/A</v>
      </c>
      <c r="G30" s="65">
        <v>3.335942427046557</v>
      </c>
      <c r="H30" s="53">
        <v>4.2709999999999999</v>
      </c>
      <c r="I30" s="53">
        <v>2.8759999999999999</v>
      </c>
      <c r="J30" s="67">
        <v>8.3910575729534429</v>
      </c>
    </row>
    <row r="31" spans="1:10">
      <c r="A31" s="2" t="s">
        <v>54</v>
      </c>
      <c r="B31" s="50">
        <v>36160</v>
      </c>
      <c r="C31" s="51" t="e">
        <v>#N/A</v>
      </c>
      <c r="D31" s="52" t="e">
        <v>#N/A</v>
      </c>
      <c r="E31" s="52" t="e">
        <v>#N/A</v>
      </c>
      <c r="F31" s="52" t="e">
        <v>#N/A</v>
      </c>
      <c r="G31" s="65">
        <v>3.2549247331040334</v>
      </c>
      <c r="H31" s="53">
        <v>4.2</v>
      </c>
      <c r="I31" s="53">
        <v>2.6930000000000001</v>
      </c>
      <c r="J31" s="67">
        <v>8.3050752668959653</v>
      </c>
    </row>
    <row r="32" spans="1:10">
      <c r="A32" s="2" t="s">
        <v>55</v>
      </c>
      <c r="B32" s="50">
        <v>36525</v>
      </c>
      <c r="C32" s="51" t="e">
        <v>#N/A</v>
      </c>
      <c r="D32" s="52" t="e">
        <v>#N/A</v>
      </c>
      <c r="E32" s="52" t="e">
        <v>#N/A</v>
      </c>
      <c r="F32" s="52" t="e">
        <v>#N/A</v>
      </c>
      <c r="G32" s="65">
        <v>3.1143601157238918</v>
      </c>
      <c r="H32" s="53">
        <v>4.0679999999999996</v>
      </c>
      <c r="I32" s="53">
        <v>2.415</v>
      </c>
      <c r="J32" s="67">
        <v>8.2906398842761106</v>
      </c>
    </row>
    <row r="33" spans="1:10">
      <c r="A33" s="2" t="s">
        <v>56</v>
      </c>
      <c r="B33" s="50">
        <v>36891</v>
      </c>
      <c r="C33" s="51" t="e">
        <v>#N/A</v>
      </c>
      <c r="D33" s="52" t="e">
        <v>#N/A</v>
      </c>
      <c r="E33" s="52" t="e">
        <v>#N/A</v>
      </c>
      <c r="F33" s="52" t="e">
        <v>#N/A</v>
      </c>
      <c r="G33" s="65">
        <v>3.0850578221829381</v>
      </c>
      <c r="H33" s="53">
        <v>3.9990000000000001</v>
      </c>
      <c r="I33" s="53">
        <v>2.1960000000000002</v>
      </c>
      <c r="J33" s="67">
        <v>8.3379421778170606</v>
      </c>
    </row>
    <row r="34" spans="1:10">
      <c r="A34" s="2" t="s">
        <v>57</v>
      </c>
      <c r="B34" s="50">
        <v>37256</v>
      </c>
      <c r="C34" s="51" t="e">
        <v>#N/A</v>
      </c>
      <c r="D34" s="52" t="e">
        <v>#N/A</v>
      </c>
      <c r="E34" s="52" t="e">
        <v>#N/A</v>
      </c>
      <c r="F34" s="52" t="e">
        <v>#N/A</v>
      </c>
      <c r="G34" s="65">
        <v>3.2846332353212522</v>
      </c>
      <c r="H34" s="53">
        <v>4.0629999999999997</v>
      </c>
      <c r="I34" s="53">
        <v>1.9510000000000001</v>
      </c>
      <c r="J34" s="67">
        <v>8.3283667646787478</v>
      </c>
    </row>
    <row r="35" spans="1:10">
      <c r="A35" s="2" t="s">
        <v>58</v>
      </c>
      <c r="B35" s="50">
        <v>37621</v>
      </c>
      <c r="C35" s="51" t="e">
        <v>#N/A</v>
      </c>
      <c r="D35" s="52" t="e">
        <v>#N/A</v>
      </c>
      <c r="E35" s="52" t="e">
        <v>#N/A</v>
      </c>
      <c r="F35" s="52" t="e">
        <v>#N/A</v>
      </c>
      <c r="G35" s="65">
        <v>3.482648479472767</v>
      </c>
      <c r="H35" s="53">
        <v>4.1550000000000002</v>
      </c>
      <c r="I35" s="53">
        <v>1.571</v>
      </c>
      <c r="J35" s="67">
        <v>9.2743515205272313</v>
      </c>
    </row>
    <row r="36" spans="1:10">
      <c r="A36" s="2" t="s">
        <v>59</v>
      </c>
      <c r="B36" s="50">
        <v>37986</v>
      </c>
      <c r="C36" s="51" t="e">
        <v>#N/A</v>
      </c>
      <c r="D36" s="52" t="e">
        <v>#N/A</v>
      </c>
      <c r="E36" s="52" t="e">
        <v>#N/A</v>
      </c>
      <c r="F36" s="52" t="e">
        <v>#N/A</v>
      </c>
      <c r="G36" s="65">
        <v>3.6240893059204211</v>
      </c>
      <c r="H36" s="53">
        <v>4.1509999999999998</v>
      </c>
      <c r="I36" s="53">
        <v>1.351</v>
      </c>
      <c r="J36" s="67">
        <v>9.9309106940795786</v>
      </c>
    </row>
    <row r="37" spans="1:10">
      <c r="A37" s="2" t="s">
        <v>60</v>
      </c>
      <c r="B37" s="50">
        <v>38352</v>
      </c>
      <c r="C37" s="51" t="e">
        <v>#N/A</v>
      </c>
      <c r="D37" s="52" t="e">
        <v>#N/A</v>
      </c>
      <c r="E37" s="52" t="e">
        <v>#N/A</v>
      </c>
      <c r="F37" s="52" t="e">
        <v>#N/A</v>
      </c>
      <c r="G37" s="65">
        <v>3.6865359325762777</v>
      </c>
      <c r="H37" s="53">
        <v>4.0650000000000004</v>
      </c>
      <c r="I37" s="53">
        <v>1.325</v>
      </c>
      <c r="J37" s="67">
        <v>9.8874640674237213</v>
      </c>
    </row>
    <row r="38" spans="1:10">
      <c r="A38" s="2" t="s">
        <v>61</v>
      </c>
      <c r="B38" s="50">
        <v>38717</v>
      </c>
      <c r="C38" s="51" t="e">
        <v>#N/A</v>
      </c>
      <c r="D38" s="52" t="e">
        <v>#N/A</v>
      </c>
      <c r="E38" s="52" t="e">
        <v>#N/A</v>
      </c>
      <c r="F38" s="52" t="e">
        <v>#N/A</v>
      </c>
      <c r="G38" s="65">
        <v>3.7328352940720144</v>
      </c>
      <c r="H38" s="53">
        <v>4.024</v>
      </c>
      <c r="I38" s="53">
        <v>1.427</v>
      </c>
      <c r="J38" s="67">
        <v>9.9931647059279847</v>
      </c>
    </row>
    <row r="39" spans="1:10">
      <c r="A39" s="2" t="s">
        <v>62</v>
      </c>
      <c r="B39" s="50">
        <v>39082</v>
      </c>
      <c r="C39" s="51" t="e">
        <v>#N/A</v>
      </c>
      <c r="D39" s="52" t="e">
        <v>#N/A</v>
      </c>
      <c r="E39" s="52" t="e">
        <v>#N/A</v>
      </c>
      <c r="F39" s="52" t="e">
        <v>#N/A</v>
      </c>
      <c r="G39" s="65">
        <v>3.7332432210278284</v>
      </c>
      <c r="H39" s="53">
        <v>3.9740000000000002</v>
      </c>
      <c r="I39" s="53">
        <v>1.6559999999999999</v>
      </c>
      <c r="J39" s="67">
        <v>10.035756778972173</v>
      </c>
    </row>
    <row r="40" spans="1:10">
      <c r="A40" s="2" t="s">
        <v>63</v>
      </c>
      <c r="B40" s="50">
        <v>39447</v>
      </c>
      <c r="C40" s="51" t="e">
        <v>#N/A</v>
      </c>
      <c r="D40" s="52" t="e">
        <v>#N/A</v>
      </c>
      <c r="E40" s="52" t="e">
        <v>#N/A</v>
      </c>
      <c r="F40" s="52" t="e">
        <v>#N/A</v>
      </c>
      <c r="G40" s="65">
        <v>3.9609143487411824</v>
      </c>
      <c r="H40" s="53">
        <v>4.0590000000000002</v>
      </c>
      <c r="I40" s="53">
        <v>1.655</v>
      </c>
      <c r="J40" s="67">
        <v>9.3730856512588137</v>
      </c>
    </row>
    <row r="41" spans="1:10">
      <c r="A41" s="2" t="s">
        <v>64</v>
      </c>
      <c r="B41" s="50">
        <v>39813</v>
      </c>
      <c r="C41" s="51" t="e">
        <v>#N/A</v>
      </c>
      <c r="D41" s="52" t="e">
        <v>#N/A</v>
      </c>
      <c r="E41" s="52" t="e">
        <v>#N/A</v>
      </c>
      <c r="F41" s="52" t="e">
        <v>#N/A</v>
      </c>
      <c r="G41" s="65">
        <v>4.0264297924753025</v>
      </c>
      <c r="H41" s="53">
        <v>4.1479999999999997</v>
      </c>
      <c r="I41" s="53">
        <v>1.7130000000000001</v>
      </c>
      <c r="J41" s="67">
        <v>10.324570207524697</v>
      </c>
    </row>
    <row r="42" spans="1:10">
      <c r="A42" s="2" t="s">
        <v>65</v>
      </c>
      <c r="B42" s="50">
        <v>40178</v>
      </c>
      <c r="C42" s="51" t="e">
        <v>#N/A</v>
      </c>
      <c r="D42" s="52" t="e">
        <v>#N/A</v>
      </c>
      <c r="E42" s="52" t="e">
        <v>#N/A</v>
      </c>
      <c r="F42" s="52" t="e">
        <v>#N/A</v>
      </c>
      <c r="G42" s="65">
        <v>4.7425070766498312</v>
      </c>
      <c r="H42" s="53">
        <v>4.702</v>
      </c>
      <c r="I42" s="53">
        <v>1.2969999999999999</v>
      </c>
      <c r="J42" s="67">
        <v>13.663492923350168</v>
      </c>
    </row>
    <row r="43" spans="1:10">
      <c r="A43" s="2" t="s">
        <v>66</v>
      </c>
      <c r="B43" s="50">
        <v>40543</v>
      </c>
      <c r="C43" s="51" t="e">
        <v>#N/A</v>
      </c>
      <c r="D43" s="52" t="e">
        <v>#N/A</v>
      </c>
      <c r="E43" s="52" t="e">
        <v>#N/A</v>
      </c>
      <c r="F43" s="52" t="e">
        <v>#N/A</v>
      </c>
      <c r="G43" s="65">
        <v>4.9159376394391332</v>
      </c>
      <c r="H43" s="53">
        <v>4.7380000000000004</v>
      </c>
      <c r="I43" s="53">
        <v>1.3260000000000001</v>
      </c>
      <c r="J43" s="67">
        <v>12.392062360560868</v>
      </c>
    </row>
    <row r="44" spans="1:10">
      <c r="A44" s="2" t="s">
        <v>67</v>
      </c>
      <c r="B44" s="50">
        <v>40908</v>
      </c>
      <c r="C44" s="51" t="e">
        <v>#N/A</v>
      </c>
      <c r="D44" s="52" t="e">
        <v>#N/A</v>
      </c>
      <c r="E44" s="52" t="e">
        <v>#N/A</v>
      </c>
      <c r="F44" s="52" t="e">
        <v>#N/A</v>
      </c>
      <c r="G44" s="65">
        <v>4.9622166656105851</v>
      </c>
      <c r="H44" s="53">
        <v>4.7110000000000003</v>
      </c>
      <c r="I44" s="53">
        <v>1.4950000000000001</v>
      </c>
      <c r="J44" s="67">
        <v>12.247783334389416</v>
      </c>
    </row>
    <row r="45" spans="1:10">
      <c r="A45" s="2" t="s">
        <v>68</v>
      </c>
      <c r="B45" s="50">
        <v>41274</v>
      </c>
      <c r="C45" s="51" t="e">
        <v>#N/A</v>
      </c>
      <c r="D45" s="52" t="e">
        <v>#N/A</v>
      </c>
      <c r="E45" s="52" t="e">
        <v>#N/A</v>
      </c>
      <c r="F45" s="52" t="e">
        <v>#N/A</v>
      </c>
      <c r="G45" s="65">
        <v>4.5096067365988004</v>
      </c>
      <c r="H45" s="53">
        <v>4.7699999999999996</v>
      </c>
      <c r="I45" s="53">
        <v>1.369</v>
      </c>
      <c r="J45" s="67">
        <v>11.329393263401201</v>
      </c>
    </row>
    <row r="46" spans="1:10">
      <c r="A46" s="2" t="s">
        <v>69</v>
      </c>
      <c r="B46" s="50">
        <v>41639</v>
      </c>
      <c r="C46" s="51" t="e">
        <v>#N/A</v>
      </c>
      <c r="D46" s="52" t="e">
        <v>#N/A</v>
      </c>
      <c r="E46" s="52" t="e">
        <v>#N/A</v>
      </c>
      <c r="F46" s="52" t="e">
        <v>#N/A</v>
      </c>
      <c r="G46" s="65">
        <v>4.6168276011391223</v>
      </c>
      <c r="H46" s="53">
        <v>4.8570000000000002</v>
      </c>
      <c r="I46" s="53">
        <v>1.3280000000000001</v>
      </c>
      <c r="J46" s="67">
        <v>9.9731723988608785</v>
      </c>
    </row>
    <row r="47" spans="1:10">
      <c r="A47" s="2" t="s">
        <v>70</v>
      </c>
      <c r="B47" s="50">
        <v>42004</v>
      </c>
      <c r="C47" s="51">
        <v>4.9000000000000004</v>
      </c>
      <c r="D47" s="52">
        <v>4.9000000000000004</v>
      </c>
      <c r="E47" s="52">
        <v>1.3</v>
      </c>
      <c r="F47" s="52">
        <v>9.3000000000000007</v>
      </c>
      <c r="G47" s="66">
        <v>4.9000000000000004</v>
      </c>
      <c r="H47" s="65">
        <v>4.9000000000000004</v>
      </c>
      <c r="I47" s="65">
        <v>1.3</v>
      </c>
      <c r="J47" s="65">
        <v>9.3000000000000007</v>
      </c>
    </row>
    <row r="48" spans="1:10">
      <c r="A48" s="2" t="s">
        <v>71</v>
      </c>
      <c r="B48" s="50">
        <v>42369</v>
      </c>
      <c r="C48" s="51">
        <v>5.0999999999999996</v>
      </c>
      <c r="D48" s="52">
        <v>4.9000000000000004</v>
      </c>
      <c r="E48" s="52">
        <v>1.5</v>
      </c>
      <c r="F48" s="52">
        <v>9.4</v>
      </c>
      <c r="G48" s="66"/>
      <c r="H48" s="53" t="e">
        <v>#N/A</v>
      </c>
      <c r="I48" s="53" t="e">
        <v>#N/A</v>
      </c>
      <c r="J48" s="52"/>
    </row>
    <row r="49" spans="1:10">
      <c r="A49" s="2" t="s">
        <v>72</v>
      </c>
      <c r="B49" s="50">
        <v>42735</v>
      </c>
      <c r="C49" s="51">
        <v>5.3</v>
      </c>
      <c r="D49" s="52">
        <v>4.9000000000000004</v>
      </c>
      <c r="E49" s="52">
        <v>1.7</v>
      </c>
      <c r="F49" s="52">
        <v>9.1</v>
      </c>
      <c r="G49" s="65"/>
      <c r="H49" s="53" t="e">
        <v>#N/A</v>
      </c>
      <c r="I49" s="53" t="e">
        <v>#N/A</v>
      </c>
      <c r="J49" s="58"/>
    </row>
    <row r="50" spans="1:10">
      <c r="A50" s="2" t="s">
        <v>73</v>
      </c>
      <c r="B50" s="50">
        <v>43100</v>
      </c>
      <c r="C50" s="51">
        <v>5.3</v>
      </c>
      <c r="D50" s="52">
        <v>4.9000000000000004</v>
      </c>
      <c r="E50" s="52">
        <v>2</v>
      </c>
      <c r="F50" s="52">
        <v>8.6999999999999993</v>
      </c>
      <c r="G50" s="65"/>
      <c r="H50" s="53" t="e">
        <v>#N/A</v>
      </c>
      <c r="I50" s="53" t="e">
        <v>#N/A</v>
      </c>
      <c r="J50" s="58"/>
    </row>
    <row r="51" spans="1:10">
      <c r="A51" s="2" t="s">
        <v>74</v>
      </c>
      <c r="B51" s="50">
        <v>43465</v>
      </c>
      <c r="C51" s="51">
        <v>5.3</v>
      </c>
      <c r="D51" s="52">
        <v>5</v>
      </c>
      <c r="E51" s="52">
        <v>2.2999999999999998</v>
      </c>
      <c r="F51" s="52">
        <v>8.3000000000000007</v>
      </c>
      <c r="G51" s="65"/>
      <c r="H51" s="53" t="e">
        <v>#N/A</v>
      </c>
      <c r="I51" s="53" t="e">
        <v>#N/A</v>
      </c>
      <c r="J51" s="58"/>
    </row>
    <row r="52" spans="1:10">
      <c r="A52" s="2" t="s">
        <v>75</v>
      </c>
      <c r="B52" s="50">
        <v>43830</v>
      </c>
      <c r="C52" s="51">
        <v>5.4</v>
      </c>
      <c r="D52" s="52">
        <v>5.0999999999999996</v>
      </c>
      <c r="E52" s="52">
        <v>2.6</v>
      </c>
      <c r="F52" s="52">
        <v>8.1</v>
      </c>
      <c r="G52" s="65"/>
      <c r="H52" s="53" t="e">
        <v>#N/A</v>
      </c>
      <c r="I52" s="53" t="e">
        <v>#N/A</v>
      </c>
      <c r="J52" s="58"/>
    </row>
    <row r="53" spans="1:10">
      <c r="A53" s="2" t="s">
        <v>76</v>
      </c>
      <c r="B53" s="50">
        <v>44196</v>
      </c>
      <c r="C53" s="51">
        <v>5.6</v>
      </c>
      <c r="D53" s="52">
        <v>5.2</v>
      </c>
      <c r="E53" s="52">
        <v>2.8</v>
      </c>
      <c r="F53" s="52">
        <v>7.9</v>
      </c>
      <c r="G53" s="65"/>
      <c r="H53" s="53" t="e">
        <v>#N/A</v>
      </c>
      <c r="I53" s="53" t="e">
        <v>#N/A</v>
      </c>
      <c r="J53" s="58"/>
    </row>
    <row r="54" spans="1:10">
      <c r="A54" s="2" t="s">
        <v>77</v>
      </c>
      <c r="B54" s="50">
        <v>44561</v>
      </c>
      <c r="C54" s="51">
        <v>5.7</v>
      </c>
      <c r="D54" s="52">
        <v>5.3</v>
      </c>
      <c r="E54" s="52">
        <v>2.9</v>
      </c>
      <c r="F54" s="52">
        <v>7.8</v>
      </c>
      <c r="G54" s="65"/>
      <c r="H54" s="53" t="e">
        <v>#N/A</v>
      </c>
      <c r="I54" s="53" t="e">
        <v>#N/A</v>
      </c>
      <c r="J54" s="58"/>
    </row>
    <row r="55" spans="1:10">
      <c r="A55" s="2" t="s">
        <v>78</v>
      </c>
      <c r="B55" s="50">
        <v>44926</v>
      </c>
      <c r="C55" s="51">
        <v>5.9</v>
      </c>
      <c r="D55" s="52">
        <v>5.4</v>
      </c>
      <c r="E55" s="52">
        <v>3.1</v>
      </c>
      <c r="F55" s="52">
        <v>7.7</v>
      </c>
      <c r="G55" s="65"/>
      <c r="H55" s="53" t="e">
        <v>#N/A</v>
      </c>
      <c r="I55" s="53" t="e">
        <v>#N/A</v>
      </c>
      <c r="J55" s="58"/>
    </row>
    <row r="56" spans="1:10">
      <c r="A56" s="2" t="s">
        <v>79</v>
      </c>
      <c r="B56" s="50">
        <v>45291</v>
      </c>
      <c r="C56" s="51">
        <v>6</v>
      </c>
      <c r="D56" s="52">
        <v>5.5</v>
      </c>
      <c r="E56" s="52">
        <v>3.2</v>
      </c>
      <c r="F56" s="52">
        <v>7.5</v>
      </c>
      <c r="G56" s="65"/>
      <c r="H56" s="53" t="e">
        <v>#N/A</v>
      </c>
      <c r="I56" s="53" t="e">
        <v>#N/A</v>
      </c>
      <c r="J56" s="58"/>
    </row>
    <row r="57" spans="1:10">
      <c r="A57" s="2" t="s">
        <v>80</v>
      </c>
      <c r="B57" s="50">
        <v>45657</v>
      </c>
      <c r="C57" s="51">
        <v>5.9</v>
      </c>
      <c r="D57" s="52">
        <v>5.6</v>
      </c>
      <c r="E57" s="52">
        <v>3.3</v>
      </c>
      <c r="F57" s="52">
        <v>7.3</v>
      </c>
      <c r="G57" s="65"/>
      <c r="H57" s="53" t="e">
        <v>#N/A</v>
      </c>
      <c r="I57" s="53" t="e">
        <v>#N/A</v>
      </c>
      <c r="J57" s="58"/>
    </row>
    <row r="58" spans="1:10">
      <c r="A58" s="2" t="s">
        <v>81</v>
      </c>
      <c r="B58" s="50">
        <v>46022</v>
      </c>
      <c r="C58" s="51">
        <v>6.1</v>
      </c>
      <c r="D58" s="52">
        <v>5.7</v>
      </c>
      <c r="E58" s="52">
        <v>3.4</v>
      </c>
      <c r="F58" s="52">
        <v>7.3</v>
      </c>
      <c r="G58" s="65"/>
      <c r="H58" s="53" t="e">
        <v>#N/A</v>
      </c>
      <c r="I58" s="53" t="e">
        <v>#N/A</v>
      </c>
      <c r="J58" s="58"/>
    </row>
    <row r="59" spans="1:10">
      <c r="A59" s="2" t="s">
        <v>82</v>
      </c>
      <c r="B59" s="50">
        <v>46387</v>
      </c>
      <c r="C59" s="51">
        <v>6.3</v>
      </c>
      <c r="D59" s="52">
        <v>5.8</v>
      </c>
      <c r="E59" s="52">
        <v>3.5</v>
      </c>
      <c r="F59" s="52">
        <v>7.3</v>
      </c>
      <c r="G59" s="65"/>
      <c r="H59" s="53" t="e">
        <v>#N/A</v>
      </c>
      <c r="I59" s="53" t="e">
        <v>#N/A</v>
      </c>
      <c r="J59" s="58"/>
    </row>
    <row r="60" spans="1:10">
      <c r="A60" s="2" t="s">
        <v>83</v>
      </c>
      <c r="B60" s="50">
        <v>46752</v>
      </c>
      <c r="C60" s="51">
        <v>6.3</v>
      </c>
      <c r="D60" s="52">
        <v>5.9</v>
      </c>
      <c r="E60" s="52">
        <v>3.6</v>
      </c>
      <c r="F60" s="52">
        <v>7.3</v>
      </c>
      <c r="G60" s="65"/>
      <c r="H60" s="53" t="e">
        <v>#N/A</v>
      </c>
      <c r="I60" s="53" t="e">
        <v>#N/A</v>
      </c>
      <c r="J60" s="58"/>
    </row>
    <row r="61" spans="1:10">
      <c r="A61" s="2" t="s">
        <v>84</v>
      </c>
      <c r="B61" s="50">
        <v>47118</v>
      </c>
      <c r="C61" s="51">
        <v>6.5</v>
      </c>
      <c r="D61" s="52">
        <v>6</v>
      </c>
      <c r="E61" s="52">
        <v>3.7</v>
      </c>
      <c r="F61" s="52">
        <v>7.2</v>
      </c>
      <c r="G61" s="65"/>
      <c r="H61" s="53" t="e">
        <v>#N/A</v>
      </c>
      <c r="I61" s="53" t="e">
        <v>#N/A</v>
      </c>
      <c r="J61" s="58"/>
    </row>
    <row r="62" spans="1:10">
      <c r="A62" s="2" t="s">
        <v>85</v>
      </c>
      <c r="B62" s="50">
        <v>47483</v>
      </c>
      <c r="C62" s="51">
        <v>6.6</v>
      </c>
      <c r="D62" s="52">
        <v>6.1</v>
      </c>
      <c r="E62" s="52">
        <v>3.8</v>
      </c>
      <c r="F62" s="52">
        <v>7.2</v>
      </c>
      <c r="G62" s="65"/>
      <c r="H62" s="53" t="e">
        <v>#N/A</v>
      </c>
      <c r="I62" s="53" t="e">
        <v>#N/A</v>
      </c>
      <c r="J62" s="58"/>
    </row>
    <row r="63" spans="1:10">
      <c r="A63" s="2" t="s">
        <v>86</v>
      </c>
      <c r="B63" s="50">
        <v>47848</v>
      </c>
      <c r="C63" s="51">
        <v>6.8</v>
      </c>
      <c r="D63" s="52">
        <v>6.2</v>
      </c>
      <c r="E63" s="52">
        <v>3.9</v>
      </c>
      <c r="F63" s="52">
        <v>7.2</v>
      </c>
      <c r="G63" s="65"/>
      <c r="H63" s="53" t="e">
        <v>#N/A</v>
      </c>
      <c r="I63" s="53" t="e">
        <v>#N/A</v>
      </c>
      <c r="J63" s="58"/>
    </row>
    <row r="64" spans="1:10">
      <c r="A64" s="2" t="s">
        <v>87</v>
      </c>
      <c r="B64" s="50">
        <v>48213</v>
      </c>
      <c r="C64" s="51">
        <v>6.9</v>
      </c>
      <c r="D64" s="52">
        <v>6.2</v>
      </c>
      <c r="E64" s="52">
        <v>4</v>
      </c>
      <c r="F64" s="52">
        <v>7.1</v>
      </c>
      <c r="G64" s="65"/>
      <c r="H64" s="53" t="e">
        <v>#N/A</v>
      </c>
      <c r="I64" s="53" t="e">
        <v>#N/A</v>
      </c>
      <c r="J64" s="58"/>
    </row>
    <row r="65" spans="1:10">
      <c r="A65" s="2" t="s">
        <v>88</v>
      </c>
      <c r="B65" s="50">
        <v>48579</v>
      </c>
      <c r="C65" s="51">
        <v>7.1</v>
      </c>
      <c r="D65" s="52">
        <v>6.3</v>
      </c>
      <c r="E65" s="52">
        <v>4.0999999999999996</v>
      </c>
      <c r="F65" s="52">
        <v>7.1</v>
      </c>
      <c r="G65" s="65"/>
      <c r="H65" s="53" t="e">
        <v>#N/A</v>
      </c>
      <c r="I65" s="53" t="e">
        <v>#N/A</v>
      </c>
      <c r="J65" s="58"/>
    </row>
    <row r="66" spans="1:10">
      <c r="A66" s="2" t="s">
        <v>89</v>
      </c>
      <c r="B66" s="50">
        <v>48944</v>
      </c>
      <c r="C66" s="51">
        <v>7.1999999999999993</v>
      </c>
      <c r="D66" s="52">
        <v>6.3</v>
      </c>
      <c r="E66" s="52">
        <v>4.0999999999999996</v>
      </c>
      <c r="F66" s="52">
        <v>7.1</v>
      </c>
      <c r="G66" s="65"/>
      <c r="H66" s="53" t="e">
        <v>#N/A</v>
      </c>
      <c r="I66" s="53" t="e">
        <v>#N/A</v>
      </c>
      <c r="J66" s="58"/>
    </row>
    <row r="67" spans="1:10">
      <c r="A67" s="2" t="s">
        <v>90</v>
      </c>
      <c r="B67" s="50">
        <v>49309</v>
      </c>
      <c r="C67" s="51">
        <v>7.3000000000000007</v>
      </c>
      <c r="D67" s="52">
        <v>6.4</v>
      </c>
      <c r="E67" s="52">
        <v>4.2</v>
      </c>
      <c r="F67" s="52">
        <v>7</v>
      </c>
      <c r="G67" s="65"/>
      <c r="H67" s="53" t="e">
        <v>#N/A</v>
      </c>
      <c r="I67" s="53" t="e">
        <v>#N/A</v>
      </c>
      <c r="J67" s="58"/>
    </row>
    <row r="68" spans="1:10">
      <c r="A68" s="2" t="s">
        <v>91</v>
      </c>
      <c r="B68" s="50">
        <v>49674</v>
      </c>
      <c r="C68" s="51">
        <v>7.5</v>
      </c>
      <c r="D68" s="52">
        <v>6.4</v>
      </c>
      <c r="E68" s="52">
        <v>4.3</v>
      </c>
      <c r="F68" s="52">
        <v>7</v>
      </c>
      <c r="G68" s="65"/>
      <c r="H68" s="53" t="e">
        <v>#N/A</v>
      </c>
      <c r="I68" s="53" t="e">
        <v>#N/A</v>
      </c>
      <c r="J68" s="58"/>
    </row>
    <row r="69" spans="1:10">
      <c r="B69" s="54"/>
      <c r="C69" s="55"/>
      <c r="D69" s="56"/>
      <c r="E69" s="56"/>
      <c r="F69" s="56"/>
      <c r="G69" s="64"/>
      <c r="H69" s="7"/>
      <c r="I69" s="7"/>
    </row>
    <row r="70" spans="1:10">
      <c r="B70" s="54"/>
      <c r="C70" s="55"/>
      <c r="D70" s="56"/>
      <c r="E70" s="56"/>
      <c r="F70" s="56"/>
      <c r="G70" s="64"/>
      <c r="H70" s="7"/>
      <c r="I70" s="7"/>
    </row>
    <row r="71" spans="1:10">
      <c r="B71" s="54"/>
      <c r="C71" s="55"/>
      <c r="D71" s="56"/>
      <c r="E71" s="56"/>
      <c r="F71" s="56"/>
      <c r="G71" s="64"/>
      <c r="H71" s="7"/>
      <c r="I71" s="7"/>
    </row>
    <row r="72" spans="1:10">
      <c r="B72" s="54"/>
      <c r="C72" s="55"/>
      <c r="D72" s="56"/>
      <c r="E72" s="56"/>
      <c r="F72" s="56"/>
      <c r="G72" s="64"/>
      <c r="H72" s="7"/>
      <c r="I72" s="7"/>
    </row>
    <row r="73" spans="1:10">
      <c r="B73" s="54"/>
      <c r="C73" s="55"/>
      <c r="D73" s="56"/>
      <c r="E73" s="56"/>
      <c r="F73" s="56"/>
      <c r="G73" s="64"/>
      <c r="H73" s="7"/>
      <c r="I73" s="7"/>
    </row>
    <row r="74" spans="1:10">
      <c r="B74" s="54"/>
      <c r="C74" s="55"/>
      <c r="D74" s="56"/>
      <c r="E74" s="56"/>
      <c r="F74" s="56"/>
      <c r="G74" s="64"/>
      <c r="H74" s="7"/>
      <c r="I74" s="7"/>
    </row>
    <row r="75" spans="1:10">
      <c r="B75" s="54"/>
      <c r="C75" s="55"/>
      <c r="D75" s="56"/>
      <c r="E75" s="56"/>
      <c r="F75" s="56"/>
      <c r="G75" s="64"/>
      <c r="H75" s="7"/>
      <c r="I75" s="7"/>
    </row>
    <row r="76" spans="1:10">
      <c r="B76" s="54"/>
      <c r="C76" s="55"/>
      <c r="D76" s="56"/>
      <c r="E76" s="56"/>
      <c r="F76" s="56"/>
      <c r="G76" s="64"/>
      <c r="H76" s="7"/>
      <c r="I76" s="7"/>
    </row>
    <row r="77" spans="1:10">
      <c r="B77" s="54"/>
      <c r="C77" s="55"/>
      <c r="D77" s="56"/>
      <c r="E77" s="56"/>
      <c r="F77" s="56"/>
      <c r="G77" s="64"/>
      <c r="H77" s="7"/>
      <c r="I77" s="7"/>
    </row>
    <row r="78" spans="1:10">
      <c r="B78" s="54"/>
      <c r="C78" s="55"/>
      <c r="D78" s="56"/>
      <c r="E78" s="56"/>
      <c r="F78" s="56"/>
      <c r="G78" s="64"/>
      <c r="H78" s="7"/>
      <c r="I78" s="7"/>
    </row>
    <row r="79" spans="1:10">
      <c r="B79" s="54"/>
      <c r="C79" s="55"/>
      <c r="D79" s="56"/>
      <c r="E79" s="56"/>
      <c r="F79" s="56"/>
      <c r="G79" s="64"/>
      <c r="H79" s="7"/>
      <c r="I79" s="7"/>
    </row>
    <row r="80" spans="1:10">
      <c r="B80" s="54"/>
      <c r="C80" s="55"/>
      <c r="D80" s="56"/>
      <c r="E80" s="56"/>
      <c r="F80" s="56"/>
      <c r="G80" s="64"/>
      <c r="H80" s="7"/>
      <c r="I80" s="7"/>
    </row>
    <row r="81" spans="2:9">
      <c r="B81" s="54"/>
      <c r="C81" s="55"/>
      <c r="D81" s="56"/>
      <c r="E81" s="56"/>
      <c r="F81" s="56"/>
      <c r="G81" s="64"/>
      <c r="H81" s="7"/>
      <c r="I81" s="7"/>
    </row>
    <row r="82" spans="2:9">
      <c r="B82" s="54"/>
      <c r="C82" s="55"/>
      <c r="D82" s="56"/>
      <c r="E82" s="56"/>
      <c r="F82" s="56"/>
      <c r="G82" s="64"/>
      <c r="H82" s="7"/>
      <c r="I82" s="7"/>
    </row>
    <row r="83" spans="2:9">
      <c r="B83" s="54"/>
      <c r="C83" s="55"/>
      <c r="D83" s="56"/>
      <c r="E83" s="56"/>
      <c r="F83" s="56"/>
      <c r="G83" s="64"/>
      <c r="H83" s="7"/>
      <c r="I83" s="7"/>
    </row>
    <row r="84" spans="2:9">
      <c r="B84" s="54"/>
      <c r="C84" s="55"/>
      <c r="D84" s="56"/>
      <c r="E84" s="56"/>
      <c r="F84" s="56"/>
      <c r="G84" s="64"/>
      <c r="H84" s="7"/>
      <c r="I84" s="7"/>
    </row>
    <row r="85" spans="2:9">
      <c r="B85" s="54"/>
      <c r="C85" s="55"/>
      <c r="D85" s="56"/>
      <c r="E85" s="56"/>
      <c r="F85" s="56"/>
      <c r="G85" s="64"/>
      <c r="H85" s="7"/>
      <c r="I85" s="7"/>
    </row>
    <row r="86" spans="2:9">
      <c r="B86" s="54"/>
      <c r="C86" s="55"/>
      <c r="D86" s="56"/>
      <c r="E86" s="56"/>
      <c r="F86" s="56"/>
      <c r="G86" s="64"/>
      <c r="H86" s="7"/>
      <c r="I86" s="7"/>
    </row>
    <row r="87" spans="2:9">
      <c r="B87" s="54"/>
      <c r="C87" s="55"/>
      <c r="D87" s="56"/>
      <c r="E87" s="56"/>
      <c r="F87" s="56"/>
      <c r="G87" s="64"/>
      <c r="H87" s="7"/>
      <c r="I87" s="7"/>
    </row>
    <row r="88" spans="2:9">
      <c r="B88" s="54"/>
      <c r="C88" s="55"/>
      <c r="D88" s="56"/>
      <c r="E88" s="56"/>
      <c r="F88" s="56"/>
      <c r="G88" s="64"/>
      <c r="H88" s="7"/>
      <c r="I88" s="7"/>
    </row>
    <row r="89" spans="2:9">
      <c r="B89" s="54"/>
      <c r="C89" s="55"/>
      <c r="D89" s="56"/>
      <c r="E89" s="56"/>
      <c r="F89" s="56"/>
      <c r="G89" s="64"/>
      <c r="H89" s="7"/>
      <c r="I89" s="7"/>
    </row>
    <row r="90" spans="2:9">
      <c r="B90" s="54"/>
      <c r="C90" s="55"/>
      <c r="D90" s="56"/>
      <c r="E90" s="56"/>
      <c r="F90" s="56"/>
      <c r="G90" s="64"/>
      <c r="H90" s="7"/>
      <c r="I90" s="7"/>
    </row>
    <row r="91" spans="2:9">
      <c r="B91" s="54"/>
      <c r="C91" s="55"/>
      <c r="D91" s="56"/>
      <c r="E91" s="56"/>
      <c r="F91" s="56"/>
      <c r="G91" s="64"/>
      <c r="H91" s="7"/>
      <c r="I91" s="7"/>
    </row>
    <row r="92" spans="2:9">
      <c r="B92" s="54"/>
      <c r="C92" s="55"/>
      <c r="D92" s="56"/>
      <c r="E92" s="56"/>
      <c r="F92" s="56"/>
      <c r="G92" s="64"/>
      <c r="H92" s="7"/>
      <c r="I92" s="7"/>
    </row>
    <row r="93" spans="2:9">
      <c r="B93" s="54"/>
      <c r="C93" s="55"/>
      <c r="D93" s="56"/>
      <c r="E93" s="56"/>
      <c r="F93" s="56"/>
      <c r="G93" s="64"/>
      <c r="H93" s="7"/>
      <c r="I93" s="7"/>
    </row>
    <row r="94" spans="2:9">
      <c r="B94" s="54"/>
      <c r="C94" s="55"/>
      <c r="D94" s="56"/>
      <c r="E94" s="56"/>
      <c r="F94" s="56"/>
      <c r="G94" s="64"/>
      <c r="H94" s="7"/>
      <c r="I94" s="7"/>
    </row>
    <row r="95" spans="2:9">
      <c r="B95" s="54"/>
      <c r="C95" s="55"/>
      <c r="D95" s="56"/>
      <c r="E95" s="56"/>
      <c r="F95" s="56"/>
      <c r="G95" s="64"/>
      <c r="H95" s="7"/>
      <c r="I95" s="7"/>
    </row>
    <row r="96" spans="2:9">
      <c r="B96" s="54"/>
      <c r="C96" s="55"/>
      <c r="D96" s="56"/>
      <c r="E96" s="56"/>
      <c r="F96" s="56"/>
      <c r="G96" s="64"/>
      <c r="H96" s="7"/>
      <c r="I96" s="7"/>
    </row>
    <row r="97" spans="2:9">
      <c r="B97" s="54"/>
      <c r="C97" s="55"/>
      <c r="D97" s="56"/>
      <c r="E97" s="56"/>
      <c r="F97" s="56"/>
      <c r="G97" s="64"/>
      <c r="H97" s="7"/>
      <c r="I97" s="7"/>
    </row>
    <row r="98" spans="2:9">
      <c r="B98" s="54"/>
      <c r="C98" s="55"/>
      <c r="D98" s="56"/>
      <c r="E98" s="56"/>
      <c r="F98" s="56"/>
      <c r="G98" s="64"/>
      <c r="H98" s="7"/>
      <c r="I98" s="7"/>
    </row>
    <row r="99" spans="2:9">
      <c r="B99" s="54"/>
      <c r="C99" s="55"/>
      <c r="D99" s="56"/>
      <c r="E99" s="56"/>
      <c r="F99" s="56"/>
      <c r="G99" s="64"/>
      <c r="H99" s="7"/>
      <c r="I99" s="7"/>
    </row>
    <row r="100" spans="2:9">
      <c r="B100" s="54"/>
      <c r="C100" s="55"/>
      <c r="D100" s="56"/>
      <c r="E100" s="56"/>
      <c r="F100" s="56"/>
      <c r="G100" s="64"/>
      <c r="H100" s="7"/>
      <c r="I100" s="7"/>
    </row>
    <row r="101" spans="2:9">
      <c r="B101" s="54"/>
      <c r="C101" s="55"/>
      <c r="D101" s="56"/>
      <c r="E101" s="56"/>
      <c r="F101" s="56"/>
      <c r="G101" s="64"/>
      <c r="H101" s="7"/>
      <c r="I101" s="7"/>
    </row>
    <row r="102" spans="2:9">
      <c r="B102" s="54"/>
      <c r="C102" s="55"/>
      <c r="D102" s="56"/>
      <c r="E102" s="56"/>
      <c r="F102" s="56"/>
      <c r="G102" s="64"/>
      <c r="H102" s="7"/>
      <c r="I102" s="7"/>
    </row>
    <row r="103" spans="2:9">
      <c r="B103" s="54"/>
      <c r="C103" s="55"/>
      <c r="D103" s="56"/>
      <c r="E103" s="56"/>
      <c r="F103" s="56"/>
      <c r="G103" s="64"/>
      <c r="H103" s="7"/>
      <c r="I103" s="7"/>
    </row>
    <row r="104" spans="2:9">
      <c r="B104" s="54"/>
      <c r="C104" s="55"/>
      <c r="D104" s="56"/>
      <c r="E104" s="56"/>
      <c r="F104" s="56"/>
      <c r="G104" s="64"/>
      <c r="H104" s="7"/>
      <c r="I104" s="7"/>
    </row>
    <row r="105" spans="2:9">
      <c r="B105" s="54"/>
      <c r="C105" s="55"/>
      <c r="D105" s="56"/>
      <c r="E105" s="56"/>
      <c r="F105" s="56"/>
      <c r="G105" s="64"/>
      <c r="H105" s="7"/>
      <c r="I105" s="7"/>
    </row>
    <row r="106" spans="2:9">
      <c r="B106" s="54"/>
      <c r="C106" s="55"/>
      <c r="D106" s="56"/>
      <c r="E106" s="56"/>
      <c r="F106" s="56"/>
      <c r="G106" s="64"/>
      <c r="H106" s="7"/>
      <c r="I106" s="7"/>
    </row>
    <row r="107" spans="2:9">
      <c r="B107" s="54"/>
      <c r="C107" s="55"/>
      <c r="D107" s="56"/>
      <c r="E107" s="56"/>
      <c r="F107" s="56"/>
      <c r="G107" s="64"/>
      <c r="H107" s="7"/>
      <c r="I107" s="7"/>
    </row>
    <row r="108" spans="2:9">
      <c r="B108" s="54"/>
      <c r="C108" s="55"/>
      <c r="D108" s="56"/>
      <c r="E108" s="56"/>
      <c r="F108" s="56"/>
      <c r="G108" s="64"/>
      <c r="H108" s="7"/>
      <c r="I108" s="7"/>
    </row>
    <row r="109" spans="2:9">
      <c r="B109" s="54"/>
      <c r="C109" s="55"/>
      <c r="D109" s="56"/>
      <c r="E109" s="56"/>
      <c r="F109" s="56"/>
      <c r="G109" s="64"/>
      <c r="H109" s="7"/>
      <c r="I109" s="7"/>
    </row>
    <row r="110" spans="2:9">
      <c r="B110" s="54"/>
      <c r="C110" s="55"/>
      <c r="D110" s="56"/>
      <c r="E110" s="56"/>
      <c r="F110" s="56"/>
      <c r="G110" s="64"/>
      <c r="H110" s="7"/>
      <c r="I110" s="7"/>
    </row>
    <row r="111" spans="2:9">
      <c r="B111" s="54"/>
      <c r="C111" s="55"/>
      <c r="D111" s="56"/>
      <c r="E111" s="56"/>
      <c r="F111" s="56"/>
      <c r="G111" s="64"/>
      <c r="H111" s="7"/>
      <c r="I111" s="7"/>
    </row>
    <row r="112" spans="2:9">
      <c r="B112" s="54"/>
      <c r="C112" s="55"/>
      <c r="D112" s="56"/>
      <c r="E112" s="56"/>
      <c r="F112" s="56"/>
      <c r="G112" s="64"/>
      <c r="H112" s="7"/>
      <c r="I112" s="7"/>
    </row>
    <row r="113" spans="1:9">
      <c r="B113" s="54"/>
      <c r="C113" s="55"/>
      <c r="D113" s="56"/>
      <c r="E113" s="56"/>
      <c r="F113" s="56"/>
      <c r="G113" s="64"/>
      <c r="H113" s="7"/>
      <c r="I113" s="7"/>
    </row>
    <row r="114" spans="1:9">
      <c r="B114" s="54"/>
      <c r="C114" s="55"/>
      <c r="D114" s="56"/>
      <c r="E114" s="56"/>
      <c r="F114" s="56"/>
      <c r="G114" s="64"/>
      <c r="H114" s="7"/>
      <c r="I114" s="7"/>
    </row>
    <row r="115" spans="1:9">
      <c r="B115" s="54"/>
      <c r="C115" s="55"/>
      <c r="D115" s="56"/>
      <c r="E115" s="56"/>
      <c r="F115" s="56"/>
      <c r="G115" s="64"/>
      <c r="H115" s="7"/>
      <c r="I115" s="7"/>
    </row>
    <row r="116" spans="1:9">
      <c r="B116" s="54"/>
      <c r="C116" s="55"/>
      <c r="D116" s="56"/>
      <c r="E116" s="56"/>
      <c r="F116" s="56"/>
      <c r="G116" s="64"/>
      <c r="H116" s="7"/>
      <c r="I116" s="7"/>
    </row>
    <row r="117" spans="1:9">
      <c r="B117" s="54"/>
      <c r="C117" s="55"/>
      <c r="D117" s="56"/>
      <c r="E117" s="56"/>
      <c r="F117" s="56"/>
      <c r="G117" s="64"/>
      <c r="H117" s="7"/>
      <c r="I117" s="7"/>
    </row>
    <row r="118" spans="1:9">
      <c r="B118" s="54"/>
      <c r="C118" s="55"/>
      <c r="D118" s="56"/>
      <c r="E118" s="56"/>
      <c r="F118" s="56"/>
      <c r="G118" s="64"/>
      <c r="H118" s="7"/>
      <c r="I118" s="7"/>
    </row>
    <row r="119" spans="1:9">
      <c r="B119" s="54"/>
      <c r="C119" s="55"/>
      <c r="D119" s="56"/>
      <c r="E119" s="56"/>
      <c r="F119" s="56"/>
      <c r="G119" s="64"/>
      <c r="H119" s="7"/>
      <c r="I119" s="7"/>
    </row>
    <row r="120" spans="1:9">
      <c r="B120" s="54"/>
      <c r="C120" s="55"/>
      <c r="D120" s="56"/>
      <c r="E120" s="56"/>
      <c r="F120" s="56"/>
      <c r="G120" s="64"/>
      <c r="H120" s="7"/>
      <c r="I120" s="7"/>
    </row>
    <row r="121" spans="1:9">
      <c r="B121" s="54"/>
      <c r="C121" s="55"/>
      <c r="D121" s="56"/>
      <c r="E121" s="56"/>
      <c r="F121" s="56"/>
      <c r="H121" s="7"/>
      <c r="I121" s="7"/>
    </row>
    <row r="122" spans="1:9">
      <c r="B122" s="54"/>
      <c r="C122" s="55"/>
      <c r="D122" s="56"/>
      <c r="E122" s="56"/>
      <c r="F122" s="56"/>
      <c r="H122" s="7"/>
      <c r="I122" s="7"/>
    </row>
    <row r="123" spans="1:9">
      <c r="A123" s="2" t="s">
        <v>160</v>
      </c>
      <c r="B123" s="54" t="s">
        <v>160</v>
      </c>
      <c r="C123" s="55" t="s">
        <v>160</v>
      </c>
      <c r="D123" s="56" t="s">
        <v>160</v>
      </c>
      <c r="E123" s="56" t="s">
        <v>160</v>
      </c>
      <c r="F123" s="56" t="s">
        <v>160</v>
      </c>
      <c r="H123" s="7" t="s">
        <v>160</v>
      </c>
      <c r="I123" s="7" t="s">
        <v>160</v>
      </c>
    </row>
    <row r="124" spans="1:9">
      <c r="A124" s="2" t="s">
        <v>160</v>
      </c>
      <c r="B124" s="54" t="s">
        <v>160</v>
      </c>
      <c r="C124" s="57" t="s">
        <v>160</v>
      </c>
      <c r="D124" s="57" t="s">
        <v>160</v>
      </c>
      <c r="E124" s="57" t="s">
        <v>160</v>
      </c>
      <c r="F124" s="57" t="s">
        <v>160</v>
      </c>
      <c r="H124" s="2" t="s">
        <v>160</v>
      </c>
      <c r="I124" s="2" t="s">
        <v>160</v>
      </c>
    </row>
    <row r="125" spans="1:9">
      <c r="A125" s="2" t="s">
        <v>160</v>
      </c>
      <c r="B125" s="54" t="s">
        <v>160</v>
      </c>
      <c r="C125" s="57" t="s">
        <v>160</v>
      </c>
      <c r="D125" s="57" t="s">
        <v>160</v>
      </c>
      <c r="E125" s="57" t="s">
        <v>160</v>
      </c>
      <c r="F125" s="57" t="s">
        <v>160</v>
      </c>
      <c r="H125" s="2" t="s">
        <v>160</v>
      </c>
      <c r="I125" s="2" t="s">
        <v>160</v>
      </c>
    </row>
    <row r="126" spans="1:9">
      <c r="A126" s="2" t="s">
        <v>160</v>
      </c>
      <c r="B126" s="8" t="s">
        <v>160</v>
      </c>
      <c r="C126" s="2" t="s">
        <v>160</v>
      </c>
      <c r="D126" s="2" t="s">
        <v>160</v>
      </c>
      <c r="E126" s="2" t="s">
        <v>160</v>
      </c>
      <c r="F126" s="2" t="s">
        <v>160</v>
      </c>
      <c r="H126" s="2" t="s">
        <v>160</v>
      </c>
      <c r="I126" s="2" t="s">
        <v>160</v>
      </c>
    </row>
    <row r="127" spans="1:9">
      <c r="A127" s="2" t="s">
        <v>160</v>
      </c>
      <c r="B127" s="8" t="s">
        <v>160</v>
      </c>
      <c r="C127" s="2" t="s">
        <v>160</v>
      </c>
      <c r="D127" s="2" t="s">
        <v>160</v>
      </c>
      <c r="E127" s="2" t="s">
        <v>160</v>
      </c>
      <c r="F127" s="2" t="s">
        <v>160</v>
      </c>
      <c r="H127" s="2" t="s">
        <v>160</v>
      </c>
      <c r="I127" s="2" t="s">
        <v>160</v>
      </c>
    </row>
    <row r="128" spans="1:9">
      <c r="A128" s="2" t="s">
        <v>160</v>
      </c>
      <c r="B128" s="8" t="s">
        <v>160</v>
      </c>
      <c r="C128" s="2" t="s">
        <v>160</v>
      </c>
      <c r="D128" s="2" t="s">
        <v>160</v>
      </c>
      <c r="E128" s="2" t="s">
        <v>160</v>
      </c>
      <c r="F128" s="2" t="s">
        <v>160</v>
      </c>
      <c r="H128" s="2" t="s">
        <v>160</v>
      </c>
      <c r="I128" s="2" t="s">
        <v>160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D973"/>
  <sheetViews>
    <sheetView workbookViewId="0">
      <selection activeCell="P11" sqref="P11"/>
    </sheetView>
  </sheetViews>
  <sheetFormatPr defaultRowHeight="15"/>
  <cols>
    <col min="1" max="1" width="10.7109375" bestFit="1" customWidth="1"/>
    <col min="2" max="2" width="12" bestFit="1" customWidth="1"/>
    <col min="3" max="3" width="12.7109375" bestFit="1" customWidth="1"/>
  </cols>
  <sheetData>
    <row r="1" spans="1:4">
      <c r="A1" t="s">
        <v>143</v>
      </c>
      <c r="B1" t="s">
        <v>369</v>
      </c>
      <c r="C1" t="s">
        <v>370</v>
      </c>
    </row>
    <row r="2" spans="1:4" s="23" customFormat="1">
      <c r="A2" s="29">
        <f>A3-31</f>
        <v>39783</v>
      </c>
    </row>
    <row r="3" spans="1:4">
      <c r="A3" s="23" t="str">
        <f>TEXT(IF('Change in Employment'!B10&lt;&gt;0,DATE(YEAR('Change in Employment'!B10), MONTH('Change in Employment'!B10), 1), ""), "mm/dd/yyyy")</f>
        <v>01/01/2009</v>
      </c>
      <c r="B3" s="25" t="str">
        <f>IF(ISNUMBER('Change in Employment'!I10), TEXT('Change in Employment'!I10, "0"), "")</f>
        <v>12000</v>
      </c>
      <c r="C3" s="25" t="str">
        <f>IF(ISNUMBER('Change in Employment'!J10),TEXT('Change in Employment'!J10, "0"),"")</f>
        <v>5333</v>
      </c>
      <c r="D3" s="69"/>
    </row>
    <row r="4" spans="1:4">
      <c r="A4" s="23" t="str">
        <f>TEXT(IF('Change in Employment'!B11&lt;&gt;0,DATE(YEAR('Change in Employment'!B11), MONTH('Change in Employment'!B11), 1), ""), "mm/dd/yyyy")</f>
        <v>02/01/2009</v>
      </c>
      <c r="B4" s="25" t="str">
        <f>IF(ISNUMBER('Change in Employment'!I11), TEXT('Change in Employment'!I11, "0"), "")</f>
        <v>-12000</v>
      </c>
      <c r="C4" s="25" t="str">
        <f>IF(ISNUMBER('Change in Employment'!J11),TEXT('Change in Employment'!J11, "0"),"")</f>
        <v>-333</v>
      </c>
    </row>
    <row r="5" spans="1:4">
      <c r="A5" s="23" t="str">
        <f>TEXT(IF('Change in Employment'!B12&lt;&gt;0,DATE(YEAR('Change in Employment'!B12), MONTH('Change in Employment'!B12), 1), ""), "mm/dd/yyyy")</f>
        <v>03/01/2009</v>
      </c>
      <c r="B5" s="25" t="str">
        <f>IF(ISNUMBER('Change in Employment'!I12), TEXT('Change in Employment'!I12, "0"), "")</f>
        <v>-18000</v>
      </c>
      <c r="C5" s="25" t="str">
        <f>IF(ISNUMBER('Change in Employment'!J12),TEXT('Change in Employment'!J12, "0"),"")</f>
        <v>-6000</v>
      </c>
    </row>
    <row r="6" spans="1:4">
      <c r="A6" s="23" t="str">
        <f>TEXT(IF('Change in Employment'!B13&lt;&gt;0,DATE(YEAR('Change in Employment'!B13), MONTH('Change in Employment'!B13), 1), ""), "mm/dd/yyyy")</f>
        <v>04/01/2009</v>
      </c>
      <c r="B6" s="25" t="str">
        <f>IF(ISNUMBER('Change in Employment'!I13), TEXT('Change in Employment'!I13, "0"), "")</f>
        <v>-8000</v>
      </c>
      <c r="C6" s="25" t="str">
        <f>IF(ISNUMBER('Change in Employment'!J13),TEXT('Change in Employment'!J13, "0"),"")</f>
        <v>-12667</v>
      </c>
    </row>
    <row r="7" spans="1:4">
      <c r="A7" s="23" t="str">
        <f>TEXT(IF('Change in Employment'!B14&lt;&gt;0,DATE(YEAR('Change in Employment'!B14), MONTH('Change in Employment'!B14), 1), ""), "mm/dd/yyyy")</f>
        <v>05/01/2009</v>
      </c>
      <c r="B7" s="25" t="str">
        <f>IF(ISNUMBER('Change in Employment'!I14), TEXT('Change in Employment'!I14, "0"), "")</f>
        <v>2000</v>
      </c>
      <c r="C7" s="25" t="str">
        <f>IF(ISNUMBER('Change in Employment'!J14),TEXT('Change in Employment'!J14, "0"),"")</f>
        <v>-8000</v>
      </c>
    </row>
    <row r="8" spans="1:4">
      <c r="A8" s="23" t="str">
        <f>TEXT(IF('Change in Employment'!B15&lt;&gt;0,DATE(YEAR('Change in Employment'!B15), MONTH('Change in Employment'!B15), 1), ""), "mm/dd/yyyy")</f>
        <v>06/01/2009</v>
      </c>
      <c r="B8" s="25" t="str">
        <f>IF(ISNUMBER('Change in Employment'!I15), TEXT('Change in Employment'!I15, "0"), "")</f>
        <v>5000</v>
      </c>
      <c r="C8" s="25" t="str">
        <f>IF(ISNUMBER('Change in Employment'!J15),TEXT('Change in Employment'!J15, "0"),"")</f>
        <v>-333</v>
      </c>
    </row>
    <row r="9" spans="1:4">
      <c r="A9" s="23" t="str">
        <f>TEXT(IF('Change in Employment'!B16&lt;&gt;0,DATE(YEAR('Change in Employment'!B16), MONTH('Change in Employment'!B16), 1), ""), "mm/dd/yyyy")</f>
        <v>07/01/2009</v>
      </c>
      <c r="B9" s="25" t="str">
        <f>IF(ISNUMBER('Change in Employment'!I16), TEXT('Change in Employment'!I16, "0"), "")</f>
        <v>-67000</v>
      </c>
      <c r="C9" s="25" t="str">
        <f>IF(ISNUMBER('Change in Employment'!J16),TEXT('Change in Employment'!J16, "0"),"")</f>
        <v>-20000</v>
      </c>
    </row>
    <row r="10" spans="1:4">
      <c r="A10" s="23" t="str">
        <f>TEXT(IF('Change in Employment'!B17&lt;&gt;0,DATE(YEAR('Change in Employment'!B17), MONTH('Change in Employment'!B17), 1), ""), "mm/dd/yyyy")</f>
        <v>08/01/2009</v>
      </c>
      <c r="B10" s="25" t="str">
        <f>IF(ISNUMBER('Change in Employment'!I17), TEXT('Change in Employment'!I17, "0"), "")</f>
        <v>17000</v>
      </c>
      <c r="C10" s="25" t="str">
        <f>IF(ISNUMBER('Change in Employment'!J17),TEXT('Change in Employment'!J17, "0"),"")</f>
        <v>-15000</v>
      </c>
    </row>
    <row r="11" spans="1:4">
      <c r="A11" s="23" t="str">
        <f>TEXT(IF('Change in Employment'!B18&lt;&gt;0,DATE(YEAR('Change in Employment'!B18), MONTH('Change in Employment'!B18), 1), ""), "mm/dd/yyyy")</f>
        <v>09/01/2009</v>
      </c>
      <c r="B11" s="25" t="str">
        <f>IF(ISNUMBER('Change in Employment'!I18), TEXT('Change in Employment'!I18, "0"), "")</f>
        <v>-87000</v>
      </c>
      <c r="C11" s="25" t="str">
        <f>IF(ISNUMBER('Change in Employment'!J18),TEXT('Change in Employment'!J18, "0"),"")</f>
        <v>-45667</v>
      </c>
    </row>
    <row r="12" spans="1:4">
      <c r="A12" s="23" t="str">
        <f>TEXT(IF('Change in Employment'!B19&lt;&gt;0,DATE(YEAR('Change in Employment'!B19), MONTH('Change in Employment'!B19), 1), ""), "mm/dd/yyyy")</f>
        <v>10/01/2009</v>
      </c>
      <c r="B12" s="25" t="str">
        <f>IF(ISNUMBER('Change in Employment'!I19), TEXT('Change in Employment'!I19, "0"), "")</f>
        <v>56000</v>
      </c>
      <c r="C12" s="25" t="str">
        <f>IF(ISNUMBER('Change in Employment'!J19),TEXT('Change in Employment'!J19, "0"),"")</f>
        <v>-4667</v>
      </c>
    </row>
    <row r="13" spans="1:4">
      <c r="A13" s="23" t="str">
        <f>TEXT(IF('Change in Employment'!B20&lt;&gt;0,DATE(YEAR('Change in Employment'!B20), MONTH('Change in Employment'!B20), 1), ""), "mm/dd/yyyy")</f>
        <v>11/01/2009</v>
      </c>
      <c r="B13" s="25" t="str">
        <f>IF(ISNUMBER('Change in Employment'!I20), TEXT('Change in Employment'!I20, "0"), "")</f>
        <v>10000</v>
      </c>
      <c r="C13" s="25" t="str">
        <f>IF(ISNUMBER('Change in Employment'!J20),TEXT('Change in Employment'!J20, "0"),"")</f>
        <v>-7000</v>
      </c>
    </row>
    <row r="14" spans="1:4">
      <c r="A14" s="23" t="str">
        <f>TEXT(IF('Change in Employment'!B21&lt;&gt;0,DATE(YEAR('Change in Employment'!B21), MONTH('Change in Employment'!B21), 1), ""), "mm/dd/yyyy")</f>
        <v>12/01/2009</v>
      </c>
      <c r="B14" s="25" t="str">
        <f>IF(ISNUMBER('Change in Employment'!I21), TEXT('Change in Employment'!I21, "0"), "")</f>
        <v>-40000</v>
      </c>
      <c r="C14" s="25" t="str">
        <f>IF(ISNUMBER('Change in Employment'!J21),TEXT('Change in Employment'!J21, "0"),"")</f>
        <v>8667</v>
      </c>
    </row>
    <row r="15" spans="1:4">
      <c r="A15" s="23" t="str">
        <f>TEXT(IF('Change in Employment'!B22&lt;&gt;0,DATE(YEAR('Change in Employment'!B22), MONTH('Change in Employment'!B22), 1), ""), "mm/dd/yyyy")</f>
        <v>01/01/2010</v>
      </c>
      <c r="B15" s="25" t="str">
        <f>IF(ISNUMBER('Change in Employment'!I22), TEXT('Change in Employment'!I22, "0"), "")</f>
        <v>-31000</v>
      </c>
      <c r="C15" s="25" t="str">
        <f>IF(ISNUMBER('Change in Employment'!J22),TEXT('Change in Employment'!J22, "0"),"")</f>
        <v>-20333</v>
      </c>
    </row>
    <row r="16" spans="1:4">
      <c r="A16" s="23" t="str">
        <f>TEXT(IF('Change in Employment'!B23&lt;&gt;0,DATE(YEAR('Change in Employment'!B23), MONTH('Change in Employment'!B23), 1), ""), "mm/dd/yyyy")</f>
        <v>02/01/2010</v>
      </c>
      <c r="B16" s="25" t="str">
        <f>IF(ISNUMBER('Change in Employment'!I23), TEXT('Change in Employment'!I23, "0"), "")</f>
        <v>-23000</v>
      </c>
      <c r="C16" s="25" t="str">
        <f>IF(ISNUMBER('Change in Employment'!J23),TEXT('Change in Employment'!J23, "0"),"")</f>
        <v>-31333</v>
      </c>
    </row>
    <row r="17" spans="1:3">
      <c r="A17" s="23" t="str">
        <f>TEXT(IF('Change in Employment'!B24&lt;&gt;0,DATE(YEAR('Change in Employment'!B24), MONTH('Change in Employment'!B24), 1), ""), "mm/dd/yyyy")</f>
        <v>03/01/2010</v>
      </c>
      <c r="B17" s="25" t="str">
        <f>IF(ISNUMBER('Change in Employment'!I24), TEXT('Change in Employment'!I24, "0"), "")</f>
        <v>-8000</v>
      </c>
      <c r="C17" s="25" t="str">
        <f>IF(ISNUMBER('Change in Employment'!J24),TEXT('Change in Employment'!J24, "0"),"")</f>
        <v>-20667</v>
      </c>
    </row>
    <row r="18" spans="1:3">
      <c r="A18" s="23" t="str">
        <f>TEXT(IF('Change in Employment'!B25&lt;&gt;0,DATE(YEAR('Change in Employment'!B25), MONTH('Change in Employment'!B25), 1), ""), "mm/dd/yyyy")</f>
        <v>04/01/2010</v>
      </c>
      <c r="B18" s="25" t="str">
        <f>IF(ISNUMBER('Change in Employment'!I25), TEXT('Change in Employment'!I25, "0"), "")</f>
        <v>-5000</v>
      </c>
      <c r="C18" s="25" t="str">
        <f>IF(ISNUMBER('Change in Employment'!J25),TEXT('Change in Employment'!J25, "0"),"")</f>
        <v>-12000</v>
      </c>
    </row>
    <row r="19" spans="1:3">
      <c r="A19" s="23" t="str">
        <f>TEXT(IF('Change in Employment'!B26&lt;&gt;0,DATE(YEAR('Change in Employment'!B26), MONTH('Change in Employment'!B26), 1), ""), "mm/dd/yyyy")</f>
        <v>05/01/2010</v>
      </c>
      <c r="B19" s="25" t="str">
        <f>IF(ISNUMBER('Change in Employment'!I26), TEXT('Change in Employment'!I26, "0"), "")</f>
        <v>-7000</v>
      </c>
      <c r="C19" s="25" t="str">
        <f>IF(ISNUMBER('Change in Employment'!J26),TEXT('Change in Employment'!J26, "0"),"")</f>
        <v>-6667</v>
      </c>
    </row>
    <row r="20" spans="1:3">
      <c r="A20" s="23" t="str">
        <f>TEXT(IF('Change in Employment'!B27&lt;&gt;0,DATE(YEAR('Change in Employment'!B27), MONTH('Change in Employment'!B27), 1), ""), "mm/dd/yyyy")</f>
        <v>06/01/2010</v>
      </c>
      <c r="B20" s="25" t="str">
        <f>IF(ISNUMBER('Change in Employment'!I27), TEXT('Change in Employment'!I27, "0"), "")</f>
        <v>-10000</v>
      </c>
      <c r="C20" s="25" t="str">
        <f>IF(ISNUMBER('Change in Employment'!J27),TEXT('Change in Employment'!J27, "0"),"")</f>
        <v>-7333</v>
      </c>
    </row>
    <row r="21" spans="1:3">
      <c r="A21" s="23" t="str">
        <f>TEXT(IF('Change in Employment'!B28&lt;&gt;0,DATE(YEAR('Change in Employment'!B28), MONTH('Change in Employment'!B28), 1), ""), "mm/dd/yyyy")</f>
        <v>07/01/2010</v>
      </c>
      <c r="B21" s="25" t="str">
        <f>IF(ISNUMBER('Change in Employment'!I28), TEXT('Change in Employment'!I28, "0"), "")</f>
        <v>-42000</v>
      </c>
      <c r="C21" s="25" t="str">
        <f>IF(ISNUMBER('Change in Employment'!J28),TEXT('Change in Employment'!J28, "0"),"")</f>
        <v>-19667</v>
      </c>
    </row>
    <row r="22" spans="1:3">
      <c r="A22" s="23" t="str">
        <f>TEXT(IF('Change in Employment'!B29&lt;&gt;0,DATE(YEAR('Change in Employment'!B29), MONTH('Change in Employment'!B29), 1), ""), "mm/dd/yyyy")</f>
        <v>08/01/2010</v>
      </c>
      <c r="B22" s="25" t="str">
        <f>IF(ISNUMBER('Change in Employment'!I29), TEXT('Change in Employment'!I29, "0"), "")</f>
        <v>-50000</v>
      </c>
      <c r="C22" s="25" t="str">
        <f>IF(ISNUMBER('Change in Employment'!J29),TEXT('Change in Employment'!J29, "0"),"")</f>
        <v>-34000</v>
      </c>
    </row>
    <row r="23" spans="1:3">
      <c r="A23" s="23" t="str">
        <f>TEXT(IF('Change in Employment'!B30&lt;&gt;0,DATE(YEAR('Change in Employment'!B30), MONTH('Change in Employment'!B30), 1), ""), "mm/dd/yyyy")</f>
        <v>09/01/2010</v>
      </c>
      <c r="B23" s="25" t="str">
        <f>IF(ISNUMBER('Change in Employment'!I30), TEXT('Change in Employment'!I30, "0"), "")</f>
        <v>-88000</v>
      </c>
      <c r="C23" s="25" t="str">
        <f>IF(ISNUMBER('Change in Employment'!J30),TEXT('Change in Employment'!J30, "0"),"")</f>
        <v>-60000</v>
      </c>
    </row>
    <row r="24" spans="1:3">
      <c r="A24" s="23" t="str">
        <f>TEXT(IF('Change in Employment'!B31&lt;&gt;0,DATE(YEAR('Change in Employment'!B31), MONTH('Change in Employment'!B31), 1), ""), "mm/dd/yyyy")</f>
        <v>10/01/2010</v>
      </c>
      <c r="B24" s="25" t="str">
        <f>IF(ISNUMBER('Change in Employment'!I31), TEXT('Change in Employment'!I31, "0"), "")</f>
        <v>45000</v>
      </c>
      <c r="C24" s="25" t="str">
        <f>IF(ISNUMBER('Change in Employment'!J31),TEXT('Change in Employment'!J31, "0"),"")</f>
        <v>-31000</v>
      </c>
    </row>
    <row r="25" spans="1:3">
      <c r="A25" s="23" t="str">
        <f>TEXT(IF('Change in Employment'!B32&lt;&gt;0,DATE(YEAR('Change in Employment'!B32), MONTH('Change in Employment'!B32), 1), ""), "mm/dd/yyyy")</f>
        <v>11/01/2010</v>
      </c>
      <c r="B25" s="25" t="str">
        <f>IF(ISNUMBER('Change in Employment'!I32), TEXT('Change in Employment'!I32, "0"), "")</f>
        <v>-12000</v>
      </c>
      <c r="C25" s="25" t="str">
        <f>IF(ISNUMBER('Change in Employment'!J32),TEXT('Change in Employment'!J32, "0"),"")</f>
        <v>-18333</v>
      </c>
    </row>
    <row r="26" spans="1:3">
      <c r="A26" s="23" t="str">
        <f>TEXT(IF('Change in Employment'!B33&lt;&gt;0,DATE(YEAR('Change in Employment'!B33), MONTH('Change in Employment'!B33), 1), ""), "mm/dd/yyyy")</f>
        <v>12/01/2010</v>
      </c>
      <c r="B26" s="25" t="str">
        <f>IF(ISNUMBER('Change in Employment'!I33), TEXT('Change in Employment'!I33, "0"), "")</f>
        <v>-27000</v>
      </c>
      <c r="C26" s="25" t="str">
        <f>IF(ISNUMBER('Change in Employment'!J33),TEXT('Change in Employment'!J33, "0"),"")</f>
        <v>2000</v>
      </c>
    </row>
    <row r="27" spans="1:3">
      <c r="A27" s="23" t="str">
        <f>TEXT(IF('Change in Employment'!B34&lt;&gt;0,DATE(YEAR('Change in Employment'!B34), MONTH('Change in Employment'!B34), 1), ""), "mm/dd/yyyy")</f>
        <v>01/01/2011</v>
      </c>
      <c r="B27" s="25" t="str">
        <f>IF(ISNUMBER('Change in Employment'!I34), TEXT('Change in Employment'!I34, "0"), "")</f>
        <v>-6000</v>
      </c>
      <c r="C27" s="25" t="str">
        <f>IF(ISNUMBER('Change in Employment'!J34),TEXT('Change in Employment'!J34, "0"),"")</f>
        <v>-15000</v>
      </c>
    </row>
    <row r="28" spans="1:3">
      <c r="A28" s="23" t="str">
        <f>TEXT(IF('Change in Employment'!B35&lt;&gt;0,DATE(YEAR('Change in Employment'!B35), MONTH('Change in Employment'!B35), 1), ""), "mm/dd/yyyy")</f>
        <v>02/01/2011</v>
      </c>
      <c r="B28" s="25" t="str">
        <f>IF(ISNUMBER('Change in Employment'!I35), TEXT('Change in Employment'!I35, "0"), "")</f>
        <v>-56000</v>
      </c>
      <c r="C28" s="25" t="str">
        <f>IF(ISNUMBER('Change in Employment'!J35),TEXT('Change in Employment'!J35, "0"),"")</f>
        <v>-29667</v>
      </c>
    </row>
    <row r="29" spans="1:3">
      <c r="A29" s="23" t="str">
        <f>TEXT(IF('Change in Employment'!B36&lt;&gt;0,DATE(YEAR('Change in Employment'!B36), MONTH('Change in Employment'!B36), 1), ""), "mm/dd/yyyy")</f>
        <v>03/01/2011</v>
      </c>
      <c r="B29" s="25" t="str">
        <f>IF(ISNUMBER('Change in Employment'!I36), TEXT('Change in Employment'!I36, "0"), "")</f>
        <v>-20000</v>
      </c>
      <c r="C29" s="25" t="str">
        <f>IF(ISNUMBER('Change in Employment'!J36),TEXT('Change in Employment'!J36, "0"),"")</f>
        <v>-27333</v>
      </c>
    </row>
    <row r="30" spans="1:3">
      <c r="A30" s="23" t="str">
        <f>TEXT(IF('Change in Employment'!B37&lt;&gt;0,DATE(YEAR('Change in Employment'!B37), MONTH('Change in Employment'!B37), 1), ""), "mm/dd/yyyy")</f>
        <v>04/01/2011</v>
      </c>
      <c r="B30" s="25" t="str">
        <f>IF(ISNUMBER('Change in Employment'!I37), TEXT('Change in Employment'!I37, "0"), "")</f>
        <v>6000</v>
      </c>
      <c r="C30" s="25" t="str">
        <f>IF(ISNUMBER('Change in Employment'!J37),TEXT('Change in Employment'!J37, "0"),"")</f>
        <v>-23333</v>
      </c>
    </row>
    <row r="31" spans="1:3">
      <c r="A31" s="23" t="str">
        <f>TEXT(IF('Change in Employment'!B38&lt;&gt;0,DATE(YEAR('Change in Employment'!B38), MONTH('Change in Employment'!B38), 1), ""), "mm/dd/yyyy")</f>
        <v>05/01/2011</v>
      </c>
      <c r="B31" s="25" t="str">
        <f>IF(ISNUMBER('Change in Employment'!I38), TEXT('Change in Employment'!I38, "0"), "")</f>
        <v>-64000</v>
      </c>
      <c r="C31" s="25" t="str">
        <f>IF(ISNUMBER('Change in Employment'!J38),TEXT('Change in Employment'!J38, "0"),"")</f>
        <v>-26000</v>
      </c>
    </row>
    <row r="32" spans="1:3">
      <c r="A32" s="23" t="str">
        <f>TEXT(IF('Change in Employment'!B39&lt;&gt;0,DATE(YEAR('Change in Employment'!B39), MONTH('Change in Employment'!B39), 1), ""), "mm/dd/yyyy")</f>
        <v>06/01/2011</v>
      </c>
      <c r="B32" s="25" t="str">
        <f>IF(ISNUMBER('Change in Employment'!I39), TEXT('Change in Employment'!I39, "0"), "")</f>
        <v>44000</v>
      </c>
      <c r="C32" s="25" t="str">
        <f>IF(ISNUMBER('Change in Employment'!J39),TEXT('Change in Employment'!J39, "0"),"")</f>
        <v>-4667</v>
      </c>
    </row>
    <row r="33" spans="1:3">
      <c r="A33" s="23" t="str">
        <f>TEXT(IF('Change in Employment'!B40&lt;&gt;0,DATE(YEAR('Change in Employment'!B40), MONTH('Change in Employment'!B40), 1), ""), "mm/dd/yyyy")</f>
        <v>07/01/2011</v>
      </c>
      <c r="B33" s="25" t="str">
        <f>IF(ISNUMBER('Change in Employment'!I40), TEXT('Change in Employment'!I40, "0"), "")</f>
        <v>-114000</v>
      </c>
      <c r="C33" s="25" t="str">
        <f>IF(ISNUMBER('Change in Employment'!J40),TEXT('Change in Employment'!J40, "0"),"")</f>
        <v>-44667</v>
      </c>
    </row>
    <row r="34" spans="1:3">
      <c r="A34" s="23" t="str">
        <f>TEXT(IF('Change in Employment'!B41&lt;&gt;0,DATE(YEAR('Change in Employment'!B41), MONTH('Change in Employment'!B41), 1), ""), "mm/dd/yyyy")</f>
        <v>08/01/2011</v>
      </c>
      <c r="B34" s="25" t="str">
        <f>IF(ISNUMBER('Change in Employment'!I41), TEXT('Change in Employment'!I41, "0"), "")</f>
        <v>5000</v>
      </c>
      <c r="C34" s="25" t="str">
        <f>IF(ISNUMBER('Change in Employment'!J41),TEXT('Change in Employment'!J41, "0"),"")</f>
        <v>-21667</v>
      </c>
    </row>
    <row r="35" spans="1:3">
      <c r="A35" s="23" t="str">
        <f>TEXT(IF('Change in Employment'!B42&lt;&gt;0,DATE(YEAR('Change in Employment'!B42), MONTH('Change in Employment'!B42), 1), ""), "mm/dd/yyyy")</f>
        <v>09/01/2011</v>
      </c>
      <c r="B35" s="25" t="str">
        <f>IF(ISNUMBER('Change in Employment'!I42), TEXT('Change in Employment'!I42, "0"), "")</f>
        <v>-41000</v>
      </c>
      <c r="C35" s="25" t="str">
        <f>IF(ISNUMBER('Change in Employment'!J42),TEXT('Change in Employment'!J42, "0"),"")</f>
        <v>-50000</v>
      </c>
    </row>
    <row r="36" spans="1:3">
      <c r="A36" s="23" t="str">
        <f>TEXT(IF('Change in Employment'!B43&lt;&gt;0,DATE(YEAR('Change in Employment'!B43), MONTH('Change in Employment'!B43), 1), ""), "mm/dd/yyyy")</f>
        <v>10/01/2011</v>
      </c>
      <c r="B36" s="25" t="str">
        <f>IF(ISNUMBER('Change in Employment'!I43), TEXT('Change in Employment'!I43, "0"), "")</f>
        <v>3000</v>
      </c>
      <c r="C36" s="25" t="str">
        <f>IF(ISNUMBER('Change in Employment'!J43),TEXT('Change in Employment'!J43, "0"),"")</f>
        <v>-11000</v>
      </c>
    </row>
    <row r="37" spans="1:3">
      <c r="A37" s="23" t="str">
        <f>TEXT(IF('Change in Employment'!B44&lt;&gt;0,DATE(YEAR('Change in Employment'!B44), MONTH('Change in Employment'!B44), 1), ""), "mm/dd/yyyy")</f>
        <v>11/01/2011</v>
      </c>
      <c r="B37" s="25" t="str">
        <f>IF(ISNUMBER('Change in Employment'!I44), TEXT('Change in Employment'!I44, "0"), "")</f>
        <v>-21000</v>
      </c>
      <c r="C37" s="25" t="str">
        <f>IF(ISNUMBER('Change in Employment'!J44),TEXT('Change in Employment'!J44, "0"),"")</f>
        <v>-19667</v>
      </c>
    </row>
    <row r="38" spans="1:3">
      <c r="A38" s="23" t="str">
        <f>TEXT(IF('Change in Employment'!B45&lt;&gt;0,DATE(YEAR('Change in Employment'!B45), MONTH('Change in Employment'!B45), 1), ""), "mm/dd/yyyy")</f>
        <v>12/01/2011</v>
      </c>
      <c r="B38" s="25" t="str">
        <f>IF(ISNUMBER('Change in Employment'!I45), TEXT('Change in Employment'!I45, "0"), "")</f>
        <v>-22000</v>
      </c>
      <c r="C38" s="25" t="str">
        <f>IF(ISNUMBER('Change in Employment'!J45),TEXT('Change in Employment'!J45, "0"),"")</f>
        <v>-13333</v>
      </c>
    </row>
    <row r="39" spans="1:3">
      <c r="A39" s="23" t="str">
        <f>TEXT(IF('Change in Employment'!B46&lt;&gt;0,DATE(YEAR('Change in Employment'!B46), MONTH('Change in Employment'!B46), 1), ""), "mm/dd/yyyy")</f>
        <v>01/01/2012</v>
      </c>
      <c r="B39" s="25" t="str">
        <f>IF(ISNUMBER('Change in Employment'!I46), TEXT('Change in Employment'!I46, "0"), "")</f>
        <v>2000</v>
      </c>
      <c r="C39" s="25" t="str">
        <f>IF(ISNUMBER('Change in Employment'!J46),TEXT('Change in Employment'!J46, "0"),"")</f>
        <v>-13667</v>
      </c>
    </row>
    <row r="40" spans="1:3">
      <c r="A40" s="23" t="str">
        <f>TEXT(IF('Change in Employment'!B47&lt;&gt;0,DATE(YEAR('Change in Employment'!B47), MONTH('Change in Employment'!B47), 1), ""), "mm/dd/yyyy")</f>
        <v>02/01/2012</v>
      </c>
      <c r="B40" s="25" t="str">
        <f>IF(ISNUMBER('Change in Employment'!I47), TEXT('Change in Employment'!I47, "0"), "")</f>
        <v>4000</v>
      </c>
      <c r="C40" s="25" t="str">
        <f>IF(ISNUMBER('Change in Employment'!J47),TEXT('Change in Employment'!J47, "0"),"")</f>
        <v>-5333</v>
      </c>
    </row>
    <row r="41" spans="1:3">
      <c r="A41" s="23" t="str">
        <f>TEXT(IF('Change in Employment'!B48&lt;&gt;0,DATE(YEAR('Change in Employment'!B48), MONTH('Change in Employment'!B48), 1), ""), "mm/dd/yyyy")</f>
        <v>03/01/2012</v>
      </c>
      <c r="B41" s="25" t="str">
        <f>IF(ISNUMBER('Change in Employment'!I48), TEXT('Change in Employment'!I48, "0"), "")</f>
        <v>-2000</v>
      </c>
      <c r="C41" s="25" t="str">
        <f>IF(ISNUMBER('Change in Employment'!J48),TEXT('Change in Employment'!J48, "0"),"")</f>
        <v>1333</v>
      </c>
    </row>
    <row r="42" spans="1:3">
      <c r="A42" s="23" t="str">
        <f>TEXT(IF('Change in Employment'!B49&lt;&gt;0,DATE(YEAR('Change in Employment'!B49), MONTH('Change in Employment'!B49), 1), ""), "mm/dd/yyyy")</f>
        <v>04/01/2012</v>
      </c>
      <c r="B42" s="25" t="str">
        <f>IF(ISNUMBER('Change in Employment'!I49), TEXT('Change in Employment'!I49, "0"), "")</f>
        <v>-6000</v>
      </c>
      <c r="C42" s="25" t="str">
        <f>IF(ISNUMBER('Change in Employment'!J49),TEXT('Change in Employment'!J49, "0"),"")</f>
        <v>-1333</v>
      </c>
    </row>
    <row r="43" spans="1:3">
      <c r="A43" s="23" t="str">
        <f>TEXT(IF('Change in Employment'!B50&lt;&gt;0,DATE(YEAR('Change in Employment'!B50), MONTH('Change in Employment'!B50), 1), ""), "mm/dd/yyyy")</f>
        <v>05/01/2012</v>
      </c>
      <c r="B43" s="25" t="str">
        <f>IF(ISNUMBER('Change in Employment'!I50), TEXT('Change in Employment'!I50, "0"), "")</f>
        <v>-20000</v>
      </c>
      <c r="C43" s="25" t="str">
        <f>IF(ISNUMBER('Change in Employment'!J50),TEXT('Change in Employment'!J50, "0"),"")</f>
        <v>-9333</v>
      </c>
    </row>
    <row r="44" spans="1:3">
      <c r="A44" s="23" t="str">
        <f>TEXT(IF('Change in Employment'!B51&lt;&gt;0,DATE(YEAR('Change in Employment'!B51), MONTH('Change in Employment'!B51), 1), ""), "mm/dd/yyyy")</f>
        <v>06/01/2012</v>
      </c>
      <c r="B44" s="25" t="str">
        <f>IF(ISNUMBER('Change in Employment'!I51), TEXT('Change in Employment'!I51, "0"), "")</f>
        <v>14000</v>
      </c>
      <c r="C44" s="25" t="str">
        <f>IF(ISNUMBER('Change in Employment'!J51),TEXT('Change in Employment'!J51, "0"),"")</f>
        <v>-4000</v>
      </c>
    </row>
    <row r="45" spans="1:3">
      <c r="A45" s="23" t="str">
        <f>TEXT(IF('Change in Employment'!B52&lt;&gt;0,DATE(YEAR('Change in Employment'!B52), MONTH('Change in Employment'!B52), 1), ""), "mm/dd/yyyy")</f>
        <v>07/01/2012</v>
      </c>
      <c r="B45" s="25" t="str">
        <f>IF(ISNUMBER('Change in Employment'!I52), TEXT('Change in Employment'!I52, "0"), "")</f>
        <v>-2000</v>
      </c>
      <c r="C45" s="25" t="str">
        <f>IF(ISNUMBER('Change in Employment'!J52),TEXT('Change in Employment'!J52, "0"),"")</f>
        <v>-2667</v>
      </c>
    </row>
    <row r="46" spans="1:3">
      <c r="A46" s="23" t="str">
        <f>TEXT(IF('Change in Employment'!B53&lt;&gt;0,DATE(YEAR('Change in Employment'!B53), MONTH('Change in Employment'!B53), 1), ""), "mm/dd/yyyy")</f>
        <v>08/01/2012</v>
      </c>
      <c r="B46" s="25" t="str">
        <f>IF(ISNUMBER('Change in Employment'!I53), TEXT('Change in Employment'!I53, "0"), "")</f>
        <v>9000</v>
      </c>
      <c r="C46" s="25" t="str">
        <f>IF(ISNUMBER('Change in Employment'!J53),TEXT('Change in Employment'!J53, "0"),"")</f>
        <v>7000</v>
      </c>
    </row>
    <row r="47" spans="1:3">
      <c r="A47" s="23" t="str">
        <f>TEXT(IF('Change in Employment'!B54&lt;&gt;0,DATE(YEAR('Change in Employment'!B54), MONTH('Change in Employment'!B54), 1), ""), "mm/dd/yyyy")</f>
        <v>09/01/2012</v>
      </c>
      <c r="B47" s="25" t="str">
        <f>IF(ISNUMBER('Change in Employment'!I54), TEXT('Change in Employment'!I54, "0"), "")</f>
        <v>2000</v>
      </c>
      <c r="C47" s="25" t="str">
        <f>IF(ISNUMBER('Change in Employment'!J54),TEXT('Change in Employment'!J54, "0"),"")</f>
        <v>3000</v>
      </c>
    </row>
    <row r="48" spans="1:3">
      <c r="A48" s="23" t="str">
        <f>TEXT(IF('Change in Employment'!B55&lt;&gt;0,DATE(YEAR('Change in Employment'!B55), MONTH('Change in Employment'!B55), 1), ""), "mm/dd/yyyy")</f>
        <v>10/01/2012</v>
      </c>
      <c r="B48" s="25" t="str">
        <f>IF(ISNUMBER('Change in Employment'!I55), TEXT('Change in Employment'!I55, "0"), "")</f>
        <v>-32000</v>
      </c>
      <c r="C48" s="25" t="str">
        <f>IF(ISNUMBER('Change in Employment'!J55),TEXT('Change in Employment'!J55, "0"),"")</f>
        <v>-7000</v>
      </c>
    </row>
    <row r="49" spans="1:3">
      <c r="A49" s="23" t="str">
        <f>TEXT(IF('Change in Employment'!B56&lt;&gt;0,DATE(YEAR('Change in Employment'!B56), MONTH('Change in Employment'!B56), 1), ""), "mm/dd/yyyy")</f>
        <v>11/01/2012</v>
      </c>
      <c r="B49" s="25" t="str">
        <f>IF(ISNUMBER('Change in Employment'!I56), TEXT('Change in Employment'!I56, "0"), "")</f>
        <v>-3000</v>
      </c>
      <c r="C49" s="25" t="str">
        <f>IF(ISNUMBER('Change in Employment'!J56),TEXT('Change in Employment'!J56, "0"),"")</f>
        <v>-11000</v>
      </c>
    </row>
    <row r="50" spans="1:3">
      <c r="A50" s="23" t="str">
        <f>TEXT(IF('Change in Employment'!B57&lt;&gt;0,DATE(YEAR('Change in Employment'!B57), MONTH('Change in Employment'!B57), 1), ""), "mm/dd/yyyy")</f>
        <v>12/01/2012</v>
      </c>
      <c r="B50" s="25" t="str">
        <f>IF(ISNUMBER('Change in Employment'!I57), TEXT('Change in Employment'!I57, "0"), "")</f>
        <v>1000</v>
      </c>
      <c r="C50" s="25" t="str">
        <f>IF(ISNUMBER('Change in Employment'!J57),TEXT('Change in Employment'!J57, "0"),"")</f>
        <v>-11333</v>
      </c>
    </row>
    <row r="51" spans="1:3">
      <c r="A51" s="23" t="str">
        <f>TEXT(IF('Change in Employment'!B58&lt;&gt;0,DATE(YEAR('Change in Employment'!B58), MONTH('Change in Employment'!B58), 1), ""), "mm/dd/yyyy")</f>
        <v>01/01/2013</v>
      </c>
      <c r="B51" s="25" t="str">
        <f>IF(ISNUMBER('Change in Employment'!I58), TEXT('Change in Employment'!I58, "0"), "")</f>
        <v>-17000</v>
      </c>
      <c r="C51" s="25" t="str">
        <f>IF(ISNUMBER('Change in Employment'!J58),TEXT('Change in Employment'!J58, "0"),"")</f>
        <v>-6333</v>
      </c>
    </row>
    <row r="52" spans="1:3">
      <c r="A52" s="23" t="str">
        <f>TEXT(IF('Change in Employment'!B59&lt;&gt;0,DATE(YEAR('Change in Employment'!B59), MONTH('Change in Employment'!B59), 1), ""), "mm/dd/yyyy")</f>
        <v>02/01/2013</v>
      </c>
      <c r="B52" s="25" t="str">
        <f>IF(ISNUMBER('Change in Employment'!I59), TEXT('Change in Employment'!I59, "0"), "")</f>
        <v>16000</v>
      </c>
      <c r="C52" s="25" t="str">
        <f>IF(ISNUMBER('Change in Employment'!J59),TEXT('Change in Employment'!J59, "0"),"")</f>
        <v>0</v>
      </c>
    </row>
    <row r="53" spans="1:3">
      <c r="A53" s="23" t="str">
        <f>TEXT(IF('Change in Employment'!B60&lt;&gt;0,DATE(YEAR('Change in Employment'!B60), MONTH('Change in Employment'!B60), 1), ""), "mm/dd/yyyy")</f>
        <v>03/01/2013</v>
      </c>
      <c r="B53" s="25" t="str">
        <f>IF(ISNUMBER('Change in Employment'!I60), TEXT('Change in Employment'!I60, "0"), "")</f>
        <v>-2000</v>
      </c>
      <c r="C53" s="25" t="str">
        <f>IF(ISNUMBER('Change in Employment'!J60),TEXT('Change in Employment'!J60, "0"),"")</f>
        <v>-1000</v>
      </c>
    </row>
    <row r="54" spans="1:3">
      <c r="A54" s="23" t="str">
        <f>TEXT(IF('Change in Employment'!B61&lt;&gt;0,DATE(YEAR('Change in Employment'!B61), MONTH('Change in Employment'!B61), 1), ""), "mm/dd/yyyy")</f>
        <v>04/01/2013</v>
      </c>
      <c r="B54" s="25" t="str">
        <f>IF(ISNUMBER('Change in Employment'!I61), TEXT('Change in Employment'!I61, "0"), "")</f>
        <v>13000</v>
      </c>
      <c r="C54" s="25" t="str">
        <f>IF(ISNUMBER('Change in Employment'!J61),TEXT('Change in Employment'!J61, "0"),"")</f>
        <v>9000</v>
      </c>
    </row>
    <row r="55" spans="1:3">
      <c r="A55" s="23" t="str">
        <f>TEXT(IF('Change in Employment'!B62&lt;&gt;0,DATE(YEAR('Change in Employment'!B62), MONTH('Change in Employment'!B62), 1), ""), "mm/dd/yyyy")</f>
        <v>05/01/2013</v>
      </c>
      <c r="B55" s="25" t="str">
        <f>IF(ISNUMBER('Change in Employment'!I62), TEXT('Change in Employment'!I62, "0"), "")</f>
        <v>0</v>
      </c>
      <c r="C55" s="25" t="str">
        <f>IF(ISNUMBER('Change in Employment'!J62),TEXT('Change in Employment'!J62, "0"),"")</f>
        <v>3667</v>
      </c>
    </row>
    <row r="56" spans="1:3">
      <c r="A56" s="23" t="str">
        <f>TEXT(IF('Change in Employment'!B63&lt;&gt;0,DATE(YEAR('Change in Employment'!B63), MONTH('Change in Employment'!B63), 1), ""), "mm/dd/yyyy")</f>
        <v>06/01/2013</v>
      </c>
      <c r="B56" s="25" t="str">
        <f>IF(ISNUMBER('Change in Employment'!I63), TEXT('Change in Employment'!I63, "0"), "")</f>
        <v>1000</v>
      </c>
      <c r="C56" s="25" t="str">
        <f>IF(ISNUMBER('Change in Employment'!J63),TEXT('Change in Employment'!J63, "0"),"")</f>
        <v>4667</v>
      </c>
    </row>
    <row r="57" spans="1:3">
      <c r="A57" s="23" t="str">
        <f>TEXT(IF('Change in Employment'!B64&lt;&gt;0,DATE(YEAR('Change in Employment'!B64), MONTH('Change in Employment'!B64), 1), ""), "mm/dd/yyyy")</f>
        <v>07/01/2013</v>
      </c>
      <c r="B57" s="25" t="str">
        <f>IF(ISNUMBER('Change in Employment'!I64), TEXT('Change in Employment'!I64, "0"), "")</f>
        <v>-10000</v>
      </c>
      <c r="C57" s="25" t="str">
        <f>IF(ISNUMBER('Change in Employment'!J64),TEXT('Change in Employment'!J64, "0"),"")</f>
        <v>-3000</v>
      </c>
    </row>
    <row r="58" spans="1:3">
      <c r="A58" s="23" t="str">
        <f>TEXT(IF('Change in Employment'!B65&lt;&gt;0,DATE(YEAR('Change in Employment'!B65), MONTH('Change in Employment'!B65), 1), ""), "mm/dd/yyyy")</f>
        <v>08/01/2013</v>
      </c>
      <c r="B58" s="25" t="str">
        <f>IF(ISNUMBER('Change in Employment'!I65), TEXT('Change in Employment'!I65, "0"), "")</f>
        <v>29000</v>
      </c>
      <c r="C58" s="25" t="str">
        <f>IF(ISNUMBER('Change in Employment'!J65),TEXT('Change in Employment'!J65, "0"),"")</f>
        <v>6667</v>
      </c>
    </row>
    <row r="59" spans="1:3">
      <c r="A59" s="23" t="str">
        <f>TEXT(IF('Change in Employment'!B66&lt;&gt;0,DATE(YEAR('Change in Employment'!B66), MONTH('Change in Employment'!B66), 1), ""), "mm/dd/yyyy")</f>
        <v>09/01/2013</v>
      </c>
      <c r="B59" s="25" t="str">
        <f>IF(ISNUMBER('Change in Employment'!I66), TEXT('Change in Employment'!I66, "0"), "")</f>
        <v>16000</v>
      </c>
      <c r="C59" s="25" t="str">
        <f>IF(ISNUMBER('Change in Employment'!J66),TEXT('Change in Employment'!J66, "0"),"")</f>
        <v>11667</v>
      </c>
    </row>
    <row r="60" spans="1:3">
      <c r="A60" s="23" t="str">
        <f>TEXT(IF('Change in Employment'!B67&lt;&gt;0,DATE(YEAR('Change in Employment'!B67), MONTH('Change in Employment'!B67), 1), ""), "mm/dd/yyyy")</f>
        <v>10/01/2013</v>
      </c>
      <c r="B60" s="25" t="str">
        <f>IF(ISNUMBER('Change in Employment'!I67), TEXT('Change in Employment'!I67, "0"), "")</f>
        <v>2000</v>
      </c>
      <c r="C60" s="25" t="str">
        <f>IF(ISNUMBER('Change in Employment'!J67),TEXT('Change in Employment'!J67, "0"),"")</f>
        <v>15667</v>
      </c>
    </row>
    <row r="61" spans="1:3">
      <c r="A61" s="23" t="str">
        <f>TEXT(IF('Change in Employment'!B68&lt;&gt;0,DATE(YEAR('Change in Employment'!B68), MONTH('Change in Employment'!B68), 1), ""), "mm/dd/yyyy")</f>
        <v>11/01/2013</v>
      </c>
      <c r="B61" s="25" t="str">
        <f>IF(ISNUMBER('Change in Employment'!I68), TEXT('Change in Employment'!I68, "0"), "")</f>
        <v>-5000</v>
      </c>
      <c r="C61" s="25" t="str">
        <f>IF(ISNUMBER('Change in Employment'!J68),TEXT('Change in Employment'!J68, "0"),"")</f>
        <v>4333</v>
      </c>
    </row>
    <row r="62" spans="1:3">
      <c r="A62" s="23" t="str">
        <f>TEXT(IF('Change in Employment'!B69&lt;&gt;0,DATE(YEAR('Change in Employment'!B69), MONTH('Change in Employment'!B69), 1), ""), "mm/dd/yyyy")</f>
        <v>12/01/2013</v>
      </c>
      <c r="B62" s="25" t="str">
        <f>IF(ISNUMBER('Change in Employment'!I69), TEXT('Change in Employment'!I69, "0"), "")</f>
        <v>1000</v>
      </c>
      <c r="C62" s="25" t="str">
        <f>IF(ISNUMBER('Change in Employment'!J69),TEXT('Change in Employment'!J69, "0"),"")</f>
        <v>-667</v>
      </c>
    </row>
    <row r="63" spans="1:3">
      <c r="A63" s="23" t="str">
        <f>TEXT(IF('Change in Employment'!B70&lt;&gt;0,DATE(YEAR('Change in Employment'!B70), MONTH('Change in Employment'!B70), 1), ""), "mm/dd/yyyy")</f>
        <v>01/01/2014</v>
      </c>
      <c r="B63" s="25" t="str">
        <f>IF(ISNUMBER('Change in Employment'!I70), TEXT('Change in Employment'!I70, "0"), "")</f>
        <v>-7000</v>
      </c>
      <c r="C63" s="25" t="str">
        <f>IF(ISNUMBER('Change in Employment'!J70),TEXT('Change in Employment'!J70, "0"),"")</f>
        <v>-3667</v>
      </c>
    </row>
    <row r="64" spans="1:3">
      <c r="A64" s="23" t="str">
        <f>TEXT(IF('Change in Employment'!B71&lt;&gt;0,DATE(YEAR('Change in Employment'!B71), MONTH('Change in Employment'!B71), 1), ""), "mm/dd/yyyy")</f>
        <v>02/01/2014</v>
      </c>
      <c r="B64" s="25" t="str">
        <f>IF(ISNUMBER('Change in Employment'!I71), TEXT('Change in Employment'!I71, "0"), "")</f>
        <v>24000</v>
      </c>
      <c r="C64" s="25" t="str">
        <f>IF(ISNUMBER('Change in Employment'!J71),TEXT('Change in Employment'!J71, "0"),"")</f>
        <v>6000</v>
      </c>
    </row>
    <row r="65" spans="1:3">
      <c r="A65" s="23" t="str">
        <f>TEXT(IF('Change in Employment'!B72&lt;&gt;0,DATE(YEAR('Change in Employment'!B72), MONTH('Change in Employment'!B72), 1), ""), "mm/dd/yyyy")</f>
        <v>03/01/2014</v>
      </c>
      <c r="B65" s="25" t="str">
        <f>IF(ISNUMBER('Change in Employment'!I72), TEXT('Change in Employment'!I72, "0"), "")</f>
        <v>8000</v>
      </c>
      <c r="C65" s="25" t="str">
        <f>IF(ISNUMBER('Change in Employment'!J72),TEXT('Change in Employment'!J72, "0"),"")</f>
        <v>8333</v>
      </c>
    </row>
    <row r="66" spans="1:3">
      <c r="A66" s="23" t="str">
        <f>TEXT(IF('Change in Employment'!B73&lt;&gt;0,DATE(YEAR('Change in Employment'!B73), MONTH('Change in Employment'!B73), 1), ""), "mm/dd/yyyy")</f>
        <v>04/01/2014</v>
      </c>
      <c r="B66" s="25" t="str">
        <f>IF(ISNUMBER('Change in Employment'!I73), TEXT('Change in Employment'!I73, "0"), "")</f>
        <v>26000</v>
      </c>
      <c r="C66" s="25" t="str">
        <f>IF(ISNUMBER('Change in Employment'!J73),TEXT('Change in Employment'!J73, "0"),"")</f>
        <v>19333</v>
      </c>
    </row>
    <row r="67" spans="1:3">
      <c r="A67" s="23" t="str">
        <f>TEXT(IF('Change in Employment'!B74&lt;&gt;0,DATE(YEAR('Change in Employment'!B74), MONTH('Change in Employment'!B74), 1), ""), "mm/dd/yyyy")</f>
        <v>05/01/2014</v>
      </c>
      <c r="B67" s="25" t="str">
        <f>IF(ISNUMBER('Change in Employment'!I74), TEXT('Change in Employment'!I74, "0"), "")</f>
        <v>2000</v>
      </c>
      <c r="C67" s="25" t="str">
        <f>IF(ISNUMBER('Change in Employment'!J74),TEXT('Change in Employment'!J74, "0"),"")</f>
        <v>12000</v>
      </c>
    </row>
    <row r="68" spans="1:3">
      <c r="A68" s="23" t="str">
        <f>TEXT(IF('Change in Employment'!B75&lt;&gt;0,DATE(YEAR('Change in Employment'!B75), MONTH('Change in Employment'!B75), 1), ""), "mm/dd/yyyy")</f>
        <v>06/01/2014</v>
      </c>
      <c r="B68" s="25" t="str">
        <f>IF(ISNUMBER('Change in Employment'!I75), TEXT('Change in Employment'!I75, "0"), "")</f>
        <v>4000</v>
      </c>
      <c r="C68" s="25" t="str">
        <f>IF(ISNUMBER('Change in Employment'!J75),TEXT('Change in Employment'!J75, "0"),"")</f>
        <v>10667</v>
      </c>
    </row>
    <row r="69" spans="1:3">
      <c r="A69" s="23" t="str">
        <f>TEXT(IF('Change in Employment'!B76&lt;&gt;0,DATE(YEAR('Change in Employment'!B76), MONTH('Change in Employment'!B76), 1), ""), "mm/dd/yyyy")</f>
        <v>07/01/2014</v>
      </c>
      <c r="B69" s="25" t="str">
        <f>IF(ISNUMBER('Change in Employment'!I76), TEXT('Change in Employment'!I76, "0"), "")</f>
        <v>0</v>
      </c>
      <c r="C69" s="25" t="str">
        <f>IF(ISNUMBER('Change in Employment'!J76),TEXT('Change in Employment'!J76, "0"),"")</f>
        <v>2000</v>
      </c>
    </row>
    <row r="70" spans="1:3">
      <c r="A70" s="23" t="str">
        <f>TEXT(IF('Change in Employment'!B77&lt;&gt;0,DATE(YEAR('Change in Employment'!B77), MONTH('Change in Employment'!B77), 1), ""), "mm/dd/yyyy")</f>
        <v>08/01/2014</v>
      </c>
      <c r="B70" s="25" t="str">
        <f>IF(ISNUMBER('Change in Employment'!I77), TEXT('Change in Employment'!I77, "0"), "")</f>
        <v>5000</v>
      </c>
      <c r="C70" s="25" t="str">
        <f>IF(ISNUMBER('Change in Employment'!J77),TEXT('Change in Employment'!J77, "0"),"")</f>
        <v>3000</v>
      </c>
    </row>
    <row r="71" spans="1:3">
      <c r="A71" s="23" t="str">
        <f>TEXT(IF('Change in Employment'!B78&lt;&gt;0,DATE(YEAR('Change in Employment'!B78), MONTH('Change in Employment'!B78), 1), ""), "mm/dd/yyyy")</f>
        <v/>
      </c>
      <c r="B71" s="25" t="str">
        <f>IF(ISNUMBER('Change in Employment'!I78), TEXT('Change in Employment'!I78, "0"), "")</f>
        <v/>
      </c>
      <c r="C71" s="25" t="str">
        <f>IF(ISNUMBER('Change in Employment'!J78),TEXT('Change in Employment'!J78, "0"),"")</f>
        <v/>
      </c>
    </row>
    <row r="72" spans="1:3">
      <c r="A72" s="23" t="str">
        <f>TEXT(IF('Change in Employment'!B79&lt;&gt;0,DATE(YEAR('Change in Employment'!B79), MONTH('Change in Employment'!B79), 1), ""), "mm/dd/yyyy")</f>
        <v/>
      </c>
      <c r="B72" s="25" t="str">
        <f>IF(ISNUMBER('Change in Employment'!I79), TEXT('Change in Employment'!I79, "0"), "")</f>
        <v/>
      </c>
      <c r="C72" s="25" t="str">
        <f>IF(ISNUMBER('Change in Employment'!J79),TEXT('Change in Employment'!J79, "0"),"")</f>
        <v/>
      </c>
    </row>
    <row r="73" spans="1:3">
      <c r="A73" s="23" t="str">
        <f>TEXT(IF('Change in Employment'!B80&lt;&gt;0,DATE(YEAR('Change in Employment'!B80), MONTH('Change in Employment'!B80), 1), ""), "mm/dd/yyyy")</f>
        <v/>
      </c>
      <c r="B73" s="25" t="str">
        <f>IF(ISNUMBER('Change in Employment'!I80), TEXT('Change in Employment'!I80, "0"), "")</f>
        <v/>
      </c>
      <c r="C73" s="25" t="str">
        <f>IF(ISNUMBER('Change in Employment'!J80),TEXT('Change in Employment'!J80, "0"),"")</f>
        <v/>
      </c>
    </row>
    <row r="74" spans="1:3">
      <c r="A74" s="23" t="str">
        <f>TEXT(IF('Change in Employment'!B81&lt;&gt;0,DATE(YEAR('Change in Employment'!B81), MONTH('Change in Employment'!B81), 1), ""), "mm/dd/yyyy")</f>
        <v/>
      </c>
      <c r="B74" s="25" t="str">
        <f>IF(ISNUMBER('Change in Employment'!I81), TEXT('Change in Employment'!I81, "0"), "")</f>
        <v/>
      </c>
      <c r="C74" s="25" t="str">
        <f>IF(ISNUMBER('Change in Employment'!J81),TEXT('Change in Employment'!J81, "0"),"")</f>
        <v/>
      </c>
    </row>
    <row r="75" spans="1:3">
      <c r="A75" s="23" t="str">
        <f>TEXT(IF('Change in Employment'!B82&lt;&gt;0,DATE(YEAR('Change in Employment'!B82), MONTH('Change in Employment'!B82), 1), ""), "mm/dd/yyyy")</f>
        <v/>
      </c>
      <c r="B75" s="25" t="str">
        <f>IF(ISNUMBER('Change in Employment'!I82), TEXT('Change in Employment'!I82, "0"), "")</f>
        <v/>
      </c>
      <c r="C75" s="25" t="str">
        <f>IF(ISNUMBER('Change in Employment'!J82),TEXT('Change in Employment'!J82, "0"),"")</f>
        <v/>
      </c>
    </row>
    <row r="76" spans="1:3">
      <c r="A76" s="23" t="str">
        <f>TEXT(IF('Change in Employment'!B83&lt;&gt;0,DATE(YEAR('Change in Employment'!B83), MONTH('Change in Employment'!B83), 1), ""), "mm/dd/yyyy")</f>
        <v/>
      </c>
      <c r="B76" s="25" t="str">
        <f>IF(ISNUMBER('Change in Employment'!I83), TEXT('Change in Employment'!I83, "0"), "")</f>
        <v/>
      </c>
      <c r="C76" s="25" t="str">
        <f>IF(ISNUMBER('Change in Employment'!J83),TEXT('Change in Employment'!J83, "0"),"")</f>
        <v/>
      </c>
    </row>
    <row r="77" spans="1:3">
      <c r="A77" s="23" t="str">
        <f>TEXT(IF('Change in Employment'!B84&lt;&gt;0,DATE(YEAR('Change in Employment'!B84), MONTH('Change in Employment'!B84), 1), ""), "mm/dd/yyyy")</f>
        <v/>
      </c>
      <c r="B77" s="25" t="str">
        <f>IF(ISNUMBER('Change in Employment'!I84), TEXT('Change in Employment'!I84, "0"), "")</f>
        <v/>
      </c>
      <c r="C77" s="25" t="str">
        <f>IF(ISNUMBER('Change in Employment'!J84),TEXT('Change in Employment'!J84, "0"),"")</f>
        <v/>
      </c>
    </row>
    <row r="78" spans="1:3">
      <c r="A78" s="23" t="str">
        <f>TEXT(IF('Change in Employment'!B85&lt;&gt;0,DATE(YEAR('Change in Employment'!B85), MONTH('Change in Employment'!B85), 1), ""), "mm/dd/yyyy")</f>
        <v/>
      </c>
      <c r="B78" s="25" t="str">
        <f>IF(ISNUMBER('Change in Employment'!I85), TEXT('Change in Employment'!I85, "0"), "")</f>
        <v/>
      </c>
      <c r="C78" s="25" t="str">
        <f>IF(ISNUMBER('Change in Employment'!J85),TEXT('Change in Employment'!J85, "0"),"")</f>
        <v/>
      </c>
    </row>
    <row r="79" spans="1:3">
      <c r="A79" s="23" t="str">
        <f>TEXT(IF('Change in Employment'!B86&lt;&gt;0,DATE(YEAR('Change in Employment'!B86), MONTH('Change in Employment'!B86), 1), ""), "mm/dd/yyyy")</f>
        <v/>
      </c>
      <c r="B79" s="25" t="str">
        <f>IF(ISNUMBER('Change in Employment'!I86), TEXT('Change in Employment'!I86, "0"), "")</f>
        <v/>
      </c>
      <c r="C79" s="25" t="str">
        <f>IF(ISNUMBER('Change in Employment'!J86),TEXT('Change in Employment'!J86, "0"),"")</f>
        <v/>
      </c>
    </row>
    <row r="80" spans="1:3">
      <c r="A80" s="23" t="str">
        <f>TEXT(IF('Change in Employment'!B87&lt;&gt;0,DATE(YEAR('Change in Employment'!B87), MONTH('Change in Employment'!B87), 1), ""), "mm/dd/yyyy")</f>
        <v/>
      </c>
      <c r="B80" s="25" t="str">
        <f>IF(ISNUMBER('Change in Employment'!I87), TEXT('Change in Employment'!I87, "0"), "")</f>
        <v/>
      </c>
      <c r="C80" s="25" t="str">
        <f>IF(ISNUMBER('Change in Employment'!J87),TEXT('Change in Employment'!J87, "0"),"")</f>
        <v/>
      </c>
    </row>
    <row r="81" spans="1:3">
      <c r="A81" s="23" t="str">
        <f>TEXT(IF('Change in Employment'!B88&lt;&gt;0,DATE(YEAR('Change in Employment'!B88), MONTH('Change in Employment'!B88), 1), ""), "mm/dd/yyyy")</f>
        <v/>
      </c>
      <c r="B81" s="25" t="str">
        <f>IF(ISNUMBER('Change in Employment'!I88), TEXT('Change in Employment'!I88, "0"), "")</f>
        <v/>
      </c>
      <c r="C81" s="25" t="str">
        <f>IF(ISNUMBER('Change in Employment'!J88),TEXT('Change in Employment'!J88, "0"),"")</f>
        <v/>
      </c>
    </row>
    <row r="82" spans="1:3">
      <c r="A82" s="23" t="str">
        <f>TEXT(IF('Change in Employment'!B89&lt;&gt;0,DATE(YEAR('Change in Employment'!B89), MONTH('Change in Employment'!B89), 1), ""), "mm/dd/yyyy")</f>
        <v/>
      </c>
      <c r="B82" s="25" t="str">
        <f>IF(ISNUMBER('Change in Employment'!I89), TEXT('Change in Employment'!I89, "0"), "")</f>
        <v/>
      </c>
      <c r="C82" s="25" t="str">
        <f>IF(ISNUMBER('Change in Employment'!J89),TEXT('Change in Employment'!J89, "0"),"")</f>
        <v/>
      </c>
    </row>
    <row r="83" spans="1:3">
      <c r="A83" s="23" t="str">
        <f>TEXT(IF('Change in Employment'!B90&lt;&gt;0,DATE(YEAR('Change in Employment'!B90), MONTH('Change in Employment'!B90), 1), ""), "mm/dd/yyyy")</f>
        <v/>
      </c>
      <c r="B83" s="25" t="str">
        <f>IF(ISNUMBER('Change in Employment'!I90), TEXT('Change in Employment'!I90, "0"), "")</f>
        <v/>
      </c>
      <c r="C83" s="25" t="str">
        <f>IF(ISNUMBER('Change in Employment'!J90),TEXT('Change in Employment'!J90, "0"),"")</f>
        <v/>
      </c>
    </row>
    <row r="84" spans="1:3">
      <c r="A84" s="23" t="str">
        <f>TEXT(IF('Change in Employment'!B91&lt;&gt;0,DATE(YEAR('Change in Employment'!B91), MONTH('Change in Employment'!B91), 1), ""), "mm/dd/yyyy")</f>
        <v/>
      </c>
      <c r="B84" s="25" t="str">
        <f>IF(ISNUMBER('Change in Employment'!I91), TEXT('Change in Employment'!I91, "0"), "")</f>
        <v/>
      </c>
      <c r="C84" s="25" t="str">
        <f>IF(ISNUMBER('Change in Employment'!J91),TEXT('Change in Employment'!J91, "0"),"")</f>
        <v/>
      </c>
    </row>
    <row r="85" spans="1:3">
      <c r="A85" s="23" t="str">
        <f>TEXT(IF('Change in Employment'!B92&lt;&gt;0,DATE(YEAR('Change in Employment'!B92), MONTH('Change in Employment'!B92), 1), ""), "mm/dd/yyyy")</f>
        <v/>
      </c>
      <c r="B85" s="25" t="str">
        <f>IF(ISNUMBER('Change in Employment'!I92), TEXT('Change in Employment'!I92, "0"), "")</f>
        <v/>
      </c>
      <c r="C85" s="25" t="str">
        <f>IF(ISNUMBER('Change in Employment'!J92),TEXT('Change in Employment'!J92, "0"),"")</f>
        <v/>
      </c>
    </row>
    <row r="86" spans="1:3">
      <c r="A86" s="23" t="str">
        <f>TEXT(IF('Change in Employment'!B93&lt;&gt;0,DATE(YEAR('Change in Employment'!B93), MONTH('Change in Employment'!B93), 1), ""), "mm/dd/yyyy")</f>
        <v/>
      </c>
      <c r="B86" s="25" t="str">
        <f>IF(ISNUMBER('Change in Employment'!I93), TEXT('Change in Employment'!I93, "0"), "")</f>
        <v/>
      </c>
      <c r="C86" s="25" t="str">
        <f>IF(ISNUMBER('Change in Employment'!J93),TEXT('Change in Employment'!J93, "0"),"")</f>
        <v/>
      </c>
    </row>
    <row r="87" spans="1:3">
      <c r="A87" s="23" t="str">
        <f>TEXT(IF('Change in Employment'!B94&lt;&gt;0,DATE(YEAR('Change in Employment'!B94), MONTH('Change in Employment'!B94), 1), ""), "mm/dd/yyyy")</f>
        <v/>
      </c>
      <c r="B87" s="25" t="str">
        <f>IF(ISNUMBER('Change in Employment'!I94), TEXT('Change in Employment'!I94, "0"), "")</f>
        <v/>
      </c>
      <c r="C87" s="25" t="str">
        <f>IF(ISNUMBER('Change in Employment'!J94),TEXT('Change in Employment'!J94, "0"),"")</f>
        <v/>
      </c>
    </row>
    <row r="88" spans="1:3">
      <c r="A88" s="23" t="str">
        <f>TEXT(IF('Change in Employment'!B95&lt;&gt;0,DATE(YEAR('Change in Employment'!B95), MONTH('Change in Employment'!B95), 1), ""), "mm/dd/yyyy")</f>
        <v/>
      </c>
      <c r="B88" s="25" t="str">
        <f>IF(ISNUMBER('Change in Employment'!I95), TEXT('Change in Employment'!I95, "0"), "")</f>
        <v/>
      </c>
      <c r="C88" s="25" t="str">
        <f>IF(ISNUMBER('Change in Employment'!J95),TEXT('Change in Employment'!J95, "0"),"")</f>
        <v/>
      </c>
    </row>
    <row r="89" spans="1:3">
      <c r="A89" s="23" t="str">
        <f>TEXT(IF('Change in Employment'!B96&lt;&gt;0,DATE(YEAR('Change in Employment'!B96), MONTH('Change in Employment'!B96), 1), ""), "mm/dd/yyyy")</f>
        <v/>
      </c>
      <c r="B89" s="25" t="str">
        <f>IF(ISNUMBER('Change in Employment'!I96), TEXT('Change in Employment'!I96, "0"), "")</f>
        <v/>
      </c>
      <c r="C89" s="25" t="str">
        <f>IF(ISNUMBER('Change in Employment'!J96),TEXT('Change in Employment'!J96, "0"),"")</f>
        <v/>
      </c>
    </row>
    <row r="90" spans="1:3">
      <c r="A90" s="23" t="str">
        <f>TEXT(IF('Change in Employment'!B97&lt;&gt;0,DATE(YEAR('Change in Employment'!B97), MONTH('Change in Employment'!B97), 1), ""), "mm/dd/yyyy")</f>
        <v/>
      </c>
      <c r="B90" s="25" t="str">
        <f>IF(ISNUMBER('Change in Employment'!I97), TEXT('Change in Employment'!I97, "0"), "")</f>
        <v/>
      </c>
      <c r="C90" s="25" t="str">
        <f>IF(ISNUMBER('Change in Employment'!J97),TEXT('Change in Employment'!J97, "0"),"")</f>
        <v/>
      </c>
    </row>
    <row r="91" spans="1:3">
      <c r="A91" s="23" t="str">
        <f>TEXT(IF('Change in Employment'!B98&lt;&gt;0,DATE(YEAR('Change in Employment'!B98), MONTH('Change in Employment'!B98), 1), ""), "mm/dd/yyyy")</f>
        <v/>
      </c>
      <c r="B91" s="25" t="str">
        <f>IF(ISNUMBER('Change in Employment'!I98), TEXT('Change in Employment'!I98, "0"), "")</f>
        <v/>
      </c>
      <c r="C91" s="25" t="str">
        <f>IF(ISNUMBER('Change in Employment'!J98),TEXT('Change in Employment'!J98, "0"),"")</f>
        <v/>
      </c>
    </row>
    <row r="92" spans="1:3">
      <c r="A92" s="23" t="str">
        <f>TEXT(IF('Change in Employment'!B99&lt;&gt;0,DATE(YEAR('Change in Employment'!B99), MONTH('Change in Employment'!B99), 1), ""), "mm/dd/yyyy")</f>
        <v/>
      </c>
      <c r="B92" s="25" t="str">
        <f>IF(ISNUMBER('Change in Employment'!I99), TEXT('Change in Employment'!I99, "0"), "")</f>
        <v/>
      </c>
      <c r="C92" s="25" t="str">
        <f>IF(ISNUMBER('Change in Employment'!J99),TEXT('Change in Employment'!J99, "0"),"")</f>
        <v/>
      </c>
    </row>
    <row r="93" spans="1:3">
      <c r="A93" s="23" t="str">
        <f>TEXT(IF('Change in Employment'!B100&lt;&gt;0,DATE(YEAR('Change in Employment'!B100), MONTH('Change in Employment'!B100), 1), ""), "mm/dd/yyyy")</f>
        <v/>
      </c>
      <c r="B93" s="25" t="str">
        <f>IF(ISNUMBER('Change in Employment'!I100), TEXT('Change in Employment'!I100, "0"), "")</f>
        <v/>
      </c>
      <c r="C93" s="25" t="str">
        <f>IF(ISNUMBER('Change in Employment'!J100),TEXT('Change in Employment'!J100, "0"),"")</f>
        <v/>
      </c>
    </row>
    <row r="94" spans="1:3">
      <c r="A94" s="23" t="str">
        <f>TEXT(IF('Change in Employment'!B101&lt;&gt;0,DATE(YEAR('Change in Employment'!B101), MONTH('Change in Employment'!B101), 1), ""), "mm/dd/yyyy")</f>
        <v/>
      </c>
      <c r="B94" s="25" t="str">
        <f>IF(ISNUMBER('Change in Employment'!I101), TEXT('Change in Employment'!I101, "0"), "")</f>
        <v/>
      </c>
      <c r="C94" s="25" t="str">
        <f>IF(ISNUMBER('Change in Employment'!J101),TEXT('Change in Employment'!J101, "0"),"")</f>
        <v/>
      </c>
    </row>
    <row r="95" spans="1:3">
      <c r="A95" s="23" t="str">
        <f>TEXT(IF('Change in Employment'!B102&lt;&gt;0,DATE(YEAR('Change in Employment'!B102), MONTH('Change in Employment'!B102), 1), ""), "mm/dd/yyyy")</f>
        <v/>
      </c>
      <c r="B95" s="25" t="str">
        <f>IF(ISNUMBER('Change in Employment'!I102), TEXT('Change in Employment'!I102, "0"), "")</f>
        <v/>
      </c>
      <c r="C95" s="25" t="str">
        <f>IF(ISNUMBER('Change in Employment'!J102),TEXT('Change in Employment'!J102, "0"),"")</f>
        <v/>
      </c>
    </row>
    <row r="96" spans="1:3">
      <c r="A96" s="23" t="str">
        <f>TEXT(IF('Change in Employment'!B103&lt;&gt;0,DATE(YEAR('Change in Employment'!B103), MONTH('Change in Employment'!B103), 1), ""), "mm/dd/yyyy")</f>
        <v/>
      </c>
      <c r="B96" s="25" t="str">
        <f>IF(ISNUMBER('Change in Employment'!I103), TEXT('Change in Employment'!I103, "0"), "")</f>
        <v/>
      </c>
      <c r="C96" s="25" t="str">
        <f>IF(ISNUMBER('Change in Employment'!J103),TEXT('Change in Employment'!J103, "0"),"")</f>
        <v/>
      </c>
    </row>
    <row r="97" spans="1:3">
      <c r="A97" s="23" t="str">
        <f>TEXT(IF('Change in Employment'!B104&lt;&gt;0,DATE(YEAR('Change in Employment'!B104), MONTH('Change in Employment'!B104), 1), ""), "mm/dd/yyyy")</f>
        <v/>
      </c>
      <c r="B97" s="25" t="str">
        <f>IF(ISNUMBER('Change in Employment'!I104), TEXT('Change in Employment'!I104, "0"), "")</f>
        <v/>
      </c>
      <c r="C97" s="25" t="str">
        <f>IF(ISNUMBER('Change in Employment'!J104),TEXT('Change in Employment'!J104, "0"),"")</f>
        <v/>
      </c>
    </row>
    <row r="98" spans="1:3">
      <c r="A98" s="23" t="str">
        <f>TEXT(IF('Change in Employment'!B105&lt;&gt;0,DATE(YEAR('Change in Employment'!B105), MONTH('Change in Employment'!B105), 1), ""), "mm/dd/yyyy")</f>
        <v/>
      </c>
      <c r="B98" s="25" t="str">
        <f>IF(ISNUMBER('Change in Employment'!I105), TEXT('Change in Employment'!I105, "0"), "")</f>
        <v/>
      </c>
      <c r="C98" s="25" t="str">
        <f>IF(ISNUMBER('Change in Employment'!J105),TEXT('Change in Employment'!J105, "0"),"")</f>
        <v/>
      </c>
    </row>
    <row r="99" spans="1:3">
      <c r="A99" s="23" t="str">
        <f>TEXT(IF('Change in Employment'!B106&lt;&gt;0,DATE(YEAR('Change in Employment'!B106), MONTH('Change in Employment'!B106), 1), ""), "mm/dd/yyyy")</f>
        <v/>
      </c>
      <c r="B99" s="25" t="str">
        <f>IF(ISNUMBER('Change in Employment'!I106), TEXT('Change in Employment'!I106, "0"), "")</f>
        <v/>
      </c>
      <c r="C99" s="25" t="str">
        <f>IF(ISNUMBER('Change in Employment'!J106),TEXT('Change in Employment'!J106, "0"),"")</f>
        <v/>
      </c>
    </row>
    <row r="100" spans="1:3">
      <c r="A100" s="23" t="str">
        <f>TEXT(IF('Change in Employment'!B107&lt;&gt;0,DATE(YEAR('Change in Employment'!B107), MONTH('Change in Employment'!B107), 1), ""), "mm/dd/yyyy")</f>
        <v/>
      </c>
      <c r="B100" s="25" t="str">
        <f>IF(ISNUMBER('Change in Employment'!I107), TEXT('Change in Employment'!I107, "0"), "")</f>
        <v/>
      </c>
      <c r="C100" s="25" t="str">
        <f>IF(ISNUMBER('Change in Employment'!J107),TEXT('Change in Employment'!J107, "0"),"")</f>
        <v/>
      </c>
    </row>
    <row r="101" spans="1:3">
      <c r="A101" s="23" t="str">
        <f>TEXT(IF('Change in Employment'!B108&lt;&gt;0,DATE(YEAR('Change in Employment'!B108), MONTH('Change in Employment'!B108), 1), ""), "mm/dd/yyyy")</f>
        <v/>
      </c>
      <c r="B101" s="25" t="str">
        <f>IF(ISNUMBER('Change in Employment'!I108), TEXT('Change in Employment'!I108, "0"), "")</f>
        <v/>
      </c>
      <c r="C101" s="25" t="str">
        <f>IF(ISNUMBER('Change in Employment'!J108),TEXT('Change in Employment'!J108, "0"),"")</f>
        <v/>
      </c>
    </row>
    <row r="102" spans="1:3">
      <c r="A102" s="23" t="str">
        <f>TEXT(IF('Change in Employment'!B109&lt;&gt;0,DATE(YEAR('Change in Employment'!B109), MONTH('Change in Employment'!B109), 1), ""), "mm/dd/yyyy")</f>
        <v/>
      </c>
      <c r="B102" s="25" t="str">
        <f>IF(ISNUMBER('Change in Employment'!I109), TEXT('Change in Employment'!I109, "0"), "")</f>
        <v/>
      </c>
      <c r="C102" s="25" t="str">
        <f>IF(ISNUMBER('Change in Employment'!J109),TEXT('Change in Employment'!J109, "0"),"")</f>
        <v/>
      </c>
    </row>
    <row r="103" spans="1:3">
      <c r="A103" s="23" t="str">
        <f>TEXT(IF('Change in Employment'!B110&lt;&gt;0,DATE(YEAR('Change in Employment'!B110), MONTH('Change in Employment'!B110), 1), ""), "mm/dd/yyyy")</f>
        <v/>
      </c>
      <c r="B103" s="25" t="str">
        <f>IF(ISNUMBER('Change in Employment'!I110), TEXT('Change in Employment'!I110, "0"), "")</f>
        <v/>
      </c>
      <c r="C103" s="25" t="str">
        <f>IF(ISNUMBER('Change in Employment'!J110),TEXT('Change in Employment'!J110, "0"),"")</f>
        <v/>
      </c>
    </row>
    <row r="104" spans="1:3">
      <c r="A104" s="23" t="str">
        <f>TEXT(IF('Change in Employment'!B111&lt;&gt;0,DATE(YEAR('Change in Employment'!B111), MONTH('Change in Employment'!B111), 1), ""), "mm/dd/yyyy")</f>
        <v/>
      </c>
      <c r="B104" s="25" t="str">
        <f>IF(ISNUMBER('Change in Employment'!I111), TEXT('Change in Employment'!I111, "0"), "")</f>
        <v/>
      </c>
      <c r="C104" s="25" t="str">
        <f>IF(ISNUMBER('Change in Employment'!J111),TEXT('Change in Employment'!J111, "0"),"")</f>
        <v/>
      </c>
    </row>
    <row r="105" spans="1:3">
      <c r="A105" s="23" t="str">
        <f>TEXT(IF('Change in Employment'!B112&lt;&gt;0,DATE(YEAR('Change in Employment'!B112), MONTH('Change in Employment'!B112), 1), ""), "mm/dd/yyyy")</f>
        <v/>
      </c>
      <c r="B105" s="25" t="str">
        <f>IF(ISNUMBER('Change in Employment'!I112), TEXT('Change in Employment'!I112, "0"), "")</f>
        <v/>
      </c>
      <c r="C105" s="25" t="str">
        <f>IF(ISNUMBER('Change in Employment'!J112),TEXT('Change in Employment'!J112, "0"),"")</f>
        <v/>
      </c>
    </row>
    <row r="106" spans="1:3">
      <c r="A106" s="23" t="str">
        <f>TEXT(IF('Change in Employment'!B113&lt;&gt;0,DATE(YEAR('Change in Employment'!B113), MONTH('Change in Employment'!B113), 1), ""), "mm/dd/yyyy")</f>
        <v/>
      </c>
      <c r="B106" s="25" t="str">
        <f>IF(ISNUMBER('Change in Employment'!I113), TEXT('Change in Employment'!I113, "0"), "")</f>
        <v/>
      </c>
      <c r="C106" s="25" t="str">
        <f>IF(ISNUMBER('Change in Employment'!J113),TEXT('Change in Employment'!J113, "0"),"")</f>
        <v/>
      </c>
    </row>
    <row r="107" spans="1:3">
      <c r="A107" s="23" t="str">
        <f>TEXT(IF('Change in Employment'!B114&lt;&gt;0,DATE(YEAR('Change in Employment'!B114), MONTH('Change in Employment'!B114), 1), ""), "mm/dd/yyyy")</f>
        <v/>
      </c>
      <c r="B107" s="25" t="str">
        <f>IF(ISNUMBER('Change in Employment'!I114), TEXT('Change in Employment'!I114, "0"), "")</f>
        <v/>
      </c>
      <c r="C107" s="25" t="str">
        <f>IF(ISNUMBER('Change in Employment'!J114),TEXT('Change in Employment'!J114, "0"),"")</f>
        <v/>
      </c>
    </row>
    <row r="108" spans="1:3">
      <c r="A108" s="23" t="str">
        <f>TEXT(IF('Change in Employment'!B115&lt;&gt;0,DATE(YEAR('Change in Employment'!B115), MONTH('Change in Employment'!B115), 1), ""), "mm/dd/yyyy")</f>
        <v/>
      </c>
      <c r="B108" s="25" t="str">
        <f>IF(ISNUMBER('Change in Employment'!I115), TEXT('Change in Employment'!I115, "0"), "")</f>
        <v/>
      </c>
      <c r="C108" s="25" t="str">
        <f>IF(ISNUMBER('Change in Employment'!J115),TEXT('Change in Employment'!J115, "0"),"")</f>
        <v/>
      </c>
    </row>
    <row r="109" spans="1:3">
      <c r="A109" s="23" t="str">
        <f>TEXT(IF('Change in Employment'!B116&lt;&gt;0,DATE(YEAR('Change in Employment'!B116), MONTH('Change in Employment'!B116), 1), ""), "mm/dd/yyyy")</f>
        <v/>
      </c>
      <c r="B109" s="25" t="str">
        <f>IF(ISNUMBER('Change in Employment'!I116), TEXT('Change in Employment'!I116, "0"), "")</f>
        <v/>
      </c>
      <c r="C109" s="25" t="str">
        <f>IF(ISNUMBER('Change in Employment'!J116),TEXT('Change in Employment'!J116, "0"),"")</f>
        <v/>
      </c>
    </row>
    <row r="110" spans="1:3">
      <c r="A110" s="23" t="str">
        <f>TEXT(IF('Change in Employment'!B117&lt;&gt;0,DATE(YEAR('Change in Employment'!B117), MONTH('Change in Employment'!B117), 1), ""), "mm/dd/yyyy")</f>
        <v/>
      </c>
      <c r="B110" s="25" t="str">
        <f>IF(ISNUMBER('Change in Employment'!I117), TEXT('Change in Employment'!I117, "0"), "")</f>
        <v/>
      </c>
      <c r="C110" s="25" t="str">
        <f>IF(ISNUMBER('Change in Employment'!J117),TEXT('Change in Employment'!J117, "0"),"")</f>
        <v/>
      </c>
    </row>
    <row r="111" spans="1:3">
      <c r="A111" s="23" t="str">
        <f>TEXT(IF('Change in Employment'!B118&lt;&gt;0,DATE(YEAR('Change in Employment'!B118), MONTH('Change in Employment'!B118), 1), ""), "mm/dd/yyyy")</f>
        <v/>
      </c>
      <c r="B111" s="25" t="str">
        <f>IF(ISNUMBER('Change in Employment'!I118), TEXT('Change in Employment'!I118, "0"), "")</f>
        <v/>
      </c>
      <c r="C111" s="25" t="str">
        <f>IF(ISNUMBER('Change in Employment'!J118),TEXT('Change in Employment'!J118, "0"),"")</f>
        <v/>
      </c>
    </row>
    <row r="112" spans="1:3">
      <c r="A112" s="23" t="str">
        <f>TEXT(IF('Change in Employment'!B119&lt;&gt;0,DATE(YEAR('Change in Employment'!B119), MONTH('Change in Employment'!B119), 1), ""), "mm/dd/yyyy")</f>
        <v/>
      </c>
      <c r="B112" s="25" t="str">
        <f>IF(ISNUMBER('Change in Employment'!I119), TEXT('Change in Employment'!I119, "0"), "")</f>
        <v/>
      </c>
      <c r="C112" s="25" t="str">
        <f>IF(ISNUMBER('Change in Employment'!J119),TEXT('Change in Employment'!J119, "0"),"")</f>
        <v/>
      </c>
    </row>
    <row r="113" spans="1:3">
      <c r="A113" s="23" t="str">
        <f>TEXT(IF('Change in Employment'!B120&lt;&gt;0,DATE(YEAR('Change in Employment'!B120), MONTH('Change in Employment'!B120), 1), ""), "mm/dd/yyyy")</f>
        <v/>
      </c>
      <c r="B113" s="25" t="str">
        <f>IF(ISNUMBER('Change in Employment'!I120), TEXT('Change in Employment'!I120, "0"), "")</f>
        <v/>
      </c>
      <c r="C113" s="25" t="str">
        <f>IF(ISNUMBER('Change in Employment'!J120),TEXT('Change in Employment'!J120, "0"),"")</f>
        <v/>
      </c>
    </row>
    <row r="114" spans="1:3">
      <c r="A114" s="23" t="str">
        <f>TEXT(IF('Change in Employment'!B121&lt;&gt;0,DATE(YEAR('Change in Employment'!B121), MONTH('Change in Employment'!B121), 1), ""), "mm/dd/yyyy")</f>
        <v/>
      </c>
      <c r="B114" s="25" t="str">
        <f>IF(ISNUMBER('Change in Employment'!I121), TEXT('Change in Employment'!I121, "0"), "")</f>
        <v/>
      </c>
      <c r="C114" s="25" t="str">
        <f>IF(ISNUMBER('Change in Employment'!J121),TEXT('Change in Employment'!J121, "0"),"")</f>
        <v/>
      </c>
    </row>
    <row r="115" spans="1:3">
      <c r="A115" s="23" t="str">
        <f>TEXT(IF('Change in Employment'!B122&lt;&gt;0,DATE(YEAR('Change in Employment'!B122), MONTH('Change in Employment'!B122), 1), ""), "mm/dd/yyyy")</f>
        <v/>
      </c>
      <c r="B115" s="25" t="str">
        <f>IF(ISNUMBER('Change in Employment'!I122), TEXT('Change in Employment'!I122, "0"), "")</f>
        <v/>
      </c>
      <c r="C115" s="25" t="str">
        <f>IF(ISNUMBER('Change in Employment'!J122),TEXT('Change in Employment'!J122, "0"),"")</f>
        <v/>
      </c>
    </row>
    <row r="116" spans="1:3">
      <c r="A116" s="23" t="str">
        <f>TEXT(IF('Change in Employment'!B123&lt;&gt;0,DATE(YEAR('Change in Employment'!B123), MONTH('Change in Employment'!B123), 1), ""), "mm/dd/yyyy")</f>
        <v/>
      </c>
      <c r="B116" s="25" t="str">
        <f>IF(ISNUMBER('Change in Employment'!I123), TEXT('Change in Employment'!I123, "0"), "")</f>
        <v/>
      </c>
      <c r="C116" s="25" t="str">
        <f>IF(ISNUMBER('Change in Employment'!J123),TEXT('Change in Employment'!J123, "0"),"")</f>
        <v/>
      </c>
    </row>
    <row r="117" spans="1:3">
      <c r="A117" s="23" t="str">
        <f>TEXT(IF('Change in Employment'!B124&lt;&gt;0,DATE(YEAR('Change in Employment'!B124), MONTH('Change in Employment'!B124), 1), ""), "mm/dd/yyyy")</f>
        <v/>
      </c>
      <c r="B117" s="25" t="str">
        <f>IF(ISNUMBER('Change in Employment'!I124), TEXT('Change in Employment'!I124, "0"), "")</f>
        <v/>
      </c>
      <c r="C117" s="25" t="str">
        <f>IF(ISNUMBER('Change in Employment'!J124),TEXT('Change in Employment'!J124, "0"),"")</f>
        <v/>
      </c>
    </row>
    <row r="118" spans="1:3">
      <c r="A118" s="23" t="str">
        <f>TEXT(IF('Change in Employment'!B125&lt;&gt;0,DATE(YEAR('Change in Employment'!B125), MONTH('Change in Employment'!B125), 1), ""), "mm/dd/yyyy")</f>
        <v/>
      </c>
      <c r="B118" s="25" t="str">
        <f>IF(ISNUMBER('Change in Employment'!I125), TEXT('Change in Employment'!I125, "0"), "")</f>
        <v/>
      </c>
      <c r="C118" s="25" t="str">
        <f>IF(ISNUMBER('Change in Employment'!J125),TEXT('Change in Employment'!J125, "0"),"")</f>
        <v/>
      </c>
    </row>
    <row r="119" spans="1:3">
      <c r="A119" s="23" t="str">
        <f>TEXT(IF('Change in Employment'!B126&lt;&gt;0,DATE(YEAR('Change in Employment'!B126), MONTH('Change in Employment'!B126), 1), ""), "mm/dd/yyyy")</f>
        <v/>
      </c>
      <c r="B119" s="25" t="str">
        <f>IF(ISNUMBER('Change in Employment'!I126), TEXT('Change in Employment'!I126, "0"), "")</f>
        <v/>
      </c>
      <c r="C119" s="25" t="str">
        <f>IF(ISNUMBER('Change in Employment'!J126),TEXT('Change in Employment'!J126, "0"),"")</f>
        <v/>
      </c>
    </row>
    <row r="120" spans="1:3">
      <c r="A120" s="23" t="str">
        <f>TEXT(IF('Change in Employment'!B127&lt;&gt;0,DATE(YEAR('Change in Employment'!B127), MONTH('Change in Employment'!B127), 1), ""), "mm/dd/yyyy")</f>
        <v/>
      </c>
      <c r="B120" s="25" t="str">
        <f>IF(ISNUMBER('Change in Employment'!I127), TEXT('Change in Employment'!I127, "0"), "")</f>
        <v/>
      </c>
      <c r="C120" s="25" t="str">
        <f>IF(ISNUMBER('Change in Employment'!J127),TEXT('Change in Employment'!J127, "0"),"")</f>
        <v/>
      </c>
    </row>
    <row r="121" spans="1:3">
      <c r="A121" s="23" t="str">
        <f>TEXT(IF('Change in Employment'!B128&lt;&gt;0,DATE(YEAR('Change in Employment'!B128), MONTH('Change in Employment'!B128), 1), ""), "mm/dd/yyyy")</f>
        <v/>
      </c>
      <c r="B121" s="25" t="str">
        <f>IF(ISNUMBER('Change in Employment'!I128), TEXT('Change in Employment'!I128, "0"), "")</f>
        <v/>
      </c>
      <c r="C121" s="25" t="str">
        <f>IF(ISNUMBER('Change in Employment'!J128),TEXT('Change in Employment'!J128, "0"),"")</f>
        <v/>
      </c>
    </row>
    <row r="122" spans="1:3">
      <c r="A122" s="23" t="str">
        <f>TEXT(IF('Change in Employment'!B129&lt;&gt;0,DATE(YEAR('Change in Employment'!B129), MONTH('Change in Employment'!B129), 1), ""), "mm/dd/yyyy")</f>
        <v/>
      </c>
      <c r="B122" s="25" t="str">
        <f>IF(ISNUMBER('Change in Employment'!I129), TEXT('Change in Employment'!I129, "0"), "")</f>
        <v/>
      </c>
      <c r="C122" s="25" t="str">
        <f>IF(ISNUMBER('Change in Employment'!J129),TEXT('Change in Employment'!J129, "0"),"")</f>
        <v/>
      </c>
    </row>
    <row r="123" spans="1:3">
      <c r="A123" s="23" t="str">
        <f>TEXT(IF('Change in Employment'!B130&lt;&gt;0,DATE(YEAR('Change in Employment'!B130), MONTH('Change in Employment'!B130), 1), ""), "mm/dd/yyyy")</f>
        <v/>
      </c>
      <c r="B123" s="25" t="str">
        <f>IF(ISNUMBER('Change in Employment'!I130), TEXT('Change in Employment'!I130, "0"), "")</f>
        <v/>
      </c>
      <c r="C123" s="25" t="str">
        <f>IF(ISNUMBER('Change in Employment'!J130),TEXT('Change in Employment'!J130, "0"),"")</f>
        <v/>
      </c>
    </row>
    <row r="124" spans="1:3">
      <c r="A124" s="23" t="str">
        <f>TEXT(IF('Change in Employment'!B131&lt;&gt;0,DATE(YEAR('Change in Employment'!B131), MONTH('Change in Employment'!B131), 1), ""), "mm/dd/yyyy")</f>
        <v/>
      </c>
      <c r="B124" s="25" t="str">
        <f>IF(ISNUMBER('Change in Employment'!I131), TEXT('Change in Employment'!I131, "0"), "")</f>
        <v/>
      </c>
      <c r="C124" s="25" t="str">
        <f>IF(ISNUMBER('Change in Employment'!J131),TEXT('Change in Employment'!J131, "0"),"")</f>
        <v/>
      </c>
    </row>
    <row r="125" spans="1:3">
      <c r="A125" s="23" t="str">
        <f>TEXT(IF('Change in Employment'!B132&lt;&gt;0,DATE(YEAR('Change in Employment'!B132), MONTH('Change in Employment'!B132), 1), ""), "mm/dd/yyyy")</f>
        <v/>
      </c>
      <c r="B125" s="25" t="str">
        <f>IF(ISNUMBER('Change in Employment'!I132), TEXT('Change in Employment'!I132, "0"), "")</f>
        <v/>
      </c>
      <c r="C125" s="25" t="str">
        <f>IF(ISNUMBER('Change in Employment'!J132),TEXT('Change in Employment'!J132, "0"),"")</f>
        <v/>
      </c>
    </row>
    <row r="126" spans="1:3">
      <c r="A126" s="23" t="str">
        <f>TEXT(IF('Change in Employment'!B133&lt;&gt;0,DATE(YEAR('Change in Employment'!B133), MONTH('Change in Employment'!B133), 1), ""), "mm/dd/yyyy")</f>
        <v/>
      </c>
      <c r="B126" s="25" t="str">
        <f>IF(ISNUMBER('Change in Employment'!I133), TEXT('Change in Employment'!I133, "0"), "")</f>
        <v/>
      </c>
      <c r="C126" s="25" t="str">
        <f>IF(ISNUMBER('Change in Employment'!J133),TEXT('Change in Employment'!J133, "0"),"")</f>
        <v/>
      </c>
    </row>
    <row r="127" spans="1:3">
      <c r="A127" s="23" t="str">
        <f>TEXT(IF('Change in Employment'!B134&lt;&gt;0,DATE(YEAR('Change in Employment'!B134), MONTH('Change in Employment'!B134), 1), ""), "mm/dd/yyyy")</f>
        <v/>
      </c>
      <c r="B127" s="25" t="str">
        <f>IF(ISNUMBER('Change in Employment'!I134), TEXT('Change in Employment'!I134, "0"), "")</f>
        <v/>
      </c>
      <c r="C127" s="25" t="str">
        <f>IF(ISNUMBER('Change in Employment'!J134),TEXT('Change in Employment'!J134, "0"),"")</f>
        <v/>
      </c>
    </row>
    <row r="128" spans="1:3">
      <c r="A128" s="23" t="str">
        <f>TEXT(IF('Change in Employment'!B135&lt;&gt;0,DATE(YEAR('Change in Employment'!B135), MONTH('Change in Employment'!B135), 1), ""), "mm/dd/yyyy")</f>
        <v/>
      </c>
      <c r="B128" s="25" t="str">
        <f>IF(ISNUMBER('Change in Employment'!I135), TEXT('Change in Employment'!I135, "0"), "")</f>
        <v/>
      </c>
      <c r="C128" s="25" t="str">
        <f>IF(ISNUMBER('Change in Employment'!J135),TEXT('Change in Employment'!J135, "0"),"")</f>
        <v/>
      </c>
    </row>
    <row r="129" spans="1:3">
      <c r="A129" s="23" t="str">
        <f>TEXT(IF('Change in Employment'!B136&lt;&gt;0,DATE(YEAR('Change in Employment'!B136), MONTH('Change in Employment'!B136), 1), ""), "mm/dd/yyyy")</f>
        <v/>
      </c>
      <c r="B129" s="25" t="str">
        <f>IF(ISNUMBER('Change in Employment'!I136), TEXT('Change in Employment'!I136, "0"), "")</f>
        <v/>
      </c>
      <c r="C129" s="25" t="str">
        <f>IF(ISNUMBER('Change in Employment'!J136),TEXT('Change in Employment'!J136, "0"),"")</f>
        <v/>
      </c>
    </row>
    <row r="130" spans="1:3">
      <c r="A130" s="23" t="str">
        <f>TEXT(IF('Change in Employment'!B137&lt;&gt;0,DATE(YEAR('Change in Employment'!B137), MONTH('Change in Employment'!B137), 1), ""), "mm/dd/yyyy")</f>
        <v/>
      </c>
      <c r="B130" s="25" t="str">
        <f>IF(ISNUMBER('Change in Employment'!I137), TEXT('Change in Employment'!I137, "0"), "")</f>
        <v/>
      </c>
      <c r="C130" s="25" t="str">
        <f>IF(ISNUMBER('Change in Employment'!J137),TEXT('Change in Employment'!J137, "0"),"")</f>
        <v/>
      </c>
    </row>
    <row r="131" spans="1:3">
      <c r="A131" s="23" t="str">
        <f>TEXT(IF('Change in Employment'!B138&lt;&gt;0,DATE(YEAR('Change in Employment'!B138), MONTH('Change in Employment'!B138), 1), ""), "mm/dd/yyyy")</f>
        <v/>
      </c>
      <c r="B131" s="25" t="str">
        <f>IF(ISNUMBER('Change in Employment'!I138), TEXT('Change in Employment'!I138, "0"), "")</f>
        <v/>
      </c>
      <c r="C131" s="25" t="str">
        <f>IF(ISNUMBER('Change in Employment'!J138),TEXT('Change in Employment'!J138, "0"),"")</f>
        <v/>
      </c>
    </row>
    <row r="132" spans="1:3">
      <c r="A132" s="23" t="str">
        <f>TEXT(IF('Change in Employment'!B139&lt;&gt;0,DATE(YEAR('Change in Employment'!B139), MONTH('Change in Employment'!B139), 1), ""), "mm/dd/yyyy")</f>
        <v/>
      </c>
      <c r="B132" s="25" t="str">
        <f>IF(ISNUMBER('Change in Employment'!I139), TEXT('Change in Employment'!I139, "0"), "")</f>
        <v/>
      </c>
      <c r="C132" s="25" t="str">
        <f>IF(ISNUMBER('Change in Employment'!J139),TEXT('Change in Employment'!J139, "0"),"")</f>
        <v/>
      </c>
    </row>
    <row r="133" spans="1:3">
      <c r="A133" s="23" t="str">
        <f>TEXT(IF('Change in Employment'!B140&lt;&gt;0,DATE(YEAR('Change in Employment'!B140), MONTH('Change in Employment'!B140), 1), ""), "mm/dd/yyyy")</f>
        <v/>
      </c>
      <c r="B133" s="25" t="str">
        <f>IF(ISNUMBER('Change in Employment'!I140), TEXT('Change in Employment'!I140, "0"), "")</f>
        <v/>
      </c>
      <c r="C133" s="25" t="str">
        <f>IF(ISNUMBER('Change in Employment'!J140),TEXT('Change in Employment'!J140, "0"),"")</f>
        <v/>
      </c>
    </row>
    <row r="134" spans="1:3">
      <c r="A134" s="23" t="str">
        <f>TEXT(IF('Change in Employment'!B141&lt;&gt;0,DATE(YEAR('Change in Employment'!B141), MONTH('Change in Employment'!B141), 1), ""), "mm/dd/yyyy")</f>
        <v/>
      </c>
      <c r="B134" s="25" t="str">
        <f>IF(ISNUMBER('Change in Employment'!I141), TEXT('Change in Employment'!I141, "0"), "")</f>
        <v/>
      </c>
      <c r="C134" s="25" t="str">
        <f>IF(ISNUMBER('Change in Employment'!J141),TEXT('Change in Employment'!J141, "0"),"")</f>
        <v/>
      </c>
    </row>
    <row r="135" spans="1:3">
      <c r="A135" s="23" t="str">
        <f>TEXT(IF('Change in Employment'!B142&lt;&gt;0,DATE(YEAR('Change in Employment'!B142), MONTH('Change in Employment'!B142), 1), ""), "mm/dd/yyyy")</f>
        <v/>
      </c>
      <c r="B135" s="25" t="str">
        <f>IF(ISNUMBER('Change in Employment'!I142), TEXT('Change in Employment'!I142, "0"), "")</f>
        <v/>
      </c>
      <c r="C135" s="25" t="str">
        <f>IF(ISNUMBER('Change in Employment'!J142),TEXT('Change in Employment'!J142, "0"),"")</f>
        <v/>
      </c>
    </row>
    <row r="136" spans="1:3">
      <c r="A136" s="23" t="str">
        <f>TEXT(IF('Change in Employment'!B143&lt;&gt;0,DATE(YEAR('Change in Employment'!B143), MONTH('Change in Employment'!B143), 1), ""), "mm/dd/yyyy")</f>
        <v/>
      </c>
      <c r="B136" s="25" t="str">
        <f>IF(ISNUMBER('Change in Employment'!I143), TEXT('Change in Employment'!I143, "0"), "")</f>
        <v/>
      </c>
      <c r="C136" s="25" t="str">
        <f>IF(ISNUMBER('Change in Employment'!J143),TEXT('Change in Employment'!J143, "0"),"")</f>
        <v/>
      </c>
    </row>
    <row r="137" spans="1:3">
      <c r="A137" s="23" t="str">
        <f>TEXT(IF('Change in Employment'!B144&lt;&gt;0,DATE(YEAR('Change in Employment'!B144), MONTH('Change in Employment'!B144), 1), ""), "mm/dd/yyyy")</f>
        <v/>
      </c>
      <c r="B137" s="25" t="str">
        <f>IF(ISNUMBER('Change in Employment'!I144), TEXT('Change in Employment'!I144, "0"), "")</f>
        <v/>
      </c>
      <c r="C137" s="25" t="str">
        <f>IF(ISNUMBER('Change in Employment'!J144),TEXT('Change in Employment'!J144, "0"),"")</f>
        <v/>
      </c>
    </row>
    <row r="138" spans="1:3">
      <c r="A138" s="23" t="str">
        <f>TEXT(IF('Change in Employment'!B145&lt;&gt;0,DATE(YEAR('Change in Employment'!B145), MONTH('Change in Employment'!B145), 1), ""), "mm/dd/yyyy")</f>
        <v/>
      </c>
      <c r="B138" s="25" t="str">
        <f>IF(ISNUMBER('Change in Employment'!I145), TEXT('Change in Employment'!I145, "0"), "")</f>
        <v/>
      </c>
      <c r="C138" s="25" t="str">
        <f>IF(ISNUMBER('Change in Employment'!J145),TEXT('Change in Employment'!J145, "0"),"")</f>
        <v/>
      </c>
    </row>
    <row r="139" spans="1:3">
      <c r="A139" s="23" t="str">
        <f>TEXT(IF('Change in Employment'!B146&lt;&gt;0,DATE(YEAR('Change in Employment'!B146), MONTH('Change in Employment'!B146), 1), ""), "mm/dd/yyyy")</f>
        <v/>
      </c>
      <c r="B139" s="25" t="str">
        <f>IF(ISNUMBER('Change in Employment'!I146), TEXT('Change in Employment'!I146, "0"), "")</f>
        <v/>
      </c>
      <c r="C139" s="25" t="str">
        <f>IF(ISNUMBER('Change in Employment'!J146),TEXT('Change in Employment'!J146, "0"),"")</f>
        <v/>
      </c>
    </row>
    <row r="140" spans="1:3">
      <c r="A140" s="23" t="str">
        <f>TEXT(IF('Change in Employment'!B147&lt;&gt;0,DATE(YEAR('Change in Employment'!B147), MONTH('Change in Employment'!B147), 1), ""), "mm/dd/yyyy")</f>
        <v/>
      </c>
      <c r="B140" s="25" t="str">
        <f>IF(ISNUMBER('Change in Employment'!I147), TEXT('Change in Employment'!I147, "0"), "")</f>
        <v/>
      </c>
      <c r="C140" s="25" t="str">
        <f>IF(ISNUMBER('Change in Employment'!J147),TEXT('Change in Employment'!J147, "0"),"")</f>
        <v/>
      </c>
    </row>
    <row r="141" spans="1:3">
      <c r="A141" s="23" t="str">
        <f>TEXT(IF('Change in Employment'!B148&lt;&gt;0,DATE(YEAR('Change in Employment'!B148), MONTH('Change in Employment'!B148), 1), ""), "mm/dd/yyyy")</f>
        <v/>
      </c>
      <c r="B141" s="25" t="str">
        <f>IF(ISNUMBER('Change in Employment'!I148), TEXT('Change in Employment'!I148, "0"), "")</f>
        <v/>
      </c>
      <c r="C141" s="25" t="str">
        <f>IF(ISNUMBER('Change in Employment'!J148),TEXT('Change in Employment'!J148, "0"),"")</f>
        <v/>
      </c>
    </row>
    <row r="142" spans="1:3">
      <c r="A142" s="23" t="str">
        <f>TEXT(IF('Change in Employment'!B149&lt;&gt;0,DATE(YEAR('Change in Employment'!B149), MONTH('Change in Employment'!B149), 1), ""), "mm/dd/yyyy")</f>
        <v/>
      </c>
      <c r="B142" s="25" t="str">
        <f>IF(ISNUMBER('Change in Employment'!I149), TEXT('Change in Employment'!I149, "0"), "")</f>
        <v/>
      </c>
      <c r="C142" s="25" t="str">
        <f>IF(ISNUMBER('Change in Employment'!J149),TEXT('Change in Employment'!J149, "0"),"")</f>
        <v/>
      </c>
    </row>
    <row r="143" spans="1:3">
      <c r="A143" s="23" t="str">
        <f>TEXT(IF('Change in Employment'!B150&lt;&gt;0,DATE(YEAR('Change in Employment'!B150), MONTH('Change in Employment'!B150), 1), ""), "mm/dd/yyyy")</f>
        <v/>
      </c>
      <c r="B143" s="25" t="str">
        <f>IF(ISNUMBER('Change in Employment'!I150), TEXT('Change in Employment'!I150, "0"), "")</f>
        <v/>
      </c>
      <c r="C143" s="25" t="str">
        <f>IF(ISNUMBER('Change in Employment'!J150),TEXT('Change in Employment'!J150, "0"),"")</f>
        <v/>
      </c>
    </row>
    <row r="144" spans="1:3">
      <c r="A144" s="23" t="str">
        <f>TEXT(IF('Change in Employment'!B151&lt;&gt;0,DATE(YEAR('Change in Employment'!B151), MONTH('Change in Employment'!B151), 1), ""), "mm/dd/yyyy")</f>
        <v/>
      </c>
      <c r="B144" s="25" t="str">
        <f>IF(ISNUMBER('Change in Employment'!I151), TEXT('Change in Employment'!I151, "0"), "")</f>
        <v/>
      </c>
      <c r="C144" s="25" t="str">
        <f>IF(ISNUMBER('Change in Employment'!J151),TEXT('Change in Employment'!J151, "0"),"")</f>
        <v/>
      </c>
    </row>
    <row r="145" spans="1:3">
      <c r="A145" s="23" t="str">
        <f>TEXT(IF('Change in Employment'!B152&lt;&gt;0,DATE(YEAR('Change in Employment'!B152), MONTH('Change in Employment'!B152), 1), ""), "mm/dd/yyyy")</f>
        <v/>
      </c>
      <c r="B145" s="25" t="str">
        <f>IF(ISNUMBER('Change in Employment'!I152), TEXT('Change in Employment'!I152, "0"), "")</f>
        <v/>
      </c>
      <c r="C145" s="25" t="str">
        <f>IF(ISNUMBER('Change in Employment'!J152),TEXT('Change in Employment'!J152, "0"),"")</f>
        <v/>
      </c>
    </row>
    <row r="146" spans="1:3">
      <c r="A146" s="23" t="str">
        <f>TEXT(IF('Change in Employment'!B153&lt;&gt;0,DATE(YEAR('Change in Employment'!B153), MONTH('Change in Employment'!B153), 1), ""), "mm/dd/yyyy")</f>
        <v/>
      </c>
      <c r="B146" s="25" t="str">
        <f>IF(ISNUMBER('Change in Employment'!I153), TEXT('Change in Employment'!I153, "0"), "")</f>
        <v/>
      </c>
      <c r="C146" s="25" t="str">
        <f>IF(ISNUMBER('Change in Employment'!J153),TEXT('Change in Employment'!J153, "0"),"")</f>
        <v/>
      </c>
    </row>
    <row r="147" spans="1:3">
      <c r="A147" s="23" t="str">
        <f>TEXT(IF('Change in Employment'!B154&lt;&gt;0,DATE(YEAR('Change in Employment'!B154), MONTH('Change in Employment'!B154), 1), ""), "mm/dd/yyyy")</f>
        <v/>
      </c>
      <c r="B147" s="25" t="str">
        <f>IF(ISNUMBER('Change in Employment'!I154), TEXT('Change in Employment'!I154, "0"), "")</f>
        <v/>
      </c>
      <c r="C147" s="25" t="str">
        <f>IF(ISNUMBER('Change in Employment'!J154),TEXT('Change in Employment'!J154, "0"),"")</f>
        <v/>
      </c>
    </row>
    <row r="148" spans="1:3">
      <c r="A148" s="23" t="str">
        <f>TEXT(IF('Change in Employment'!B155&lt;&gt;0,DATE(YEAR('Change in Employment'!B155), MONTH('Change in Employment'!B155), 1), ""), "mm/dd/yyyy")</f>
        <v/>
      </c>
      <c r="B148" s="25" t="str">
        <f>IF(ISNUMBER('Change in Employment'!I155), TEXT('Change in Employment'!I155, "0"), "")</f>
        <v/>
      </c>
      <c r="C148" s="25" t="str">
        <f>IF(ISNUMBER('Change in Employment'!J155),TEXT('Change in Employment'!J155, "0"),"")</f>
        <v/>
      </c>
    </row>
    <row r="149" spans="1:3">
      <c r="A149" s="23" t="str">
        <f>TEXT(IF('Change in Employment'!B156&lt;&gt;0,DATE(YEAR('Change in Employment'!B156), MONTH('Change in Employment'!B156), 1), ""), "mm/dd/yyyy")</f>
        <v/>
      </c>
      <c r="B149" s="25" t="str">
        <f>IF(ISNUMBER('Change in Employment'!I156), TEXT('Change in Employment'!I156, "0"), "")</f>
        <v/>
      </c>
      <c r="C149" s="25" t="str">
        <f>IF(ISNUMBER('Change in Employment'!J156),TEXT('Change in Employment'!J156, "0"),"")</f>
        <v/>
      </c>
    </row>
    <row r="150" spans="1:3">
      <c r="A150" s="23" t="str">
        <f>TEXT(IF('Change in Employment'!B157&lt;&gt;0,DATE(YEAR('Change in Employment'!B157), MONTH('Change in Employment'!B157), 1), ""), "mm/dd/yyyy")</f>
        <v/>
      </c>
      <c r="B150" s="25" t="str">
        <f>IF(ISNUMBER('Change in Employment'!I157), TEXT('Change in Employment'!I157, "0"), "")</f>
        <v/>
      </c>
      <c r="C150" s="25" t="str">
        <f>IF(ISNUMBER('Change in Employment'!J157),TEXT('Change in Employment'!J157, "0"),"")</f>
        <v/>
      </c>
    </row>
    <row r="151" spans="1:3">
      <c r="A151" s="23" t="str">
        <f>TEXT(IF('Change in Employment'!B158&lt;&gt;0,DATE(YEAR('Change in Employment'!B158), MONTH('Change in Employment'!B158), 1), ""), "mm/dd/yyyy")</f>
        <v/>
      </c>
      <c r="B151" s="25" t="str">
        <f>IF(ISNUMBER('Change in Employment'!I158), TEXT('Change in Employment'!I158, "0"), "")</f>
        <v/>
      </c>
      <c r="C151" s="25" t="str">
        <f>IF(ISNUMBER('Change in Employment'!J158),TEXT('Change in Employment'!J158, "0"),"")</f>
        <v/>
      </c>
    </row>
    <row r="152" spans="1:3">
      <c r="A152" s="23" t="str">
        <f>TEXT(IF('Change in Employment'!B159&lt;&gt;0,DATE(YEAR('Change in Employment'!B159), MONTH('Change in Employment'!B159), 1), ""), "mm/dd/yyyy")</f>
        <v/>
      </c>
      <c r="B152" s="25" t="str">
        <f>IF(ISNUMBER('Change in Employment'!I159), TEXT('Change in Employment'!I159, "0"), "")</f>
        <v/>
      </c>
      <c r="C152" s="25" t="str">
        <f>IF(ISNUMBER('Change in Employment'!J159),TEXT('Change in Employment'!J159, "0"),"")</f>
        <v/>
      </c>
    </row>
    <row r="153" spans="1:3">
      <c r="A153" s="23" t="str">
        <f>TEXT(IF('Change in Employment'!B160&lt;&gt;0,DATE(YEAR('Change in Employment'!B160), MONTH('Change in Employment'!B160), 1), ""), "mm/dd/yyyy")</f>
        <v/>
      </c>
      <c r="B153" s="25" t="str">
        <f>IF(ISNUMBER('Change in Employment'!I160), TEXT('Change in Employment'!I160, "0"), "")</f>
        <v/>
      </c>
      <c r="C153" s="25" t="str">
        <f>IF(ISNUMBER('Change in Employment'!J160),TEXT('Change in Employment'!J160, "0"),"")</f>
        <v/>
      </c>
    </row>
    <row r="154" spans="1:3">
      <c r="A154" s="23" t="str">
        <f>TEXT(IF('Change in Employment'!B161&lt;&gt;0,DATE(YEAR('Change in Employment'!B161), MONTH('Change in Employment'!B161), 1), ""), "mm/dd/yyyy")</f>
        <v/>
      </c>
      <c r="B154" s="25" t="str">
        <f>IF(ISNUMBER('Change in Employment'!I161), TEXT('Change in Employment'!I161, "0"), "")</f>
        <v/>
      </c>
      <c r="C154" s="25" t="str">
        <f>IF(ISNUMBER('Change in Employment'!J161),TEXT('Change in Employment'!J161, "0"),"")</f>
        <v/>
      </c>
    </row>
    <row r="155" spans="1:3">
      <c r="A155" s="23" t="str">
        <f>TEXT(IF('Change in Employment'!B162&lt;&gt;0,DATE(YEAR('Change in Employment'!B162), MONTH('Change in Employment'!B162), 1), ""), "mm/dd/yyyy")</f>
        <v/>
      </c>
      <c r="B155" s="25" t="str">
        <f>IF(ISNUMBER('Change in Employment'!I162), TEXT('Change in Employment'!I162, "0"), "")</f>
        <v/>
      </c>
      <c r="C155" s="25" t="str">
        <f>IF(ISNUMBER('Change in Employment'!J162),TEXT('Change in Employment'!J162, "0"),"")</f>
        <v/>
      </c>
    </row>
    <row r="156" spans="1:3">
      <c r="A156" s="23" t="str">
        <f>TEXT(IF('Change in Employment'!B163&lt;&gt;0,DATE(YEAR('Change in Employment'!B163), MONTH('Change in Employment'!B163), 1), ""), "mm/dd/yyyy")</f>
        <v/>
      </c>
      <c r="B156" s="25" t="str">
        <f>IF(ISNUMBER('Change in Employment'!I163), TEXT('Change in Employment'!I163, "0"), "")</f>
        <v/>
      </c>
      <c r="C156" s="25" t="str">
        <f>IF(ISNUMBER('Change in Employment'!J163),TEXT('Change in Employment'!J163, "0"),"")</f>
        <v/>
      </c>
    </row>
    <row r="157" spans="1:3">
      <c r="A157" s="23" t="str">
        <f>TEXT(IF('Change in Employment'!B164&lt;&gt;0,DATE(YEAR('Change in Employment'!B164), MONTH('Change in Employment'!B164), 1), ""), "mm/dd/yyyy")</f>
        <v/>
      </c>
      <c r="B157" s="25" t="str">
        <f>IF(ISNUMBER('Change in Employment'!I164), TEXT('Change in Employment'!I164, "0"), "")</f>
        <v/>
      </c>
      <c r="C157" s="25" t="str">
        <f>IF(ISNUMBER('Change in Employment'!J164),TEXT('Change in Employment'!J164, "0"),"")</f>
        <v/>
      </c>
    </row>
    <row r="158" spans="1:3">
      <c r="A158" s="23" t="str">
        <f>TEXT(IF('Change in Employment'!B165&lt;&gt;0,DATE(YEAR('Change in Employment'!B165), MONTH('Change in Employment'!B165), 1), ""), "mm/dd/yyyy")</f>
        <v/>
      </c>
      <c r="B158" s="25" t="str">
        <f>IF(ISNUMBER('Change in Employment'!I165), TEXT('Change in Employment'!I165, "0"), "")</f>
        <v/>
      </c>
      <c r="C158" s="25" t="str">
        <f>IF(ISNUMBER('Change in Employment'!J165),TEXT('Change in Employment'!J165, "0"),"")</f>
        <v/>
      </c>
    </row>
    <row r="159" spans="1:3">
      <c r="A159" s="23" t="str">
        <f>TEXT(IF('Change in Employment'!B166&lt;&gt;0,DATE(YEAR('Change in Employment'!B166), MONTH('Change in Employment'!B166), 1), ""), "mm/dd/yyyy")</f>
        <v/>
      </c>
      <c r="B159" s="25" t="str">
        <f>IF(ISNUMBER('Change in Employment'!I166), TEXT('Change in Employment'!I166, "0"), "")</f>
        <v/>
      </c>
      <c r="C159" s="25" t="str">
        <f>IF(ISNUMBER('Change in Employment'!J166),TEXT('Change in Employment'!J166, "0"),"")</f>
        <v/>
      </c>
    </row>
    <row r="160" spans="1:3">
      <c r="A160" s="23" t="str">
        <f>TEXT(IF('Change in Employment'!B167&lt;&gt;0,DATE(YEAR('Change in Employment'!B167), MONTH('Change in Employment'!B167), 1), ""), "mm/dd/yyyy")</f>
        <v/>
      </c>
      <c r="B160" s="25" t="str">
        <f>IF(ISNUMBER('Change in Employment'!I167), TEXT('Change in Employment'!I167, "0"), "")</f>
        <v/>
      </c>
      <c r="C160" s="25" t="str">
        <f>IF(ISNUMBER('Change in Employment'!J167),TEXT('Change in Employment'!J167, "0"),"")</f>
        <v/>
      </c>
    </row>
    <row r="161" spans="1:3">
      <c r="A161" s="23" t="str">
        <f>TEXT(IF('Change in Employment'!B168&lt;&gt;0,DATE(YEAR('Change in Employment'!B168), MONTH('Change in Employment'!B168), 1), ""), "mm/dd/yyyy")</f>
        <v/>
      </c>
      <c r="B161" s="25" t="str">
        <f>IF(ISNUMBER('Change in Employment'!I168), TEXT('Change in Employment'!I168, "0"), "")</f>
        <v/>
      </c>
      <c r="C161" s="25" t="str">
        <f>IF(ISNUMBER('Change in Employment'!J168),TEXT('Change in Employment'!J168, "0"),"")</f>
        <v/>
      </c>
    </row>
    <row r="162" spans="1:3">
      <c r="A162" s="23" t="str">
        <f>TEXT(IF('Change in Employment'!B169&lt;&gt;0,DATE(YEAR('Change in Employment'!B169), MONTH('Change in Employment'!B169), 1), ""), "mm/dd/yyyy")</f>
        <v/>
      </c>
      <c r="B162" s="25" t="str">
        <f>IF(ISNUMBER('Change in Employment'!I169), TEXT('Change in Employment'!I169, "0"), "")</f>
        <v/>
      </c>
      <c r="C162" s="25" t="str">
        <f>IF(ISNUMBER('Change in Employment'!J169),TEXT('Change in Employment'!J169, "0"),"")</f>
        <v/>
      </c>
    </row>
    <row r="163" spans="1:3">
      <c r="A163" s="23" t="str">
        <f>TEXT(IF('Change in Employment'!B170&lt;&gt;0,DATE(YEAR('Change in Employment'!B170), MONTH('Change in Employment'!B170), 1), ""), "mm/dd/yyyy")</f>
        <v/>
      </c>
      <c r="B163" s="25" t="str">
        <f>IF(ISNUMBER('Change in Employment'!I170), TEXT('Change in Employment'!I170, "0"), "")</f>
        <v/>
      </c>
      <c r="C163" s="25" t="str">
        <f>IF(ISNUMBER('Change in Employment'!J170),TEXT('Change in Employment'!J170, "0"),"")</f>
        <v/>
      </c>
    </row>
    <row r="164" spans="1:3">
      <c r="A164" s="23" t="str">
        <f>TEXT(IF('Change in Employment'!B171&lt;&gt;0,DATE(YEAR('Change in Employment'!B171), MONTH('Change in Employment'!B171), 1), ""), "mm/dd/yyyy")</f>
        <v/>
      </c>
      <c r="B164" s="25" t="str">
        <f>IF(ISNUMBER('Change in Employment'!I171), TEXT('Change in Employment'!I171, "0"), "")</f>
        <v/>
      </c>
      <c r="C164" s="25" t="str">
        <f>IF(ISNUMBER('Change in Employment'!J171),TEXT('Change in Employment'!J171, "0"),"")</f>
        <v/>
      </c>
    </row>
    <row r="165" spans="1:3">
      <c r="A165" s="23" t="str">
        <f>TEXT(IF('Change in Employment'!B172&lt;&gt;0,DATE(YEAR('Change in Employment'!B172), MONTH('Change in Employment'!B172), 1), ""), "mm/dd/yyyy")</f>
        <v/>
      </c>
      <c r="B165" s="25" t="str">
        <f>IF(ISNUMBER('Change in Employment'!I172), TEXT('Change in Employment'!I172, "0"), "")</f>
        <v/>
      </c>
      <c r="C165" s="25" t="str">
        <f>IF(ISNUMBER('Change in Employment'!J172),TEXT('Change in Employment'!J172, "0"),"")</f>
        <v/>
      </c>
    </row>
    <row r="166" spans="1:3">
      <c r="A166" s="23" t="str">
        <f>TEXT(IF('Change in Employment'!B173&lt;&gt;0,DATE(YEAR('Change in Employment'!B173), MONTH('Change in Employment'!B173), 1), ""), "mm/dd/yyyy")</f>
        <v/>
      </c>
      <c r="B166" s="25" t="str">
        <f>IF(ISNUMBER('Change in Employment'!I173), TEXT('Change in Employment'!I173, "0"), "")</f>
        <v/>
      </c>
      <c r="C166" s="25" t="str">
        <f>IF(ISNUMBER('Change in Employment'!J173),TEXT('Change in Employment'!J173, "0"),"")</f>
        <v/>
      </c>
    </row>
    <row r="167" spans="1:3">
      <c r="A167" s="23" t="str">
        <f>TEXT(IF('Change in Employment'!B174&lt;&gt;0,DATE(YEAR('Change in Employment'!B174), MONTH('Change in Employment'!B174), 1), ""), "mm/dd/yyyy")</f>
        <v/>
      </c>
      <c r="B167" s="25" t="str">
        <f>IF(ISNUMBER('Change in Employment'!I174), TEXT('Change in Employment'!I174, "0"), "")</f>
        <v/>
      </c>
      <c r="C167" s="25" t="str">
        <f>IF(ISNUMBER('Change in Employment'!J174),TEXT('Change in Employment'!J174, "0"),"")</f>
        <v/>
      </c>
    </row>
    <row r="168" spans="1:3">
      <c r="A168" s="23" t="str">
        <f>TEXT(IF('Change in Employment'!B175&lt;&gt;0,DATE(YEAR('Change in Employment'!B175), MONTH('Change in Employment'!B175), 1), ""), "mm/dd/yyyy")</f>
        <v/>
      </c>
      <c r="B168" s="25" t="str">
        <f>IF(ISNUMBER('Change in Employment'!I175), TEXT('Change in Employment'!I175, "0"), "")</f>
        <v/>
      </c>
      <c r="C168" s="25" t="str">
        <f>IF(ISNUMBER('Change in Employment'!J175),TEXT('Change in Employment'!J175, "0"),"")</f>
        <v/>
      </c>
    </row>
    <row r="169" spans="1:3">
      <c r="A169" s="23" t="str">
        <f>TEXT(IF('Change in Employment'!B176&lt;&gt;0,DATE(YEAR('Change in Employment'!B176), MONTH('Change in Employment'!B176), 1), ""), "mm/dd/yyyy")</f>
        <v/>
      </c>
      <c r="B169" s="25" t="str">
        <f>IF(ISNUMBER('Change in Employment'!I176), TEXT('Change in Employment'!I176, "0"), "")</f>
        <v/>
      </c>
      <c r="C169" s="25" t="str">
        <f>IF(ISNUMBER('Change in Employment'!J176),TEXT('Change in Employment'!J176, "0"),"")</f>
        <v/>
      </c>
    </row>
    <row r="170" spans="1:3">
      <c r="A170" s="23" t="str">
        <f>TEXT(IF('Change in Employment'!B177&lt;&gt;0,DATE(YEAR('Change in Employment'!B177), MONTH('Change in Employment'!B177), 1), ""), "mm/dd/yyyy")</f>
        <v/>
      </c>
      <c r="B170" s="25" t="str">
        <f>IF(ISNUMBER('Change in Employment'!I177), TEXT('Change in Employment'!I177, "0"), "")</f>
        <v/>
      </c>
      <c r="C170" s="25" t="str">
        <f>IF(ISNUMBER('Change in Employment'!J177),TEXT('Change in Employment'!J177, "0"),"")</f>
        <v/>
      </c>
    </row>
    <row r="171" spans="1:3">
      <c r="A171" s="23" t="str">
        <f>TEXT(IF('Change in Employment'!B178&lt;&gt;0,DATE(YEAR('Change in Employment'!B178), MONTH('Change in Employment'!B178), 1), ""), "mm/dd/yyyy")</f>
        <v/>
      </c>
      <c r="B171" s="25" t="str">
        <f>IF(ISNUMBER('Change in Employment'!I178), TEXT('Change in Employment'!I178, "0"), "")</f>
        <v/>
      </c>
      <c r="C171" s="25" t="str">
        <f>IF(ISNUMBER('Change in Employment'!J178),TEXT('Change in Employment'!J178, "0"),"")</f>
        <v/>
      </c>
    </row>
    <row r="172" spans="1:3">
      <c r="A172" s="23" t="str">
        <f>TEXT(IF('Change in Employment'!B179&lt;&gt;0,DATE(YEAR('Change in Employment'!B179), MONTH('Change in Employment'!B179), 1), ""), "mm/dd/yyyy")</f>
        <v/>
      </c>
      <c r="B172" s="25" t="str">
        <f>IF(ISNUMBER('Change in Employment'!I179), TEXT('Change in Employment'!I179, "0"), "")</f>
        <v/>
      </c>
      <c r="C172" s="25" t="str">
        <f>IF(ISNUMBER('Change in Employment'!J179),TEXT('Change in Employment'!J179, "0"),"")</f>
        <v/>
      </c>
    </row>
    <row r="173" spans="1:3">
      <c r="A173" s="23" t="str">
        <f>TEXT(IF('Change in Employment'!B180&lt;&gt;0,DATE(YEAR('Change in Employment'!B180), MONTH('Change in Employment'!B180), 1), ""), "mm/dd/yyyy")</f>
        <v/>
      </c>
      <c r="B173" s="25" t="str">
        <f>IF(ISNUMBER('Change in Employment'!I180), TEXT('Change in Employment'!I180, "0"), "")</f>
        <v/>
      </c>
      <c r="C173" s="25" t="str">
        <f>IF(ISNUMBER('Change in Employment'!J180),TEXT('Change in Employment'!J180, "0"),"")</f>
        <v/>
      </c>
    </row>
    <row r="174" spans="1:3">
      <c r="A174" s="23" t="str">
        <f>TEXT(IF('Change in Employment'!B181&lt;&gt;0,DATE(YEAR('Change in Employment'!B181), MONTH('Change in Employment'!B181), 1), ""), "mm/dd/yyyy")</f>
        <v/>
      </c>
      <c r="B174" s="25" t="str">
        <f>IF(ISNUMBER('Change in Employment'!I181), TEXT('Change in Employment'!I181, "0"), "")</f>
        <v/>
      </c>
      <c r="C174" s="25" t="str">
        <f>IF(ISNUMBER('Change in Employment'!J181),TEXT('Change in Employment'!J181, "0"),"")</f>
        <v/>
      </c>
    </row>
    <row r="175" spans="1:3">
      <c r="A175" s="23" t="str">
        <f>TEXT(IF('Change in Employment'!B182&lt;&gt;0,DATE(YEAR('Change in Employment'!B182), MONTH('Change in Employment'!B182), 1), ""), "mm/dd/yyyy")</f>
        <v/>
      </c>
      <c r="B175" s="25" t="str">
        <f>IF(ISNUMBER('Change in Employment'!I182), TEXT('Change in Employment'!I182, "0"), "")</f>
        <v/>
      </c>
      <c r="C175" s="25" t="str">
        <f>IF(ISNUMBER('Change in Employment'!J182),TEXT('Change in Employment'!J182, "0"),"")</f>
        <v/>
      </c>
    </row>
    <row r="176" spans="1:3">
      <c r="A176" s="23" t="str">
        <f>TEXT(IF('Change in Employment'!B183&lt;&gt;0,DATE(YEAR('Change in Employment'!B183), MONTH('Change in Employment'!B183), 1), ""), "mm/dd/yyyy")</f>
        <v/>
      </c>
      <c r="B176" s="25" t="str">
        <f>IF(ISNUMBER('Change in Employment'!I183), TEXT('Change in Employment'!I183, "0"), "")</f>
        <v/>
      </c>
      <c r="C176" s="25" t="str">
        <f>IF(ISNUMBER('Change in Employment'!J183),TEXT('Change in Employment'!J183, "0"),"")</f>
        <v/>
      </c>
    </row>
    <row r="177" spans="1:3">
      <c r="A177" s="23" t="str">
        <f>TEXT(IF('Change in Employment'!B184&lt;&gt;0,DATE(YEAR('Change in Employment'!B184), MONTH('Change in Employment'!B184), 1), ""), "mm/dd/yyyy")</f>
        <v/>
      </c>
      <c r="B177" s="25" t="str">
        <f>IF(ISNUMBER('Change in Employment'!I184), TEXT('Change in Employment'!I184, "0"), "")</f>
        <v/>
      </c>
      <c r="C177" s="25" t="str">
        <f>IF(ISNUMBER('Change in Employment'!J184),TEXT('Change in Employment'!J184, "0"),"")</f>
        <v/>
      </c>
    </row>
    <row r="178" spans="1:3">
      <c r="A178" s="23" t="str">
        <f>TEXT(IF('Change in Employment'!B185&lt;&gt;0,DATE(YEAR('Change in Employment'!B185), MONTH('Change in Employment'!B185), 1), ""), "mm/dd/yyyy")</f>
        <v/>
      </c>
      <c r="B178" s="25" t="str">
        <f>IF(ISNUMBER('Change in Employment'!I185), TEXT('Change in Employment'!I185, "0"), "")</f>
        <v/>
      </c>
      <c r="C178" s="25" t="str">
        <f>IF(ISNUMBER('Change in Employment'!J185),TEXT('Change in Employment'!J185, "0"),"")</f>
        <v/>
      </c>
    </row>
    <row r="179" spans="1:3">
      <c r="A179" s="23" t="str">
        <f>TEXT(IF('Change in Employment'!B186&lt;&gt;0,DATE(YEAR('Change in Employment'!B186), MONTH('Change in Employment'!B186), 1), ""), "mm/dd/yyyy")</f>
        <v/>
      </c>
      <c r="B179" s="25" t="str">
        <f>IF(ISNUMBER('Change in Employment'!I186), TEXT('Change in Employment'!I186, "0"), "")</f>
        <v/>
      </c>
      <c r="C179" s="25" t="str">
        <f>IF(ISNUMBER('Change in Employment'!J186),TEXT('Change in Employment'!J186, "0"),"")</f>
        <v/>
      </c>
    </row>
    <row r="180" spans="1:3">
      <c r="A180" s="23" t="str">
        <f>TEXT(IF('Change in Employment'!B187&lt;&gt;0,DATE(YEAR('Change in Employment'!B187), MONTH('Change in Employment'!B187), 1), ""), "mm/dd/yyyy")</f>
        <v/>
      </c>
      <c r="B180" s="25" t="str">
        <f>IF(ISNUMBER('Change in Employment'!I187), TEXT('Change in Employment'!I187, "0"), "")</f>
        <v/>
      </c>
      <c r="C180" s="25" t="str">
        <f>IF(ISNUMBER('Change in Employment'!J187),TEXT('Change in Employment'!J187, "0"),"")</f>
        <v/>
      </c>
    </row>
    <row r="181" spans="1:3">
      <c r="A181" s="23" t="str">
        <f>TEXT(IF('Change in Employment'!B188&lt;&gt;0,DATE(YEAR('Change in Employment'!B188), MONTH('Change in Employment'!B188), 1), ""), "mm/dd/yyyy")</f>
        <v/>
      </c>
      <c r="B181" s="25" t="str">
        <f>IF(ISNUMBER('Change in Employment'!I188), TEXT('Change in Employment'!I188, "0"), "")</f>
        <v/>
      </c>
      <c r="C181" s="25" t="str">
        <f>IF(ISNUMBER('Change in Employment'!J188),TEXT('Change in Employment'!J188, "0"),"")</f>
        <v/>
      </c>
    </row>
    <row r="182" spans="1:3">
      <c r="A182" s="23" t="str">
        <f>TEXT(IF('Change in Employment'!B189&lt;&gt;0,DATE(YEAR('Change in Employment'!B189), MONTH('Change in Employment'!B189), 1), ""), "mm/dd/yyyy")</f>
        <v/>
      </c>
      <c r="B182" s="25" t="str">
        <f>IF(ISNUMBER('Change in Employment'!I189), TEXT('Change in Employment'!I189, "0"), "")</f>
        <v/>
      </c>
      <c r="C182" s="25" t="str">
        <f>IF(ISNUMBER('Change in Employment'!J189),TEXT('Change in Employment'!J189, "0"),"")</f>
        <v/>
      </c>
    </row>
    <row r="183" spans="1:3">
      <c r="A183" s="23" t="str">
        <f>TEXT(IF('Change in Employment'!B190&lt;&gt;0,DATE(YEAR('Change in Employment'!B190), MONTH('Change in Employment'!B190), 1), ""), "mm/dd/yyyy")</f>
        <v/>
      </c>
      <c r="B183" s="25" t="str">
        <f>IF(ISNUMBER('Change in Employment'!I190), TEXT('Change in Employment'!I190, "0"), "")</f>
        <v/>
      </c>
      <c r="C183" s="25" t="str">
        <f>IF(ISNUMBER('Change in Employment'!J190),TEXT('Change in Employment'!J190, "0"),"")</f>
        <v/>
      </c>
    </row>
    <row r="184" spans="1:3">
      <c r="A184" s="23" t="str">
        <f>TEXT(IF('Change in Employment'!B191&lt;&gt;0,DATE(YEAR('Change in Employment'!B191), MONTH('Change in Employment'!B191), 1), ""), "mm/dd/yyyy")</f>
        <v/>
      </c>
      <c r="B184" s="25" t="str">
        <f>IF(ISNUMBER('Change in Employment'!I191), TEXT('Change in Employment'!I191, "0"), "")</f>
        <v/>
      </c>
      <c r="C184" s="25" t="str">
        <f>IF(ISNUMBER('Change in Employment'!J191),TEXT('Change in Employment'!J191, "0"),"")</f>
        <v/>
      </c>
    </row>
    <row r="185" spans="1:3">
      <c r="A185" s="23" t="str">
        <f>TEXT(IF('Change in Employment'!B192&lt;&gt;0,DATE(YEAR('Change in Employment'!B192), MONTH('Change in Employment'!B192), 1), ""), "mm/dd/yyyy")</f>
        <v/>
      </c>
      <c r="B185" s="25" t="str">
        <f>IF(ISNUMBER('Change in Employment'!I192), TEXT('Change in Employment'!I192, "0"), "")</f>
        <v/>
      </c>
      <c r="C185" s="25" t="str">
        <f>IF(ISNUMBER('Change in Employment'!J192),TEXT('Change in Employment'!J192, "0"),"")</f>
        <v/>
      </c>
    </row>
    <row r="186" spans="1:3">
      <c r="A186" s="23" t="str">
        <f>TEXT(IF('Change in Employment'!B193&lt;&gt;0,DATE(YEAR('Change in Employment'!B193), MONTH('Change in Employment'!B193), 1), ""), "mm/dd/yyyy")</f>
        <v/>
      </c>
      <c r="B186" s="25" t="str">
        <f>IF(ISNUMBER('Change in Employment'!I193), TEXT('Change in Employment'!I193, "0"), "")</f>
        <v/>
      </c>
      <c r="C186" s="25" t="str">
        <f>IF(ISNUMBER('Change in Employment'!J193),TEXT('Change in Employment'!J193, "0"),"")</f>
        <v/>
      </c>
    </row>
    <row r="187" spans="1:3">
      <c r="A187" s="23" t="str">
        <f>TEXT(IF('Change in Employment'!B194&lt;&gt;0,DATE(YEAR('Change in Employment'!B194), MONTH('Change in Employment'!B194), 1), ""), "mm/dd/yyyy")</f>
        <v/>
      </c>
      <c r="B187" s="25" t="str">
        <f>IF(ISNUMBER('Change in Employment'!I194), TEXT('Change in Employment'!I194, "0"), "")</f>
        <v/>
      </c>
      <c r="C187" s="25" t="str">
        <f>IF(ISNUMBER('Change in Employment'!J194),TEXT('Change in Employment'!J194, "0"),"")</f>
        <v/>
      </c>
    </row>
    <row r="188" spans="1:3">
      <c r="A188" s="23" t="str">
        <f>TEXT(IF('Change in Employment'!B195&lt;&gt;0,DATE(YEAR('Change in Employment'!B195), MONTH('Change in Employment'!B195), 1), ""), "mm/dd/yyyy")</f>
        <v/>
      </c>
      <c r="B188" s="25" t="str">
        <f>IF(ISNUMBER('Change in Employment'!I195), TEXT('Change in Employment'!I195, "0"), "")</f>
        <v/>
      </c>
      <c r="C188" s="25" t="str">
        <f>IF(ISNUMBER('Change in Employment'!J195),TEXT('Change in Employment'!J195, "0"),"")</f>
        <v/>
      </c>
    </row>
    <row r="189" spans="1:3">
      <c r="A189" s="23" t="str">
        <f>TEXT(IF('Change in Employment'!B196&lt;&gt;0,DATE(YEAR('Change in Employment'!B196), MONTH('Change in Employment'!B196), 1), ""), "mm/dd/yyyy")</f>
        <v/>
      </c>
      <c r="B189" s="25" t="str">
        <f>IF(ISNUMBER('Change in Employment'!I196), TEXT('Change in Employment'!I196, "0"), "")</f>
        <v/>
      </c>
      <c r="C189" s="25" t="str">
        <f>IF(ISNUMBER('Change in Employment'!J196),TEXT('Change in Employment'!J196, "0"),"")</f>
        <v/>
      </c>
    </row>
    <row r="190" spans="1:3">
      <c r="A190" s="23" t="str">
        <f>TEXT(IF('Change in Employment'!B197&lt;&gt;0,DATE(YEAR('Change in Employment'!B197), MONTH('Change in Employment'!B197), 1), ""), "mm/dd/yyyy")</f>
        <v/>
      </c>
      <c r="B190" s="25" t="str">
        <f>IF(ISNUMBER('Change in Employment'!I197), TEXT('Change in Employment'!I197, "0"), "")</f>
        <v/>
      </c>
      <c r="C190" s="25" t="str">
        <f>IF(ISNUMBER('Change in Employment'!J197),TEXT('Change in Employment'!J197, "0"),"")</f>
        <v/>
      </c>
    </row>
    <row r="191" spans="1:3">
      <c r="A191" s="23" t="str">
        <f>TEXT(IF('Change in Employment'!B198&lt;&gt;0,DATE(YEAR('Change in Employment'!B198), MONTH('Change in Employment'!B198), 1), ""), "mm/dd/yyyy")</f>
        <v/>
      </c>
      <c r="B191" s="25" t="str">
        <f>IF(ISNUMBER('Change in Employment'!I198), TEXT('Change in Employment'!I198, "0"), "")</f>
        <v/>
      </c>
      <c r="C191" s="25" t="str">
        <f>IF(ISNUMBER('Change in Employment'!J198),TEXT('Change in Employment'!J198, "0"),"")</f>
        <v/>
      </c>
    </row>
    <row r="192" spans="1:3">
      <c r="A192" s="23" t="str">
        <f>TEXT(IF('Change in Employment'!B199&lt;&gt;0,DATE(YEAR('Change in Employment'!B199), MONTH('Change in Employment'!B199), 1), ""), "mm/dd/yyyy")</f>
        <v/>
      </c>
      <c r="B192" s="25" t="str">
        <f>IF(ISNUMBER('Change in Employment'!I199), TEXT('Change in Employment'!I199, "0"), "")</f>
        <v/>
      </c>
      <c r="C192" s="25" t="str">
        <f>IF(ISNUMBER('Change in Employment'!J199),TEXT('Change in Employment'!J199, "0"),"")</f>
        <v/>
      </c>
    </row>
    <row r="193" spans="1:3">
      <c r="A193" s="23" t="str">
        <f>TEXT(IF('Change in Employment'!B200&lt;&gt;0,DATE(YEAR('Change in Employment'!B200), MONTH('Change in Employment'!B200), 1), ""), "mm/dd/yyyy")</f>
        <v/>
      </c>
      <c r="B193" s="25" t="str">
        <f>IF(ISNUMBER('Change in Employment'!I200), TEXT('Change in Employment'!I200, "0"), "")</f>
        <v/>
      </c>
      <c r="C193" s="25" t="str">
        <f>IF(ISNUMBER('Change in Employment'!J200),TEXT('Change in Employment'!J200, "0"),"")</f>
        <v/>
      </c>
    </row>
    <row r="194" spans="1:3">
      <c r="A194" s="23" t="str">
        <f>TEXT(IF('Change in Employment'!B201&lt;&gt;0,DATE(YEAR('Change in Employment'!B201), MONTH('Change in Employment'!B201), 1), ""), "mm/dd/yyyy")</f>
        <v/>
      </c>
      <c r="B194" s="25" t="str">
        <f>IF(ISNUMBER('Change in Employment'!I201), TEXT('Change in Employment'!I201, "0"), "")</f>
        <v/>
      </c>
      <c r="C194" s="25" t="str">
        <f>IF(ISNUMBER('Change in Employment'!J201),TEXT('Change in Employment'!J201, "0"),"")</f>
        <v/>
      </c>
    </row>
    <row r="195" spans="1:3">
      <c r="A195" s="23" t="str">
        <f>TEXT(IF('Change in Employment'!B202&lt;&gt;0,DATE(YEAR('Change in Employment'!B202), MONTH('Change in Employment'!B202), 1), ""), "mm/dd/yyyy")</f>
        <v/>
      </c>
      <c r="B195" s="25" t="str">
        <f>IF(ISNUMBER('Change in Employment'!I202), TEXT('Change in Employment'!I202, "0"), "")</f>
        <v/>
      </c>
      <c r="C195" s="25" t="str">
        <f>IF(ISNUMBER('Change in Employment'!J202),TEXT('Change in Employment'!J202, "0"),"")</f>
        <v/>
      </c>
    </row>
    <row r="196" spans="1:3">
      <c r="A196" s="23" t="str">
        <f>TEXT(IF('Change in Employment'!B203&lt;&gt;0,DATE(YEAR('Change in Employment'!B203), MONTH('Change in Employment'!B203), 1), ""), "mm/dd/yyyy")</f>
        <v/>
      </c>
      <c r="B196" s="25" t="str">
        <f>IF(ISNUMBER('Change in Employment'!I203), TEXT('Change in Employment'!I203, "0"), "")</f>
        <v/>
      </c>
      <c r="C196" s="25" t="str">
        <f>IF(ISNUMBER('Change in Employment'!J203),TEXT('Change in Employment'!J203, "0"),"")</f>
        <v/>
      </c>
    </row>
    <row r="197" spans="1:3">
      <c r="A197" s="23" t="str">
        <f>TEXT(IF('Change in Employment'!B204&lt;&gt;0,DATE(YEAR('Change in Employment'!B204), MONTH('Change in Employment'!B204), 1), ""), "mm/dd/yyyy")</f>
        <v/>
      </c>
      <c r="B197" s="25" t="str">
        <f>IF(ISNUMBER('Change in Employment'!I204), TEXT('Change in Employment'!I204, "0"), "")</f>
        <v/>
      </c>
      <c r="C197" s="25" t="str">
        <f>IF(ISNUMBER('Change in Employment'!J204),TEXT('Change in Employment'!J204, "0"),"")</f>
        <v/>
      </c>
    </row>
    <row r="198" spans="1:3">
      <c r="A198" s="23" t="str">
        <f>TEXT(IF('Change in Employment'!B205&lt;&gt;0,DATE(YEAR('Change in Employment'!B205), MONTH('Change in Employment'!B205), 1), ""), "mm/dd/yyyy")</f>
        <v/>
      </c>
      <c r="B198" s="25" t="str">
        <f>IF(ISNUMBER('Change in Employment'!I205), TEXT('Change in Employment'!I205, "0"), "")</f>
        <v/>
      </c>
      <c r="C198" s="25" t="str">
        <f>IF(ISNUMBER('Change in Employment'!J205),TEXT('Change in Employment'!J205, "0"),"")</f>
        <v/>
      </c>
    </row>
    <row r="199" spans="1:3">
      <c r="A199" s="23" t="str">
        <f>TEXT(IF('Change in Employment'!B206&lt;&gt;0,DATE(YEAR('Change in Employment'!B206), MONTH('Change in Employment'!B206), 1), ""), "mm/dd/yyyy")</f>
        <v/>
      </c>
      <c r="B199" s="25" t="str">
        <f>IF(ISNUMBER('Change in Employment'!I206), TEXT('Change in Employment'!I206, "0"), "")</f>
        <v/>
      </c>
      <c r="C199" s="25" t="str">
        <f>IF(ISNUMBER('Change in Employment'!J206),TEXT('Change in Employment'!J206, "0"),"")</f>
        <v/>
      </c>
    </row>
    <row r="200" spans="1:3">
      <c r="A200" s="23" t="str">
        <f>TEXT(IF('Change in Employment'!B207&lt;&gt;0,DATE(YEAR('Change in Employment'!B207), MONTH('Change in Employment'!B207), 1), ""), "mm/dd/yyyy")</f>
        <v/>
      </c>
      <c r="B200" s="25" t="str">
        <f>IF(ISNUMBER('Change in Employment'!I207), TEXT('Change in Employment'!I207, "0"), "")</f>
        <v/>
      </c>
      <c r="C200" s="25" t="str">
        <f>IF(ISNUMBER('Change in Employment'!J207),TEXT('Change in Employment'!J207, "0"),"")</f>
        <v/>
      </c>
    </row>
    <row r="201" spans="1:3">
      <c r="A201" s="23" t="str">
        <f>TEXT(IF('Change in Employment'!B208&lt;&gt;0,DATE(YEAR('Change in Employment'!B208), MONTH('Change in Employment'!B208), 1), ""), "mm/dd/yyyy")</f>
        <v/>
      </c>
      <c r="B201" s="25" t="str">
        <f>IF(ISNUMBER('Change in Employment'!I208), TEXT('Change in Employment'!I208, "0"), "")</f>
        <v/>
      </c>
      <c r="C201" s="25" t="str">
        <f>IF(ISNUMBER('Change in Employment'!J208),TEXT('Change in Employment'!J208, "0"),"")</f>
        <v/>
      </c>
    </row>
    <row r="202" spans="1:3">
      <c r="A202" s="23" t="str">
        <f>TEXT(IF('Change in Employment'!B209&lt;&gt;0,DATE(YEAR('Change in Employment'!B209), MONTH('Change in Employment'!B209), 1), ""), "mm/dd/yyyy")</f>
        <v/>
      </c>
      <c r="B202" s="25" t="str">
        <f>IF(ISNUMBER('Change in Employment'!I209), TEXT('Change in Employment'!I209, "0"), "")</f>
        <v/>
      </c>
      <c r="C202" s="25" t="str">
        <f>IF(ISNUMBER('Change in Employment'!J209),TEXT('Change in Employment'!J209, "0"),"")</f>
        <v/>
      </c>
    </row>
    <row r="203" spans="1:3">
      <c r="A203" s="23" t="str">
        <f>TEXT(IF('Change in Employment'!B210&lt;&gt;0,DATE(YEAR('Change in Employment'!B210), MONTH('Change in Employment'!B210), 1), ""), "mm/dd/yyyy")</f>
        <v/>
      </c>
      <c r="B203" s="25" t="str">
        <f>IF(ISNUMBER('Change in Employment'!I210), TEXT('Change in Employment'!I210, "0"), "")</f>
        <v/>
      </c>
      <c r="C203" s="25" t="str">
        <f>IF(ISNUMBER('Change in Employment'!J210),TEXT('Change in Employment'!J210, "0"),"")</f>
        <v/>
      </c>
    </row>
    <row r="204" spans="1:3">
      <c r="A204" s="23" t="str">
        <f>TEXT(IF('Change in Employment'!B211&lt;&gt;0,DATE(YEAR('Change in Employment'!B211), MONTH('Change in Employment'!B211), 1), ""), "mm/dd/yyyy")</f>
        <v/>
      </c>
      <c r="B204" s="25" t="str">
        <f>IF(ISNUMBER('Change in Employment'!I211), TEXT('Change in Employment'!I211, "0"), "")</f>
        <v/>
      </c>
      <c r="C204" s="25" t="str">
        <f>IF(ISNUMBER('Change in Employment'!J211),TEXT('Change in Employment'!J211, "0"),"")</f>
        <v/>
      </c>
    </row>
    <row r="205" spans="1:3">
      <c r="A205" s="23" t="str">
        <f>TEXT(IF('Change in Employment'!B212&lt;&gt;0,DATE(YEAR('Change in Employment'!B212), MONTH('Change in Employment'!B212), 1), ""), "mm/dd/yyyy")</f>
        <v/>
      </c>
      <c r="B205" s="25" t="str">
        <f>IF(ISNUMBER('Change in Employment'!I212), TEXT('Change in Employment'!I212, "0"), "")</f>
        <v/>
      </c>
      <c r="C205" s="25" t="str">
        <f>IF(ISNUMBER('Change in Employment'!J212),TEXT('Change in Employment'!J212, "0"),"")</f>
        <v/>
      </c>
    </row>
    <row r="206" spans="1:3">
      <c r="A206" s="23" t="str">
        <f>TEXT(IF('Change in Employment'!B213&lt;&gt;0,DATE(YEAR('Change in Employment'!B213), MONTH('Change in Employment'!B213), 1), ""), "mm/dd/yyyy")</f>
        <v/>
      </c>
      <c r="B206" s="25" t="str">
        <f>IF(ISNUMBER('Change in Employment'!I213), TEXT('Change in Employment'!I213, "0"), "")</f>
        <v/>
      </c>
      <c r="C206" s="25" t="str">
        <f>IF(ISNUMBER('Change in Employment'!J213),TEXT('Change in Employment'!J213, "0"),"")</f>
        <v/>
      </c>
    </row>
    <row r="207" spans="1:3">
      <c r="A207" s="23" t="str">
        <f>TEXT(IF('Change in Employment'!B214&lt;&gt;0,DATE(YEAR('Change in Employment'!B214), MONTH('Change in Employment'!B214), 1), ""), "mm/dd/yyyy")</f>
        <v/>
      </c>
      <c r="B207" s="25" t="str">
        <f>IF(ISNUMBER('Change in Employment'!I214), TEXT('Change in Employment'!I214, "0"), "")</f>
        <v/>
      </c>
      <c r="C207" s="25" t="str">
        <f>IF(ISNUMBER('Change in Employment'!J214),TEXT('Change in Employment'!J214, "0"),"")</f>
        <v/>
      </c>
    </row>
    <row r="208" spans="1:3">
      <c r="A208" s="23" t="str">
        <f>TEXT(IF('Change in Employment'!B215&lt;&gt;0,DATE(YEAR('Change in Employment'!B215), MONTH('Change in Employment'!B215), 1), ""), "mm/dd/yyyy")</f>
        <v/>
      </c>
      <c r="B208" s="25" t="str">
        <f>IF(ISNUMBER('Change in Employment'!I215), TEXT('Change in Employment'!I215, "0"), "")</f>
        <v/>
      </c>
      <c r="C208" s="25" t="str">
        <f>IF(ISNUMBER('Change in Employment'!J215),TEXT('Change in Employment'!J215, "0"),"")</f>
        <v/>
      </c>
    </row>
    <row r="209" spans="1:3">
      <c r="A209" s="23" t="str">
        <f>TEXT(IF('Change in Employment'!B216&lt;&gt;0,DATE(YEAR('Change in Employment'!B216), MONTH('Change in Employment'!B216), 1), ""), "mm/dd/yyyy")</f>
        <v/>
      </c>
      <c r="B209" s="25" t="str">
        <f>IF(ISNUMBER('Change in Employment'!I216), TEXT('Change in Employment'!I216, "0"), "")</f>
        <v/>
      </c>
      <c r="C209" s="25" t="str">
        <f>IF(ISNUMBER('Change in Employment'!J216),TEXT('Change in Employment'!J216, "0"),"")</f>
        <v/>
      </c>
    </row>
    <row r="210" spans="1:3">
      <c r="A210" s="23" t="str">
        <f>TEXT(IF('Change in Employment'!B217&lt;&gt;0,DATE(YEAR('Change in Employment'!B217), MONTH('Change in Employment'!B217), 1), ""), "mm/dd/yyyy")</f>
        <v/>
      </c>
      <c r="B210" s="25" t="str">
        <f>IF(ISNUMBER('Change in Employment'!I217), TEXT('Change in Employment'!I217, "0"), "")</f>
        <v/>
      </c>
      <c r="C210" s="25" t="str">
        <f>IF(ISNUMBER('Change in Employment'!J217),TEXT('Change in Employment'!J217, "0"),"")</f>
        <v/>
      </c>
    </row>
    <row r="211" spans="1:3">
      <c r="A211" s="23" t="str">
        <f>TEXT(IF('Change in Employment'!B218&lt;&gt;0,DATE(YEAR('Change in Employment'!B218), MONTH('Change in Employment'!B218), 1), ""), "mm/dd/yyyy")</f>
        <v/>
      </c>
      <c r="B211" s="25" t="str">
        <f>IF(ISNUMBER('Change in Employment'!I218), TEXT('Change in Employment'!I218, "0"), "")</f>
        <v/>
      </c>
      <c r="C211" s="25" t="str">
        <f>IF(ISNUMBER('Change in Employment'!J218),TEXT('Change in Employment'!J218, "0"),"")</f>
        <v/>
      </c>
    </row>
    <row r="212" spans="1:3">
      <c r="A212" s="23" t="str">
        <f>TEXT(IF('Change in Employment'!B219&lt;&gt;0,DATE(YEAR('Change in Employment'!B219), MONTH('Change in Employment'!B219), 1), ""), "mm/dd/yyyy")</f>
        <v/>
      </c>
      <c r="B212" s="25" t="str">
        <f>IF(ISNUMBER('Change in Employment'!I219), TEXT('Change in Employment'!I219, "0"), "")</f>
        <v/>
      </c>
      <c r="C212" s="25" t="str">
        <f>IF(ISNUMBER('Change in Employment'!J219),TEXT('Change in Employment'!J219, "0"),"")</f>
        <v/>
      </c>
    </row>
    <row r="213" spans="1:3">
      <c r="A213" s="23" t="str">
        <f>TEXT(IF('Change in Employment'!B220&lt;&gt;0,DATE(YEAR('Change in Employment'!B220), MONTH('Change in Employment'!B220), 1), ""), "mm/dd/yyyy")</f>
        <v/>
      </c>
      <c r="B213" s="25" t="str">
        <f>IF(ISNUMBER('Change in Employment'!I220), TEXT('Change in Employment'!I220, "0"), "")</f>
        <v/>
      </c>
      <c r="C213" s="25" t="str">
        <f>IF(ISNUMBER('Change in Employment'!J220),TEXT('Change in Employment'!J220, "0"),"")</f>
        <v/>
      </c>
    </row>
    <row r="214" spans="1:3">
      <c r="A214" s="23" t="str">
        <f>TEXT(IF('Change in Employment'!B221&lt;&gt;0,DATE(YEAR('Change in Employment'!B221), MONTH('Change in Employment'!B221), 1), ""), "mm/dd/yyyy")</f>
        <v/>
      </c>
      <c r="B214" s="25" t="str">
        <f>IF(ISNUMBER('Change in Employment'!I221), TEXT('Change in Employment'!I221, "0"), "")</f>
        <v/>
      </c>
      <c r="C214" s="25" t="str">
        <f>IF(ISNUMBER('Change in Employment'!J221),TEXT('Change in Employment'!J221, "0"),"")</f>
        <v/>
      </c>
    </row>
    <row r="215" spans="1:3">
      <c r="A215" s="23" t="str">
        <f>TEXT(IF('Change in Employment'!B222&lt;&gt;0,DATE(YEAR('Change in Employment'!B222), MONTH('Change in Employment'!B222), 1), ""), "mm/dd/yyyy")</f>
        <v/>
      </c>
      <c r="B215" s="25" t="str">
        <f>IF(ISNUMBER('Change in Employment'!I222), TEXT('Change in Employment'!I222, "0"), "")</f>
        <v/>
      </c>
      <c r="C215" s="25" t="str">
        <f>IF(ISNUMBER('Change in Employment'!J222),TEXT('Change in Employment'!J222, "0"),"")</f>
        <v/>
      </c>
    </row>
    <row r="216" spans="1:3">
      <c r="A216" s="23" t="str">
        <f>TEXT(IF('Change in Employment'!B223&lt;&gt;0,DATE(YEAR('Change in Employment'!B223), MONTH('Change in Employment'!B223), 1), ""), "mm/dd/yyyy")</f>
        <v/>
      </c>
      <c r="B216" s="25" t="str">
        <f>IF(ISNUMBER('Change in Employment'!I223), TEXT('Change in Employment'!I223, "0"), "")</f>
        <v/>
      </c>
      <c r="C216" s="25" t="str">
        <f>IF(ISNUMBER('Change in Employment'!J223),TEXT('Change in Employment'!J223, "0"),"")</f>
        <v/>
      </c>
    </row>
    <row r="217" spans="1:3">
      <c r="A217" s="23" t="str">
        <f>TEXT(IF('Change in Employment'!B224&lt;&gt;0,DATE(YEAR('Change in Employment'!B224), MONTH('Change in Employment'!B224), 1), ""), "mm/dd/yyyy")</f>
        <v/>
      </c>
      <c r="B217" s="25" t="str">
        <f>IF(ISNUMBER('Change in Employment'!I224), TEXT('Change in Employment'!I224, "0"), "")</f>
        <v/>
      </c>
      <c r="C217" s="25" t="str">
        <f>IF(ISNUMBER('Change in Employment'!J224),TEXT('Change in Employment'!J224, "0"),"")</f>
        <v/>
      </c>
    </row>
    <row r="218" spans="1:3">
      <c r="A218" s="23" t="str">
        <f>TEXT(IF('Change in Employment'!B225&lt;&gt;0,DATE(YEAR('Change in Employment'!B225), MONTH('Change in Employment'!B225), 1), ""), "mm/dd/yyyy")</f>
        <v/>
      </c>
      <c r="B218" s="25" t="str">
        <f>IF(ISNUMBER('Change in Employment'!I225), TEXT('Change in Employment'!I225, "0"), "")</f>
        <v/>
      </c>
      <c r="C218" s="25" t="str">
        <f>IF(ISNUMBER('Change in Employment'!J225),TEXT('Change in Employment'!J225, "0"),"")</f>
        <v/>
      </c>
    </row>
    <row r="219" spans="1:3">
      <c r="A219" s="23" t="str">
        <f>TEXT(IF('Change in Employment'!B226&lt;&gt;0,DATE(YEAR('Change in Employment'!B226), MONTH('Change in Employment'!B226), 1), ""), "mm/dd/yyyy")</f>
        <v/>
      </c>
      <c r="B219" s="25" t="str">
        <f>IF(ISNUMBER('Change in Employment'!I226), TEXT('Change in Employment'!I226, "0"), "")</f>
        <v/>
      </c>
      <c r="C219" s="25" t="str">
        <f>IF(ISNUMBER('Change in Employment'!J226),TEXT('Change in Employment'!J226, "0"),"")</f>
        <v/>
      </c>
    </row>
    <row r="220" spans="1:3">
      <c r="A220" s="23" t="str">
        <f>TEXT(IF('Change in Employment'!B227&lt;&gt;0,DATE(YEAR('Change in Employment'!B227), MONTH('Change in Employment'!B227), 1), ""), "mm/dd/yyyy")</f>
        <v/>
      </c>
      <c r="B220" s="25" t="str">
        <f>IF(ISNUMBER('Change in Employment'!I227), TEXT('Change in Employment'!I227, "0"), "")</f>
        <v/>
      </c>
      <c r="C220" s="25" t="str">
        <f>IF(ISNUMBER('Change in Employment'!J227),TEXT('Change in Employment'!J227, "0"),"")</f>
        <v/>
      </c>
    </row>
    <row r="221" spans="1:3">
      <c r="A221" s="23" t="str">
        <f>TEXT(IF('Change in Employment'!B228&lt;&gt;0,DATE(YEAR('Change in Employment'!B228), MONTH('Change in Employment'!B228), 1), ""), "mm/dd/yyyy")</f>
        <v/>
      </c>
      <c r="B221" s="25" t="str">
        <f>IF(ISNUMBER('Change in Employment'!I228), TEXT('Change in Employment'!I228, "0"), "")</f>
        <v/>
      </c>
      <c r="C221" s="25" t="str">
        <f>IF(ISNUMBER('Change in Employment'!J228),TEXT('Change in Employment'!J228, "0"),"")</f>
        <v/>
      </c>
    </row>
    <row r="222" spans="1:3">
      <c r="A222" s="23" t="str">
        <f>TEXT(IF('Change in Employment'!B229&lt;&gt;0,DATE(YEAR('Change in Employment'!B229), MONTH('Change in Employment'!B229), 1), ""), "mm/dd/yyyy")</f>
        <v/>
      </c>
      <c r="B222" s="25" t="str">
        <f>IF(ISNUMBER('Change in Employment'!I229), TEXT('Change in Employment'!I229, "0"), "")</f>
        <v/>
      </c>
      <c r="C222" s="25" t="str">
        <f>IF(ISNUMBER('Change in Employment'!J229),TEXT('Change in Employment'!J229, "0"),"")</f>
        <v/>
      </c>
    </row>
    <row r="223" spans="1:3">
      <c r="A223" s="23" t="str">
        <f>TEXT(IF('Change in Employment'!B230&lt;&gt;0,DATE(YEAR('Change in Employment'!B230), MONTH('Change in Employment'!B230), 1), ""), "mm/dd/yyyy")</f>
        <v/>
      </c>
      <c r="B223" s="25" t="str">
        <f>IF(ISNUMBER('Change in Employment'!I230), TEXT('Change in Employment'!I230, "0"), "")</f>
        <v/>
      </c>
      <c r="C223" s="25" t="str">
        <f>IF(ISNUMBER('Change in Employment'!J230),TEXT('Change in Employment'!J230, "0"),"")</f>
        <v/>
      </c>
    </row>
    <row r="224" spans="1:3">
      <c r="A224" s="23" t="str">
        <f>TEXT(IF('Change in Employment'!B231&lt;&gt;0,DATE(YEAR('Change in Employment'!B231), MONTH('Change in Employment'!B231), 1), ""), "mm/dd/yyyy")</f>
        <v/>
      </c>
      <c r="B224" s="25" t="str">
        <f>IF(ISNUMBER('Change in Employment'!I231), TEXT('Change in Employment'!I231, "0"), "")</f>
        <v/>
      </c>
      <c r="C224" s="25" t="str">
        <f>IF(ISNUMBER('Change in Employment'!J231),TEXT('Change in Employment'!J231, "0"),"")</f>
        <v/>
      </c>
    </row>
    <row r="225" spans="1:3">
      <c r="A225" s="23" t="str">
        <f>TEXT(IF('Change in Employment'!B232&lt;&gt;0,DATE(YEAR('Change in Employment'!B232), MONTH('Change in Employment'!B232), 1), ""), "mm/dd/yyyy")</f>
        <v/>
      </c>
      <c r="B225" s="25" t="str">
        <f>IF(ISNUMBER('Change in Employment'!I232), TEXT('Change in Employment'!I232, "0"), "")</f>
        <v/>
      </c>
      <c r="C225" s="25" t="str">
        <f>IF(ISNUMBER('Change in Employment'!J232),TEXT('Change in Employment'!J232, "0"),"")</f>
        <v/>
      </c>
    </row>
    <row r="226" spans="1:3">
      <c r="A226" s="23" t="str">
        <f>TEXT(IF('Change in Employment'!B233&lt;&gt;0,DATE(YEAR('Change in Employment'!B233), MONTH('Change in Employment'!B233), 1), ""), "mm/dd/yyyy")</f>
        <v/>
      </c>
      <c r="B226" s="25" t="str">
        <f>IF(ISNUMBER('Change in Employment'!I233), TEXT('Change in Employment'!I233, "0"), "")</f>
        <v/>
      </c>
      <c r="C226" s="25" t="str">
        <f>IF(ISNUMBER('Change in Employment'!J233),TEXT('Change in Employment'!J233, "0"),"")</f>
        <v/>
      </c>
    </row>
    <row r="227" spans="1:3">
      <c r="A227" s="23" t="str">
        <f>TEXT(IF('Change in Employment'!B234&lt;&gt;0,DATE(YEAR('Change in Employment'!B234), MONTH('Change in Employment'!B234), 1), ""), "mm/dd/yyyy")</f>
        <v/>
      </c>
      <c r="B227" s="25" t="str">
        <f>IF(ISNUMBER('Change in Employment'!I234), TEXT('Change in Employment'!I234, "0"), "")</f>
        <v/>
      </c>
      <c r="C227" s="25" t="str">
        <f>IF(ISNUMBER('Change in Employment'!J234),TEXT('Change in Employment'!J234, "0"),"")</f>
        <v/>
      </c>
    </row>
    <row r="228" spans="1:3">
      <c r="A228" s="23" t="str">
        <f>TEXT(IF('Change in Employment'!B235&lt;&gt;0,DATE(YEAR('Change in Employment'!B235), MONTH('Change in Employment'!B235), 1), ""), "mm/dd/yyyy")</f>
        <v/>
      </c>
      <c r="B228" s="25" t="str">
        <f>IF(ISNUMBER('Change in Employment'!I235), TEXT('Change in Employment'!I235, "0"), "")</f>
        <v/>
      </c>
      <c r="C228" s="25" t="str">
        <f>IF(ISNUMBER('Change in Employment'!J235),TEXT('Change in Employment'!J235, "0"),"")</f>
        <v/>
      </c>
    </row>
    <row r="229" spans="1:3">
      <c r="A229" s="23" t="str">
        <f>TEXT(IF('Change in Employment'!B236&lt;&gt;0,DATE(YEAR('Change in Employment'!B236), MONTH('Change in Employment'!B236), 1), ""), "mm/dd/yyyy")</f>
        <v/>
      </c>
      <c r="B229" s="25" t="str">
        <f>IF(ISNUMBER('Change in Employment'!I236), TEXT('Change in Employment'!I236, "0"), "")</f>
        <v/>
      </c>
      <c r="C229" s="25" t="str">
        <f>IF(ISNUMBER('Change in Employment'!J236),TEXT('Change in Employment'!J236, "0"),"")</f>
        <v/>
      </c>
    </row>
    <row r="230" spans="1:3">
      <c r="A230" s="23" t="str">
        <f>TEXT(IF('Change in Employment'!B237&lt;&gt;0,DATE(YEAR('Change in Employment'!B237), MONTH('Change in Employment'!B237), 1), ""), "mm/dd/yyyy")</f>
        <v/>
      </c>
      <c r="B230" s="25" t="str">
        <f>IF(ISNUMBER('Change in Employment'!I237), TEXT('Change in Employment'!I237, "0"), "")</f>
        <v/>
      </c>
      <c r="C230" s="25" t="str">
        <f>IF(ISNUMBER('Change in Employment'!J237),TEXT('Change in Employment'!J237, "0"),"")</f>
        <v/>
      </c>
    </row>
    <row r="231" spans="1:3">
      <c r="A231" s="23" t="str">
        <f>TEXT(IF('Change in Employment'!B238&lt;&gt;0,DATE(YEAR('Change in Employment'!B238), MONTH('Change in Employment'!B238), 1), ""), "mm/dd/yyyy")</f>
        <v/>
      </c>
      <c r="B231" s="25" t="str">
        <f>IF(ISNUMBER('Change in Employment'!I238), TEXT('Change in Employment'!I238, "0"), "")</f>
        <v/>
      </c>
      <c r="C231" s="25" t="str">
        <f>IF(ISNUMBER('Change in Employment'!J238),TEXT('Change in Employment'!J238, "0"),"")</f>
        <v/>
      </c>
    </row>
    <row r="232" spans="1:3">
      <c r="A232" s="23" t="str">
        <f>TEXT(IF('Change in Employment'!B239&lt;&gt;0,DATE(YEAR('Change in Employment'!B239), MONTH('Change in Employment'!B239), 1), ""), "mm/dd/yyyy")</f>
        <v/>
      </c>
      <c r="B232" s="25" t="str">
        <f>IF(ISNUMBER('Change in Employment'!I239), TEXT('Change in Employment'!I239, "0"), "")</f>
        <v/>
      </c>
      <c r="C232" s="25" t="str">
        <f>IF(ISNUMBER('Change in Employment'!J239),TEXT('Change in Employment'!J239, "0"),"")</f>
        <v/>
      </c>
    </row>
    <row r="233" spans="1:3">
      <c r="A233" s="23" t="str">
        <f>TEXT(IF('Change in Employment'!B240&lt;&gt;0,DATE(YEAR('Change in Employment'!B240), MONTH('Change in Employment'!B240), 1), ""), "mm/dd/yyyy")</f>
        <v/>
      </c>
      <c r="B233" s="25" t="str">
        <f>IF(ISNUMBER('Change in Employment'!I240), TEXT('Change in Employment'!I240, "0"), "")</f>
        <v/>
      </c>
      <c r="C233" s="25" t="str">
        <f>IF(ISNUMBER('Change in Employment'!J240),TEXT('Change in Employment'!J240, "0"),"")</f>
        <v/>
      </c>
    </row>
    <row r="234" spans="1:3">
      <c r="A234" s="23" t="str">
        <f>TEXT(IF('Change in Employment'!B241&lt;&gt;0,DATE(YEAR('Change in Employment'!B241), MONTH('Change in Employment'!B241), 1), ""), "mm/dd/yyyy")</f>
        <v/>
      </c>
      <c r="B234" s="25" t="str">
        <f>IF(ISNUMBER('Change in Employment'!I241), TEXT('Change in Employment'!I241, "0"), "")</f>
        <v/>
      </c>
      <c r="C234" s="25" t="str">
        <f>IF(ISNUMBER('Change in Employment'!J241),TEXT('Change in Employment'!J241, "0"),"")</f>
        <v/>
      </c>
    </row>
    <row r="235" spans="1:3">
      <c r="A235" s="23" t="str">
        <f>TEXT(IF('Change in Employment'!B242&lt;&gt;0,DATE(YEAR('Change in Employment'!B242), MONTH('Change in Employment'!B242), 1), ""), "mm/dd/yyyy")</f>
        <v/>
      </c>
      <c r="B235" s="25" t="str">
        <f>IF(ISNUMBER('Change in Employment'!I242), TEXT('Change in Employment'!I242, "0"), "")</f>
        <v/>
      </c>
      <c r="C235" s="25" t="str">
        <f>IF(ISNUMBER('Change in Employment'!J242),TEXT('Change in Employment'!J242, "0"),"")</f>
        <v/>
      </c>
    </row>
    <row r="236" spans="1:3">
      <c r="A236" s="23" t="str">
        <f>TEXT(IF('Change in Employment'!B243&lt;&gt;0,DATE(YEAR('Change in Employment'!B243), MONTH('Change in Employment'!B243), 1), ""), "mm/dd/yyyy")</f>
        <v/>
      </c>
      <c r="B236" s="25" t="str">
        <f>IF(ISNUMBER('Change in Employment'!I243), TEXT('Change in Employment'!I243, "0"), "")</f>
        <v/>
      </c>
      <c r="C236" s="25" t="str">
        <f>IF(ISNUMBER('Change in Employment'!J243),TEXT('Change in Employment'!J243, "0"),"")</f>
        <v/>
      </c>
    </row>
    <row r="237" spans="1:3">
      <c r="A237" s="23" t="str">
        <f>TEXT(IF('Change in Employment'!B244&lt;&gt;0,DATE(YEAR('Change in Employment'!B244), MONTH('Change in Employment'!B244), 1), ""), "mm/dd/yyyy")</f>
        <v/>
      </c>
      <c r="B237" s="25" t="str">
        <f>IF(ISNUMBER('Change in Employment'!I244), TEXT('Change in Employment'!I244, "0"), "")</f>
        <v/>
      </c>
      <c r="C237" s="25" t="str">
        <f>IF(ISNUMBER('Change in Employment'!J244),TEXT('Change in Employment'!J244, "0"),"")</f>
        <v/>
      </c>
    </row>
    <row r="238" spans="1:3">
      <c r="A238" s="23" t="str">
        <f>TEXT(IF('Change in Employment'!B245&lt;&gt;0,DATE(YEAR('Change in Employment'!B245), MONTH('Change in Employment'!B245), 1), ""), "mm/dd/yyyy")</f>
        <v/>
      </c>
      <c r="B238" s="25" t="str">
        <f>IF(ISNUMBER('Change in Employment'!I245), TEXT('Change in Employment'!I245, "0"), "")</f>
        <v/>
      </c>
      <c r="C238" s="25" t="str">
        <f>IF(ISNUMBER('Change in Employment'!J245),TEXT('Change in Employment'!J245, "0"),"")</f>
        <v/>
      </c>
    </row>
    <row r="239" spans="1:3">
      <c r="A239" s="23" t="str">
        <f>TEXT(IF('Change in Employment'!B246&lt;&gt;0,DATE(YEAR('Change in Employment'!B246), MONTH('Change in Employment'!B246), 1), ""), "mm/dd/yyyy")</f>
        <v/>
      </c>
      <c r="B239" s="25" t="str">
        <f>IF(ISNUMBER('Change in Employment'!I246), TEXT('Change in Employment'!I246, "0"), "")</f>
        <v/>
      </c>
      <c r="C239" s="25" t="str">
        <f>IF(ISNUMBER('Change in Employment'!J246),TEXT('Change in Employment'!J246, "0"),"")</f>
        <v/>
      </c>
    </row>
    <row r="240" spans="1:3">
      <c r="A240" s="23" t="str">
        <f>TEXT(IF('Change in Employment'!B247&lt;&gt;0,DATE(YEAR('Change in Employment'!B247), MONTH('Change in Employment'!B247), 1), ""), "mm/dd/yyyy")</f>
        <v/>
      </c>
      <c r="B240" s="25" t="str">
        <f>IF(ISNUMBER('Change in Employment'!I247), TEXT('Change in Employment'!I247, "0"), "")</f>
        <v/>
      </c>
      <c r="C240" s="25" t="str">
        <f>IF(ISNUMBER('Change in Employment'!J247),TEXT('Change in Employment'!J247, "0"),"")</f>
        <v/>
      </c>
    </row>
    <row r="241" spans="1:3">
      <c r="A241" s="23" t="str">
        <f>TEXT(IF('Change in Employment'!B248&lt;&gt;0,DATE(YEAR('Change in Employment'!B248), MONTH('Change in Employment'!B248), 1), ""), "mm/dd/yyyy")</f>
        <v/>
      </c>
      <c r="B241" s="25" t="str">
        <f>IF(ISNUMBER('Change in Employment'!I248), TEXT('Change in Employment'!I248, "0"), "")</f>
        <v/>
      </c>
      <c r="C241" s="25" t="str">
        <f>IF(ISNUMBER('Change in Employment'!J248),TEXT('Change in Employment'!J248, "0"),"")</f>
        <v/>
      </c>
    </row>
    <row r="242" spans="1:3">
      <c r="A242" s="23" t="str">
        <f>TEXT(IF('Change in Employment'!B249&lt;&gt;0,DATE(YEAR('Change in Employment'!B249), MONTH('Change in Employment'!B249), 1), ""), "mm/dd/yyyy")</f>
        <v/>
      </c>
      <c r="B242" s="25" t="str">
        <f>IF(ISNUMBER('Change in Employment'!I249), TEXT('Change in Employment'!I249, "0"), "")</f>
        <v/>
      </c>
      <c r="C242" s="25" t="str">
        <f>IF(ISNUMBER('Change in Employment'!J249),TEXT('Change in Employment'!J249, "0"),"")</f>
        <v/>
      </c>
    </row>
    <row r="243" spans="1:3">
      <c r="A243" s="23" t="str">
        <f>TEXT(IF('Change in Employment'!B250&lt;&gt;0,DATE(YEAR('Change in Employment'!B250), MONTH('Change in Employment'!B250), 1), ""), "mm/dd/yyyy")</f>
        <v/>
      </c>
      <c r="B243" s="25" t="str">
        <f>IF(ISNUMBER('Change in Employment'!I250), TEXT('Change in Employment'!I250, "0"), "")</f>
        <v/>
      </c>
      <c r="C243" s="25" t="str">
        <f>IF(ISNUMBER('Change in Employment'!J250),TEXT('Change in Employment'!J250, "0"),"")</f>
        <v/>
      </c>
    </row>
    <row r="244" spans="1:3">
      <c r="A244" s="23" t="str">
        <f>TEXT(IF('Change in Employment'!B251&lt;&gt;0,DATE(YEAR('Change in Employment'!B251), MONTH('Change in Employment'!B251), 1), ""), "mm/dd/yyyy")</f>
        <v/>
      </c>
      <c r="B244" s="25" t="str">
        <f>IF(ISNUMBER('Change in Employment'!I251), TEXT('Change in Employment'!I251, "0"), "")</f>
        <v/>
      </c>
      <c r="C244" s="25" t="str">
        <f>IF(ISNUMBER('Change in Employment'!J251),TEXT('Change in Employment'!J251, "0"),"")</f>
        <v/>
      </c>
    </row>
    <row r="245" spans="1:3">
      <c r="A245" s="23" t="str">
        <f>TEXT(IF('Change in Employment'!B252&lt;&gt;0,DATE(YEAR('Change in Employment'!B252), MONTH('Change in Employment'!B252), 1), ""), "mm/dd/yyyy")</f>
        <v/>
      </c>
      <c r="B245" s="25" t="str">
        <f>IF(ISNUMBER('Change in Employment'!I252), TEXT('Change in Employment'!I252, "0"), "")</f>
        <v/>
      </c>
      <c r="C245" s="25" t="str">
        <f>IF(ISNUMBER('Change in Employment'!J252),TEXT('Change in Employment'!J252, "0"),"")</f>
        <v/>
      </c>
    </row>
    <row r="246" spans="1:3">
      <c r="A246" s="23" t="str">
        <f>TEXT(IF('Change in Employment'!B253&lt;&gt;0,DATE(YEAR('Change in Employment'!B253), MONTH('Change in Employment'!B253), 1), ""), "mm/dd/yyyy")</f>
        <v/>
      </c>
      <c r="B246" s="25" t="str">
        <f>IF(ISNUMBER('Change in Employment'!I253), TEXT('Change in Employment'!I253, "0"), "")</f>
        <v/>
      </c>
      <c r="C246" s="25" t="str">
        <f>IF(ISNUMBER('Change in Employment'!J253),TEXT('Change in Employment'!J253, "0"),"")</f>
        <v/>
      </c>
    </row>
    <row r="247" spans="1:3">
      <c r="A247" s="23" t="str">
        <f>TEXT(IF('Change in Employment'!B254&lt;&gt;0,DATE(YEAR('Change in Employment'!B254), MONTH('Change in Employment'!B254), 1), ""), "mm/dd/yyyy")</f>
        <v/>
      </c>
      <c r="B247" s="25" t="str">
        <f>IF(ISNUMBER('Change in Employment'!I254), TEXT('Change in Employment'!I254, "0"), "")</f>
        <v/>
      </c>
      <c r="C247" s="25" t="str">
        <f>IF(ISNUMBER('Change in Employment'!J254),TEXT('Change in Employment'!J254, "0"),"")</f>
        <v/>
      </c>
    </row>
    <row r="248" spans="1:3">
      <c r="A248" s="23" t="str">
        <f>TEXT(IF('Change in Employment'!B255&lt;&gt;0,DATE(YEAR('Change in Employment'!B255), MONTH('Change in Employment'!B255), 1), ""), "mm/dd/yyyy")</f>
        <v/>
      </c>
      <c r="B248" s="25" t="str">
        <f>IF(ISNUMBER('Change in Employment'!I255), TEXT('Change in Employment'!I255, "0"), "")</f>
        <v/>
      </c>
      <c r="C248" s="25" t="str">
        <f>IF(ISNUMBER('Change in Employment'!J255),TEXT('Change in Employment'!J255, "0"),"")</f>
        <v/>
      </c>
    </row>
    <row r="249" spans="1:3">
      <c r="A249" s="23" t="str">
        <f>TEXT(IF('Change in Employment'!B256&lt;&gt;0,DATE(YEAR('Change in Employment'!B256), MONTH('Change in Employment'!B256), 1), ""), "mm/dd/yyyy")</f>
        <v/>
      </c>
      <c r="B249" s="25" t="str">
        <f>IF(ISNUMBER('Change in Employment'!I256), TEXT('Change in Employment'!I256, "0"), "")</f>
        <v/>
      </c>
      <c r="C249" s="25" t="str">
        <f>IF(ISNUMBER('Change in Employment'!J256),TEXT('Change in Employment'!J256, "0"),"")</f>
        <v/>
      </c>
    </row>
    <row r="250" spans="1:3">
      <c r="A250" s="23" t="str">
        <f>TEXT(IF('Change in Employment'!B257&lt;&gt;0,DATE(YEAR('Change in Employment'!B257), MONTH('Change in Employment'!B257), 1), ""), "mm/dd/yyyy")</f>
        <v/>
      </c>
      <c r="B250" s="25" t="str">
        <f>IF(ISNUMBER('Change in Employment'!I257), TEXT('Change in Employment'!I257, "0"), "")</f>
        <v/>
      </c>
      <c r="C250" s="25" t="str">
        <f>IF(ISNUMBER('Change in Employment'!J257),TEXT('Change in Employment'!J257, "0"),"")</f>
        <v/>
      </c>
    </row>
    <row r="251" spans="1:3">
      <c r="A251" s="23" t="str">
        <f>TEXT(IF('Change in Employment'!B258&lt;&gt;0,DATE(YEAR('Change in Employment'!B258), MONTH('Change in Employment'!B258), 1), ""), "mm/dd/yyyy")</f>
        <v/>
      </c>
      <c r="B251" s="25" t="str">
        <f>IF(ISNUMBER('Change in Employment'!I258), TEXT('Change in Employment'!I258, "0"), "")</f>
        <v/>
      </c>
      <c r="C251" s="25" t="str">
        <f>IF(ISNUMBER('Change in Employment'!J258),TEXT('Change in Employment'!J258, "0"),"")</f>
        <v/>
      </c>
    </row>
    <row r="252" spans="1:3">
      <c r="A252" s="23" t="str">
        <f>TEXT(IF('Change in Employment'!B259&lt;&gt;0,DATE(YEAR('Change in Employment'!B259), MONTH('Change in Employment'!B259), 1), ""), "mm/dd/yyyy")</f>
        <v/>
      </c>
      <c r="B252" s="25" t="str">
        <f>IF(ISNUMBER('Change in Employment'!I259), TEXT('Change in Employment'!I259, "0"), "")</f>
        <v/>
      </c>
      <c r="C252" s="25" t="str">
        <f>IF(ISNUMBER('Change in Employment'!J259),TEXT('Change in Employment'!J259, "0"),"")</f>
        <v/>
      </c>
    </row>
    <row r="253" spans="1:3">
      <c r="A253" s="23" t="str">
        <f>TEXT(IF('Change in Employment'!B260&lt;&gt;0,DATE(YEAR('Change in Employment'!B260), MONTH('Change in Employment'!B260), 1), ""), "mm/dd/yyyy")</f>
        <v/>
      </c>
      <c r="B253" s="25" t="str">
        <f>IF(ISNUMBER('Change in Employment'!I260), TEXT('Change in Employment'!I260, "0"), "")</f>
        <v/>
      </c>
      <c r="C253" s="25" t="str">
        <f>IF(ISNUMBER('Change in Employment'!J260),TEXT('Change in Employment'!J260, "0"),"")</f>
        <v/>
      </c>
    </row>
    <row r="254" spans="1:3">
      <c r="A254" s="23" t="str">
        <f>TEXT(IF('Change in Employment'!B261&lt;&gt;0,DATE(YEAR('Change in Employment'!B261), MONTH('Change in Employment'!B261), 1), ""), "mm/dd/yyyy")</f>
        <v/>
      </c>
      <c r="B254" s="25" t="str">
        <f>IF(ISNUMBER('Change in Employment'!I261), TEXT('Change in Employment'!I261, "0"), "")</f>
        <v/>
      </c>
      <c r="C254" s="25" t="str">
        <f>IF(ISNUMBER('Change in Employment'!J261),TEXT('Change in Employment'!J261, "0"),"")</f>
        <v/>
      </c>
    </row>
    <row r="255" spans="1:3">
      <c r="A255" s="23" t="str">
        <f>TEXT(IF('Change in Employment'!B262&lt;&gt;0,DATE(YEAR('Change in Employment'!B262), MONTH('Change in Employment'!B262), 1), ""), "mm/dd/yyyy")</f>
        <v/>
      </c>
      <c r="B255" s="25" t="str">
        <f>IF(ISNUMBER('Change in Employment'!I262), TEXT('Change in Employment'!I262, "0"), "")</f>
        <v/>
      </c>
      <c r="C255" s="25" t="str">
        <f>IF(ISNUMBER('Change in Employment'!J262),TEXT('Change in Employment'!J262, "0"),"")</f>
        <v/>
      </c>
    </row>
    <row r="256" spans="1:3">
      <c r="A256" s="23" t="str">
        <f>TEXT(IF('Change in Employment'!B263&lt;&gt;0,DATE(YEAR('Change in Employment'!B263), MONTH('Change in Employment'!B263), 1), ""), "mm/dd/yyyy")</f>
        <v/>
      </c>
      <c r="B256" s="25" t="str">
        <f>IF(ISNUMBER('Change in Employment'!I263), TEXT('Change in Employment'!I263, "0"), "")</f>
        <v/>
      </c>
      <c r="C256" s="25" t="str">
        <f>IF(ISNUMBER('Change in Employment'!J263),TEXT('Change in Employment'!J263, "0"),"")</f>
        <v/>
      </c>
    </row>
    <row r="257" spans="1:3">
      <c r="A257" s="23" t="str">
        <f>TEXT(IF('Change in Employment'!B264&lt;&gt;0,DATE(YEAR('Change in Employment'!B264), MONTH('Change in Employment'!B264), 1), ""), "mm/dd/yyyy")</f>
        <v/>
      </c>
      <c r="B257" s="25" t="str">
        <f>IF(ISNUMBER('Change in Employment'!I264), TEXT('Change in Employment'!I264, "0"), "")</f>
        <v/>
      </c>
      <c r="C257" s="25" t="str">
        <f>IF(ISNUMBER('Change in Employment'!J264),TEXT('Change in Employment'!J264, "0"),"")</f>
        <v/>
      </c>
    </row>
    <row r="258" spans="1:3">
      <c r="A258" s="23" t="str">
        <f>TEXT(IF('Change in Employment'!B265&lt;&gt;0,DATE(YEAR('Change in Employment'!B265), MONTH('Change in Employment'!B265), 1), ""), "mm/dd/yyyy")</f>
        <v/>
      </c>
      <c r="B258" s="25" t="str">
        <f>IF(ISNUMBER('Change in Employment'!I265), TEXT('Change in Employment'!I265, "0"), "")</f>
        <v/>
      </c>
      <c r="C258" s="25" t="str">
        <f>IF(ISNUMBER('Change in Employment'!J265),TEXT('Change in Employment'!J265, "0"),"")</f>
        <v/>
      </c>
    </row>
    <row r="259" spans="1:3">
      <c r="A259" s="23" t="str">
        <f>TEXT(IF('Change in Employment'!B266&lt;&gt;0,DATE(YEAR('Change in Employment'!B266), MONTH('Change in Employment'!B266), 1), ""), "mm/dd/yyyy")</f>
        <v/>
      </c>
      <c r="B259" s="25" t="str">
        <f>IF(ISNUMBER('Change in Employment'!I266), TEXT('Change in Employment'!I266, "0"), "")</f>
        <v/>
      </c>
      <c r="C259" s="25" t="str">
        <f>IF(ISNUMBER('Change in Employment'!J266),TEXT('Change in Employment'!J266, "0"),"")</f>
        <v/>
      </c>
    </row>
    <row r="260" spans="1:3">
      <c r="A260" s="23" t="str">
        <f>TEXT(IF('Change in Employment'!B267&lt;&gt;0,DATE(YEAR('Change in Employment'!B267), MONTH('Change in Employment'!B267), 1), ""), "mm/dd/yyyy")</f>
        <v/>
      </c>
      <c r="B260" s="25" t="str">
        <f>IF(ISNUMBER('Change in Employment'!I267), TEXT('Change in Employment'!I267, "0"), "")</f>
        <v/>
      </c>
      <c r="C260" s="25" t="str">
        <f>IF(ISNUMBER('Change in Employment'!J267),TEXT('Change in Employment'!J267, "0"),"")</f>
        <v/>
      </c>
    </row>
    <row r="261" spans="1:3">
      <c r="A261" s="23" t="str">
        <f>TEXT(IF('Change in Employment'!B268&lt;&gt;0,DATE(YEAR('Change in Employment'!B268), MONTH('Change in Employment'!B268), 1), ""), "mm/dd/yyyy")</f>
        <v/>
      </c>
      <c r="B261" s="25" t="str">
        <f>IF(ISNUMBER('Change in Employment'!I268), TEXT('Change in Employment'!I268, "0"), "")</f>
        <v/>
      </c>
      <c r="C261" s="25" t="str">
        <f>IF(ISNUMBER('Change in Employment'!J268),TEXT('Change in Employment'!J268, "0"),"")</f>
        <v/>
      </c>
    </row>
    <row r="262" spans="1:3">
      <c r="A262" s="23" t="str">
        <f>TEXT(IF('Change in Employment'!B269&lt;&gt;0,DATE(YEAR('Change in Employment'!B269), MONTH('Change in Employment'!B269), 1), ""), "mm/dd/yyyy")</f>
        <v/>
      </c>
      <c r="B262" s="25" t="str">
        <f>IF(ISNUMBER('Change in Employment'!I269), TEXT('Change in Employment'!I269, "0"), "")</f>
        <v/>
      </c>
      <c r="C262" s="25" t="str">
        <f>IF(ISNUMBER('Change in Employment'!J269),TEXT('Change in Employment'!J269, "0"),"")</f>
        <v/>
      </c>
    </row>
    <row r="263" spans="1:3">
      <c r="A263" s="23" t="str">
        <f>TEXT(IF('Change in Employment'!B270&lt;&gt;0,DATE(YEAR('Change in Employment'!B270), MONTH('Change in Employment'!B270), 1), ""), "mm/dd/yyyy")</f>
        <v/>
      </c>
      <c r="B263" s="25" t="str">
        <f>IF(ISNUMBER('Change in Employment'!I270), TEXT('Change in Employment'!I270, "0"), "")</f>
        <v/>
      </c>
      <c r="C263" s="25" t="str">
        <f>IF(ISNUMBER('Change in Employment'!J270),TEXT('Change in Employment'!J270, "0"),"")</f>
        <v/>
      </c>
    </row>
    <row r="264" spans="1:3">
      <c r="A264" s="23" t="str">
        <f>TEXT(IF('Change in Employment'!B271&lt;&gt;0,DATE(YEAR('Change in Employment'!B271), MONTH('Change in Employment'!B271), 1), ""), "mm/dd/yyyy")</f>
        <v/>
      </c>
      <c r="B264" s="25" t="str">
        <f>IF(ISNUMBER('Change in Employment'!I271), TEXT('Change in Employment'!I271, "0"), "")</f>
        <v/>
      </c>
      <c r="C264" s="25" t="str">
        <f>IF(ISNUMBER('Change in Employment'!J271),TEXT('Change in Employment'!J271, "0"),"")</f>
        <v/>
      </c>
    </row>
    <row r="265" spans="1:3">
      <c r="A265" s="23" t="str">
        <f>TEXT(IF('Change in Employment'!B272&lt;&gt;0,DATE(YEAR('Change in Employment'!B272), MONTH('Change in Employment'!B272), 1), ""), "mm/dd/yyyy")</f>
        <v/>
      </c>
      <c r="B265" s="25" t="str">
        <f>IF(ISNUMBER('Change in Employment'!I272), TEXT('Change in Employment'!I272, "0"), "")</f>
        <v/>
      </c>
      <c r="C265" s="25" t="str">
        <f>IF(ISNUMBER('Change in Employment'!J272),TEXT('Change in Employment'!J272, "0"),"")</f>
        <v/>
      </c>
    </row>
    <row r="266" spans="1:3">
      <c r="A266" s="23" t="str">
        <f>TEXT(IF('Change in Employment'!B273&lt;&gt;0,DATE(YEAR('Change in Employment'!B273), MONTH('Change in Employment'!B273), 1), ""), "mm/dd/yyyy")</f>
        <v/>
      </c>
      <c r="B266" s="25" t="str">
        <f>IF(ISNUMBER('Change in Employment'!I273), TEXT('Change in Employment'!I273, "0"), "")</f>
        <v/>
      </c>
      <c r="C266" s="25" t="str">
        <f>IF(ISNUMBER('Change in Employment'!J273),TEXT('Change in Employment'!J273, "0"),"")</f>
        <v/>
      </c>
    </row>
    <row r="267" spans="1:3">
      <c r="A267" s="23" t="str">
        <f>TEXT(IF('Change in Employment'!B274&lt;&gt;0,DATE(YEAR('Change in Employment'!B274), MONTH('Change in Employment'!B274), 1), ""), "mm/dd/yyyy")</f>
        <v/>
      </c>
      <c r="B267" s="25" t="str">
        <f>IF(ISNUMBER('Change in Employment'!I274), TEXT('Change in Employment'!I274, "0"), "")</f>
        <v/>
      </c>
      <c r="C267" s="25" t="str">
        <f>IF(ISNUMBER('Change in Employment'!J274),TEXT('Change in Employment'!J274, "0"),"")</f>
        <v/>
      </c>
    </row>
    <row r="268" spans="1:3">
      <c r="A268" s="23" t="str">
        <f>TEXT(IF('Change in Employment'!B275&lt;&gt;0,DATE(YEAR('Change in Employment'!B275), MONTH('Change in Employment'!B275), 1), ""), "mm/dd/yyyy")</f>
        <v/>
      </c>
      <c r="B268" s="25" t="str">
        <f>IF(ISNUMBER('Change in Employment'!I275), TEXT('Change in Employment'!I275, "0"), "")</f>
        <v/>
      </c>
      <c r="C268" s="25" t="str">
        <f>IF(ISNUMBER('Change in Employment'!J275),TEXT('Change in Employment'!J275, "0"),"")</f>
        <v/>
      </c>
    </row>
    <row r="269" spans="1:3">
      <c r="A269" s="23" t="str">
        <f>TEXT(IF('Change in Employment'!B276&lt;&gt;0,DATE(YEAR('Change in Employment'!B276), MONTH('Change in Employment'!B276), 1), ""), "mm/dd/yyyy")</f>
        <v/>
      </c>
      <c r="B269" s="25" t="str">
        <f>IF(ISNUMBER('Change in Employment'!I276), TEXT('Change in Employment'!I276, "0"), "")</f>
        <v/>
      </c>
      <c r="C269" s="25" t="str">
        <f>IF(ISNUMBER('Change in Employment'!J276),TEXT('Change in Employment'!J276, "0"),"")</f>
        <v/>
      </c>
    </row>
    <row r="270" spans="1:3">
      <c r="A270" s="23" t="str">
        <f>TEXT(IF('Change in Employment'!B277&lt;&gt;0,DATE(YEAR('Change in Employment'!B277), MONTH('Change in Employment'!B277), 1), ""), "mm/dd/yyyy")</f>
        <v/>
      </c>
      <c r="B270" s="25" t="str">
        <f>IF(ISNUMBER('Change in Employment'!I277), TEXT('Change in Employment'!I277, "0"), "")</f>
        <v/>
      </c>
      <c r="C270" s="25" t="str">
        <f>IF(ISNUMBER('Change in Employment'!J277),TEXT('Change in Employment'!J277, "0"),"")</f>
        <v/>
      </c>
    </row>
    <row r="271" spans="1:3">
      <c r="A271" s="23" t="str">
        <f>TEXT(IF('Change in Employment'!B278&lt;&gt;0,DATE(YEAR('Change in Employment'!B278), MONTH('Change in Employment'!B278), 1), ""), "mm/dd/yyyy")</f>
        <v/>
      </c>
      <c r="B271" s="25" t="str">
        <f>IF(ISNUMBER('Change in Employment'!I278), TEXT('Change in Employment'!I278, "0"), "")</f>
        <v/>
      </c>
      <c r="C271" s="25" t="str">
        <f>IF(ISNUMBER('Change in Employment'!J278),TEXT('Change in Employment'!J278, "0"),"")</f>
        <v/>
      </c>
    </row>
    <row r="272" spans="1:3">
      <c r="A272" s="23" t="str">
        <f>TEXT(IF('Change in Employment'!B279&lt;&gt;0,DATE(YEAR('Change in Employment'!B279), MONTH('Change in Employment'!B279), 1), ""), "mm/dd/yyyy")</f>
        <v/>
      </c>
      <c r="B272" s="25" t="str">
        <f>IF(ISNUMBER('Change in Employment'!I279), TEXT('Change in Employment'!I279, "0"), "")</f>
        <v/>
      </c>
      <c r="C272" s="25" t="str">
        <f>IF(ISNUMBER('Change in Employment'!J279),TEXT('Change in Employment'!J279, "0"),"")</f>
        <v/>
      </c>
    </row>
    <row r="273" spans="1:3">
      <c r="A273" s="23" t="str">
        <f>TEXT(IF('Change in Employment'!B280&lt;&gt;0,DATE(YEAR('Change in Employment'!B280), MONTH('Change in Employment'!B280), 1), ""), "mm/dd/yyyy")</f>
        <v/>
      </c>
      <c r="B273" s="25" t="str">
        <f>IF(ISNUMBER('Change in Employment'!I280), TEXT('Change in Employment'!I280, "0"), "")</f>
        <v/>
      </c>
      <c r="C273" s="25" t="str">
        <f>IF(ISNUMBER('Change in Employment'!J280),TEXT('Change in Employment'!J280, "0"),"")</f>
        <v/>
      </c>
    </row>
    <row r="274" spans="1:3">
      <c r="A274" s="23" t="str">
        <f>TEXT(IF('Change in Employment'!B281&lt;&gt;0,DATE(YEAR('Change in Employment'!B281), MONTH('Change in Employment'!B281), 1), ""), "mm/dd/yyyy")</f>
        <v/>
      </c>
      <c r="B274" s="25" t="str">
        <f>IF(ISNUMBER('Change in Employment'!I281), TEXT('Change in Employment'!I281, "0"), "")</f>
        <v/>
      </c>
      <c r="C274" s="25" t="str">
        <f>IF(ISNUMBER('Change in Employment'!J281),TEXT('Change in Employment'!J281, "0"),"")</f>
        <v/>
      </c>
    </row>
    <row r="275" spans="1:3">
      <c r="A275" s="23" t="str">
        <f>TEXT(IF('Change in Employment'!B282&lt;&gt;0,DATE(YEAR('Change in Employment'!B282), MONTH('Change in Employment'!B282), 1), ""), "mm/dd/yyyy")</f>
        <v/>
      </c>
      <c r="B275" s="25" t="str">
        <f>IF(ISNUMBER('Change in Employment'!I282), TEXT('Change in Employment'!I282, "0"), "")</f>
        <v/>
      </c>
      <c r="C275" s="25" t="str">
        <f>IF(ISNUMBER('Change in Employment'!J282),TEXT('Change in Employment'!J282, "0"),"")</f>
        <v/>
      </c>
    </row>
    <row r="276" spans="1:3">
      <c r="A276" s="23" t="str">
        <f>TEXT(IF('Change in Employment'!B283&lt;&gt;0,DATE(YEAR('Change in Employment'!B283), MONTH('Change in Employment'!B283), 1), ""), "mm/dd/yyyy")</f>
        <v/>
      </c>
      <c r="B276" s="25" t="str">
        <f>IF(ISNUMBER('Change in Employment'!I283), TEXT('Change in Employment'!I283, "0"), "")</f>
        <v/>
      </c>
      <c r="C276" s="25" t="str">
        <f>IF(ISNUMBER('Change in Employment'!J283),TEXT('Change in Employment'!J283, "0"),"")</f>
        <v/>
      </c>
    </row>
    <row r="277" spans="1:3">
      <c r="A277" s="23" t="str">
        <f>TEXT(IF('Change in Employment'!B284&lt;&gt;0,DATE(YEAR('Change in Employment'!B284), MONTH('Change in Employment'!B284), 1), ""), "mm/dd/yyyy")</f>
        <v/>
      </c>
      <c r="B277" s="25" t="str">
        <f>IF(ISNUMBER('Change in Employment'!I284), TEXT('Change in Employment'!I284, "0"), "")</f>
        <v/>
      </c>
      <c r="C277" s="25" t="str">
        <f>IF(ISNUMBER('Change in Employment'!J284),TEXT('Change in Employment'!J284, "0"),"")</f>
        <v/>
      </c>
    </row>
    <row r="278" spans="1:3">
      <c r="A278" s="23" t="str">
        <f>TEXT(IF('Change in Employment'!B285&lt;&gt;0,DATE(YEAR('Change in Employment'!B285), MONTH('Change in Employment'!B285), 1), ""), "mm/dd/yyyy")</f>
        <v/>
      </c>
      <c r="B278" s="25" t="str">
        <f>IF(ISNUMBER('Change in Employment'!I285), TEXT('Change in Employment'!I285, "0"), "")</f>
        <v/>
      </c>
      <c r="C278" s="25" t="str">
        <f>IF(ISNUMBER('Change in Employment'!J285),TEXT('Change in Employment'!J285, "0"),"")</f>
        <v/>
      </c>
    </row>
    <row r="279" spans="1:3">
      <c r="A279" s="23" t="str">
        <f>TEXT(IF('Change in Employment'!B286&lt;&gt;0,DATE(YEAR('Change in Employment'!B286), MONTH('Change in Employment'!B286), 1), ""), "mm/dd/yyyy")</f>
        <v/>
      </c>
      <c r="B279" s="25" t="str">
        <f>IF(ISNUMBER('Change in Employment'!I286), TEXT('Change in Employment'!I286, "0"), "")</f>
        <v/>
      </c>
      <c r="C279" s="25" t="str">
        <f>IF(ISNUMBER('Change in Employment'!J286),TEXT('Change in Employment'!J286, "0"),"")</f>
        <v/>
      </c>
    </row>
    <row r="280" spans="1:3">
      <c r="A280" s="23" t="str">
        <f>TEXT(IF('Change in Employment'!B287&lt;&gt;0,DATE(YEAR('Change in Employment'!B287), MONTH('Change in Employment'!B287), 1), ""), "mm/dd/yyyy")</f>
        <v/>
      </c>
      <c r="B280" s="25" t="str">
        <f>IF(ISNUMBER('Change in Employment'!I287), TEXT('Change in Employment'!I287, "0"), "")</f>
        <v/>
      </c>
      <c r="C280" s="25" t="str">
        <f>IF(ISNUMBER('Change in Employment'!J287),TEXT('Change in Employment'!J287, "0"),"")</f>
        <v/>
      </c>
    </row>
    <row r="281" spans="1:3">
      <c r="A281" s="23" t="str">
        <f>TEXT(IF('Change in Employment'!B288&lt;&gt;0,DATE(YEAR('Change in Employment'!B288), MONTH('Change in Employment'!B288), 1), ""), "mm/dd/yyyy")</f>
        <v/>
      </c>
      <c r="B281" s="25" t="str">
        <f>IF(ISNUMBER('Change in Employment'!I288), TEXT('Change in Employment'!I288, "0"), "")</f>
        <v/>
      </c>
      <c r="C281" s="25" t="str">
        <f>IF(ISNUMBER('Change in Employment'!J288),TEXT('Change in Employment'!J288, "0"),"")</f>
        <v/>
      </c>
    </row>
    <row r="282" spans="1:3">
      <c r="A282" s="23" t="str">
        <f>TEXT(IF('Change in Employment'!B289&lt;&gt;0,DATE(YEAR('Change in Employment'!B289), MONTH('Change in Employment'!B289), 1), ""), "mm/dd/yyyy")</f>
        <v/>
      </c>
      <c r="B282" s="25" t="str">
        <f>IF(ISNUMBER('Change in Employment'!I289), TEXT('Change in Employment'!I289, "0"), "")</f>
        <v/>
      </c>
      <c r="C282" s="25" t="str">
        <f>IF(ISNUMBER('Change in Employment'!J289),TEXT('Change in Employment'!J289, "0"),"")</f>
        <v/>
      </c>
    </row>
    <row r="283" spans="1:3">
      <c r="A283" s="23" t="str">
        <f>TEXT(IF('Change in Employment'!B290&lt;&gt;0,DATE(YEAR('Change in Employment'!B290), MONTH('Change in Employment'!B290), 1), ""), "mm/dd/yyyy")</f>
        <v/>
      </c>
      <c r="B283" s="25" t="str">
        <f>IF(ISNUMBER('Change in Employment'!I290), TEXT('Change in Employment'!I290, "0"), "")</f>
        <v/>
      </c>
      <c r="C283" s="25" t="str">
        <f>IF(ISNUMBER('Change in Employment'!J290),TEXT('Change in Employment'!J290, "0"),"")</f>
        <v/>
      </c>
    </row>
    <row r="284" spans="1:3">
      <c r="A284" s="23" t="str">
        <f>TEXT(IF('Change in Employment'!B291&lt;&gt;0,DATE(YEAR('Change in Employment'!B291), MONTH('Change in Employment'!B291), 1), ""), "mm/dd/yyyy")</f>
        <v/>
      </c>
      <c r="B284" s="25" t="str">
        <f>IF(ISNUMBER('Change in Employment'!I291), TEXT('Change in Employment'!I291, "0"), "")</f>
        <v/>
      </c>
      <c r="C284" s="25" t="str">
        <f>IF(ISNUMBER('Change in Employment'!J291),TEXT('Change in Employment'!J291, "0"),"")</f>
        <v/>
      </c>
    </row>
    <row r="285" spans="1:3">
      <c r="A285" s="23" t="str">
        <f>TEXT(IF('Change in Employment'!B292&lt;&gt;0,DATE(YEAR('Change in Employment'!B292), MONTH('Change in Employment'!B292), 1), ""), "mm/dd/yyyy")</f>
        <v/>
      </c>
      <c r="B285" s="25" t="str">
        <f>IF(ISNUMBER('Change in Employment'!I292), TEXT('Change in Employment'!I292, "0"), "")</f>
        <v/>
      </c>
      <c r="C285" s="25" t="str">
        <f>IF(ISNUMBER('Change in Employment'!J292),TEXT('Change in Employment'!J292, "0"),"")</f>
        <v/>
      </c>
    </row>
    <row r="286" spans="1:3">
      <c r="A286" s="23" t="str">
        <f>TEXT(IF('Change in Employment'!B293&lt;&gt;0,DATE(YEAR('Change in Employment'!B293), MONTH('Change in Employment'!B293), 1), ""), "mm/dd/yyyy")</f>
        <v/>
      </c>
      <c r="B286" s="25" t="str">
        <f>IF(ISNUMBER('Change in Employment'!I293), TEXT('Change in Employment'!I293, "0"), "")</f>
        <v/>
      </c>
      <c r="C286" s="25" t="str">
        <f>IF(ISNUMBER('Change in Employment'!J293),TEXT('Change in Employment'!J293, "0"),"")</f>
        <v/>
      </c>
    </row>
    <row r="287" spans="1:3">
      <c r="A287" s="23" t="str">
        <f>TEXT(IF('Change in Employment'!B294&lt;&gt;0,DATE(YEAR('Change in Employment'!B294), MONTH('Change in Employment'!B294), 1), ""), "mm/dd/yyyy")</f>
        <v/>
      </c>
      <c r="B287" s="25" t="str">
        <f>IF(ISNUMBER('Change in Employment'!I294), TEXT('Change in Employment'!I294, "0"), "")</f>
        <v/>
      </c>
      <c r="C287" s="25" t="str">
        <f>IF(ISNUMBER('Change in Employment'!J294),TEXT('Change in Employment'!J294, "0"),"")</f>
        <v/>
      </c>
    </row>
    <row r="288" spans="1:3">
      <c r="A288" s="23" t="str">
        <f>TEXT(IF('Change in Employment'!B295&lt;&gt;0,DATE(YEAR('Change in Employment'!B295), MONTH('Change in Employment'!B295), 1), ""), "mm/dd/yyyy")</f>
        <v/>
      </c>
      <c r="B288" s="25" t="str">
        <f>IF(ISNUMBER('Change in Employment'!I295), TEXT('Change in Employment'!I295, "0"), "")</f>
        <v/>
      </c>
      <c r="C288" s="25" t="str">
        <f>IF(ISNUMBER('Change in Employment'!J295),TEXT('Change in Employment'!J295, "0"),"")</f>
        <v/>
      </c>
    </row>
    <row r="289" spans="1:3">
      <c r="A289" s="23" t="str">
        <f>TEXT(IF('Change in Employment'!B296&lt;&gt;0,DATE(YEAR('Change in Employment'!B296), MONTH('Change in Employment'!B296), 1), ""), "mm/dd/yyyy")</f>
        <v/>
      </c>
      <c r="B289" s="25" t="str">
        <f>IF(ISNUMBER('Change in Employment'!I296), TEXT('Change in Employment'!I296, "0"), "")</f>
        <v/>
      </c>
      <c r="C289" s="25" t="str">
        <f>IF(ISNUMBER('Change in Employment'!J296),TEXT('Change in Employment'!J296, "0"),"")</f>
        <v/>
      </c>
    </row>
    <row r="290" spans="1:3">
      <c r="A290" s="23" t="str">
        <f>TEXT(IF('Change in Employment'!B297&lt;&gt;0,DATE(YEAR('Change in Employment'!B297), MONTH('Change in Employment'!B297), 1), ""), "mm/dd/yyyy")</f>
        <v/>
      </c>
      <c r="B290" s="25" t="str">
        <f>IF(ISNUMBER('Change in Employment'!I297), TEXT('Change in Employment'!I297, "0"), "")</f>
        <v/>
      </c>
      <c r="C290" s="25" t="str">
        <f>IF(ISNUMBER('Change in Employment'!J297),TEXT('Change in Employment'!J297, "0"),"")</f>
        <v/>
      </c>
    </row>
    <row r="291" spans="1:3">
      <c r="A291" s="23" t="str">
        <f>TEXT(IF('Change in Employment'!B298&lt;&gt;0,DATE(YEAR('Change in Employment'!B298), MONTH('Change in Employment'!B298), 1), ""), "mm/dd/yyyy")</f>
        <v/>
      </c>
      <c r="B291" s="25" t="str">
        <f>IF(ISNUMBER('Change in Employment'!I298), TEXT('Change in Employment'!I298, "0"), "")</f>
        <v/>
      </c>
      <c r="C291" s="25" t="str">
        <f>IF(ISNUMBER('Change in Employment'!J298),TEXT('Change in Employment'!J298, "0"),"")</f>
        <v/>
      </c>
    </row>
    <row r="292" spans="1:3">
      <c r="A292" s="23" t="str">
        <f>TEXT(IF('Change in Employment'!B299&lt;&gt;0,DATE(YEAR('Change in Employment'!B299), MONTH('Change in Employment'!B299), 1), ""), "mm/dd/yyyy")</f>
        <v/>
      </c>
      <c r="B292" s="25" t="str">
        <f>IF(ISNUMBER('Change in Employment'!I299), TEXT('Change in Employment'!I299, "0"), "")</f>
        <v/>
      </c>
      <c r="C292" s="25" t="str">
        <f>IF(ISNUMBER('Change in Employment'!J299),TEXT('Change in Employment'!J299, "0"),"")</f>
        <v/>
      </c>
    </row>
    <row r="293" spans="1:3">
      <c r="A293" s="23" t="str">
        <f>TEXT(IF('Change in Employment'!B300&lt;&gt;0,DATE(YEAR('Change in Employment'!B300), MONTH('Change in Employment'!B300), 1), ""), "mm/dd/yyyy")</f>
        <v/>
      </c>
      <c r="B293" s="25" t="str">
        <f>IF(ISNUMBER('Change in Employment'!I300), TEXT('Change in Employment'!I300, "0"), "")</f>
        <v/>
      </c>
      <c r="C293" s="25" t="str">
        <f>IF(ISNUMBER('Change in Employment'!J300),TEXT('Change in Employment'!J300, "0"),"")</f>
        <v/>
      </c>
    </row>
    <row r="294" spans="1:3">
      <c r="A294" s="23" t="str">
        <f>TEXT(IF('Change in Employment'!B301&lt;&gt;0,DATE(YEAR('Change in Employment'!B301), MONTH('Change in Employment'!B301), 1), ""), "mm/dd/yyyy")</f>
        <v/>
      </c>
      <c r="B294" s="25" t="str">
        <f>IF(ISNUMBER('Change in Employment'!I301), TEXT('Change in Employment'!I301, "0"), "")</f>
        <v/>
      </c>
      <c r="C294" s="25" t="str">
        <f>IF(ISNUMBER('Change in Employment'!J301),TEXT('Change in Employment'!J301, "0"),"")</f>
        <v/>
      </c>
    </row>
    <row r="295" spans="1:3">
      <c r="A295" s="23" t="str">
        <f>TEXT(IF('Change in Employment'!B302&lt;&gt;0,DATE(YEAR('Change in Employment'!B302), MONTH('Change in Employment'!B302), 1), ""), "mm/dd/yyyy")</f>
        <v/>
      </c>
      <c r="B295" s="25" t="str">
        <f>IF(ISNUMBER('Change in Employment'!I302), TEXT('Change in Employment'!I302, "0"), "")</f>
        <v/>
      </c>
      <c r="C295" s="25" t="str">
        <f>IF(ISNUMBER('Change in Employment'!J302),TEXT('Change in Employment'!J302, "0"),"")</f>
        <v/>
      </c>
    </row>
    <row r="296" spans="1:3">
      <c r="A296" s="23" t="str">
        <f>TEXT(IF('Change in Employment'!B303&lt;&gt;0,DATE(YEAR('Change in Employment'!B303), MONTH('Change in Employment'!B303), 1), ""), "mm/dd/yyyy")</f>
        <v/>
      </c>
      <c r="B296" s="25" t="str">
        <f>IF(ISNUMBER('Change in Employment'!I303), TEXT('Change in Employment'!I303, "0"), "")</f>
        <v/>
      </c>
      <c r="C296" s="25" t="str">
        <f>IF(ISNUMBER('Change in Employment'!J303),TEXT('Change in Employment'!J303, "0"),"")</f>
        <v/>
      </c>
    </row>
    <row r="297" spans="1:3">
      <c r="A297" s="23" t="str">
        <f>TEXT(IF('Change in Employment'!B304&lt;&gt;0,DATE(YEAR('Change in Employment'!B304), MONTH('Change in Employment'!B304), 1), ""), "mm/dd/yyyy")</f>
        <v/>
      </c>
      <c r="B297" s="25" t="str">
        <f>IF(ISNUMBER('Change in Employment'!I304), TEXT('Change in Employment'!I304, "0"), "")</f>
        <v/>
      </c>
      <c r="C297" s="25" t="str">
        <f>IF(ISNUMBER('Change in Employment'!J304),TEXT('Change in Employment'!J304, "0"),"")</f>
        <v/>
      </c>
    </row>
    <row r="298" spans="1:3">
      <c r="A298" s="23" t="str">
        <f>TEXT(IF('Change in Employment'!B305&lt;&gt;0,DATE(YEAR('Change in Employment'!B305), MONTH('Change in Employment'!B305), 1), ""), "mm/dd/yyyy")</f>
        <v/>
      </c>
      <c r="B298" s="25" t="str">
        <f>IF(ISNUMBER('Change in Employment'!I305), TEXT('Change in Employment'!I305, "0"), "")</f>
        <v/>
      </c>
      <c r="C298" s="25" t="str">
        <f>IF(ISNUMBER('Change in Employment'!J305),TEXT('Change in Employment'!J305, "0"),"")</f>
        <v/>
      </c>
    </row>
    <row r="299" spans="1:3">
      <c r="A299" s="23" t="str">
        <f>TEXT(IF('Change in Employment'!B306&lt;&gt;0,DATE(YEAR('Change in Employment'!B306), MONTH('Change in Employment'!B306), 1), ""), "mm/dd/yyyy")</f>
        <v/>
      </c>
      <c r="B299" s="25" t="str">
        <f>IF(ISNUMBER('Change in Employment'!I306), TEXT('Change in Employment'!I306, "0"), "")</f>
        <v/>
      </c>
      <c r="C299" s="25" t="str">
        <f>IF(ISNUMBER('Change in Employment'!J306),TEXT('Change in Employment'!J306, "0"),"")</f>
        <v/>
      </c>
    </row>
    <row r="300" spans="1:3">
      <c r="A300" s="23" t="str">
        <f>TEXT(IF('Change in Employment'!B307&lt;&gt;0,DATE(YEAR('Change in Employment'!B307), MONTH('Change in Employment'!B307), 1), ""), "mm/dd/yyyy")</f>
        <v/>
      </c>
      <c r="B300" s="25" t="str">
        <f>IF(ISNUMBER('Change in Employment'!I307), TEXT('Change in Employment'!I307, "0"), "")</f>
        <v/>
      </c>
      <c r="C300" s="25" t="str">
        <f>IF(ISNUMBER('Change in Employment'!J307),TEXT('Change in Employment'!J307, "0"),"")</f>
        <v/>
      </c>
    </row>
    <row r="301" spans="1:3">
      <c r="A301" s="23" t="str">
        <f>TEXT(IF('Change in Employment'!B308&lt;&gt;0,DATE(YEAR('Change in Employment'!B308), MONTH('Change in Employment'!B308), 1), ""), "mm/dd/yyyy")</f>
        <v/>
      </c>
      <c r="B301" s="25" t="str">
        <f>IF(ISNUMBER('Change in Employment'!I308), TEXT('Change in Employment'!I308, "0"), "")</f>
        <v/>
      </c>
      <c r="C301" s="25" t="str">
        <f>IF(ISNUMBER('Change in Employment'!J308),TEXT('Change in Employment'!J308, "0"),"")</f>
        <v/>
      </c>
    </row>
    <row r="302" spans="1:3">
      <c r="A302" s="23" t="str">
        <f>TEXT(IF('Change in Employment'!B309&lt;&gt;0,DATE(YEAR('Change in Employment'!B309), MONTH('Change in Employment'!B309), 1), ""), "mm/dd/yyyy")</f>
        <v/>
      </c>
      <c r="B302" s="25" t="str">
        <f>IF(ISNUMBER('Change in Employment'!I309), TEXT('Change in Employment'!I309, "0"), "")</f>
        <v/>
      </c>
      <c r="C302" s="25" t="str">
        <f>IF(ISNUMBER('Change in Employment'!J309),TEXT('Change in Employment'!J309, "0"),"")</f>
        <v/>
      </c>
    </row>
    <row r="303" spans="1:3">
      <c r="A303" s="23" t="str">
        <f>TEXT(IF('Change in Employment'!B310&lt;&gt;0,DATE(YEAR('Change in Employment'!B310), MONTH('Change in Employment'!B310), 1), ""), "mm/dd/yyyy")</f>
        <v/>
      </c>
      <c r="B303" s="25" t="str">
        <f>IF(ISNUMBER('Change in Employment'!I310), TEXT('Change in Employment'!I310, "0"), "")</f>
        <v/>
      </c>
      <c r="C303" s="25" t="str">
        <f>IF(ISNUMBER('Change in Employment'!J310),TEXT('Change in Employment'!J310, "0"),"")</f>
        <v/>
      </c>
    </row>
    <row r="304" spans="1:3">
      <c r="A304" s="23" t="str">
        <f>TEXT(IF('Change in Employment'!B311&lt;&gt;0,DATE(YEAR('Change in Employment'!B311), MONTH('Change in Employment'!B311), 1), ""), "mm/dd/yyyy")</f>
        <v/>
      </c>
      <c r="B304" s="25" t="str">
        <f>IF(ISNUMBER('Change in Employment'!I311), TEXT('Change in Employment'!I311, "0"), "")</f>
        <v/>
      </c>
      <c r="C304" s="25" t="str">
        <f>IF(ISNUMBER('Change in Employment'!J311),TEXT('Change in Employment'!J311, "0"),"")</f>
        <v/>
      </c>
    </row>
    <row r="305" spans="1:3">
      <c r="A305" s="23" t="str">
        <f>TEXT(IF('Change in Employment'!B312&lt;&gt;0,DATE(YEAR('Change in Employment'!B312), MONTH('Change in Employment'!B312), 1), ""), "mm/dd/yyyy")</f>
        <v/>
      </c>
      <c r="B305" s="25" t="str">
        <f>IF(ISNUMBER('Change in Employment'!I312), TEXT('Change in Employment'!I312, "0"), "")</f>
        <v/>
      </c>
      <c r="C305" s="25" t="str">
        <f>IF(ISNUMBER('Change in Employment'!J312),TEXT('Change in Employment'!J312, "0"),"")</f>
        <v/>
      </c>
    </row>
    <row r="306" spans="1:3">
      <c r="A306" s="23" t="str">
        <f>TEXT(IF('Change in Employment'!B313&lt;&gt;0,DATE(YEAR('Change in Employment'!B313), MONTH('Change in Employment'!B313), 1), ""), "mm/dd/yyyy")</f>
        <v/>
      </c>
      <c r="B306" s="25" t="str">
        <f>IF(ISNUMBER('Change in Employment'!I313), TEXT('Change in Employment'!I313, "0"), "")</f>
        <v/>
      </c>
      <c r="C306" s="25" t="str">
        <f>IF(ISNUMBER('Change in Employment'!J313),TEXT('Change in Employment'!J313, "0"),"")</f>
        <v/>
      </c>
    </row>
    <row r="307" spans="1:3">
      <c r="A307" s="23" t="str">
        <f>TEXT(IF('Change in Employment'!B314&lt;&gt;0,DATE(YEAR('Change in Employment'!B314), MONTH('Change in Employment'!B314), 1), ""), "mm/dd/yyyy")</f>
        <v/>
      </c>
      <c r="B307" s="25" t="str">
        <f>IF(ISNUMBER('Change in Employment'!I314), TEXT('Change in Employment'!I314, "0"), "")</f>
        <v/>
      </c>
      <c r="C307" s="25" t="str">
        <f>IF(ISNUMBER('Change in Employment'!J314),TEXT('Change in Employment'!J314, "0"),"")</f>
        <v/>
      </c>
    </row>
    <row r="308" spans="1:3">
      <c r="A308" s="23" t="str">
        <f>TEXT(IF('Change in Employment'!B315&lt;&gt;0,DATE(YEAR('Change in Employment'!B315), MONTH('Change in Employment'!B315), 1), ""), "mm/dd/yyyy")</f>
        <v/>
      </c>
      <c r="B308" s="25" t="str">
        <f>IF(ISNUMBER('Change in Employment'!I315), TEXT('Change in Employment'!I315, "0"), "")</f>
        <v/>
      </c>
      <c r="C308" s="25" t="str">
        <f>IF(ISNUMBER('Change in Employment'!J315),TEXT('Change in Employment'!J315, "0"),"")</f>
        <v/>
      </c>
    </row>
    <row r="309" spans="1:3">
      <c r="A309" s="23" t="str">
        <f>TEXT(IF('Change in Employment'!B316&lt;&gt;0,DATE(YEAR('Change in Employment'!B316), MONTH('Change in Employment'!B316), 1), ""), "mm/dd/yyyy")</f>
        <v/>
      </c>
      <c r="B309" s="25" t="str">
        <f>IF(ISNUMBER('Change in Employment'!I316), TEXT('Change in Employment'!I316, "0"), "")</f>
        <v/>
      </c>
      <c r="C309" s="25" t="str">
        <f>IF(ISNUMBER('Change in Employment'!J316),TEXT('Change in Employment'!J316, "0"),"")</f>
        <v/>
      </c>
    </row>
    <row r="310" spans="1:3">
      <c r="A310" s="23" t="str">
        <f>TEXT(IF('Change in Employment'!B317&lt;&gt;0,DATE(YEAR('Change in Employment'!B317), MONTH('Change in Employment'!B317), 1), ""), "mm/dd/yyyy")</f>
        <v/>
      </c>
      <c r="B310" s="25" t="str">
        <f>IF(ISNUMBER('Change in Employment'!I317), TEXT('Change in Employment'!I317, "0"), "")</f>
        <v/>
      </c>
      <c r="C310" s="25" t="str">
        <f>IF(ISNUMBER('Change in Employment'!J317),TEXT('Change in Employment'!J317, "0"),"")</f>
        <v/>
      </c>
    </row>
    <row r="311" spans="1:3">
      <c r="A311" s="23" t="str">
        <f>TEXT(IF('Change in Employment'!B318&lt;&gt;0,DATE(YEAR('Change in Employment'!B318), MONTH('Change in Employment'!B318), 1), ""), "mm/dd/yyyy")</f>
        <v/>
      </c>
      <c r="B311" s="25" t="str">
        <f>IF(ISNUMBER('Change in Employment'!I318), TEXT('Change in Employment'!I318, "0"), "")</f>
        <v/>
      </c>
      <c r="C311" s="25" t="str">
        <f>IF(ISNUMBER('Change in Employment'!J318),TEXT('Change in Employment'!J318, "0"),"")</f>
        <v/>
      </c>
    </row>
    <row r="312" spans="1:3">
      <c r="A312" s="23" t="str">
        <f>TEXT(IF('Change in Employment'!B319&lt;&gt;0,DATE(YEAR('Change in Employment'!B319), MONTH('Change in Employment'!B319), 1), ""), "mm/dd/yyyy")</f>
        <v/>
      </c>
      <c r="B312" s="25" t="str">
        <f>IF(ISNUMBER('Change in Employment'!I319), TEXT('Change in Employment'!I319, "0"), "")</f>
        <v/>
      </c>
      <c r="C312" s="25" t="str">
        <f>IF(ISNUMBER('Change in Employment'!J319),TEXT('Change in Employment'!J319, "0"),"")</f>
        <v/>
      </c>
    </row>
    <row r="313" spans="1:3">
      <c r="A313" s="23" t="str">
        <f>TEXT(IF('Change in Employment'!B320&lt;&gt;0,DATE(YEAR('Change in Employment'!B320), MONTH('Change in Employment'!B320), 1), ""), "mm/dd/yyyy")</f>
        <v/>
      </c>
      <c r="B313" s="25" t="str">
        <f>IF(ISNUMBER('Change in Employment'!I320), TEXT('Change in Employment'!I320, "0"), "")</f>
        <v/>
      </c>
      <c r="C313" s="25" t="str">
        <f>IF(ISNUMBER('Change in Employment'!J320),TEXT('Change in Employment'!J320, "0"),"")</f>
        <v/>
      </c>
    </row>
    <row r="314" spans="1:3">
      <c r="A314" s="23" t="str">
        <f>TEXT(IF('Change in Employment'!B321&lt;&gt;0,DATE(YEAR('Change in Employment'!B321), MONTH('Change in Employment'!B321), 1), ""), "mm/dd/yyyy")</f>
        <v/>
      </c>
      <c r="B314" s="25" t="str">
        <f>IF(ISNUMBER('Change in Employment'!I321), TEXT('Change in Employment'!I321, "0"), "")</f>
        <v/>
      </c>
      <c r="C314" s="25" t="str">
        <f>IF(ISNUMBER('Change in Employment'!J321),TEXT('Change in Employment'!J321, "0"),"")</f>
        <v/>
      </c>
    </row>
    <row r="315" spans="1:3">
      <c r="A315" s="23" t="str">
        <f>TEXT(IF('Change in Employment'!B322&lt;&gt;0,DATE(YEAR('Change in Employment'!B322), MONTH('Change in Employment'!B322), 1), ""), "mm/dd/yyyy")</f>
        <v/>
      </c>
      <c r="B315" s="25" t="str">
        <f>IF(ISNUMBER('Change in Employment'!I322), TEXT('Change in Employment'!I322, "0"), "")</f>
        <v/>
      </c>
      <c r="C315" s="25" t="str">
        <f>IF(ISNUMBER('Change in Employment'!J322),TEXT('Change in Employment'!J322, "0"),"")</f>
        <v/>
      </c>
    </row>
    <row r="316" spans="1:3">
      <c r="A316" s="23" t="str">
        <f>TEXT(IF('Change in Employment'!B323&lt;&gt;0,DATE(YEAR('Change in Employment'!B323), MONTH('Change in Employment'!B323), 1), ""), "mm/dd/yyyy")</f>
        <v/>
      </c>
      <c r="B316" s="25" t="str">
        <f>IF(ISNUMBER('Change in Employment'!I323), TEXT('Change in Employment'!I323, "0"), "")</f>
        <v/>
      </c>
      <c r="C316" s="25" t="str">
        <f>IF(ISNUMBER('Change in Employment'!J323),TEXT('Change in Employment'!J323, "0"),"")</f>
        <v/>
      </c>
    </row>
    <row r="317" spans="1:3">
      <c r="A317" s="23" t="str">
        <f>TEXT(IF('Change in Employment'!B324&lt;&gt;0,DATE(YEAR('Change in Employment'!B324), MONTH('Change in Employment'!B324), 1), ""), "mm/dd/yyyy")</f>
        <v/>
      </c>
      <c r="B317" s="25" t="str">
        <f>IF(ISNUMBER('Change in Employment'!I324), TEXT('Change in Employment'!I324, "0"), "")</f>
        <v/>
      </c>
      <c r="C317" s="25" t="str">
        <f>IF(ISNUMBER('Change in Employment'!J324),TEXT('Change in Employment'!J324, "0"),"")</f>
        <v/>
      </c>
    </row>
    <row r="318" spans="1:3">
      <c r="A318" s="23" t="str">
        <f>TEXT(IF('Change in Employment'!B325&lt;&gt;0,DATE(YEAR('Change in Employment'!B325), MONTH('Change in Employment'!B325), 1), ""), "mm/dd/yyyy")</f>
        <v/>
      </c>
      <c r="B318" s="25" t="str">
        <f>IF(ISNUMBER('Change in Employment'!I325), TEXT('Change in Employment'!I325, "0"), "")</f>
        <v/>
      </c>
      <c r="C318" s="25" t="str">
        <f>IF(ISNUMBER('Change in Employment'!J325),TEXT('Change in Employment'!J325, "0"),"")</f>
        <v/>
      </c>
    </row>
    <row r="319" spans="1:3">
      <c r="A319" s="23" t="str">
        <f>TEXT(IF('Change in Employment'!B326&lt;&gt;0,DATE(YEAR('Change in Employment'!B326), MONTH('Change in Employment'!B326), 1), ""), "mm/dd/yyyy")</f>
        <v/>
      </c>
      <c r="B319" s="25" t="str">
        <f>IF(ISNUMBER('Change in Employment'!I326), TEXT('Change in Employment'!I326, "0"), "")</f>
        <v/>
      </c>
      <c r="C319" s="25" t="str">
        <f>IF(ISNUMBER('Change in Employment'!J326),TEXT('Change in Employment'!J326, "0"),"")</f>
        <v/>
      </c>
    </row>
    <row r="320" spans="1:3">
      <c r="A320" s="23" t="str">
        <f>TEXT(IF('Change in Employment'!B327&lt;&gt;0,DATE(YEAR('Change in Employment'!B327), MONTH('Change in Employment'!B327), 1), ""), "mm/dd/yyyy")</f>
        <v/>
      </c>
      <c r="B320" s="25" t="str">
        <f>IF(ISNUMBER('Change in Employment'!I327), TEXT('Change in Employment'!I327, "0"), "")</f>
        <v/>
      </c>
      <c r="C320" s="25" t="str">
        <f>IF(ISNUMBER('Change in Employment'!J327),TEXT('Change in Employment'!J327, "0"),"")</f>
        <v/>
      </c>
    </row>
    <row r="321" spans="1:3">
      <c r="A321" s="23" t="str">
        <f>TEXT(IF('Change in Employment'!B328&lt;&gt;0,DATE(YEAR('Change in Employment'!B328), MONTH('Change in Employment'!B328), 1), ""), "mm/dd/yyyy")</f>
        <v/>
      </c>
      <c r="B321" s="25" t="str">
        <f>IF(ISNUMBER('Change in Employment'!I328), TEXT('Change in Employment'!I328, "0"), "")</f>
        <v/>
      </c>
      <c r="C321" s="25" t="str">
        <f>IF(ISNUMBER('Change in Employment'!J328),TEXT('Change in Employment'!J328, "0"),"")</f>
        <v/>
      </c>
    </row>
    <row r="322" spans="1:3">
      <c r="A322" s="23" t="str">
        <f>TEXT(IF('Change in Employment'!B329&lt;&gt;0,DATE(YEAR('Change in Employment'!B329), MONTH('Change in Employment'!B329), 1), ""), "mm/dd/yyyy")</f>
        <v/>
      </c>
      <c r="B322" s="25" t="str">
        <f>IF(ISNUMBER('Change in Employment'!I329), TEXT('Change in Employment'!I329, "0"), "")</f>
        <v/>
      </c>
      <c r="C322" s="25" t="str">
        <f>IF(ISNUMBER('Change in Employment'!J329),TEXT('Change in Employment'!J329, "0"),"")</f>
        <v/>
      </c>
    </row>
    <row r="323" spans="1:3">
      <c r="A323" s="23" t="str">
        <f>TEXT(IF('Change in Employment'!B330&lt;&gt;0,DATE(YEAR('Change in Employment'!B330), MONTH('Change in Employment'!B330), 1), ""), "mm/dd/yyyy")</f>
        <v/>
      </c>
      <c r="B323" s="25" t="str">
        <f>IF(ISNUMBER('Change in Employment'!I330), TEXT('Change in Employment'!I330, "0"), "")</f>
        <v/>
      </c>
      <c r="C323" s="25" t="str">
        <f>IF(ISNUMBER('Change in Employment'!J330),TEXT('Change in Employment'!J330, "0"),"")</f>
        <v/>
      </c>
    </row>
    <row r="324" spans="1:3">
      <c r="A324" s="23" t="str">
        <f>TEXT(IF('Change in Employment'!B331&lt;&gt;0,DATE(YEAR('Change in Employment'!B331), MONTH('Change in Employment'!B331), 1), ""), "mm/dd/yyyy")</f>
        <v/>
      </c>
      <c r="B324" s="25" t="str">
        <f>IF(ISNUMBER('Change in Employment'!I331), TEXT('Change in Employment'!I331, "0"), "")</f>
        <v/>
      </c>
      <c r="C324" s="25" t="str">
        <f>IF(ISNUMBER('Change in Employment'!J331),TEXT('Change in Employment'!J331, "0"),"")</f>
        <v/>
      </c>
    </row>
    <row r="325" spans="1:3">
      <c r="A325" s="23" t="str">
        <f>TEXT(IF('Change in Employment'!B332&lt;&gt;0,DATE(YEAR('Change in Employment'!B332), MONTH('Change in Employment'!B332), 1), ""), "mm/dd/yyyy")</f>
        <v/>
      </c>
      <c r="B325" s="25" t="str">
        <f>IF(ISNUMBER('Change in Employment'!I332), TEXT('Change in Employment'!I332, "0"), "")</f>
        <v/>
      </c>
      <c r="C325" s="25" t="str">
        <f>IF(ISNUMBER('Change in Employment'!J332),TEXT('Change in Employment'!J332, "0"),"")</f>
        <v/>
      </c>
    </row>
    <row r="326" spans="1:3">
      <c r="A326" s="23" t="str">
        <f>TEXT(IF('Change in Employment'!B333&lt;&gt;0,DATE(YEAR('Change in Employment'!B333), MONTH('Change in Employment'!B333), 1), ""), "mm/dd/yyyy")</f>
        <v/>
      </c>
      <c r="B326" s="25" t="str">
        <f>IF(ISNUMBER('Change in Employment'!I333), TEXT('Change in Employment'!I333, "0"), "")</f>
        <v/>
      </c>
      <c r="C326" s="25" t="str">
        <f>IF(ISNUMBER('Change in Employment'!J333),TEXT('Change in Employment'!J333, "0"),"")</f>
        <v/>
      </c>
    </row>
    <row r="327" spans="1:3">
      <c r="A327" s="23" t="str">
        <f>TEXT(IF('Change in Employment'!B334&lt;&gt;0,DATE(YEAR('Change in Employment'!B334), MONTH('Change in Employment'!B334), 1), ""), "mm/dd/yyyy")</f>
        <v/>
      </c>
      <c r="B327" s="25" t="str">
        <f>IF(ISNUMBER('Change in Employment'!I334), TEXT('Change in Employment'!I334, "0"), "")</f>
        <v/>
      </c>
      <c r="C327" s="25" t="str">
        <f>IF(ISNUMBER('Change in Employment'!J334),TEXT('Change in Employment'!J334, "0"),"")</f>
        <v/>
      </c>
    </row>
    <row r="328" spans="1:3">
      <c r="A328" s="23" t="str">
        <f>TEXT(IF('Change in Employment'!B335&lt;&gt;0,DATE(YEAR('Change in Employment'!B335), MONTH('Change in Employment'!B335), 1), ""), "mm/dd/yyyy")</f>
        <v/>
      </c>
      <c r="B328" s="25" t="str">
        <f>IF(ISNUMBER('Change in Employment'!I335), TEXT('Change in Employment'!I335, "0"), "")</f>
        <v/>
      </c>
      <c r="C328" s="25" t="str">
        <f>IF(ISNUMBER('Change in Employment'!J335),TEXT('Change in Employment'!J335, "0"),"")</f>
        <v/>
      </c>
    </row>
    <row r="329" spans="1:3">
      <c r="A329" s="23" t="str">
        <f>TEXT(IF('Change in Employment'!B336&lt;&gt;0,DATE(YEAR('Change in Employment'!B336), MONTH('Change in Employment'!B336), 1), ""), "mm/dd/yyyy")</f>
        <v/>
      </c>
      <c r="B329" s="25" t="str">
        <f>IF(ISNUMBER('Change in Employment'!I336), TEXT('Change in Employment'!I336, "0"), "")</f>
        <v/>
      </c>
      <c r="C329" s="25" t="str">
        <f>IF(ISNUMBER('Change in Employment'!J336),TEXT('Change in Employment'!J336, "0"),"")</f>
        <v/>
      </c>
    </row>
    <row r="330" spans="1:3">
      <c r="A330" s="23" t="str">
        <f>TEXT(IF('Change in Employment'!B337&lt;&gt;0,DATE(YEAR('Change in Employment'!B337), MONTH('Change in Employment'!B337), 1), ""), "mm/dd/yyyy")</f>
        <v/>
      </c>
      <c r="B330" s="25" t="str">
        <f>IF(ISNUMBER('Change in Employment'!I337), TEXT('Change in Employment'!I337, "0"), "")</f>
        <v/>
      </c>
      <c r="C330" s="25" t="str">
        <f>IF(ISNUMBER('Change in Employment'!J337),TEXT('Change in Employment'!J337, "0"),"")</f>
        <v/>
      </c>
    </row>
    <row r="331" spans="1:3">
      <c r="A331" s="23" t="str">
        <f>TEXT(IF('Change in Employment'!B338&lt;&gt;0,DATE(YEAR('Change in Employment'!B338), MONTH('Change in Employment'!B338), 1), ""), "mm/dd/yyyy")</f>
        <v/>
      </c>
      <c r="B331" s="25" t="str">
        <f>IF(ISNUMBER('Change in Employment'!I338), TEXT('Change in Employment'!I338, "0"), "")</f>
        <v/>
      </c>
      <c r="C331" s="25" t="str">
        <f>IF(ISNUMBER('Change in Employment'!J338),TEXT('Change in Employment'!J338, "0"),"")</f>
        <v/>
      </c>
    </row>
    <row r="332" spans="1:3">
      <c r="A332" s="23" t="str">
        <f>TEXT(IF('Change in Employment'!B339&lt;&gt;0,DATE(YEAR('Change in Employment'!B339), MONTH('Change in Employment'!B339), 1), ""), "mm/dd/yyyy")</f>
        <v/>
      </c>
      <c r="B332" s="25" t="str">
        <f>IF(ISNUMBER('Change in Employment'!I339), TEXT('Change in Employment'!I339, "0"), "")</f>
        <v/>
      </c>
      <c r="C332" s="25" t="str">
        <f>IF(ISNUMBER('Change in Employment'!J339),TEXT('Change in Employment'!J339, "0"),"")</f>
        <v/>
      </c>
    </row>
    <row r="333" spans="1:3">
      <c r="A333" s="23" t="str">
        <f>TEXT(IF('Change in Employment'!B340&lt;&gt;0,DATE(YEAR('Change in Employment'!B340), MONTH('Change in Employment'!B340), 1), ""), "mm/dd/yyyy")</f>
        <v/>
      </c>
      <c r="B333" s="25" t="str">
        <f>IF(ISNUMBER('Change in Employment'!I340), TEXT('Change in Employment'!I340, "0"), "")</f>
        <v/>
      </c>
      <c r="C333" s="25" t="str">
        <f>IF(ISNUMBER('Change in Employment'!J340),TEXT('Change in Employment'!J340, "0"),"")</f>
        <v/>
      </c>
    </row>
    <row r="334" spans="1:3">
      <c r="A334" s="23" t="str">
        <f>TEXT(IF('Change in Employment'!B341&lt;&gt;0,DATE(YEAR('Change in Employment'!B341), MONTH('Change in Employment'!B341), 1), ""), "mm/dd/yyyy")</f>
        <v/>
      </c>
      <c r="B334" s="25" t="str">
        <f>IF(ISNUMBER('Change in Employment'!I341), TEXT('Change in Employment'!I341, "0"), "")</f>
        <v/>
      </c>
      <c r="C334" s="25" t="str">
        <f>IF(ISNUMBER('Change in Employment'!J341),TEXT('Change in Employment'!J341, "0"),"")</f>
        <v/>
      </c>
    </row>
    <row r="335" spans="1:3">
      <c r="A335" s="23" t="str">
        <f>TEXT(IF('Change in Employment'!B342&lt;&gt;0,DATE(YEAR('Change in Employment'!B342), MONTH('Change in Employment'!B342), 1), ""), "mm/dd/yyyy")</f>
        <v/>
      </c>
      <c r="B335" s="25" t="str">
        <f>IF(ISNUMBER('Change in Employment'!I342), TEXT('Change in Employment'!I342, "0"), "")</f>
        <v/>
      </c>
      <c r="C335" s="25" t="str">
        <f>IF(ISNUMBER('Change in Employment'!J342),TEXT('Change in Employment'!J342, "0"),"")</f>
        <v/>
      </c>
    </row>
    <row r="336" spans="1:3">
      <c r="A336" s="23" t="str">
        <f>TEXT(IF('Change in Employment'!B343&lt;&gt;0,DATE(YEAR('Change in Employment'!B343), MONTH('Change in Employment'!B343), 1), ""), "mm/dd/yyyy")</f>
        <v/>
      </c>
      <c r="B336" s="25" t="str">
        <f>IF(ISNUMBER('Change in Employment'!I343), TEXT('Change in Employment'!I343, "0"), "")</f>
        <v/>
      </c>
      <c r="C336" s="25" t="str">
        <f>IF(ISNUMBER('Change in Employment'!J343),TEXT('Change in Employment'!J343, "0"),"")</f>
        <v/>
      </c>
    </row>
    <row r="337" spans="1:3">
      <c r="A337" s="23" t="str">
        <f>TEXT(IF('Change in Employment'!B344&lt;&gt;0,DATE(YEAR('Change in Employment'!B344), MONTH('Change in Employment'!B344), 1), ""), "mm/dd/yyyy")</f>
        <v/>
      </c>
      <c r="B337" s="25" t="str">
        <f>IF(ISNUMBER('Change in Employment'!I344), TEXT('Change in Employment'!I344, "0"), "")</f>
        <v/>
      </c>
      <c r="C337" s="25" t="str">
        <f>IF(ISNUMBER('Change in Employment'!J344),TEXT('Change in Employment'!J344, "0"),"")</f>
        <v/>
      </c>
    </row>
    <row r="338" spans="1:3">
      <c r="A338" s="23" t="str">
        <f>TEXT(IF('Change in Employment'!B345&lt;&gt;0,DATE(YEAR('Change in Employment'!B345), MONTH('Change in Employment'!B345), 1), ""), "mm/dd/yyyy")</f>
        <v/>
      </c>
      <c r="B338" s="25" t="str">
        <f>IF(ISNUMBER('Change in Employment'!I345), TEXT('Change in Employment'!I345, "0"), "")</f>
        <v/>
      </c>
      <c r="C338" s="25" t="str">
        <f>IF(ISNUMBER('Change in Employment'!J345),TEXT('Change in Employment'!J345, "0"),"")</f>
        <v/>
      </c>
    </row>
    <row r="339" spans="1:3">
      <c r="A339" s="23" t="str">
        <f>TEXT(IF('Change in Employment'!B346&lt;&gt;0,DATE(YEAR('Change in Employment'!B346), MONTH('Change in Employment'!B346), 1), ""), "mm/dd/yyyy")</f>
        <v/>
      </c>
      <c r="B339" s="25" t="str">
        <f>IF(ISNUMBER('Change in Employment'!I346), TEXT('Change in Employment'!I346, "0"), "")</f>
        <v/>
      </c>
      <c r="C339" s="25" t="str">
        <f>IF(ISNUMBER('Change in Employment'!J346),TEXT('Change in Employment'!J346, "0"),"")</f>
        <v/>
      </c>
    </row>
    <row r="340" spans="1:3">
      <c r="A340" s="23" t="str">
        <f>TEXT(IF('Change in Employment'!B347&lt;&gt;0,DATE(YEAR('Change in Employment'!B347), MONTH('Change in Employment'!B347), 1), ""), "mm/dd/yyyy")</f>
        <v/>
      </c>
      <c r="B340" s="25" t="str">
        <f>IF(ISNUMBER('Change in Employment'!I347), TEXT('Change in Employment'!I347, "0"), "")</f>
        <v/>
      </c>
      <c r="C340" s="25" t="str">
        <f>IF(ISNUMBER('Change in Employment'!J347),TEXT('Change in Employment'!J347, "0"),"")</f>
        <v/>
      </c>
    </row>
    <row r="341" spans="1:3">
      <c r="A341" s="23" t="str">
        <f>TEXT(IF('Change in Employment'!B348&lt;&gt;0,DATE(YEAR('Change in Employment'!B348), MONTH('Change in Employment'!B348), 1), ""), "mm/dd/yyyy")</f>
        <v/>
      </c>
      <c r="B341" s="25" t="str">
        <f>IF(ISNUMBER('Change in Employment'!I348), TEXT('Change in Employment'!I348, "0"), "")</f>
        <v/>
      </c>
      <c r="C341" s="25" t="str">
        <f>IF(ISNUMBER('Change in Employment'!J348),TEXT('Change in Employment'!J348, "0"),"")</f>
        <v/>
      </c>
    </row>
    <row r="342" spans="1:3">
      <c r="A342" s="23" t="str">
        <f>TEXT(IF('Change in Employment'!B349&lt;&gt;0,DATE(YEAR('Change in Employment'!B349), MONTH('Change in Employment'!B349), 1), ""), "mm/dd/yyyy")</f>
        <v/>
      </c>
      <c r="B342" s="25" t="str">
        <f>IF(ISNUMBER('Change in Employment'!I349), TEXT('Change in Employment'!I349, "0"), "")</f>
        <v/>
      </c>
      <c r="C342" s="25" t="str">
        <f>IF(ISNUMBER('Change in Employment'!J349),TEXT('Change in Employment'!J349, "0"),"")</f>
        <v/>
      </c>
    </row>
    <row r="343" spans="1:3">
      <c r="A343" s="23" t="str">
        <f>TEXT(IF('Change in Employment'!B350&lt;&gt;0,DATE(YEAR('Change in Employment'!B350), MONTH('Change in Employment'!B350), 1), ""), "mm/dd/yyyy")</f>
        <v/>
      </c>
      <c r="B343" s="25" t="str">
        <f>IF(ISNUMBER('Change in Employment'!I350), TEXT('Change in Employment'!I350, "0"), "")</f>
        <v/>
      </c>
      <c r="C343" s="25" t="str">
        <f>IF(ISNUMBER('Change in Employment'!J350),TEXT('Change in Employment'!J350, "0"),"")</f>
        <v/>
      </c>
    </row>
    <row r="344" spans="1:3">
      <c r="A344" s="23" t="str">
        <f>TEXT(IF('Change in Employment'!B351&lt;&gt;0,DATE(YEAR('Change in Employment'!B351), MONTH('Change in Employment'!B351), 1), ""), "mm/dd/yyyy")</f>
        <v/>
      </c>
      <c r="B344" s="25" t="str">
        <f>IF(ISNUMBER('Change in Employment'!I351), TEXT('Change in Employment'!I351, "0"), "")</f>
        <v/>
      </c>
      <c r="C344" s="25" t="str">
        <f>IF(ISNUMBER('Change in Employment'!J351),TEXT('Change in Employment'!J351, "0"),"")</f>
        <v/>
      </c>
    </row>
    <row r="345" spans="1:3">
      <c r="A345" s="23" t="str">
        <f>TEXT(IF('Change in Employment'!B352&lt;&gt;0,DATE(YEAR('Change in Employment'!B352), MONTH('Change in Employment'!B352), 1), ""), "mm/dd/yyyy")</f>
        <v/>
      </c>
      <c r="B345" s="25" t="str">
        <f>IF(ISNUMBER('Change in Employment'!I352), TEXT('Change in Employment'!I352, "0"), "")</f>
        <v/>
      </c>
      <c r="C345" s="25" t="str">
        <f>IF(ISNUMBER('Change in Employment'!J352),TEXT('Change in Employment'!J352, "0"),"")</f>
        <v/>
      </c>
    </row>
    <row r="346" spans="1:3">
      <c r="A346" s="23" t="str">
        <f>TEXT(IF('Change in Employment'!B353&lt;&gt;0,DATE(YEAR('Change in Employment'!B353), MONTH('Change in Employment'!B353), 1), ""), "mm/dd/yyyy")</f>
        <v/>
      </c>
      <c r="B346" s="25" t="str">
        <f>IF(ISNUMBER('Change in Employment'!I353), TEXT('Change in Employment'!I353, "0"), "")</f>
        <v/>
      </c>
      <c r="C346" s="25" t="str">
        <f>IF(ISNUMBER('Change in Employment'!J353),TEXT('Change in Employment'!J353, "0"),"")</f>
        <v/>
      </c>
    </row>
    <row r="347" spans="1:3">
      <c r="A347" s="23" t="str">
        <f>TEXT(IF('Change in Employment'!B354&lt;&gt;0,DATE(YEAR('Change in Employment'!B354), MONTH('Change in Employment'!B354), 1), ""), "mm/dd/yyyy")</f>
        <v/>
      </c>
      <c r="B347" s="25" t="str">
        <f>IF(ISNUMBER('Change in Employment'!I354), TEXT('Change in Employment'!I354, "0"), "")</f>
        <v/>
      </c>
      <c r="C347" s="25" t="str">
        <f>IF(ISNUMBER('Change in Employment'!J354),TEXT('Change in Employment'!J354, "0"),"")</f>
        <v/>
      </c>
    </row>
    <row r="348" spans="1:3">
      <c r="A348" s="23" t="str">
        <f>TEXT(IF('Change in Employment'!B355&lt;&gt;0,DATE(YEAR('Change in Employment'!B355), MONTH('Change in Employment'!B355), 1), ""), "mm/dd/yyyy")</f>
        <v/>
      </c>
      <c r="B348" s="25" t="str">
        <f>IF(ISNUMBER('Change in Employment'!I355), TEXT('Change in Employment'!I355, "0"), "")</f>
        <v/>
      </c>
      <c r="C348" s="25" t="str">
        <f>IF(ISNUMBER('Change in Employment'!J355),TEXT('Change in Employment'!J355, "0"),"")</f>
        <v/>
      </c>
    </row>
    <row r="349" spans="1:3">
      <c r="A349" s="23" t="str">
        <f>TEXT(IF('Change in Employment'!B356&lt;&gt;0,DATE(YEAR('Change in Employment'!B356), MONTH('Change in Employment'!B356), 1), ""), "mm/dd/yyyy")</f>
        <v/>
      </c>
      <c r="B349" s="25" t="str">
        <f>IF(ISNUMBER('Change in Employment'!I356), TEXT('Change in Employment'!I356, "0"), "")</f>
        <v/>
      </c>
      <c r="C349" s="25" t="str">
        <f>IF(ISNUMBER('Change in Employment'!J356),TEXT('Change in Employment'!J356, "0"),"")</f>
        <v/>
      </c>
    </row>
    <row r="350" spans="1:3">
      <c r="A350" s="23" t="str">
        <f>TEXT(IF('Change in Employment'!B357&lt;&gt;0,DATE(YEAR('Change in Employment'!B357), MONTH('Change in Employment'!B357), 1), ""), "mm/dd/yyyy")</f>
        <v/>
      </c>
      <c r="B350" s="25" t="str">
        <f>IF(ISNUMBER('Change in Employment'!I357), TEXT('Change in Employment'!I357, "0"), "")</f>
        <v/>
      </c>
      <c r="C350" s="25" t="str">
        <f>IF(ISNUMBER('Change in Employment'!J357),TEXT('Change in Employment'!J357, "0"),"")</f>
        <v/>
      </c>
    </row>
    <row r="351" spans="1:3">
      <c r="A351" s="23" t="str">
        <f>TEXT(IF('Change in Employment'!B358&lt;&gt;0,DATE(YEAR('Change in Employment'!B358), MONTH('Change in Employment'!B358), 1), ""), "mm/dd/yyyy")</f>
        <v/>
      </c>
      <c r="B351" s="25" t="str">
        <f>IF(ISNUMBER('Change in Employment'!I358), TEXT('Change in Employment'!I358, "0"), "")</f>
        <v/>
      </c>
      <c r="C351" s="25" t="str">
        <f>IF(ISNUMBER('Change in Employment'!J358),TEXT('Change in Employment'!J358, "0"),"")</f>
        <v/>
      </c>
    </row>
    <row r="352" spans="1:3">
      <c r="A352" s="23" t="str">
        <f>TEXT(IF('Change in Employment'!B359&lt;&gt;0,DATE(YEAR('Change in Employment'!B359), MONTH('Change in Employment'!B359), 1), ""), "mm/dd/yyyy")</f>
        <v/>
      </c>
      <c r="B352" s="25" t="str">
        <f>IF(ISNUMBER('Change in Employment'!I359), TEXT('Change in Employment'!I359, "0"), "")</f>
        <v/>
      </c>
      <c r="C352" s="25" t="str">
        <f>IF(ISNUMBER('Change in Employment'!J359),TEXT('Change in Employment'!J359, "0"),"")</f>
        <v/>
      </c>
    </row>
    <row r="353" spans="1:3">
      <c r="A353" s="23" t="str">
        <f>TEXT(IF('Change in Employment'!B360&lt;&gt;0,DATE(YEAR('Change in Employment'!B360), MONTH('Change in Employment'!B360), 1), ""), "mm/dd/yyyy")</f>
        <v/>
      </c>
      <c r="B353" s="25" t="str">
        <f>IF(ISNUMBER('Change in Employment'!I360), TEXT('Change in Employment'!I360, "0"), "")</f>
        <v/>
      </c>
      <c r="C353" s="25" t="str">
        <f>IF(ISNUMBER('Change in Employment'!J360),TEXT('Change in Employment'!J360, "0"),"")</f>
        <v/>
      </c>
    </row>
    <row r="354" spans="1:3">
      <c r="A354" s="23" t="str">
        <f>TEXT(IF('Change in Employment'!B361&lt;&gt;0,DATE(YEAR('Change in Employment'!B361), MONTH('Change in Employment'!B361), 1), ""), "mm/dd/yyyy")</f>
        <v/>
      </c>
      <c r="B354" s="25" t="str">
        <f>IF(ISNUMBER('Change in Employment'!I361), TEXT('Change in Employment'!I361, "0"), "")</f>
        <v/>
      </c>
      <c r="C354" s="25" t="str">
        <f>IF(ISNUMBER('Change in Employment'!J361),TEXT('Change in Employment'!J361, "0"),"")</f>
        <v/>
      </c>
    </row>
    <row r="355" spans="1:3">
      <c r="A355" s="23" t="str">
        <f>TEXT(IF('Change in Employment'!B362&lt;&gt;0,DATE(YEAR('Change in Employment'!B362), MONTH('Change in Employment'!B362), 1), ""), "mm/dd/yyyy")</f>
        <v/>
      </c>
      <c r="B355" s="25" t="str">
        <f>IF(ISNUMBER('Change in Employment'!I362), TEXT('Change in Employment'!I362, "0"), "")</f>
        <v/>
      </c>
      <c r="C355" s="25" t="str">
        <f>IF(ISNUMBER('Change in Employment'!J362),TEXT('Change in Employment'!J362, "0"),"")</f>
        <v/>
      </c>
    </row>
    <row r="356" spans="1:3">
      <c r="A356" s="23" t="str">
        <f>TEXT(IF('Change in Employment'!B363&lt;&gt;0,DATE(YEAR('Change in Employment'!B363), MONTH('Change in Employment'!B363), 1), ""), "mm/dd/yyyy")</f>
        <v/>
      </c>
      <c r="B356" s="25" t="str">
        <f>IF(ISNUMBER('Change in Employment'!I363), TEXT('Change in Employment'!I363, "0"), "")</f>
        <v/>
      </c>
      <c r="C356" s="25" t="str">
        <f>IF(ISNUMBER('Change in Employment'!J363),TEXT('Change in Employment'!J363, "0"),"")</f>
        <v/>
      </c>
    </row>
    <row r="357" spans="1:3">
      <c r="A357" s="23" t="str">
        <f>TEXT(IF('Change in Employment'!B364&lt;&gt;0,DATE(YEAR('Change in Employment'!B364), MONTH('Change in Employment'!B364), 1), ""), "mm/dd/yyyy")</f>
        <v/>
      </c>
      <c r="B357" s="25" t="str">
        <f>IF(ISNUMBER('Change in Employment'!I364), TEXT('Change in Employment'!I364, "0"), "")</f>
        <v/>
      </c>
      <c r="C357" s="25" t="str">
        <f>IF(ISNUMBER('Change in Employment'!J364),TEXT('Change in Employment'!J364, "0"),"")</f>
        <v/>
      </c>
    </row>
    <row r="358" spans="1:3">
      <c r="A358" s="23" t="str">
        <f>TEXT(IF('Change in Employment'!B365&lt;&gt;0,DATE(YEAR('Change in Employment'!B365), MONTH('Change in Employment'!B365), 1), ""), "mm/dd/yyyy")</f>
        <v/>
      </c>
      <c r="B358" s="25" t="str">
        <f>IF(ISNUMBER('Change in Employment'!I365), TEXT('Change in Employment'!I365, "0"), "")</f>
        <v/>
      </c>
      <c r="C358" s="25" t="str">
        <f>IF(ISNUMBER('Change in Employment'!J365),TEXT('Change in Employment'!J365, "0"),"")</f>
        <v/>
      </c>
    </row>
    <row r="359" spans="1:3">
      <c r="A359" s="23" t="str">
        <f>TEXT(IF('Change in Employment'!B366&lt;&gt;0,DATE(YEAR('Change in Employment'!B366), MONTH('Change in Employment'!B366), 1), ""), "mm/dd/yyyy")</f>
        <v/>
      </c>
      <c r="B359" s="25" t="str">
        <f>IF(ISNUMBER('Change in Employment'!I366), TEXT('Change in Employment'!I366, "0"), "")</f>
        <v/>
      </c>
      <c r="C359" s="25" t="str">
        <f>IF(ISNUMBER('Change in Employment'!J366),TEXT('Change in Employment'!J366, "0"),"")</f>
        <v/>
      </c>
    </row>
    <row r="360" spans="1:3">
      <c r="A360" s="23" t="str">
        <f>TEXT(IF('Change in Employment'!B367&lt;&gt;0,DATE(YEAR('Change in Employment'!B367), MONTH('Change in Employment'!B367), 1), ""), "mm/dd/yyyy")</f>
        <v/>
      </c>
      <c r="B360" s="25" t="str">
        <f>IF(ISNUMBER('Change in Employment'!I367), TEXT('Change in Employment'!I367, "0"), "")</f>
        <v/>
      </c>
      <c r="C360" s="25" t="str">
        <f>IF(ISNUMBER('Change in Employment'!J367),TEXT('Change in Employment'!J367, "0"),"")</f>
        <v/>
      </c>
    </row>
    <row r="361" spans="1:3">
      <c r="A361" s="23" t="str">
        <f>TEXT(IF('Change in Employment'!B368&lt;&gt;0,DATE(YEAR('Change in Employment'!B368), MONTH('Change in Employment'!B368), 1), ""), "mm/dd/yyyy")</f>
        <v/>
      </c>
      <c r="B361" s="25" t="str">
        <f>IF(ISNUMBER('Change in Employment'!I368), TEXT('Change in Employment'!I368, "0"), "")</f>
        <v/>
      </c>
      <c r="C361" s="25" t="str">
        <f>IF(ISNUMBER('Change in Employment'!J368),TEXT('Change in Employment'!J368, "0"),"")</f>
        <v/>
      </c>
    </row>
    <row r="362" spans="1:3">
      <c r="A362" s="23" t="str">
        <f>TEXT(IF('Change in Employment'!B369&lt;&gt;0,DATE(YEAR('Change in Employment'!B369), MONTH('Change in Employment'!B369), 1), ""), "mm/dd/yyyy")</f>
        <v/>
      </c>
      <c r="B362" s="25" t="str">
        <f>IF(ISNUMBER('Change in Employment'!I369), TEXT('Change in Employment'!I369, "0"), "")</f>
        <v/>
      </c>
      <c r="C362" s="25" t="str">
        <f>IF(ISNUMBER('Change in Employment'!J369),TEXT('Change in Employment'!J369, "0"),"")</f>
        <v/>
      </c>
    </row>
    <row r="363" spans="1:3">
      <c r="A363" s="23" t="str">
        <f>TEXT(IF('Change in Employment'!B370&lt;&gt;0,DATE(YEAR('Change in Employment'!B370), MONTH('Change in Employment'!B370), 1), ""), "mm/dd/yyyy")</f>
        <v/>
      </c>
      <c r="B363" s="25" t="str">
        <f>IF(ISNUMBER('Change in Employment'!I370), TEXT('Change in Employment'!I370, "0"), "")</f>
        <v/>
      </c>
      <c r="C363" s="25" t="str">
        <f>IF(ISNUMBER('Change in Employment'!J370),TEXT('Change in Employment'!J370, "0"),"")</f>
        <v/>
      </c>
    </row>
    <row r="364" spans="1:3">
      <c r="A364" s="23" t="str">
        <f>TEXT(IF('Change in Employment'!B371&lt;&gt;0,DATE(YEAR('Change in Employment'!B371), MONTH('Change in Employment'!B371), 1), ""), "mm/dd/yyyy")</f>
        <v/>
      </c>
      <c r="B364" s="25" t="str">
        <f>IF(ISNUMBER('Change in Employment'!I371), TEXT('Change in Employment'!I371, "0"), "")</f>
        <v/>
      </c>
      <c r="C364" s="25" t="str">
        <f>IF(ISNUMBER('Change in Employment'!J371),TEXT('Change in Employment'!J371, "0"),"")</f>
        <v/>
      </c>
    </row>
    <row r="365" spans="1:3">
      <c r="A365" s="23" t="str">
        <f>TEXT(IF('Change in Employment'!B372&lt;&gt;0,DATE(YEAR('Change in Employment'!B372), MONTH('Change in Employment'!B372), 1), ""), "mm/dd/yyyy")</f>
        <v/>
      </c>
      <c r="B365" s="25" t="str">
        <f>IF(ISNUMBER('Change in Employment'!I372), TEXT('Change in Employment'!I372, "0"), "")</f>
        <v/>
      </c>
      <c r="C365" s="25" t="str">
        <f>IF(ISNUMBER('Change in Employment'!J372),TEXT('Change in Employment'!J372, "0"),"")</f>
        <v/>
      </c>
    </row>
    <row r="366" spans="1:3">
      <c r="A366" s="23" t="str">
        <f>TEXT(IF('Change in Employment'!B373&lt;&gt;0,DATE(YEAR('Change in Employment'!B373), MONTH('Change in Employment'!B373), 1), ""), "mm/dd/yyyy")</f>
        <v/>
      </c>
      <c r="B366" s="25" t="str">
        <f>IF(ISNUMBER('Change in Employment'!I373), TEXT('Change in Employment'!I373, "0"), "")</f>
        <v/>
      </c>
      <c r="C366" s="25" t="str">
        <f>IF(ISNUMBER('Change in Employment'!J373),TEXT('Change in Employment'!J373, "0"),"")</f>
        <v/>
      </c>
    </row>
    <row r="367" spans="1:3">
      <c r="A367" s="23" t="str">
        <f>TEXT(IF('Change in Employment'!B374&lt;&gt;0,DATE(YEAR('Change in Employment'!B374), MONTH('Change in Employment'!B374), 1), ""), "mm/dd/yyyy")</f>
        <v/>
      </c>
      <c r="B367" s="25" t="str">
        <f>IF(ISNUMBER('Change in Employment'!I374), TEXT('Change in Employment'!I374, "0"), "")</f>
        <v/>
      </c>
      <c r="C367" s="25" t="str">
        <f>IF(ISNUMBER('Change in Employment'!J374),TEXT('Change in Employment'!J374, "0"),"")</f>
        <v/>
      </c>
    </row>
    <row r="368" spans="1:3">
      <c r="A368" s="23" t="str">
        <f>TEXT(IF('Change in Employment'!B375&lt;&gt;0,DATE(YEAR('Change in Employment'!B375), MONTH('Change in Employment'!B375), 1), ""), "mm/dd/yyyy")</f>
        <v/>
      </c>
      <c r="B368" s="25" t="str">
        <f>IF(ISNUMBER('Change in Employment'!I375), TEXT('Change in Employment'!I375, "0"), "")</f>
        <v/>
      </c>
      <c r="C368" s="25" t="str">
        <f>IF(ISNUMBER('Change in Employment'!J375),TEXT('Change in Employment'!J375, "0"),"")</f>
        <v/>
      </c>
    </row>
    <row r="369" spans="1:3">
      <c r="A369" s="23" t="str">
        <f>TEXT(IF('Change in Employment'!B376&lt;&gt;0,DATE(YEAR('Change in Employment'!B376), MONTH('Change in Employment'!B376), 1), ""), "mm/dd/yyyy")</f>
        <v/>
      </c>
      <c r="B369" s="25" t="str">
        <f>IF(ISNUMBER('Change in Employment'!I376), TEXT('Change in Employment'!I376, "0"), "")</f>
        <v/>
      </c>
      <c r="C369" s="25" t="str">
        <f>IF(ISNUMBER('Change in Employment'!J376),TEXT('Change in Employment'!J376, "0"),"")</f>
        <v/>
      </c>
    </row>
    <row r="370" spans="1:3">
      <c r="A370" s="23" t="str">
        <f>TEXT(IF('Change in Employment'!B377&lt;&gt;0,DATE(YEAR('Change in Employment'!B377), MONTH('Change in Employment'!B377), 1), ""), "mm/dd/yyyy")</f>
        <v/>
      </c>
      <c r="B370" s="25" t="str">
        <f>IF(ISNUMBER('Change in Employment'!I377), TEXT('Change in Employment'!I377, "0"), "")</f>
        <v/>
      </c>
      <c r="C370" s="25" t="str">
        <f>IF(ISNUMBER('Change in Employment'!J377),TEXT('Change in Employment'!J377, "0"),"")</f>
        <v/>
      </c>
    </row>
    <row r="371" spans="1:3">
      <c r="A371" s="23" t="str">
        <f>TEXT(IF('Change in Employment'!B378&lt;&gt;0,DATE(YEAR('Change in Employment'!B378), MONTH('Change in Employment'!B378), 1), ""), "mm/dd/yyyy")</f>
        <v/>
      </c>
      <c r="B371" s="25" t="str">
        <f>IF(ISNUMBER('Change in Employment'!I378), TEXT('Change in Employment'!I378, "0"), "")</f>
        <v/>
      </c>
      <c r="C371" s="25" t="str">
        <f>IF(ISNUMBER('Change in Employment'!J378),TEXT('Change in Employment'!J378, "0"),"")</f>
        <v/>
      </c>
    </row>
    <row r="372" spans="1:3">
      <c r="A372" s="23" t="str">
        <f>TEXT(IF('Change in Employment'!B379&lt;&gt;0,DATE(YEAR('Change in Employment'!B379), MONTH('Change in Employment'!B379), 1), ""), "mm/dd/yyyy")</f>
        <v/>
      </c>
      <c r="B372" s="25" t="str">
        <f>IF(ISNUMBER('Change in Employment'!I379), TEXT('Change in Employment'!I379, "0"), "")</f>
        <v/>
      </c>
      <c r="C372" s="25" t="str">
        <f>IF(ISNUMBER('Change in Employment'!J379),TEXT('Change in Employment'!J379, "0"),"")</f>
        <v/>
      </c>
    </row>
    <row r="373" spans="1:3">
      <c r="A373" s="23" t="str">
        <f>TEXT(IF('Change in Employment'!B380&lt;&gt;0,DATE(YEAR('Change in Employment'!B380), MONTH('Change in Employment'!B380), 1), ""), "mm/dd/yyyy")</f>
        <v/>
      </c>
      <c r="B373" s="25" t="str">
        <f>IF(ISNUMBER('Change in Employment'!I380), TEXT('Change in Employment'!I380, "0"), "")</f>
        <v/>
      </c>
      <c r="C373" s="25" t="str">
        <f>IF(ISNUMBER('Change in Employment'!J380),TEXT('Change in Employment'!J380, "0"),"")</f>
        <v/>
      </c>
    </row>
    <row r="374" spans="1:3">
      <c r="A374" s="23" t="str">
        <f>TEXT(IF('Change in Employment'!B381&lt;&gt;0,DATE(YEAR('Change in Employment'!B381), MONTH('Change in Employment'!B381), 1), ""), "mm/dd/yyyy")</f>
        <v/>
      </c>
      <c r="B374" s="25" t="str">
        <f>IF(ISNUMBER('Change in Employment'!I381), TEXT('Change in Employment'!I381, "0"), "")</f>
        <v/>
      </c>
      <c r="C374" s="25" t="str">
        <f>IF(ISNUMBER('Change in Employment'!J381),TEXT('Change in Employment'!J381, "0"),"")</f>
        <v/>
      </c>
    </row>
    <row r="375" spans="1:3">
      <c r="A375" s="23" t="str">
        <f>TEXT(IF('Change in Employment'!B382&lt;&gt;0,DATE(YEAR('Change in Employment'!B382), MONTH('Change in Employment'!B382), 1), ""), "mm/dd/yyyy")</f>
        <v/>
      </c>
      <c r="B375" s="25" t="str">
        <f>IF(ISNUMBER('Change in Employment'!I382), TEXT('Change in Employment'!I382, "0"), "")</f>
        <v/>
      </c>
      <c r="C375" s="25" t="str">
        <f>IF(ISNUMBER('Change in Employment'!J382),TEXT('Change in Employment'!J382, "0"),"")</f>
        <v/>
      </c>
    </row>
    <row r="376" spans="1:3">
      <c r="A376" s="23" t="str">
        <f>TEXT(IF('Change in Employment'!B383&lt;&gt;0,DATE(YEAR('Change in Employment'!B383), MONTH('Change in Employment'!B383), 1), ""), "mm/dd/yyyy")</f>
        <v/>
      </c>
      <c r="B376" s="25" t="str">
        <f>IF(ISNUMBER('Change in Employment'!I383), TEXT('Change in Employment'!I383, "0"), "")</f>
        <v/>
      </c>
      <c r="C376" s="25" t="str">
        <f>IF(ISNUMBER('Change in Employment'!J383),TEXT('Change in Employment'!J383, "0"),"")</f>
        <v/>
      </c>
    </row>
    <row r="377" spans="1:3">
      <c r="A377" s="23" t="str">
        <f>TEXT(IF('Change in Employment'!B384&lt;&gt;0,DATE(YEAR('Change in Employment'!B384), MONTH('Change in Employment'!B384), 1), ""), "mm/dd/yyyy")</f>
        <v/>
      </c>
      <c r="B377" s="25" t="str">
        <f>IF(ISNUMBER('Change in Employment'!I384), TEXT('Change in Employment'!I384, "0"), "")</f>
        <v/>
      </c>
      <c r="C377" s="25" t="str">
        <f>IF(ISNUMBER('Change in Employment'!J384),TEXT('Change in Employment'!J384, "0"),"")</f>
        <v/>
      </c>
    </row>
    <row r="378" spans="1:3">
      <c r="A378" s="23" t="str">
        <f>TEXT(IF('Change in Employment'!B385&lt;&gt;0,DATE(YEAR('Change in Employment'!B385), MONTH('Change in Employment'!B385), 1), ""), "mm/dd/yyyy")</f>
        <v/>
      </c>
      <c r="B378" s="25" t="str">
        <f>IF(ISNUMBER('Change in Employment'!I385), TEXT('Change in Employment'!I385, "0"), "")</f>
        <v/>
      </c>
      <c r="C378" s="25" t="str">
        <f>IF(ISNUMBER('Change in Employment'!J385),TEXT('Change in Employment'!J385, "0"),"")</f>
        <v/>
      </c>
    </row>
    <row r="379" spans="1:3">
      <c r="A379" s="23" t="str">
        <f>TEXT(IF('Change in Employment'!B386&lt;&gt;0,DATE(YEAR('Change in Employment'!B386), MONTH('Change in Employment'!B386), 1), ""), "mm/dd/yyyy")</f>
        <v/>
      </c>
      <c r="B379" s="25" t="str">
        <f>IF(ISNUMBER('Change in Employment'!I386), TEXT('Change in Employment'!I386, "0"), "")</f>
        <v/>
      </c>
      <c r="C379" s="25" t="str">
        <f>IF(ISNUMBER('Change in Employment'!J386),TEXT('Change in Employment'!J386, "0"),"")</f>
        <v/>
      </c>
    </row>
    <row r="380" spans="1:3">
      <c r="A380" s="23" t="str">
        <f>TEXT(IF('Change in Employment'!B387&lt;&gt;0,DATE(YEAR('Change in Employment'!B387), MONTH('Change in Employment'!B387), 1), ""), "mm/dd/yyyy")</f>
        <v/>
      </c>
      <c r="B380" s="25" t="str">
        <f>IF(ISNUMBER('Change in Employment'!I387), TEXT('Change in Employment'!I387, "0"), "")</f>
        <v/>
      </c>
      <c r="C380" s="25" t="str">
        <f>IF(ISNUMBER('Change in Employment'!J387),TEXT('Change in Employment'!J387, "0"),"")</f>
        <v/>
      </c>
    </row>
    <row r="381" spans="1:3">
      <c r="A381" s="23" t="str">
        <f>TEXT(IF('Change in Employment'!B388&lt;&gt;0,DATE(YEAR('Change in Employment'!B388), MONTH('Change in Employment'!B388), 1), ""), "mm/dd/yyyy")</f>
        <v/>
      </c>
      <c r="B381" s="25" t="str">
        <f>IF(ISNUMBER('Change in Employment'!I388), TEXT('Change in Employment'!I388, "0"), "")</f>
        <v/>
      </c>
      <c r="C381" s="25" t="str">
        <f>IF(ISNUMBER('Change in Employment'!J388),TEXT('Change in Employment'!J388, "0"),"")</f>
        <v/>
      </c>
    </row>
    <row r="382" spans="1:3">
      <c r="A382" s="23" t="str">
        <f>TEXT(IF('Change in Employment'!B389&lt;&gt;0,DATE(YEAR('Change in Employment'!B389), MONTH('Change in Employment'!B389), 1), ""), "mm/dd/yyyy")</f>
        <v/>
      </c>
      <c r="B382" s="25" t="str">
        <f>IF(ISNUMBER('Change in Employment'!I389), TEXT('Change in Employment'!I389, "0"), "")</f>
        <v/>
      </c>
      <c r="C382" s="25" t="str">
        <f>IF(ISNUMBER('Change in Employment'!J389),TEXT('Change in Employment'!J389, "0"),"")</f>
        <v/>
      </c>
    </row>
    <row r="383" spans="1:3">
      <c r="A383" s="23" t="str">
        <f>TEXT(IF('Change in Employment'!B390&lt;&gt;0,DATE(YEAR('Change in Employment'!B390), MONTH('Change in Employment'!B390), 1), ""), "mm/dd/yyyy")</f>
        <v/>
      </c>
      <c r="B383" s="25" t="str">
        <f>IF(ISNUMBER('Change in Employment'!I390), TEXT('Change in Employment'!I390, "0"), "")</f>
        <v/>
      </c>
      <c r="C383" s="25" t="str">
        <f>IF(ISNUMBER('Change in Employment'!J390),TEXT('Change in Employment'!J390, "0"),"")</f>
        <v/>
      </c>
    </row>
    <row r="384" spans="1:3">
      <c r="A384" s="23" t="str">
        <f>TEXT(IF('Change in Employment'!B391&lt;&gt;0,DATE(YEAR('Change in Employment'!B391), MONTH('Change in Employment'!B391), 1), ""), "mm/dd/yyyy")</f>
        <v/>
      </c>
      <c r="B384" s="25" t="str">
        <f>IF(ISNUMBER('Change in Employment'!I391), TEXT('Change in Employment'!I391, "0"), "")</f>
        <v/>
      </c>
      <c r="C384" s="25" t="str">
        <f>IF(ISNUMBER('Change in Employment'!J391),TEXT('Change in Employment'!J391, "0"),"")</f>
        <v/>
      </c>
    </row>
    <row r="385" spans="1:3">
      <c r="A385" s="23" t="str">
        <f>TEXT(IF('Change in Employment'!B392&lt;&gt;0,DATE(YEAR('Change in Employment'!B392), MONTH('Change in Employment'!B392), 1), ""), "mm/dd/yyyy")</f>
        <v/>
      </c>
      <c r="B385" s="25" t="str">
        <f>IF(ISNUMBER('Change in Employment'!I392), TEXT('Change in Employment'!I392, "0"), "")</f>
        <v/>
      </c>
      <c r="C385" s="25" t="str">
        <f>IF(ISNUMBER('Change in Employment'!J392),TEXT('Change in Employment'!J392, "0"),"")</f>
        <v/>
      </c>
    </row>
    <row r="386" spans="1:3">
      <c r="A386" s="23" t="str">
        <f>TEXT(IF('Change in Employment'!B393&lt;&gt;0,DATE(YEAR('Change in Employment'!B393), MONTH('Change in Employment'!B393), 1), ""), "mm/dd/yyyy")</f>
        <v/>
      </c>
      <c r="B386" s="25" t="str">
        <f>IF(ISNUMBER('Change in Employment'!I393), TEXT('Change in Employment'!I393, "0"), "")</f>
        <v/>
      </c>
      <c r="C386" s="25" t="str">
        <f>IF(ISNUMBER('Change in Employment'!J393),TEXT('Change in Employment'!J393, "0"),"")</f>
        <v/>
      </c>
    </row>
    <row r="387" spans="1:3">
      <c r="A387" s="23" t="str">
        <f>TEXT(IF('Change in Employment'!B394&lt;&gt;0,DATE(YEAR('Change in Employment'!B394), MONTH('Change in Employment'!B394), 1), ""), "mm/dd/yyyy")</f>
        <v/>
      </c>
      <c r="B387" s="25" t="str">
        <f>IF(ISNUMBER('Change in Employment'!I394), TEXT('Change in Employment'!I394, "0"), "")</f>
        <v/>
      </c>
      <c r="C387" s="25" t="str">
        <f>IF(ISNUMBER('Change in Employment'!J394),TEXT('Change in Employment'!J394, "0"),"")</f>
        <v/>
      </c>
    </row>
    <row r="388" spans="1:3">
      <c r="A388" s="23" t="str">
        <f>TEXT(IF('Change in Employment'!B395&lt;&gt;0,DATE(YEAR('Change in Employment'!B395), MONTH('Change in Employment'!B395), 1), ""), "mm/dd/yyyy")</f>
        <v/>
      </c>
      <c r="B388" s="25" t="str">
        <f>IF(ISNUMBER('Change in Employment'!I395), TEXT('Change in Employment'!I395, "0"), "")</f>
        <v/>
      </c>
      <c r="C388" s="25" t="str">
        <f>IF(ISNUMBER('Change in Employment'!J395),TEXT('Change in Employment'!J395, "0"),"")</f>
        <v/>
      </c>
    </row>
    <row r="389" spans="1:3">
      <c r="A389" s="23" t="str">
        <f>TEXT(IF('Change in Employment'!B396&lt;&gt;0,DATE(YEAR('Change in Employment'!B396), MONTH('Change in Employment'!B396), 1), ""), "mm/dd/yyyy")</f>
        <v/>
      </c>
      <c r="B389" s="25" t="str">
        <f>IF(ISNUMBER('Change in Employment'!I396), TEXT('Change in Employment'!I396, "0"), "")</f>
        <v/>
      </c>
      <c r="C389" s="25" t="str">
        <f>IF(ISNUMBER('Change in Employment'!J396),TEXT('Change in Employment'!J396, "0"),"")</f>
        <v/>
      </c>
    </row>
    <row r="390" spans="1:3">
      <c r="A390" s="23" t="str">
        <f>TEXT(IF('Change in Employment'!B397&lt;&gt;0,DATE(YEAR('Change in Employment'!B397), MONTH('Change in Employment'!B397), 1), ""), "mm/dd/yyyy")</f>
        <v/>
      </c>
      <c r="B390" s="25" t="str">
        <f>IF(ISNUMBER('Change in Employment'!I397), TEXT('Change in Employment'!I397, "0"), "")</f>
        <v/>
      </c>
      <c r="C390" s="25" t="str">
        <f>IF(ISNUMBER('Change in Employment'!J397),TEXT('Change in Employment'!J397, "0"),"")</f>
        <v/>
      </c>
    </row>
    <row r="391" spans="1:3">
      <c r="A391" s="23" t="str">
        <f>TEXT(IF('Change in Employment'!B398&lt;&gt;0,DATE(YEAR('Change in Employment'!B398), MONTH('Change in Employment'!B398), 1), ""), "mm/dd/yyyy")</f>
        <v/>
      </c>
      <c r="B391" s="25" t="str">
        <f>IF(ISNUMBER('Change in Employment'!I398), TEXT('Change in Employment'!I398, "0"), "")</f>
        <v/>
      </c>
      <c r="C391" s="25" t="str">
        <f>IF(ISNUMBER('Change in Employment'!J398),TEXT('Change in Employment'!J398, "0"),"")</f>
        <v/>
      </c>
    </row>
    <row r="392" spans="1:3">
      <c r="A392" s="23" t="str">
        <f>TEXT(IF('Change in Employment'!B399&lt;&gt;0,DATE(YEAR('Change in Employment'!B399), MONTH('Change in Employment'!B399), 1), ""), "mm/dd/yyyy")</f>
        <v/>
      </c>
      <c r="B392" s="25" t="str">
        <f>IF(ISNUMBER('Change in Employment'!I399), TEXT('Change in Employment'!I399, "0"), "")</f>
        <v/>
      </c>
      <c r="C392" s="25" t="str">
        <f>IF(ISNUMBER('Change in Employment'!J399),TEXT('Change in Employment'!J399, "0"),"")</f>
        <v/>
      </c>
    </row>
    <row r="393" spans="1:3">
      <c r="A393" s="23" t="str">
        <f>TEXT(IF('Change in Employment'!B400&lt;&gt;0,DATE(YEAR('Change in Employment'!B400), MONTH('Change in Employment'!B400), 1), ""), "mm/dd/yyyy")</f>
        <v/>
      </c>
      <c r="B393" s="25" t="str">
        <f>IF(ISNUMBER('Change in Employment'!I400), TEXT('Change in Employment'!I400, "0"), "")</f>
        <v/>
      </c>
      <c r="C393" s="25" t="str">
        <f>IF(ISNUMBER('Change in Employment'!J400),TEXT('Change in Employment'!J400, "0"),"")</f>
        <v/>
      </c>
    </row>
    <row r="394" spans="1:3">
      <c r="A394" s="23" t="str">
        <f>TEXT(IF('Change in Employment'!B401&lt;&gt;0,DATE(YEAR('Change in Employment'!B401), MONTH('Change in Employment'!B401), 1), ""), "mm/dd/yyyy")</f>
        <v/>
      </c>
      <c r="B394" s="25" t="str">
        <f>IF(ISNUMBER('Change in Employment'!I401), TEXT('Change in Employment'!I401, "0"), "")</f>
        <v/>
      </c>
      <c r="C394" s="25" t="str">
        <f>IF(ISNUMBER('Change in Employment'!J401),TEXT('Change in Employment'!J401, "0"),"")</f>
        <v/>
      </c>
    </row>
    <row r="395" spans="1:3">
      <c r="A395" s="23" t="str">
        <f>TEXT(IF('Change in Employment'!B402&lt;&gt;0,DATE(YEAR('Change in Employment'!B402), MONTH('Change in Employment'!B402), 1), ""), "mm/dd/yyyy")</f>
        <v/>
      </c>
      <c r="B395" s="25" t="str">
        <f>IF(ISNUMBER('Change in Employment'!I402), TEXT('Change in Employment'!I402, "0"), "")</f>
        <v/>
      </c>
      <c r="C395" s="25" t="str">
        <f>IF(ISNUMBER('Change in Employment'!J402),TEXT('Change in Employment'!J402, "0"),"")</f>
        <v/>
      </c>
    </row>
    <row r="396" spans="1:3">
      <c r="A396" s="23" t="str">
        <f>TEXT(IF('Change in Employment'!B403&lt;&gt;0,DATE(YEAR('Change in Employment'!B403), MONTH('Change in Employment'!B403), 1), ""), "mm/dd/yyyy")</f>
        <v/>
      </c>
      <c r="B396" s="25" t="str">
        <f>IF(ISNUMBER('Change in Employment'!I403), TEXT('Change in Employment'!I403, "0"), "")</f>
        <v/>
      </c>
      <c r="C396" s="25" t="str">
        <f>IF(ISNUMBER('Change in Employment'!J403),TEXT('Change in Employment'!J403, "0"),"")</f>
        <v/>
      </c>
    </row>
    <row r="397" spans="1:3">
      <c r="A397" s="23" t="str">
        <f>TEXT(IF('Change in Employment'!B404&lt;&gt;0,DATE(YEAR('Change in Employment'!B404), MONTH('Change in Employment'!B404), 1), ""), "mm/dd/yyyy")</f>
        <v/>
      </c>
      <c r="B397" s="25" t="str">
        <f>IF(ISNUMBER('Change in Employment'!I404), TEXT('Change in Employment'!I404, "0"), "")</f>
        <v/>
      </c>
      <c r="C397" s="25" t="str">
        <f>IF(ISNUMBER('Change in Employment'!J404),TEXT('Change in Employment'!J404, "0"),"")</f>
        <v/>
      </c>
    </row>
    <row r="398" spans="1:3">
      <c r="A398" s="23" t="str">
        <f>TEXT(IF('Change in Employment'!B405&lt;&gt;0,DATE(YEAR('Change in Employment'!B405), MONTH('Change in Employment'!B405), 1), ""), "mm/dd/yyyy")</f>
        <v/>
      </c>
      <c r="B398" s="25" t="str">
        <f>IF(ISNUMBER('Change in Employment'!I405), TEXT('Change in Employment'!I405, "0"), "")</f>
        <v/>
      </c>
      <c r="C398" s="25" t="str">
        <f>IF(ISNUMBER('Change in Employment'!J405),TEXT('Change in Employment'!J405, "0"),"")</f>
        <v/>
      </c>
    </row>
    <row r="399" spans="1:3">
      <c r="A399" s="23" t="str">
        <f>TEXT(IF('Change in Employment'!B406&lt;&gt;0,DATE(YEAR('Change in Employment'!B406), MONTH('Change in Employment'!B406), 1), ""), "mm/dd/yyyy")</f>
        <v/>
      </c>
      <c r="B399" s="25" t="str">
        <f>IF(ISNUMBER('Change in Employment'!I406), TEXT('Change in Employment'!I406, "0"), "")</f>
        <v/>
      </c>
      <c r="C399" s="25" t="str">
        <f>IF(ISNUMBER('Change in Employment'!J406),TEXT('Change in Employment'!J406, "0"),"")</f>
        <v/>
      </c>
    </row>
    <row r="400" spans="1:3">
      <c r="A400" s="23" t="str">
        <f>TEXT(IF('Change in Employment'!B407&lt;&gt;0,DATE(YEAR('Change in Employment'!B407), MONTH('Change in Employment'!B407), 1), ""), "mm/dd/yyyy")</f>
        <v/>
      </c>
      <c r="B400" s="25" t="str">
        <f>IF(ISNUMBER('Change in Employment'!I407), TEXT('Change in Employment'!I407, "0"), "")</f>
        <v/>
      </c>
      <c r="C400" s="25" t="str">
        <f>IF(ISNUMBER('Change in Employment'!J407),TEXT('Change in Employment'!J407, "0"),"")</f>
        <v/>
      </c>
    </row>
    <row r="401" spans="1:3">
      <c r="A401" s="23" t="str">
        <f>TEXT(IF('Change in Employment'!B408&lt;&gt;0,DATE(YEAR('Change in Employment'!B408), MONTH('Change in Employment'!B408), 1), ""), "mm/dd/yyyy")</f>
        <v/>
      </c>
      <c r="B401" s="25" t="str">
        <f>IF(ISNUMBER('Change in Employment'!I408), TEXT('Change in Employment'!I408, "0"), "")</f>
        <v/>
      </c>
      <c r="C401" s="25" t="str">
        <f>IF(ISNUMBER('Change in Employment'!J408),TEXT('Change in Employment'!J408, "0"),"")</f>
        <v/>
      </c>
    </row>
    <row r="402" spans="1:3">
      <c r="A402" s="23" t="str">
        <f>TEXT(IF('Change in Employment'!B409&lt;&gt;0,DATE(YEAR('Change in Employment'!B409), MONTH('Change in Employment'!B409), 1), ""), "mm/dd/yyyy")</f>
        <v/>
      </c>
      <c r="B402" s="25" t="str">
        <f>IF(ISNUMBER('Change in Employment'!I409), TEXT('Change in Employment'!I409, "0"), "")</f>
        <v/>
      </c>
      <c r="C402" s="25" t="str">
        <f>IF(ISNUMBER('Change in Employment'!J409),TEXT('Change in Employment'!J409, "0"),"")</f>
        <v/>
      </c>
    </row>
    <row r="403" spans="1:3">
      <c r="A403" s="23" t="str">
        <f>TEXT(IF('Change in Employment'!B410&lt;&gt;0,DATE(YEAR('Change in Employment'!B410), MONTH('Change in Employment'!B410), 1), ""), "mm/dd/yyyy")</f>
        <v/>
      </c>
      <c r="B403" s="25" t="str">
        <f>IF(ISNUMBER('Change in Employment'!I410), TEXT('Change in Employment'!I410, "0"), "")</f>
        <v/>
      </c>
      <c r="C403" s="25" t="str">
        <f>IF(ISNUMBER('Change in Employment'!J410),TEXT('Change in Employment'!J410, "0"),"")</f>
        <v/>
      </c>
    </row>
    <row r="404" spans="1:3">
      <c r="A404" s="23" t="str">
        <f>TEXT(IF('Change in Employment'!B411&lt;&gt;0,DATE(YEAR('Change in Employment'!B411), MONTH('Change in Employment'!B411), 1), ""), "mm/dd/yyyy")</f>
        <v/>
      </c>
      <c r="B404" s="25" t="str">
        <f>IF(ISNUMBER('Change in Employment'!I411), TEXT('Change in Employment'!I411, "0"), "")</f>
        <v/>
      </c>
      <c r="C404" s="25" t="str">
        <f>IF(ISNUMBER('Change in Employment'!J411),TEXT('Change in Employment'!J411, "0"),"")</f>
        <v/>
      </c>
    </row>
    <row r="405" spans="1:3">
      <c r="A405" s="23" t="str">
        <f>TEXT(IF('Change in Employment'!B412&lt;&gt;0,DATE(YEAR('Change in Employment'!B412), MONTH('Change in Employment'!B412), 1), ""), "mm/dd/yyyy")</f>
        <v/>
      </c>
      <c r="B405" s="25" t="str">
        <f>IF(ISNUMBER('Change in Employment'!I412), TEXT('Change in Employment'!I412, "0"), "")</f>
        <v/>
      </c>
      <c r="C405" s="25" t="str">
        <f>IF(ISNUMBER('Change in Employment'!J412),TEXT('Change in Employment'!J412, "0"),"")</f>
        <v/>
      </c>
    </row>
    <row r="406" spans="1:3">
      <c r="A406" s="23" t="str">
        <f>TEXT(IF('Change in Employment'!B413&lt;&gt;0,DATE(YEAR('Change in Employment'!B413), MONTH('Change in Employment'!B413), 1), ""), "mm/dd/yyyy")</f>
        <v/>
      </c>
      <c r="B406" s="25" t="str">
        <f>IF(ISNUMBER('Change in Employment'!I413), TEXT('Change in Employment'!I413, "0"), "")</f>
        <v/>
      </c>
      <c r="C406" s="25" t="str">
        <f>IF(ISNUMBER('Change in Employment'!J413),TEXT('Change in Employment'!J413, "0"),"")</f>
        <v/>
      </c>
    </row>
    <row r="407" spans="1:3">
      <c r="A407" s="23" t="str">
        <f>TEXT(IF('Change in Employment'!B414&lt;&gt;0,DATE(YEAR('Change in Employment'!B414), MONTH('Change in Employment'!B414), 1), ""), "mm/dd/yyyy")</f>
        <v/>
      </c>
      <c r="B407" s="25" t="str">
        <f>IF(ISNUMBER('Change in Employment'!I414), TEXT('Change in Employment'!I414, "0"), "")</f>
        <v/>
      </c>
      <c r="C407" s="25" t="str">
        <f>IF(ISNUMBER('Change in Employment'!J414),TEXT('Change in Employment'!J414, "0"),"")</f>
        <v/>
      </c>
    </row>
    <row r="408" spans="1:3">
      <c r="A408" s="23" t="str">
        <f>TEXT(IF('Change in Employment'!B415&lt;&gt;0,DATE(YEAR('Change in Employment'!B415), MONTH('Change in Employment'!B415), 1), ""), "mm/dd/yyyy")</f>
        <v/>
      </c>
      <c r="B408" s="25" t="str">
        <f>IF(ISNUMBER('Change in Employment'!I415), TEXT('Change in Employment'!I415, "0"), "")</f>
        <v/>
      </c>
      <c r="C408" s="25" t="str">
        <f>IF(ISNUMBER('Change in Employment'!J415),TEXT('Change in Employment'!J415, "0"),"")</f>
        <v/>
      </c>
    </row>
    <row r="409" spans="1:3">
      <c r="A409" s="23" t="str">
        <f>TEXT(IF('Change in Employment'!B416&lt;&gt;0,DATE(YEAR('Change in Employment'!B416), MONTH('Change in Employment'!B416), 1), ""), "mm/dd/yyyy")</f>
        <v/>
      </c>
      <c r="B409" s="25" t="str">
        <f>IF(ISNUMBER('Change in Employment'!I416), TEXT('Change in Employment'!I416, "0"), "")</f>
        <v/>
      </c>
      <c r="C409" s="25" t="str">
        <f>IF(ISNUMBER('Change in Employment'!J416),TEXT('Change in Employment'!J416, "0"),"")</f>
        <v/>
      </c>
    </row>
    <row r="410" spans="1:3">
      <c r="A410" s="23" t="str">
        <f>TEXT(IF('Change in Employment'!B417&lt;&gt;0,DATE(YEAR('Change in Employment'!B417), MONTH('Change in Employment'!B417), 1), ""), "mm/dd/yyyy")</f>
        <v/>
      </c>
      <c r="B410" s="25" t="str">
        <f>IF(ISNUMBER('Change in Employment'!I417), TEXT('Change in Employment'!I417, "0"), "")</f>
        <v/>
      </c>
      <c r="C410" s="25" t="str">
        <f>IF(ISNUMBER('Change in Employment'!J417),TEXT('Change in Employment'!J417, "0"),"")</f>
        <v/>
      </c>
    </row>
    <row r="411" spans="1:3">
      <c r="A411" s="23" t="str">
        <f>TEXT(IF('Change in Employment'!B418&lt;&gt;0,DATE(YEAR('Change in Employment'!B418), MONTH('Change in Employment'!B418), 1), ""), "mm/dd/yyyy")</f>
        <v/>
      </c>
      <c r="B411" s="25" t="str">
        <f>IF(ISNUMBER('Change in Employment'!I418), TEXT('Change in Employment'!I418, "0"), "")</f>
        <v/>
      </c>
      <c r="C411" s="25" t="str">
        <f>IF(ISNUMBER('Change in Employment'!J418),TEXT('Change in Employment'!J418, "0"),"")</f>
        <v/>
      </c>
    </row>
    <row r="412" spans="1:3">
      <c r="A412" s="23" t="str">
        <f>TEXT(IF('Change in Employment'!B419&lt;&gt;0,DATE(YEAR('Change in Employment'!B419), MONTH('Change in Employment'!B419), 1), ""), "mm/dd/yyyy")</f>
        <v/>
      </c>
      <c r="B412" s="25" t="str">
        <f>IF(ISNUMBER('Change in Employment'!I419), TEXT('Change in Employment'!I419, "0"), "")</f>
        <v/>
      </c>
      <c r="C412" s="25" t="str">
        <f>IF(ISNUMBER('Change in Employment'!J419),TEXT('Change in Employment'!J419, "0"),"")</f>
        <v/>
      </c>
    </row>
    <row r="413" spans="1:3">
      <c r="A413" s="23" t="str">
        <f>TEXT(IF('Change in Employment'!B420&lt;&gt;0,DATE(YEAR('Change in Employment'!B420), MONTH('Change in Employment'!B420), 1), ""), "mm/dd/yyyy")</f>
        <v/>
      </c>
      <c r="B413" s="25" t="str">
        <f>IF(ISNUMBER('Change in Employment'!I420), TEXT('Change in Employment'!I420, "0"), "")</f>
        <v/>
      </c>
      <c r="C413" s="25" t="str">
        <f>IF(ISNUMBER('Change in Employment'!J420),TEXT('Change in Employment'!J420, "0"),"")</f>
        <v/>
      </c>
    </row>
    <row r="414" spans="1:3">
      <c r="A414" s="23" t="str">
        <f>TEXT(IF('Change in Employment'!B421&lt;&gt;0,DATE(YEAR('Change in Employment'!B421), MONTH('Change in Employment'!B421), 1), ""), "mm/dd/yyyy")</f>
        <v/>
      </c>
      <c r="B414" s="25" t="str">
        <f>IF(ISNUMBER('Change in Employment'!I421), TEXT('Change in Employment'!I421, "0"), "")</f>
        <v/>
      </c>
      <c r="C414" s="25" t="str">
        <f>IF(ISNUMBER('Change in Employment'!J421),TEXT('Change in Employment'!J421, "0"),"")</f>
        <v/>
      </c>
    </row>
    <row r="415" spans="1:3">
      <c r="A415" s="23" t="str">
        <f>TEXT(IF('Change in Employment'!B422&lt;&gt;0,DATE(YEAR('Change in Employment'!B422), MONTH('Change in Employment'!B422), 1), ""), "mm/dd/yyyy")</f>
        <v/>
      </c>
      <c r="B415" s="25" t="str">
        <f>IF(ISNUMBER('Change in Employment'!I422), TEXT('Change in Employment'!I422, "0"), "")</f>
        <v/>
      </c>
      <c r="C415" s="25" t="str">
        <f>IF(ISNUMBER('Change in Employment'!J422),TEXT('Change in Employment'!J422, "0"),"")</f>
        <v/>
      </c>
    </row>
    <row r="416" spans="1:3">
      <c r="A416" s="23" t="str">
        <f>TEXT(IF('Change in Employment'!B423&lt;&gt;0,DATE(YEAR('Change in Employment'!B423), MONTH('Change in Employment'!B423), 1), ""), "mm/dd/yyyy")</f>
        <v/>
      </c>
      <c r="B416" s="25" t="str">
        <f>IF(ISNUMBER('Change in Employment'!I423), TEXT('Change in Employment'!I423, "0"), "")</f>
        <v/>
      </c>
      <c r="C416" s="25" t="str">
        <f>IF(ISNUMBER('Change in Employment'!J423),TEXT('Change in Employment'!J423, "0"),"")</f>
        <v/>
      </c>
    </row>
    <row r="417" spans="1:3">
      <c r="A417" s="23" t="str">
        <f>TEXT(IF('Change in Employment'!B424&lt;&gt;0,DATE(YEAR('Change in Employment'!B424), MONTH('Change in Employment'!B424), 1), ""), "mm/dd/yyyy")</f>
        <v/>
      </c>
      <c r="B417" s="25" t="str">
        <f>IF(ISNUMBER('Change in Employment'!I424), TEXT('Change in Employment'!I424, "0"), "")</f>
        <v/>
      </c>
      <c r="C417" s="25" t="str">
        <f>IF(ISNUMBER('Change in Employment'!J424),TEXT('Change in Employment'!J424, "0"),"")</f>
        <v/>
      </c>
    </row>
    <row r="418" spans="1:3">
      <c r="A418" s="23" t="str">
        <f>TEXT(IF('Change in Employment'!B425&lt;&gt;0,DATE(YEAR('Change in Employment'!B425), MONTH('Change in Employment'!B425), 1), ""), "mm/dd/yyyy")</f>
        <v/>
      </c>
      <c r="B418" s="25" t="str">
        <f>IF(ISNUMBER('Change in Employment'!I425), TEXT('Change in Employment'!I425, "0"), "")</f>
        <v/>
      </c>
      <c r="C418" s="25" t="str">
        <f>IF(ISNUMBER('Change in Employment'!J425),TEXT('Change in Employment'!J425, "0"),"")</f>
        <v/>
      </c>
    </row>
    <row r="419" spans="1:3">
      <c r="A419" s="23" t="str">
        <f>TEXT(IF('Change in Employment'!B426&lt;&gt;0,DATE(YEAR('Change in Employment'!B426), MONTH('Change in Employment'!B426), 1), ""), "mm/dd/yyyy")</f>
        <v/>
      </c>
      <c r="B419" s="25" t="str">
        <f>IF(ISNUMBER('Change in Employment'!I426), TEXT('Change in Employment'!I426, "0"), "")</f>
        <v/>
      </c>
      <c r="C419" s="25" t="str">
        <f>IF(ISNUMBER('Change in Employment'!J426),TEXT('Change in Employment'!J426, "0"),"")</f>
        <v/>
      </c>
    </row>
    <row r="420" spans="1:3">
      <c r="A420" s="23" t="str">
        <f>TEXT(IF('Change in Employment'!B427&lt;&gt;0,DATE(YEAR('Change in Employment'!B427), MONTH('Change in Employment'!B427), 1), ""), "mm/dd/yyyy")</f>
        <v/>
      </c>
      <c r="B420" s="25" t="str">
        <f>IF(ISNUMBER('Change in Employment'!I427), TEXT('Change in Employment'!I427, "0"), "")</f>
        <v/>
      </c>
      <c r="C420" s="25" t="str">
        <f>IF(ISNUMBER('Change in Employment'!J427),TEXT('Change in Employment'!J427, "0"),"")</f>
        <v/>
      </c>
    </row>
    <row r="421" spans="1:3">
      <c r="A421" s="23" t="str">
        <f>TEXT(IF('Change in Employment'!B428&lt;&gt;0,DATE(YEAR('Change in Employment'!B428), MONTH('Change in Employment'!B428), 1), ""), "mm/dd/yyyy")</f>
        <v/>
      </c>
      <c r="B421" s="25" t="str">
        <f>IF(ISNUMBER('Change in Employment'!I428), TEXT('Change in Employment'!I428, "0"), "")</f>
        <v/>
      </c>
      <c r="C421" s="25" t="str">
        <f>IF(ISNUMBER('Change in Employment'!J428),TEXT('Change in Employment'!J428, "0"),"")</f>
        <v/>
      </c>
    </row>
    <row r="422" spans="1:3">
      <c r="A422" s="23" t="str">
        <f>TEXT(IF('Change in Employment'!B429&lt;&gt;0,DATE(YEAR('Change in Employment'!B429), MONTH('Change in Employment'!B429), 1), ""), "mm/dd/yyyy")</f>
        <v/>
      </c>
      <c r="B422" s="25" t="str">
        <f>IF(ISNUMBER('Change in Employment'!I429), TEXT('Change in Employment'!I429, "0"), "")</f>
        <v/>
      </c>
      <c r="C422" s="25" t="str">
        <f>IF(ISNUMBER('Change in Employment'!J429),TEXT('Change in Employment'!J429, "0"),"")</f>
        <v/>
      </c>
    </row>
    <row r="423" spans="1:3">
      <c r="A423" s="23" t="str">
        <f>TEXT(IF('Change in Employment'!B430&lt;&gt;0,DATE(YEAR('Change in Employment'!B430), MONTH('Change in Employment'!B430), 1), ""), "mm/dd/yyyy")</f>
        <v/>
      </c>
      <c r="B423" s="25" t="str">
        <f>IF(ISNUMBER('Change in Employment'!I430), TEXT('Change in Employment'!I430, "0"), "")</f>
        <v/>
      </c>
      <c r="C423" s="25" t="str">
        <f>IF(ISNUMBER('Change in Employment'!J430),TEXT('Change in Employment'!J430, "0"),"")</f>
        <v/>
      </c>
    </row>
    <row r="424" spans="1:3">
      <c r="A424" s="23" t="str">
        <f>TEXT(IF('Change in Employment'!B431&lt;&gt;0,DATE(YEAR('Change in Employment'!B431), MONTH('Change in Employment'!B431), 1), ""), "mm/dd/yyyy")</f>
        <v/>
      </c>
      <c r="B424" s="25" t="str">
        <f>IF(ISNUMBER('Change in Employment'!I431), TEXT('Change in Employment'!I431, "0"), "")</f>
        <v/>
      </c>
      <c r="C424" s="25" t="str">
        <f>IF(ISNUMBER('Change in Employment'!J431),TEXT('Change in Employment'!J431, "0"),"")</f>
        <v/>
      </c>
    </row>
    <row r="425" spans="1:3">
      <c r="A425" s="23" t="str">
        <f>TEXT(IF('Change in Employment'!B432&lt;&gt;0,DATE(YEAR('Change in Employment'!B432), MONTH('Change in Employment'!B432), 1), ""), "mm/dd/yyyy")</f>
        <v/>
      </c>
      <c r="B425" s="25" t="str">
        <f>IF(ISNUMBER('Change in Employment'!I432), TEXT('Change in Employment'!I432, "0"), "")</f>
        <v/>
      </c>
      <c r="C425" s="25" t="str">
        <f>IF(ISNUMBER('Change in Employment'!J432),TEXT('Change in Employment'!J432, "0"),"")</f>
        <v/>
      </c>
    </row>
    <row r="426" spans="1:3">
      <c r="A426" s="23" t="str">
        <f>TEXT(IF('Change in Employment'!B433&lt;&gt;0,DATE(YEAR('Change in Employment'!B433), MONTH('Change in Employment'!B433), 1), ""), "mm/dd/yyyy")</f>
        <v/>
      </c>
      <c r="B426" s="25" t="str">
        <f>IF(ISNUMBER('Change in Employment'!I433), TEXT('Change in Employment'!I433, "0"), "")</f>
        <v/>
      </c>
      <c r="C426" s="25" t="str">
        <f>IF(ISNUMBER('Change in Employment'!J433),TEXT('Change in Employment'!J433, "0"),"")</f>
        <v/>
      </c>
    </row>
    <row r="427" spans="1:3">
      <c r="A427" s="23" t="str">
        <f>TEXT(IF('Change in Employment'!B434&lt;&gt;0,DATE(YEAR('Change in Employment'!B434), MONTH('Change in Employment'!B434), 1), ""), "mm/dd/yyyy")</f>
        <v/>
      </c>
      <c r="B427" s="25" t="str">
        <f>IF(ISNUMBER('Change in Employment'!I434), TEXT('Change in Employment'!I434, "0"), "")</f>
        <v/>
      </c>
      <c r="C427" s="25" t="str">
        <f>IF(ISNUMBER('Change in Employment'!J434),TEXT('Change in Employment'!J434, "0"),"")</f>
        <v/>
      </c>
    </row>
    <row r="428" spans="1:3">
      <c r="A428" s="23" t="str">
        <f>TEXT(IF('Change in Employment'!B435&lt;&gt;0,DATE(YEAR('Change in Employment'!B435), MONTH('Change in Employment'!B435), 1), ""), "mm/dd/yyyy")</f>
        <v/>
      </c>
      <c r="B428" s="25" t="str">
        <f>IF(ISNUMBER('Change in Employment'!I435), TEXT('Change in Employment'!I435, "0"), "")</f>
        <v/>
      </c>
      <c r="C428" s="25" t="str">
        <f>IF(ISNUMBER('Change in Employment'!J435),TEXT('Change in Employment'!J435, "0"),"")</f>
        <v/>
      </c>
    </row>
    <row r="429" spans="1:3">
      <c r="A429" s="23" t="str">
        <f>TEXT(IF('Change in Employment'!B436&lt;&gt;0,DATE(YEAR('Change in Employment'!B436), MONTH('Change in Employment'!B436), 1), ""), "mm/dd/yyyy")</f>
        <v/>
      </c>
      <c r="B429" s="25" t="str">
        <f>IF(ISNUMBER('Change in Employment'!I436), TEXT('Change in Employment'!I436, "0"), "")</f>
        <v/>
      </c>
      <c r="C429" s="25" t="str">
        <f>IF(ISNUMBER('Change in Employment'!J436),TEXT('Change in Employment'!J436, "0"),"")</f>
        <v/>
      </c>
    </row>
    <row r="430" spans="1:3">
      <c r="A430" s="23" t="str">
        <f>TEXT(IF('Change in Employment'!B437&lt;&gt;0,DATE(YEAR('Change in Employment'!B437), MONTH('Change in Employment'!B437), 1), ""), "mm/dd/yyyy")</f>
        <v/>
      </c>
      <c r="B430" s="25" t="str">
        <f>IF(ISNUMBER('Change in Employment'!I437), TEXT('Change in Employment'!I437, "0"), "")</f>
        <v/>
      </c>
      <c r="C430" s="25" t="str">
        <f>IF(ISNUMBER('Change in Employment'!J437),TEXT('Change in Employment'!J437, "0"),"")</f>
        <v/>
      </c>
    </row>
    <row r="431" spans="1:3">
      <c r="A431" s="23" t="str">
        <f>TEXT(IF('Change in Employment'!B438&lt;&gt;0,DATE(YEAR('Change in Employment'!B438), MONTH('Change in Employment'!B438), 1), ""), "mm/dd/yyyy")</f>
        <v/>
      </c>
      <c r="B431" s="25" t="str">
        <f>IF(ISNUMBER('Change in Employment'!I438), TEXT('Change in Employment'!I438, "0"), "")</f>
        <v/>
      </c>
      <c r="C431" s="25" t="str">
        <f>IF(ISNUMBER('Change in Employment'!J438),TEXT('Change in Employment'!J438, "0"),"")</f>
        <v/>
      </c>
    </row>
    <row r="432" spans="1:3">
      <c r="A432" s="23" t="str">
        <f>TEXT(IF('Change in Employment'!B439&lt;&gt;0,DATE(YEAR('Change in Employment'!B439), MONTH('Change in Employment'!B439), 1), ""), "mm/dd/yyyy")</f>
        <v/>
      </c>
      <c r="B432" s="25" t="str">
        <f>IF(ISNUMBER('Change in Employment'!I439), TEXT('Change in Employment'!I439, "0"), "")</f>
        <v/>
      </c>
      <c r="C432" s="25" t="str">
        <f>IF(ISNUMBER('Change in Employment'!J439),TEXT('Change in Employment'!J439, "0"),"")</f>
        <v/>
      </c>
    </row>
    <row r="433" spans="1:3">
      <c r="A433" s="23" t="str">
        <f>TEXT(IF('Change in Employment'!B440&lt;&gt;0,DATE(YEAR('Change in Employment'!B440), MONTH('Change in Employment'!B440), 1), ""), "mm/dd/yyyy")</f>
        <v/>
      </c>
      <c r="B433" s="25" t="str">
        <f>IF(ISNUMBER('Change in Employment'!I440), TEXT('Change in Employment'!I440, "0"), "")</f>
        <v/>
      </c>
      <c r="C433" s="25" t="str">
        <f>IF(ISNUMBER('Change in Employment'!J440),TEXT('Change in Employment'!J440, "0"),"")</f>
        <v/>
      </c>
    </row>
    <row r="434" spans="1:3">
      <c r="A434" s="23" t="str">
        <f>TEXT(IF('Change in Employment'!B441&lt;&gt;0,DATE(YEAR('Change in Employment'!B441), MONTH('Change in Employment'!B441), 1), ""), "mm/dd/yyyy")</f>
        <v/>
      </c>
      <c r="B434" s="25" t="str">
        <f>IF(ISNUMBER('Change in Employment'!I441), TEXT('Change in Employment'!I441, "0"), "")</f>
        <v/>
      </c>
      <c r="C434" s="25" t="str">
        <f>IF(ISNUMBER('Change in Employment'!J441),TEXT('Change in Employment'!J441, "0"),"")</f>
        <v/>
      </c>
    </row>
    <row r="435" spans="1:3">
      <c r="A435" s="23" t="str">
        <f>TEXT(IF('Change in Employment'!B442&lt;&gt;0,DATE(YEAR('Change in Employment'!B442), MONTH('Change in Employment'!B442), 1), ""), "mm/dd/yyyy")</f>
        <v/>
      </c>
      <c r="B435" s="25" t="str">
        <f>IF(ISNUMBER('Change in Employment'!I442), TEXT('Change in Employment'!I442, "0"), "")</f>
        <v/>
      </c>
      <c r="C435" s="25" t="str">
        <f>IF(ISNUMBER('Change in Employment'!J442),TEXT('Change in Employment'!J442, "0"),"")</f>
        <v/>
      </c>
    </row>
    <row r="436" spans="1:3">
      <c r="A436" s="23" t="str">
        <f>TEXT(IF('Change in Employment'!B443&lt;&gt;0,DATE(YEAR('Change in Employment'!B443), MONTH('Change in Employment'!B443), 1), ""), "mm/dd/yyyy")</f>
        <v/>
      </c>
      <c r="B436" s="25" t="str">
        <f>IF(ISNUMBER('Change in Employment'!I443), TEXT('Change in Employment'!I443, "0"), "")</f>
        <v/>
      </c>
      <c r="C436" s="25" t="str">
        <f>IF(ISNUMBER('Change in Employment'!J443),TEXT('Change in Employment'!J443, "0"),"")</f>
        <v/>
      </c>
    </row>
    <row r="437" spans="1:3">
      <c r="A437" s="23" t="str">
        <f>TEXT(IF('Change in Employment'!B444&lt;&gt;0,DATE(YEAR('Change in Employment'!B444), MONTH('Change in Employment'!B444), 1), ""), "mm/dd/yyyy")</f>
        <v/>
      </c>
      <c r="B437" s="25" t="str">
        <f>IF(ISNUMBER('Change in Employment'!I444), TEXT('Change in Employment'!I444, "0"), "")</f>
        <v/>
      </c>
      <c r="C437" s="25" t="str">
        <f>IF(ISNUMBER('Change in Employment'!J444),TEXT('Change in Employment'!J444, "0"),"")</f>
        <v/>
      </c>
    </row>
    <row r="438" spans="1:3">
      <c r="A438" s="23" t="str">
        <f>TEXT(IF('Change in Employment'!B445&lt;&gt;0,DATE(YEAR('Change in Employment'!B445), MONTH('Change in Employment'!B445), 1), ""), "mm/dd/yyyy")</f>
        <v/>
      </c>
      <c r="B438" s="25" t="str">
        <f>IF(ISNUMBER('Change in Employment'!I445), TEXT('Change in Employment'!I445, "0"), "")</f>
        <v/>
      </c>
      <c r="C438" s="25" t="str">
        <f>IF(ISNUMBER('Change in Employment'!J445),TEXT('Change in Employment'!J445, "0"),"")</f>
        <v/>
      </c>
    </row>
    <row r="439" spans="1:3">
      <c r="A439" s="23" t="str">
        <f>TEXT(IF('Change in Employment'!B446&lt;&gt;0,DATE(YEAR('Change in Employment'!B446), MONTH('Change in Employment'!B446), 1), ""), "mm/dd/yyyy")</f>
        <v/>
      </c>
      <c r="B439" s="25" t="str">
        <f>IF(ISNUMBER('Change in Employment'!I446), TEXT('Change in Employment'!I446, "0"), "")</f>
        <v/>
      </c>
      <c r="C439" s="25" t="str">
        <f>IF(ISNUMBER('Change in Employment'!J446),TEXT('Change in Employment'!J446, "0"),"")</f>
        <v/>
      </c>
    </row>
    <row r="440" spans="1:3">
      <c r="A440" s="23" t="str">
        <f>TEXT(IF('Change in Employment'!B447&lt;&gt;0,DATE(YEAR('Change in Employment'!B447), MONTH('Change in Employment'!B447), 1), ""), "mm/dd/yyyy")</f>
        <v/>
      </c>
      <c r="B440" s="25" t="str">
        <f>IF(ISNUMBER('Change in Employment'!I447), TEXT('Change in Employment'!I447, "0"), "")</f>
        <v/>
      </c>
      <c r="C440" s="25" t="str">
        <f>IF(ISNUMBER('Change in Employment'!J447),TEXT('Change in Employment'!J447, "0"),"")</f>
        <v/>
      </c>
    </row>
    <row r="441" spans="1:3">
      <c r="A441" s="23" t="str">
        <f>TEXT(IF('Change in Employment'!B448&lt;&gt;0,DATE(YEAR('Change in Employment'!B448), MONTH('Change in Employment'!B448), 1), ""), "mm/dd/yyyy")</f>
        <v/>
      </c>
      <c r="B441" s="25" t="str">
        <f>IF(ISNUMBER('Change in Employment'!I448), TEXT('Change in Employment'!I448, "0"), "")</f>
        <v/>
      </c>
      <c r="C441" s="25" t="str">
        <f>IF(ISNUMBER('Change in Employment'!J448),TEXT('Change in Employment'!J448, "0"),"")</f>
        <v/>
      </c>
    </row>
    <row r="442" spans="1:3">
      <c r="A442" s="23" t="str">
        <f>TEXT(IF('Change in Employment'!B449&lt;&gt;0,DATE(YEAR('Change in Employment'!B449), MONTH('Change in Employment'!B449), 1), ""), "mm/dd/yyyy")</f>
        <v/>
      </c>
      <c r="B442" s="25" t="str">
        <f>IF(ISNUMBER('Change in Employment'!I449), TEXT('Change in Employment'!I449, "0"), "")</f>
        <v/>
      </c>
      <c r="C442" s="25" t="str">
        <f>IF(ISNUMBER('Change in Employment'!J449),TEXT('Change in Employment'!J449, "0"),"")</f>
        <v/>
      </c>
    </row>
    <row r="443" spans="1:3">
      <c r="A443" s="23" t="str">
        <f>TEXT(IF('Change in Employment'!B450&lt;&gt;0,DATE(YEAR('Change in Employment'!B450), MONTH('Change in Employment'!B450), 1), ""), "mm/dd/yyyy")</f>
        <v/>
      </c>
      <c r="B443" s="25" t="str">
        <f>IF(ISNUMBER('Change in Employment'!I450), TEXT('Change in Employment'!I450, "0"), "")</f>
        <v/>
      </c>
      <c r="C443" s="25" t="str">
        <f>IF(ISNUMBER('Change in Employment'!J450),TEXT('Change in Employment'!J450, "0"),"")</f>
        <v/>
      </c>
    </row>
    <row r="444" spans="1:3">
      <c r="A444" s="23" t="str">
        <f>TEXT(IF('Change in Employment'!B451&lt;&gt;0,DATE(YEAR('Change in Employment'!B451), MONTH('Change in Employment'!B451), 1), ""), "mm/dd/yyyy")</f>
        <v/>
      </c>
      <c r="B444" s="25" t="str">
        <f>IF(ISNUMBER('Change in Employment'!I451), TEXT('Change in Employment'!I451, "0"), "")</f>
        <v/>
      </c>
      <c r="C444" s="25" t="str">
        <f>IF(ISNUMBER('Change in Employment'!J451),TEXT('Change in Employment'!J451, "0"),"")</f>
        <v/>
      </c>
    </row>
    <row r="445" spans="1:3">
      <c r="A445" s="23" t="str">
        <f>TEXT(IF('Change in Employment'!B452&lt;&gt;0,DATE(YEAR('Change in Employment'!B452), MONTH('Change in Employment'!B452), 1), ""), "mm/dd/yyyy")</f>
        <v/>
      </c>
      <c r="B445" s="25" t="str">
        <f>IF(ISNUMBER('Change in Employment'!I452), TEXT('Change in Employment'!I452, "0"), "")</f>
        <v/>
      </c>
      <c r="C445" s="25" t="str">
        <f>IF(ISNUMBER('Change in Employment'!J452),TEXT('Change in Employment'!J452, "0"),"")</f>
        <v/>
      </c>
    </row>
    <row r="446" spans="1:3">
      <c r="A446" s="23" t="str">
        <f>TEXT(IF('Change in Employment'!B453&lt;&gt;0,DATE(YEAR('Change in Employment'!B453), MONTH('Change in Employment'!B453), 1), ""), "mm/dd/yyyy")</f>
        <v/>
      </c>
      <c r="B446" s="25" t="str">
        <f>IF(ISNUMBER('Change in Employment'!I453), TEXT('Change in Employment'!I453, "0"), "")</f>
        <v/>
      </c>
      <c r="C446" s="25" t="str">
        <f>IF(ISNUMBER('Change in Employment'!J453),TEXT('Change in Employment'!J453, "0"),"")</f>
        <v/>
      </c>
    </row>
    <row r="447" spans="1:3">
      <c r="A447" s="23" t="str">
        <f>TEXT(IF('Change in Employment'!B454&lt;&gt;0,DATE(YEAR('Change in Employment'!B454), MONTH('Change in Employment'!B454), 1), ""), "mm/dd/yyyy")</f>
        <v/>
      </c>
      <c r="B447" s="25" t="str">
        <f>IF(ISNUMBER('Change in Employment'!I454), TEXT('Change in Employment'!I454, "0"), "")</f>
        <v/>
      </c>
      <c r="C447" s="25" t="str">
        <f>IF(ISNUMBER('Change in Employment'!J454),TEXT('Change in Employment'!J454, "0"),"")</f>
        <v/>
      </c>
    </row>
    <row r="448" spans="1:3">
      <c r="A448" s="23" t="str">
        <f>TEXT(IF('Change in Employment'!B455&lt;&gt;0,DATE(YEAR('Change in Employment'!B455), MONTH('Change in Employment'!B455), 1), ""), "mm/dd/yyyy")</f>
        <v/>
      </c>
      <c r="B448" s="25" t="str">
        <f>IF(ISNUMBER('Change in Employment'!I455), TEXT('Change in Employment'!I455, "0"), "")</f>
        <v/>
      </c>
      <c r="C448" s="25" t="str">
        <f>IF(ISNUMBER('Change in Employment'!J455),TEXT('Change in Employment'!J455, "0"),"")</f>
        <v/>
      </c>
    </row>
    <row r="449" spans="1:3">
      <c r="A449" s="23" t="str">
        <f>TEXT(IF('Change in Employment'!B456&lt;&gt;0,DATE(YEAR('Change in Employment'!B456), MONTH('Change in Employment'!B456), 1), ""), "mm/dd/yyyy")</f>
        <v/>
      </c>
      <c r="B449" s="25" t="str">
        <f>IF(ISNUMBER('Change in Employment'!I456), TEXT('Change in Employment'!I456, "0"), "")</f>
        <v/>
      </c>
      <c r="C449" s="25" t="str">
        <f>IF(ISNUMBER('Change in Employment'!J456),TEXT('Change in Employment'!J456, "0"),"")</f>
        <v/>
      </c>
    </row>
    <row r="450" spans="1:3">
      <c r="A450" s="23" t="str">
        <f>TEXT(IF('Change in Employment'!B457&lt;&gt;0,DATE(YEAR('Change in Employment'!B457), MONTH('Change in Employment'!B457), 1), ""), "mm/dd/yyyy")</f>
        <v/>
      </c>
      <c r="B450" s="25" t="str">
        <f>IF(ISNUMBER('Change in Employment'!I457), TEXT('Change in Employment'!I457, "0"), "")</f>
        <v/>
      </c>
      <c r="C450" s="25" t="str">
        <f>IF(ISNUMBER('Change in Employment'!J457),TEXT('Change in Employment'!J457, "0"),"")</f>
        <v/>
      </c>
    </row>
    <row r="451" spans="1:3">
      <c r="A451" s="23" t="str">
        <f>TEXT(IF('Change in Employment'!B458&lt;&gt;0,DATE(YEAR('Change in Employment'!B458), MONTH('Change in Employment'!B458), 1), ""), "mm/dd/yyyy")</f>
        <v/>
      </c>
      <c r="B451" s="25" t="str">
        <f>IF(ISNUMBER('Change in Employment'!I458), TEXT('Change in Employment'!I458, "0"), "")</f>
        <v/>
      </c>
      <c r="C451" s="25" t="str">
        <f>IF(ISNUMBER('Change in Employment'!J458),TEXT('Change in Employment'!J458, "0"),"")</f>
        <v/>
      </c>
    </row>
    <row r="452" spans="1:3">
      <c r="A452" s="23" t="str">
        <f>TEXT(IF('Change in Employment'!B459&lt;&gt;0,DATE(YEAR('Change in Employment'!B459), MONTH('Change in Employment'!B459), 1), ""), "mm/dd/yyyy")</f>
        <v/>
      </c>
      <c r="B452" s="25" t="str">
        <f>IF(ISNUMBER('Change in Employment'!I459), TEXT('Change in Employment'!I459, "0"), "")</f>
        <v/>
      </c>
      <c r="C452" s="25" t="str">
        <f>IF(ISNUMBER('Change in Employment'!J459),TEXT('Change in Employment'!J459, "0"),"")</f>
        <v/>
      </c>
    </row>
    <row r="453" spans="1:3">
      <c r="A453" s="23" t="str">
        <f>TEXT(IF('Change in Employment'!B460&lt;&gt;0,DATE(YEAR('Change in Employment'!B460), MONTH('Change in Employment'!B460), 1), ""), "mm/dd/yyyy")</f>
        <v/>
      </c>
      <c r="B453" s="25" t="str">
        <f>IF(ISNUMBER('Change in Employment'!I460), TEXT('Change in Employment'!I460, "0"), "")</f>
        <v/>
      </c>
      <c r="C453" s="25" t="str">
        <f>IF(ISNUMBER('Change in Employment'!J460),TEXT('Change in Employment'!J460, "0"),"")</f>
        <v/>
      </c>
    </row>
    <row r="454" spans="1:3">
      <c r="A454" s="23" t="str">
        <f>TEXT(IF('Change in Employment'!B461&lt;&gt;0,DATE(YEAR('Change in Employment'!B461), MONTH('Change in Employment'!B461), 1), ""), "mm/dd/yyyy")</f>
        <v/>
      </c>
      <c r="B454" s="25" t="str">
        <f>IF(ISNUMBER('Change in Employment'!I461), TEXT('Change in Employment'!I461, "0"), "")</f>
        <v/>
      </c>
      <c r="C454" s="25" t="str">
        <f>IF(ISNUMBER('Change in Employment'!J461),TEXT('Change in Employment'!J461, "0"),"")</f>
        <v/>
      </c>
    </row>
    <row r="455" spans="1:3">
      <c r="A455" s="23" t="str">
        <f>TEXT(IF('Change in Employment'!B462&lt;&gt;0,DATE(YEAR('Change in Employment'!B462), MONTH('Change in Employment'!B462), 1), ""), "mm/dd/yyyy")</f>
        <v/>
      </c>
      <c r="B455" s="25" t="str">
        <f>IF(ISNUMBER('Change in Employment'!I462), TEXT('Change in Employment'!I462, "0"), "")</f>
        <v/>
      </c>
      <c r="C455" s="25" t="str">
        <f>IF(ISNUMBER('Change in Employment'!J462),TEXT('Change in Employment'!J462, "0"),"")</f>
        <v/>
      </c>
    </row>
    <row r="456" spans="1:3">
      <c r="A456" s="23" t="str">
        <f>TEXT(IF('Change in Employment'!B463&lt;&gt;0,DATE(YEAR('Change in Employment'!B463), MONTH('Change in Employment'!B463), 1), ""), "mm/dd/yyyy")</f>
        <v/>
      </c>
      <c r="B456" s="25" t="str">
        <f>IF(ISNUMBER('Change in Employment'!I463), TEXT('Change in Employment'!I463, "0"), "")</f>
        <v/>
      </c>
      <c r="C456" s="25" t="str">
        <f>IF(ISNUMBER('Change in Employment'!J463),TEXT('Change in Employment'!J463, "0"),"")</f>
        <v/>
      </c>
    </row>
    <row r="457" spans="1:3">
      <c r="A457" s="23" t="str">
        <f>TEXT(IF('Change in Employment'!B464&lt;&gt;0,DATE(YEAR('Change in Employment'!B464), MONTH('Change in Employment'!B464), 1), ""), "mm/dd/yyyy")</f>
        <v/>
      </c>
      <c r="B457" s="25" t="str">
        <f>IF(ISNUMBER('Change in Employment'!I464), TEXT('Change in Employment'!I464, "0"), "")</f>
        <v/>
      </c>
      <c r="C457" s="25" t="str">
        <f>IF(ISNUMBER('Change in Employment'!J464),TEXT('Change in Employment'!J464, "0"),"")</f>
        <v/>
      </c>
    </row>
    <row r="458" spans="1:3">
      <c r="A458" s="23" t="str">
        <f>TEXT(IF('Change in Employment'!B465&lt;&gt;0,DATE(YEAR('Change in Employment'!B465), MONTH('Change in Employment'!B465), 1), ""), "mm/dd/yyyy")</f>
        <v/>
      </c>
      <c r="B458" s="25" t="str">
        <f>IF(ISNUMBER('Change in Employment'!I465), TEXT('Change in Employment'!I465, "0"), "")</f>
        <v/>
      </c>
      <c r="C458" s="25" t="str">
        <f>IF(ISNUMBER('Change in Employment'!J465),TEXT('Change in Employment'!J465, "0"),"")</f>
        <v/>
      </c>
    </row>
    <row r="459" spans="1:3">
      <c r="A459" s="23" t="str">
        <f>TEXT(IF('Change in Employment'!B466&lt;&gt;0,DATE(YEAR('Change in Employment'!B466), MONTH('Change in Employment'!B466), 1), ""), "mm/dd/yyyy")</f>
        <v/>
      </c>
      <c r="B459" s="25" t="str">
        <f>IF(ISNUMBER('Change in Employment'!I466), TEXT('Change in Employment'!I466, "0"), "")</f>
        <v/>
      </c>
      <c r="C459" s="25" t="str">
        <f>IF(ISNUMBER('Change in Employment'!J466),TEXT('Change in Employment'!J466, "0"),"")</f>
        <v/>
      </c>
    </row>
    <row r="460" spans="1:3">
      <c r="A460" s="23" t="str">
        <f>TEXT(IF('Change in Employment'!B467&lt;&gt;0,DATE(YEAR('Change in Employment'!B467), MONTH('Change in Employment'!B467), 1), ""), "mm/dd/yyyy")</f>
        <v/>
      </c>
      <c r="B460" s="25" t="str">
        <f>IF(ISNUMBER('Change in Employment'!I467), TEXT('Change in Employment'!I467, "0"), "")</f>
        <v/>
      </c>
      <c r="C460" s="25" t="str">
        <f>IF(ISNUMBER('Change in Employment'!J467),TEXT('Change in Employment'!J467, "0"),"")</f>
        <v/>
      </c>
    </row>
    <row r="461" spans="1:3">
      <c r="A461" s="23" t="str">
        <f>TEXT(IF('Change in Employment'!B468&lt;&gt;0,DATE(YEAR('Change in Employment'!B468), MONTH('Change in Employment'!B468), 1), ""), "mm/dd/yyyy")</f>
        <v/>
      </c>
      <c r="B461" s="25" t="str">
        <f>IF(ISNUMBER('Change in Employment'!I468), TEXT('Change in Employment'!I468, "0"), "")</f>
        <v/>
      </c>
      <c r="C461" s="25" t="str">
        <f>IF(ISNUMBER('Change in Employment'!J468),TEXT('Change in Employment'!J468, "0"),"")</f>
        <v/>
      </c>
    </row>
    <row r="462" spans="1:3">
      <c r="A462" s="23" t="str">
        <f>TEXT(IF('Change in Employment'!B469&lt;&gt;0,DATE(YEAR('Change in Employment'!B469), MONTH('Change in Employment'!B469), 1), ""), "mm/dd/yyyy")</f>
        <v/>
      </c>
      <c r="B462" s="25" t="str">
        <f>IF(ISNUMBER('Change in Employment'!I469), TEXT('Change in Employment'!I469, "0"), "")</f>
        <v/>
      </c>
      <c r="C462" s="25" t="str">
        <f>IF(ISNUMBER('Change in Employment'!J469),TEXT('Change in Employment'!J469, "0"),"")</f>
        <v/>
      </c>
    </row>
    <row r="463" spans="1:3">
      <c r="A463" s="23" t="str">
        <f>TEXT(IF('Change in Employment'!B470&lt;&gt;0,DATE(YEAR('Change in Employment'!B470), MONTH('Change in Employment'!B470), 1), ""), "mm/dd/yyyy")</f>
        <v/>
      </c>
      <c r="B463" s="25" t="str">
        <f>IF(ISNUMBER('Change in Employment'!I470), TEXT('Change in Employment'!I470, "0"), "")</f>
        <v/>
      </c>
      <c r="C463" s="25" t="str">
        <f>IF(ISNUMBER('Change in Employment'!J470),TEXT('Change in Employment'!J470, "0"),"")</f>
        <v/>
      </c>
    </row>
    <row r="464" spans="1:3">
      <c r="A464" s="23" t="str">
        <f>TEXT(IF('Change in Employment'!B471&lt;&gt;0,DATE(YEAR('Change in Employment'!B471), MONTH('Change in Employment'!B471), 1), ""), "mm/dd/yyyy")</f>
        <v/>
      </c>
      <c r="B464" s="25" t="str">
        <f>IF(ISNUMBER('Change in Employment'!I471), TEXT('Change in Employment'!I471, "0"), "")</f>
        <v/>
      </c>
      <c r="C464" s="25" t="str">
        <f>IF(ISNUMBER('Change in Employment'!J471),TEXT('Change in Employment'!J471, "0"),"")</f>
        <v/>
      </c>
    </row>
    <row r="465" spans="1:3">
      <c r="A465" s="23" t="str">
        <f>TEXT(IF('Change in Employment'!B472&lt;&gt;0,DATE(YEAR('Change in Employment'!B472), MONTH('Change in Employment'!B472), 1), ""), "mm/dd/yyyy")</f>
        <v/>
      </c>
      <c r="B465" s="25" t="str">
        <f>IF(ISNUMBER('Change in Employment'!I472), TEXT('Change in Employment'!I472, "0"), "")</f>
        <v/>
      </c>
      <c r="C465" s="25" t="str">
        <f>IF(ISNUMBER('Change in Employment'!J472),TEXT('Change in Employment'!J472, "0"),"")</f>
        <v/>
      </c>
    </row>
    <row r="466" spans="1:3">
      <c r="A466" s="23" t="str">
        <f>TEXT(IF('Change in Employment'!B473&lt;&gt;0,DATE(YEAR('Change in Employment'!B473), MONTH('Change in Employment'!B473), 1), ""), "mm/dd/yyyy")</f>
        <v/>
      </c>
      <c r="B466" s="25" t="str">
        <f>IF(ISNUMBER('Change in Employment'!I473), TEXT('Change in Employment'!I473, "0"), "")</f>
        <v/>
      </c>
      <c r="C466" s="25" t="str">
        <f>IF(ISNUMBER('Change in Employment'!J473),TEXT('Change in Employment'!J473, "0"),"")</f>
        <v/>
      </c>
    </row>
    <row r="467" spans="1:3">
      <c r="A467" s="23" t="str">
        <f>TEXT(IF('Change in Employment'!B474&lt;&gt;0,DATE(YEAR('Change in Employment'!B474), MONTH('Change in Employment'!B474), 1), ""), "mm/dd/yyyy")</f>
        <v/>
      </c>
      <c r="B467" s="25" t="str">
        <f>IF(ISNUMBER('Change in Employment'!I474), TEXT('Change in Employment'!I474, "0"), "")</f>
        <v/>
      </c>
      <c r="C467" s="25" t="str">
        <f>IF(ISNUMBER('Change in Employment'!J474),TEXT('Change in Employment'!J474, "0"),"")</f>
        <v/>
      </c>
    </row>
    <row r="468" spans="1:3">
      <c r="A468" s="23" t="str">
        <f>TEXT(IF('Change in Employment'!B475&lt;&gt;0,DATE(YEAR('Change in Employment'!B475), MONTH('Change in Employment'!B475), 1), ""), "mm/dd/yyyy")</f>
        <v/>
      </c>
      <c r="B468" s="25" t="str">
        <f>IF(ISNUMBER('Change in Employment'!I475), TEXT('Change in Employment'!I475, "0"), "")</f>
        <v/>
      </c>
      <c r="C468" s="25" t="str">
        <f>IF(ISNUMBER('Change in Employment'!J475),TEXT('Change in Employment'!J475, "0"),"")</f>
        <v/>
      </c>
    </row>
    <row r="469" spans="1:3">
      <c r="A469" s="23" t="str">
        <f>TEXT(IF('Change in Employment'!B476&lt;&gt;0,DATE(YEAR('Change in Employment'!B476), MONTH('Change in Employment'!B476), 1), ""), "mm/dd/yyyy")</f>
        <v/>
      </c>
      <c r="B469" s="25" t="str">
        <f>IF(ISNUMBER('Change in Employment'!I476), TEXT('Change in Employment'!I476, "0"), "")</f>
        <v/>
      </c>
      <c r="C469" s="25" t="str">
        <f>IF(ISNUMBER('Change in Employment'!J476),TEXT('Change in Employment'!J476, "0"),"")</f>
        <v/>
      </c>
    </row>
    <row r="470" spans="1:3">
      <c r="A470" s="23" t="str">
        <f>TEXT(IF('Change in Employment'!B477&lt;&gt;0,DATE(YEAR('Change in Employment'!B477), MONTH('Change in Employment'!B477), 1), ""), "mm/dd/yyyy")</f>
        <v/>
      </c>
      <c r="B470" s="25" t="str">
        <f>IF(ISNUMBER('Change in Employment'!I477), TEXT('Change in Employment'!I477, "0"), "")</f>
        <v/>
      </c>
      <c r="C470" s="25" t="str">
        <f>IF(ISNUMBER('Change in Employment'!J477),TEXT('Change in Employment'!J477, "0"),"")</f>
        <v/>
      </c>
    </row>
    <row r="471" spans="1:3">
      <c r="A471" s="23" t="str">
        <f>TEXT(IF('Change in Employment'!B478&lt;&gt;0,DATE(YEAR('Change in Employment'!B478), MONTH('Change in Employment'!B478), 1), ""), "mm/dd/yyyy")</f>
        <v/>
      </c>
      <c r="B471" s="25" t="str">
        <f>IF(ISNUMBER('Change in Employment'!I478), TEXT('Change in Employment'!I478, "0"), "")</f>
        <v/>
      </c>
      <c r="C471" s="25" t="str">
        <f>IF(ISNUMBER('Change in Employment'!J478),TEXT('Change in Employment'!J478, "0"),"")</f>
        <v/>
      </c>
    </row>
    <row r="472" spans="1:3">
      <c r="A472" s="23" t="str">
        <f>TEXT(IF('Change in Employment'!B479&lt;&gt;0,DATE(YEAR('Change in Employment'!B479), MONTH('Change in Employment'!B479), 1), ""), "mm/dd/yyyy")</f>
        <v/>
      </c>
      <c r="B472" s="25" t="str">
        <f>IF(ISNUMBER('Change in Employment'!I479), TEXT('Change in Employment'!I479, "0"), "")</f>
        <v/>
      </c>
      <c r="C472" s="25" t="str">
        <f>IF(ISNUMBER('Change in Employment'!J479),TEXT('Change in Employment'!J479, "0"),"")</f>
        <v/>
      </c>
    </row>
    <row r="473" spans="1:3">
      <c r="A473" s="23" t="str">
        <f>TEXT(IF('Change in Employment'!B480&lt;&gt;0,DATE(YEAR('Change in Employment'!B480), MONTH('Change in Employment'!B480), 1), ""), "mm/dd/yyyy")</f>
        <v/>
      </c>
      <c r="B473" s="25" t="str">
        <f>IF(ISNUMBER('Change in Employment'!I480), TEXT('Change in Employment'!I480, "0"), "")</f>
        <v/>
      </c>
      <c r="C473" s="25" t="str">
        <f>IF(ISNUMBER('Change in Employment'!J480),TEXT('Change in Employment'!J480, "0"),"")</f>
        <v/>
      </c>
    </row>
    <row r="474" spans="1:3">
      <c r="A474" s="23" t="str">
        <f>TEXT(IF('Change in Employment'!B481&lt;&gt;0,DATE(YEAR('Change in Employment'!B481), MONTH('Change in Employment'!B481), 1), ""), "mm/dd/yyyy")</f>
        <v/>
      </c>
      <c r="B474" s="25" t="str">
        <f>IF(ISNUMBER('Change in Employment'!I481), TEXT('Change in Employment'!I481, "0"), "")</f>
        <v/>
      </c>
      <c r="C474" s="25" t="str">
        <f>IF(ISNUMBER('Change in Employment'!J481),TEXT('Change in Employment'!J481, "0"),"")</f>
        <v/>
      </c>
    </row>
    <row r="475" spans="1:3">
      <c r="A475" s="23" t="str">
        <f>TEXT(IF('Change in Employment'!B482&lt;&gt;0,DATE(YEAR('Change in Employment'!B482), MONTH('Change in Employment'!B482), 1), ""), "mm/dd/yyyy")</f>
        <v/>
      </c>
      <c r="B475" s="25" t="str">
        <f>IF(ISNUMBER('Change in Employment'!I482), TEXT('Change in Employment'!I482, "0"), "")</f>
        <v/>
      </c>
      <c r="C475" s="25" t="str">
        <f>IF(ISNUMBER('Change in Employment'!J482),TEXT('Change in Employment'!J482, "0"),"")</f>
        <v/>
      </c>
    </row>
    <row r="476" spans="1:3">
      <c r="A476" s="23" t="str">
        <f>TEXT(IF('Change in Employment'!B483&lt;&gt;0,DATE(YEAR('Change in Employment'!B483), MONTH('Change in Employment'!B483), 1), ""), "mm/dd/yyyy")</f>
        <v/>
      </c>
      <c r="B476" s="25" t="str">
        <f>IF(ISNUMBER('Change in Employment'!I483), TEXT('Change in Employment'!I483, "0"), "")</f>
        <v/>
      </c>
      <c r="C476" s="25" t="str">
        <f>IF(ISNUMBER('Change in Employment'!J483),TEXT('Change in Employment'!J483, "0"),"")</f>
        <v/>
      </c>
    </row>
    <row r="477" spans="1:3">
      <c r="A477" s="23" t="str">
        <f>TEXT(IF('Change in Employment'!B484&lt;&gt;0,DATE(YEAR('Change in Employment'!B484), MONTH('Change in Employment'!B484), 1), ""), "mm/dd/yyyy")</f>
        <v/>
      </c>
      <c r="B477" s="25" t="str">
        <f>IF(ISNUMBER('Change in Employment'!I484), TEXT('Change in Employment'!I484, "0"), "")</f>
        <v/>
      </c>
      <c r="C477" s="25" t="str">
        <f>IF(ISNUMBER('Change in Employment'!J484),TEXT('Change in Employment'!J484, "0"),"")</f>
        <v/>
      </c>
    </row>
    <row r="478" spans="1:3">
      <c r="A478" s="23" t="str">
        <f>TEXT(IF('Change in Employment'!B485&lt;&gt;0,DATE(YEAR('Change in Employment'!B485), MONTH('Change in Employment'!B485), 1), ""), "mm/dd/yyyy")</f>
        <v/>
      </c>
      <c r="B478" s="25" t="str">
        <f>IF(ISNUMBER('Change in Employment'!I485), TEXT('Change in Employment'!I485, "0"), "")</f>
        <v/>
      </c>
      <c r="C478" s="25" t="str">
        <f>IF(ISNUMBER('Change in Employment'!J485),TEXT('Change in Employment'!J485, "0"),"")</f>
        <v/>
      </c>
    </row>
    <row r="479" spans="1:3">
      <c r="A479" s="23" t="str">
        <f>TEXT(IF('Change in Employment'!B486&lt;&gt;0,DATE(YEAR('Change in Employment'!B486), MONTH('Change in Employment'!B486), 1), ""), "mm/dd/yyyy")</f>
        <v/>
      </c>
      <c r="B479" s="25" t="str">
        <f>IF(ISNUMBER('Change in Employment'!I486), TEXT('Change in Employment'!I486, "0"), "")</f>
        <v/>
      </c>
      <c r="C479" s="25" t="str">
        <f>IF(ISNUMBER('Change in Employment'!J486),TEXT('Change in Employment'!J486, "0"),"")</f>
        <v/>
      </c>
    </row>
    <row r="480" spans="1:3">
      <c r="A480" s="23" t="str">
        <f>TEXT(IF('Change in Employment'!B487&lt;&gt;0,DATE(YEAR('Change in Employment'!B487), MONTH('Change in Employment'!B487), 1), ""), "mm/dd/yyyy")</f>
        <v/>
      </c>
      <c r="B480" s="25" t="str">
        <f>IF(ISNUMBER('Change in Employment'!I487), TEXT('Change in Employment'!I487, "0"), "")</f>
        <v/>
      </c>
      <c r="C480" s="25" t="str">
        <f>IF(ISNUMBER('Change in Employment'!J487),TEXT('Change in Employment'!J487, "0"),"")</f>
        <v/>
      </c>
    </row>
    <row r="481" spans="1:3">
      <c r="A481" s="23" t="str">
        <f>TEXT(IF('Change in Employment'!B488&lt;&gt;0,DATE(YEAR('Change in Employment'!B488), MONTH('Change in Employment'!B488), 1), ""), "mm/dd/yyyy")</f>
        <v/>
      </c>
      <c r="B481" s="25" t="str">
        <f>IF(ISNUMBER('Change in Employment'!I488), TEXT('Change in Employment'!I488, "0"), "")</f>
        <v/>
      </c>
      <c r="C481" s="25" t="str">
        <f>IF(ISNUMBER('Change in Employment'!J488),TEXT('Change in Employment'!J488, "0"),"")</f>
        <v/>
      </c>
    </row>
    <row r="482" spans="1:3">
      <c r="A482" s="23" t="str">
        <f>TEXT(IF('Change in Employment'!B489&lt;&gt;0,DATE(YEAR('Change in Employment'!B489), MONTH('Change in Employment'!B489), 1), ""), "mm/dd/yyyy")</f>
        <v/>
      </c>
      <c r="B482" s="25" t="str">
        <f>IF(ISNUMBER('Change in Employment'!I489), TEXT('Change in Employment'!I489, "0"), "")</f>
        <v/>
      </c>
      <c r="C482" s="25" t="str">
        <f>IF(ISNUMBER('Change in Employment'!J489),TEXT('Change in Employment'!J489, "0"),"")</f>
        <v/>
      </c>
    </row>
    <row r="483" spans="1:3">
      <c r="A483" s="23" t="str">
        <f>TEXT(IF('Change in Employment'!B490&lt;&gt;0,DATE(YEAR('Change in Employment'!B490), MONTH('Change in Employment'!B490), 1), ""), "mm/dd/yyyy")</f>
        <v/>
      </c>
      <c r="B483" s="25" t="str">
        <f>IF(ISNUMBER('Change in Employment'!I490), TEXT('Change in Employment'!I490, "0"), "")</f>
        <v/>
      </c>
      <c r="C483" s="25" t="str">
        <f>IF(ISNUMBER('Change in Employment'!J490),TEXT('Change in Employment'!J490, "0"),"")</f>
        <v/>
      </c>
    </row>
    <row r="484" spans="1:3">
      <c r="A484" s="23" t="str">
        <f>TEXT(IF('Change in Employment'!B491&lt;&gt;0,DATE(YEAR('Change in Employment'!B491), MONTH('Change in Employment'!B491), 1), ""), "mm/dd/yyyy")</f>
        <v/>
      </c>
      <c r="B484" s="25" t="str">
        <f>IF(ISNUMBER('Change in Employment'!I491), TEXT('Change in Employment'!I491, "0"), "")</f>
        <v/>
      </c>
      <c r="C484" s="25" t="str">
        <f>IF(ISNUMBER('Change in Employment'!J491),TEXT('Change in Employment'!J491, "0"),"")</f>
        <v/>
      </c>
    </row>
    <row r="485" spans="1:3">
      <c r="A485" s="23" t="str">
        <f>TEXT(IF('Change in Employment'!B492&lt;&gt;0,DATE(YEAR('Change in Employment'!B492), MONTH('Change in Employment'!B492), 1), ""), "mm/dd/yyyy")</f>
        <v/>
      </c>
      <c r="B485" s="25" t="str">
        <f>IF(ISNUMBER('Change in Employment'!I492), TEXT('Change in Employment'!I492, "0"), "")</f>
        <v/>
      </c>
      <c r="C485" s="25" t="str">
        <f>IF(ISNUMBER('Change in Employment'!J492),TEXT('Change in Employment'!J492, "0"),"")</f>
        <v/>
      </c>
    </row>
    <row r="486" spans="1:3">
      <c r="A486" s="23" t="str">
        <f>TEXT(IF('Change in Employment'!B493&lt;&gt;0,DATE(YEAR('Change in Employment'!B493), MONTH('Change in Employment'!B493), 1), ""), "mm/dd/yyyy")</f>
        <v/>
      </c>
      <c r="B486" s="25" t="str">
        <f>IF(ISNUMBER('Change in Employment'!I493), TEXT('Change in Employment'!I493, "0"), "")</f>
        <v/>
      </c>
      <c r="C486" s="25" t="str">
        <f>IF(ISNUMBER('Change in Employment'!J493),TEXT('Change in Employment'!J493, "0"),"")</f>
        <v/>
      </c>
    </row>
    <row r="487" spans="1:3">
      <c r="A487" s="23" t="str">
        <f>TEXT(IF('Change in Employment'!B494&lt;&gt;0,DATE(YEAR('Change in Employment'!B494), MONTH('Change in Employment'!B494), 1), ""), "mm/dd/yyyy")</f>
        <v/>
      </c>
      <c r="B487" s="25" t="str">
        <f>IF(ISNUMBER('Change in Employment'!I494), TEXT('Change in Employment'!I494, "0"), "")</f>
        <v/>
      </c>
      <c r="C487" s="25" t="str">
        <f>IF(ISNUMBER('Change in Employment'!J494),TEXT('Change in Employment'!J494, "0"),"")</f>
        <v/>
      </c>
    </row>
    <row r="488" spans="1:3">
      <c r="A488" s="23" t="str">
        <f>TEXT(IF('Change in Employment'!B495&lt;&gt;0,DATE(YEAR('Change in Employment'!B495), MONTH('Change in Employment'!B495), 1), ""), "mm/dd/yyyy")</f>
        <v/>
      </c>
      <c r="B488" s="25" t="str">
        <f>IF(ISNUMBER('Change in Employment'!I495), TEXT('Change in Employment'!I495, "0"), "")</f>
        <v/>
      </c>
      <c r="C488" s="25" t="str">
        <f>IF(ISNUMBER('Change in Employment'!J495),TEXT('Change in Employment'!J495, "0"),"")</f>
        <v/>
      </c>
    </row>
    <row r="489" spans="1:3">
      <c r="A489" s="23" t="str">
        <f>TEXT(IF('Change in Employment'!B496&lt;&gt;0,DATE(YEAR('Change in Employment'!B496), MONTH('Change in Employment'!B496), 1), ""), "mm/dd/yyyy")</f>
        <v/>
      </c>
      <c r="B489" s="25" t="str">
        <f>IF(ISNUMBER('Change in Employment'!I496), TEXT('Change in Employment'!I496, "0"), "")</f>
        <v/>
      </c>
      <c r="C489" s="25" t="str">
        <f>IF(ISNUMBER('Change in Employment'!J496),TEXT('Change in Employment'!J496, "0"),"")</f>
        <v/>
      </c>
    </row>
    <row r="490" spans="1:3">
      <c r="A490" s="23" t="str">
        <f>TEXT(IF('Change in Employment'!B497&lt;&gt;0,DATE(YEAR('Change in Employment'!B497), MONTH('Change in Employment'!B497), 1), ""), "mm/dd/yyyy")</f>
        <v/>
      </c>
      <c r="B490" s="25" t="str">
        <f>IF(ISNUMBER('Change in Employment'!I497), TEXT('Change in Employment'!I497, "0"), "")</f>
        <v/>
      </c>
      <c r="C490" s="25" t="str">
        <f>IF(ISNUMBER('Change in Employment'!J497),TEXT('Change in Employment'!J497, "0"),"")</f>
        <v/>
      </c>
    </row>
    <row r="491" spans="1:3">
      <c r="A491" s="23" t="str">
        <f>TEXT(IF('Change in Employment'!B498&lt;&gt;0,DATE(YEAR('Change in Employment'!B498), MONTH('Change in Employment'!B498), 1), ""), "mm/dd/yyyy")</f>
        <v/>
      </c>
      <c r="B491" s="25" t="str">
        <f>IF(ISNUMBER('Change in Employment'!I498), TEXT('Change in Employment'!I498, "0"), "")</f>
        <v/>
      </c>
      <c r="C491" s="25" t="str">
        <f>IF(ISNUMBER('Change in Employment'!J498),TEXT('Change in Employment'!J498, "0"),"")</f>
        <v/>
      </c>
    </row>
    <row r="492" spans="1:3">
      <c r="A492" s="23" t="str">
        <f>TEXT(IF('Change in Employment'!B499&lt;&gt;0,DATE(YEAR('Change in Employment'!B499), MONTH('Change in Employment'!B499), 1), ""), "mm/dd/yyyy")</f>
        <v/>
      </c>
      <c r="B492" s="25" t="str">
        <f>IF(ISNUMBER('Change in Employment'!I499), TEXT('Change in Employment'!I499, "0"), "")</f>
        <v/>
      </c>
      <c r="C492" s="25" t="str">
        <f>IF(ISNUMBER('Change in Employment'!J499),TEXT('Change in Employment'!J499, "0"),"")</f>
        <v/>
      </c>
    </row>
    <row r="493" spans="1:3">
      <c r="A493" s="23" t="str">
        <f>TEXT(IF('Change in Employment'!B500&lt;&gt;0,DATE(YEAR('Change in Employment'!B500), MONTH('Change in Employment'!B500), 1), ""), "mm/dd/yyyy")</f>
        <v/>
      </c>
      <c r="B493" s="25" t="str">
        <f>IF(ISNUMBER('Change in Employment'!I500), TEXT('Change in Employment'!I500, "0"), "")</f>
        <v/>
      </c>
      <c r="C493" s="25" t="str">
        <f>IF(ISNUMBER('Change in Employment'!J500),TEXT('Change in Employment'!J500, "0"),"")</f>
        <v/>
      </c>
    </row>
    <row r="494" spans="1:3">
      <c r="A494" s="23" t="str">
        <f>TEXT(IF('Change in Employment'!B501&lt;&gt;0,DATE(YEAR('Change in Employment'!B501), MONTH('Change in Employment'!B501), 1), ""), "mm/dd/yyyy")</f>
        <v/>
      </c>
      <c r="B494" s="25" t="str">
        <f>IF(ISNUMBER('Change in Employment'!I501), TEXT('Change in Employment'!I501, "0"), "")</f>
        <v/>
      </c>
      <c r="C494" s="25" t="str">
        <f>IF(ISNUMBER('Change in Employment'!J501),TEXT('Change in Employment'!J501, "0"),"")</f>
        <v/>
      </c>
    </row>
    <row r="495" spans="1:3">
      <c r="A495" s="23" t="str">
        <f>TEXT(IF('Change in Employment'!B502&lt;&gt;0,DATE(YEAR('Change in Employment'!B502), MONTH('Change in Employment'!B502), 1), ""), "mm/dd/yyyy")</f>
        <v/>
      </c>
      <c r="B495" s="25" t="str">
        <f>IF(ISNUMBER('Change in Employment'!I502), TEXT('Change in Employment'!I502, "0"), "")</f>
        <v/>
      </c>
      <c r="C495" s="25" t="str">
        <f>IF(ISNUMBER('Change in Employment'!J502),TEXT('Change in Employment'!J502, "0"),"")</f>
        <v/>
      </c>
    </row>
    <row r="496" spans="1:3">
      <c r="A496" s="23" t="str">
        <f>TEXT(IF('Change in Employment'!B503&lt;&gt;0,DATE(YEAR('Change in Employment'!B503), MONTH('Change in Employment'!B503), 1), ""), "mm/dd/yyyy")</f>
        <v/>
      </c>
      <c r="B496" s="25" t="str">
        <f>IF(ISNUMBER('Change in Employment'!I503), TEXT('Change in Employment'!I503, "0"), "")</f>
        <v/>
      </c>
      <c r="C496" s="25" t="str">
        <f>IF(ISNUMBER('Change in Employment'!J503),TEXT('Change in Employment'!J503, "0"),"")</f>
        <v/>
      </c>
    </row>
    <row r="497" spans="1:3">
      <c r="A497" s="23" t="str">
        <f>TEXT(IF('Change in Employment'!B504&lt;&gt;0,DATE(YEAR('Change in Employment'!B504), MONTH('Change in Employment'!B504), 1), ""), "mm/dd/yyyy")</f>
        <v/>
      </c>
      <c r="B497" s="25" t="str">
        <f>IF(ISNUMBER('Change in Employment'!I504), TEXT('Change in Employment'!I504, "0"), "")</f>
        <v/>
      </c>
      <c r="C497" s="25" t="str">
        <f>IF(ISNUMBER('Change in Employment'!J504),TEXT('Change in Employment'!J504, "0"),"")</f>
        <v/>
      </c>
    </row>
    <row r="498" spans="1:3">
      <c r="A498" s="23" t="str">
        <f>TEXT(IF('Change in Employment'!B505&lt;&gt;0,DATE(YEAR('Change in Employment'!B505), MONTH('Change in Employment'!B505), 1), ""), "mm/dd/yyyy")</f>
        <v/>
      </c>
      <c r="B498" s="25" t="str">
        <f>IF(ISNUMBER('Change in Employment'!I505), TEXT('Change in Employment'!I505, "0"), "")</f>
        <v/>
      </c>
      <c r="C498" s="25" t="str">
        <f>IF(ISNUMBER('Change in Employment'!J505),TEXT('Change in Employment'!J505, "0"),"")</f>
        <v/>
      </c>
    </row>
    <row r="499" spans="1:3">
      <c r="A499" s="23" t="str">
        <f>TEXT(IF('Change in Employment'!B506&lt;&gt;0,DATE(YEAR('Change in Employment'!B506), MONTH('Change in Employment'!B506), 1), ""), "mm/dd/yyyy")</f>
        <v/>
      </c>
      <c r="B499" s="25" t="str">
        <f>IF(ISNUMBER('Change in Employment'!I506), TEXT('Change in Employment'!I506, "0"), "")</f>
        <v/>
      </c>
      <c r="C499" s="25" t="str">
        <f>IF(ISNUMBER('Change in Employment'!J506),TEXT('Change in Employment'!J506, "0"),"")</f>
        <v/>
      </c>
    </row>
    <row r="500" spans="1:3">
      <c r="A500" s="23" t="str">
        <f>TEXT(IF('Change in Employment'!B507&lt;&gt;0,DATE(YEAR('Change in Employment'!B507), MONTH('Change in Employment'!B507), 1), ""), "mm/dd/yyyy")</f>
        <v/>
      </c>
      <c r="B500" s="25" t="str">
        <f>IF(ISNUMBER('Change in Employment'!I507), TEXT('Change in Employment'!I507, "0"), "")</f>
        <v/>
      </c>
      <c r="C500" s="25" t="str">
        <f>IF(ISNUMBER('Change in Employment'!J507),TEXT('Change in Employment'!J507, "0"),"")</f>
        <v/>
      </c>
    </row>
    <row r="501" spans="1:3">
      <c r="A501" s="23" t="str">
        <f>TEXT(IF('Change in Employment'!B508&lt;&gt;0,DATE(YEAR('Change in Employment'!B508), MONTH('Change in Employment'!B508), 1), ""), "mm/dd/yyyy")</f>
        <v/>
      </c>
      <c r="B501" s="25" t="str">
        <f>IF(ISNUMBER('Change in Employment'!I508), TEXT('Change in Employment'!I508, "0"), "")</f>
        <v/>
      </c>
      <c r="C501" s="25" t="str">
        <f>IF(ISNUMBER('Change in Employment'!J508),TEXT('Change in Employment'!J508, "0"),"")</f>
        <v/>
      </c>
    </row>
    <row r="502" spans="1:3">
      <c r="A502" s="23" t="str">
        <f>TEXT(IF('Change in Employment'!B509&lt;&gt;0,DATE(YEAR('Change in Employment'!B509), MONTH('Change in Employment'!B509), 1), ""), "mm/dd/yyyy")</f>
        <v/>
      </c>
      <c r="B502" s="25" t="str">
        <f>IF(ISNUMBER('Change in Employment'!I509), TEXT('Change in Employment'!I509, "0"), "")</f>
        <v/>
      </c>
      <c r="C502" s="25" t="str">
        <f>IF(ISNUMBER('Change in Employment'!J509),TEXT('Change in Employment'!J509, "0"),"")</f>
        <v/>
      </c>
    </row>
    <row r="503" spans="1:3">
      <c r="A503" s="23" t="str">
        <f>TEXT(IF('Change in Employment'!B510&lt;&gt;0,DATE(YEAR('Change in Employment'!B510), MONTH('Change in Employment'!B510), 1), ""), "mm/dd/yyyy")</f>
        <v/>
      </c>
      <c r="B503" s="25" t="str">
        <f>IF(ISNUMBER('Change in Employment'!I510), TEXT('Change in Employment'!I510, "0"), "")</f>
        <v/>
      </c>
      <c r="C503" s="25" t="str">
        <f>IF(ISNUMBER('Change in Employment'!J510),TEXT('Change in Employment'!J510, "0"),"")</f>
        <v/>
      </c>
    </row>
    <row r="504" spans="1:3">
      <c r="A504" s="23" t="str">
        <f>TEXT(IF('Change in Employment'!B511&lt;&gt;0,DATE(YEAR('Change in Employment'!B511), MONTH('Change in Employment'!B511), 1), ""), "mm/dd/yyyy")</f>
        <v/>
      </c>
      <c r="B504" s="25" t="str">
        <f>IF(ISNUMBER('Change in Employment'!I511), TEXT('Change in Employment'!I511, "0"), "")</f>
        <v/>
      </c>
      <c r="C504" s="25" t="str">
        <f>IF(ISNUMBER('Change in Employment'!J511),TEXT('Change in Employment'!J511, "0"),"")</f>
        <v/>
      </c>
    </row>
    <row r="505" spans="1:3">
      <c r="A505" s="23" t="str">
        <f>TEXT(IF('Change in Employment'!B512&lt;&gt;0,DATE(YEAR('Change in Employment'!B512), MONTH('Change in Employment'!B512), 1), ""), "mm/dd/yyyy")</f>
        <v/>
      </c>
      <c r="B505" s="25" t="str">
        <f>IF(ISNUMBER('Change in Employment'!I512), TEXT('Change in Employment'!I512, "0"), "")</f>
        <v/>
      </c>
      <c r="C505" s="25" t="str">
        <f>IF(ISNUMBER('Change in Employment'!J512),TEXT('Change in Employment'!J512, "0"),"")</f>
        <v/>
      </c>
    </row>
    <row r="506" spans="1:3">
      <c r="A506" s="23" t="str">
        <f>TEXT(IF('Change in Employment'!B513&lt;&gt;0,DATE(YEAR('Change in Employment'!B513), MONTH('Change in Employment'!B513), 1), ""), "mm/dd/yyyy")</f>
        <v/>
      </c>
      <c r="B506" s="25" t="str">
        <f>IF(ISNUMBER('Change in Employment'!I513), TEXT('Change in Employment'!I513, "0"), "")</f>
        <v/>
      </c>
      <c r="C506" s="25" t="str">
        <f>IF(ISNUMBER('Change in Employment'!J513),TEXT('Change in Employment'!J513, "0"),"")</f>
        <v/>
      </c>
    </row>
    <row r="507" spans="1:3">
      <c r="A507" s="23" t="str">
        <f>TEXT(IF('Change in Employment'!B514&lt;&gt;0,DATE(YEAR('Change in Employment'!B514), MONTH('Change in Employment'!B514), 1), ""), "mm/dd/yyyy")</f>
        <v/>
      </c>
      <c r="B507" s="25" t="str">
        <f>IF(ISNUMBER('Change in Employment'!I514), TEXT('Change in Employment'!I514, "0"), "")</f>
        <v/>
      </c>
      <c r="C507" s="25" t="str">
        <f>IF(ISNUMBER('Change in Employment'!J514),TEXT('Change in Employment'!J514, "0"),"")</f>
        <v/>
      </c>
    </row>
    <row r="508" spans="1:3">
      <c r="A508" s="23" t="str">
        <f>TEXT(IF('Change in Employment'!B515&lt;&gt;0,DATE(YEAR('Change in Employment'!B515), MONTH('Change in Employment'!B515), 1), ""), "mm/dd/yyyy")</f>
        <v/>
      </c>
      <c r="B508" s="25" t="str">
        <f>IF(ISNUMBER('Change in Employment'!I515), TEXT('Change in Employment'!I515, "0"), "")</f>
        <v/>
      </c>
      <c r="C508" s="25" t="str">
        <f>IF(ISNUMBER('Change in Employment'!J515),TEXT('Change in Employment'!J515, "0"),"")</f>
        <v/>
      </c>
    </row>
    <row r="509" spans="1:3">
      <c r="A509" s="23" t="str">
        <f>TEXT(IF('Change in Employment'!B516&lt;&gt;0,DATE(YEAR('Change in Employment'!B516), MONTH('Change in Employment'!B516), 1), ""), "mm/dd/yyyy")</f>
        <v/>
      </c>
      <c r="B509" s="25" t="str">
        <f>IF(ISNUMBER('Change in Employment'!I516), TEXT('Change in Employment'!I516, "0"), "")</f>
        <v/>
      </c>
      <c r="C509" s="25" t="str">
        <f>IF(ISNUMBER('Change in Employment'!J516),TEXT('Change in Employment'!J516, "0"),"")</f>
        <v/>
      </c>
    </row>
    <row r="510" spans="1:3">
      <c r="A510" s="23" t="str">
        <f>TEXT(IF('Change in Employment'!B517&lt;&gt;0,DATE(YEAR('Change in Employment'!B517), MONTH('Change in Employment'!B517), 1), ""), "mm/dd/yyyy")</f>
        <v/>
      </c>
      <c r="B510" s="25" t="str">
        <f>IF(ISNUMBER('Change in Employment'!I517), TEXT('Change in Employment'!I517, "0"), "")</f>
        <v/>
      </c>
      <c r="C510" s="25" t="str">
        <f>IF(ISNUMBER('Change in Employment'!J517),TEXT('Change in Employment'!J517, "0"),"")</f>
        <v/>
      </c>
    </row>
    <row r="511" spans="1:3">
      <c r="A511" s="23" t="str">
        <f>TEXT(IF('Change in Employment'!B518&lt;&gt;0,DATE(YEAR('Change in Employment'!B518), MONTH('Change in Employment'!B518), 1), ""), "mm/dd/yyyy")</f>
        <v/>
      </c>
      <c r="B511" s="25" t="str">
        <f>IF(ISNUMBER('Change in Employment'!I518), TEXT('Change in Employment'!I518, "0"), "")</f>
        <v/>
      </c>
      <c r="C511" s="25" t="str">
        <f>IF(ISNUMBER('Change in Employment'!J518),TEXT('Change in Employment'!J518, "0"),"")</f>
        <v/>
      </c>
    </row>
    <row r="512" spans="1:3">
      <c r="A512" s="23" t="str">
        <f>TEXT(IF('Change in Employment'!B519&lt;&gt;0,DATE(YEAR('Change in Employment'!B519), MONTH('Change in Employment'!B519), 1), ""), "mm/dd/yyyy")</f>
        <v/>
      </c>
      <c r="B512" s="25" t="str">
        <f>IF(ISNUMBER('Change in Employment'!I519), TEXT('Change in Employment'!I519, "0"), "")</f>
        <v/>
      </c>
      <c r="C512" s="25" t="str">
        <f>IF(ISNUMBER('Change in Employment'!J519),TEXT('Change in Employment'!J519, "0"),"")</f>
        <v/>
      </c>
    </row>
    <row r="513" spans="1:3">
      <c r="A513" s="23" t="str">
        <f>TEXT(IF('Change in Employment'!B520&lt;&gt;0,DATE(YEAR('Change in Employment'!B520), MONTH('Change in Employment'!B520), 1), ""), "mm/dd/yyyy")</f>
        <v/>
      </c>
      <c r="B513" s="25" t="str">
        <f>IF(ISNUMBER('Change in Employment'!I520), TEXT('Change in Employment'!I520, "0"), "")</f>
        <v/>
      </c>
      <c r="C513" s="25" t="str">
        <f>IF(ISNUMBER('Change in Employment'!J520),TEXT('Change in Employment'!J520, "0"),"")</f>
        <v/>
      </c>
    </row>
    <row r="514" spans="1:3">
      <c r="A514" s="23" t="str">
        <f>TEXT(IF('Change in Employment'!B521&lt;&gt;0,DATE(YEAR('Change in Employment'!B521), MONTH('Change in Employment'!B521), 1), ""), "mm/dd/yyyy")</f>
        <v/>
      </c>
      <c r="B514" s="25" t="str">
        <f>IF(ISNUMBER('Change in Employment'!I521), TEXT('Change in Employment'!I521, "0"), "")</f>
        <v/>
      </c>
      <c r="C514" s="25" t="str">
        <f>IF(ISNUMBER('Change in Employment'!J521),TEXT('Change in Employment'!J521, "0"),"")</f>
        <v/>
      </c>
    </row>
    <row r="515" spans="1:3">
      <c r="A515" s="23" t="str">
        <f>TEXT(IF('Change in Employment'!B522&lt;&gt;0,DATE(YEAR('Change in Employment'!B522), MONTH('Change in Employment'!B522), 1), ""), "mm/dd/yyyy")</f>
        <v/>
      </c>
      <c r="B515" s="25" t="str">
        <f>IF(ISNUMBER('Change in Employment'!I522), TEXT('Change in Employment'!I522, "0"), "")</f>
        <v/>
      </c>
      <c r="C515" s="25" t="str">
        <f>IF(ISNUMBER('Change in Employment'!J522),TEXT('Change in Employment'!J522, "0"),"")</f>
        <v/>
      </c>
    </row>
    <row r="516" spans="1:3">
      <c r="A516" s="23" t="str">
        <f>TEXT(IF('Change in Employment'!B523&lt;&gt;0,DATE(YEAR('Change in Employment'!B523), MONTH('Change in Employment'!B523), 1), ""), "mm/dd/yyyy")</f>
        <v/>
      </c>
      <c r="B516" s="25" t="str">
        <f>IF(ISNUMBER('Change in Employment'!I523), TEXT('Change in Employment'!I523, "0"), "")</f>
        <v/>
      </c>
      <c r="C516" s="25" t="str">
        <f>IF(ISNUMBER('Change in Employment'!J523),TEXT('Change in Employment'!J523, "0"),"")</f>
        <v/>
      </c>
    </row>
    <row r="517" spans="1:3">
      <c r="A517" s="23" t="str">
        <f>TEXT(IF('Change in Employment'!B524&lt;&gt;0,DATE(YEAR('Change in Employment'!B524), MONTH('Change in Employment'!B524), 1), ""), "mm/dd/yyyy")</f>
        <v/>
      </c>
      <c r="B517" s="25" t="str">
        <f>IF(ISNUMBER('Change in Employment'!I524), TEXT('Change in Employment'!I524, "0"), "")</f>
        <v/>
      </c>
      <c r="C517" s="25" t="str">
        <f>IF(ISNUMBER('Change in Employment'!J524),TEXT('Change in Employment'!J524, "0"),"")</f>
        <v/>
      </c>
    </row>
    <row r="518" spans="1:3">
      <c r="A518" s="23" t="str">
        <f>TEXT(IF('Change in Employment'!B525&lt;&gt;0,DATE(YEAR('Change in Employment'!B525), MONTH('Change in Employment'!B525), 1), ""), "mm/dd/yyyy")</f>
        <v/>
      </c>
      <c r="B518" s="25" t="str">
        <f>IF(ISNUMBER('Change in Employment'!I525), TEXT('Change in Employment'!I525, "0"), "")</f>
        <v/>
      </c>
      <c r="C518" s="25" t="str">
        <f>IF(ISNUMBER('Change in Employment'!J525),TEXT('Change in Employment'!J525, "0"),"")</f>
        <v/>
      </c>
    </row>
    <row r="519" spans="1:3">
      <c r="A519" s="23" t="str">
        <f>TEXT(IF('Change in Employment'!B526&lt;&gt;0,DATE(YEAR('Change in Employment'!B526), MONTH('Change in Employment'!B526), 1), ""), "mm/dd/yyyy")</f>
        <v/>
      </c>
      <c r="B519" s="25" t="str">
        <f>IF(ISNUMBER('Change in Employment'!I526), TEXT('Change in Employment'!I526, "0"), "")</f>
        <v/>
      </c>
      <c r="C519" s="25" t="str">
        <f>IF(ISNUMBER('Change in Employment'!J526),TEXT('Change in Employment'!J526, "0"),"")</f>
        <v/>
      </c>
    </row>
    <row r="520" spans="1:3">
      <c r="A520" s="23" t="str">
        <f>TEXT(IF('Change in Employment'!B527&lt;&gt;0,DATE(YEAR('Change in Employment'!B527), MONTH('Change in Employment'!B527), 1), ""), "mm/dd/yyyy")</f>
        <v/>
      </c>
      <c r="B520" s="25" t="str">
        <f>IF(ISNUMBER('Change in Employment'!I527), TEXT('Change in Employment'!I527, "0"), "")</f>
        <v/>
      </c>
      <c r="C520" s="25" t="str">
        <f>IF(ISNUMBER('Change in Employment'!J527),TEXT('Change in Employment'!J527, "0"),"")</f>
        <v/>
      </c>
    </row>
    <row r="521" spans="1:3">
      <c r="A521" s="23" t="str">
        <f>TEXT(IF('Change in Employment'!B528&lt;&gt;0,DATE(YEAR('Change in Employment'!B528), MONTH('Change in Employment'!B528), 1), ""), "mm/dd/yyyy")</f>
        <v/>
      </c>
      <c r="B521" s="25" t="str">
        <f>IF(ISNUMBER('Change in Employment'!I528), TEXT('Change in Employment'!I528, "0"), "")</f>
        <v/>
      </c>
      <c r="C521" s="25" t="str">
        <f>IF(ISNUMBER('Change in Employment'!J528),TEXT('Change in Employment'!J528, "0"),"")</f>
        <v/>
      </c>
    </row>
    <row r="522" spans="1:3">
      <c r="A522" s="23" t="str">
        <f>TEXT(IF('Change in Employment'!B529&lt;&gt;0,DATE(YEAR('Change in Employment'!B529), MONTH('Change in Employment'!B529), 1), ""), "mm/dd/yyyy")</f>
        <v/>
      </c>
      <c r="B522" s="25" t="str">
        <f>IF(ISNUMBER('Change in Employment'!I529), TEXT('Change in Employment'!I529, "0"), "")</f>
        <v/>
      </c>
      <c r="C522" s="25" t="str">
        <f>IF(ISNUMBER('Change in Employment'!J529),TEXT('Change in Employment'!J529, "0"),"")</f>
        <v/>
      </c>
    </row>
    <row r="523" spans="1:3">
      <c r="A523" s="23" t="str">
        <f>TEXT(IF('Change in Employment'!B530&lt;&gt;0,DATE(YEAR('Change in Employment'!B530), MONTH('Change in Employment'!B530), 1), ""), "mm/dd/yyyy")</f>
        <v/>
      </c>
      <c r="B523" s="25" t="str">
        <f>IF(ISNUMBER('Change in Employment'!I530), TEXT('Change in Employment'!I530, "0"), "")</f>
        <v/>
      </c>
      <c r="C523" s="25" t="str">
        <f>IF(ISNUMBER('Change in Employment'!J530),TEXT('Change in Employment'!J530, "0"),"")</f>
        <v/>
      </c>
    </row>
    <row r="524" spans="1:3">
      <c r="A524" s="23" t="str">
        <f>TEXT(IF('Change in Employment'!B531&lt;&gt;0,DATE(YEAR('Change in Employment'!B531), MONTH('Change in Employment'!B531), 1), ""), "mm/dd/yyyy")</f>
        <v/>
      </c>
      <c r="B524" s="25" t="str">
        <f>IF(ISNUMBER('Change in Employment'!I531), TEXT('Change in Employment'!I531, "0"), "")</f>
        <v/>
      </c>
      <c r="C524" s="25" t="str">
        <f>IF(ISNUMBER('Change in Employment'!J531),TEXT('Change in Employment'!J531, "0"),"")</f>
        <v/>
      </c>
    </row>
    <row r="525" spans="1:3">
      <c r="A525" s="23" t="str">
        <f>TEXT(IF('Change in Employment'!B532&lt;&gt;0,DATE(YEAR('Change in Employment'!B532), MONTH('Change in Employment'!B532), 1), ""), "mm/dd/yyyy")</f>
        <v/>
      </c>
      <c r="B525" s="25" t="str">
        <f>IF(ISNUMBER('Change in Employment'!I532), TEXT('Change in Employment'!I532, "0"), "")</f>
        <v/>
      </c>
      <c r="C525" s="25" t="str">
        <f>IF(ISNUMBER('Change in Employment'!J532),TEXT('Change in Employment'!J532, "0"),"")</f>
        <v/>
      </c>
    </row>
    <row r="526" spans="1:3">
      <c r="A526" s="23" t="str">
        <f>TEXT(IF('Change in Employment'!B533&lt;&gt;0,DATE(YEAR('Change in Employment'!B533), MONTH('Change in Employment'!B533), 1), ""), "mm/dd/yyyy")</f>
        <v/>
      </c>
      <c r="B526" s="25" t="str">
        <f>IF(ISNUMBER('Change in Employment'!I533), TEXT('Change in Employment'!I533, "0"), "")</f>
        <v/>
      </c>
      <c r="C526" s="25" t="str">
        <f>IF(ISNUMBER('Change in Employment'!J533),TEXT('Change in Employment'!J533, "0"),"")</f>
        <v/>
      </c>
    </row>
    <row r="527" spans="1:3">
      <c r="A527" s="23" t="str">
        <f>TEXT(IF('Change in Employment'!B534&lt;&gt;0,DATE(YEAR('Change in Employment'!B534), MONTH('Change in Employment'!B534), 1), ""), "mm/dd/yyyy")</f>
        <v/>
      </c>
      <c r="B527" s="25" t="str">
        <f>IF(ISNUMBER('Change in Employment'!I534), TEXT('Change in Employment'!I534, "0"), "")</f>
        <v/>
      </c>
      <c r="C527" s="25" t="str">
        <f>IF(ISNUMBER('Change in Employment'!J534),TEXT('Change in Employment'!J534, "0"),"")</f>
        <v/>
      </c>
    </row>
    <row r="528" spans="1:3">
      <c r="A528" s="23" t="str">
        <f>TEXT(IF('Change in Employment'!B535&lt;&gt;0,DATE(YEAR('Change in Employment'!B535), MONTH('Change in Employment'!B535), 1), ""), "mm/dd/yyyy")</f>
        <v/>
      </c>
      <c r="B528" s="25" t="str">
        <f>IF(ISNUMBER('Change in Employment'!I535), TEXT('Change in Employment'!I535, "0"), "")</f>
        <v/>
      </c>
      <c r="C528" s="25" t="str">
        <f>IF(ISNUMBER('Change in Employment'!J535),TEXT('Change in Employment'!J535, "0"),"")</f>
        <v/>
      </c>
    </row>
    <row r="529" spans="1:3">
      <c r="A529" s="23" t="str">
        <f>TEXT(IF('Change in Employment'!B536&lt;&gt;0,DATE(YEAR('Change in Employment'!B536), MONTH('Change in Employment'!B536), 1), ""), "mm/dd/yyyy")</f>
        <v/>
      </c>
      <c r="B529" s="25" t="str">
        <f>IF(ISNUMBER('Change in Employment'!I536), TEXT('Change in Employment'!I536, "0"), "")</f>
        <v/>
      </c>
      <c r="C529" s="25" t="str">
        <f>IF(ISNUMBER('Change in Employment'!J536),TEXT('Change in Employment'!J536, "0"),"")</f>
        <v/>
      </c>
    </row>
    <row r="530" spans="1:3">
      <c r="A530" s="23" t="str">
        <f>TEXT(IF('Change in Employment'!B537&lt;&gt;0,DATE(YEAR('Change in Employment'!B537), MONTH('Change in Employment'!B537), 1), ""), "mm/dd/yyyy")</f>
        <v/>
      </c>
      <c r="B530" s="25" t="str">
        <f>IF(ISNUMBER('Change in Employment'!I537), TEXT('Change in Employment'!I537, "0"), "")</f>
        <v/>
      </c>
      <c r="C530" s="25" t="str">
        <f>IF(ISNUMBER('Change in Employment'!J537),TEXT('Change in Employment'!J537, "0"),"")</f>
        <v/>
      </c>
    </row>
    <row r="531" spans="1:3">
      <c r="A531" s="23" t="str">
        <f>TEXT(IF('Change in Employment'!B538&lt;&gt;0,DATE(YEAR('Change in Employment'!B538), MONTH('Change in Employment'!B538), 1), ""), "mm/dd/yyyy")</f>
        <v/>
      </c>
      <c r="B531" s="25" t="str">
        <f>IF(ISNUMBER('Change in Employment'!I538), TEXT('Change in Employment'!I538, "0"), "")</f>
        <v/>
      </c>
      <c r="C531" s="25" t="str">
        <f>IF(ISNUMBER('Change in Employment'!J538),TEXT('Change in Employment'!J538, "0"),"")</f>
        <v/>
      </c>
    </row>
    <row r="532" spans="1:3">
      <c r="A532" s="23" t="str">
        <f>TEXT(IF('Change in Employment'!B539&lt;&gt;0,DATE(YEAR('Change in Employment'!B539), MONTH('Change in Employment'!B539), 1), ""), "mm/dd/yyyy")</f>
        <v/>
      </c>
      <c r="B532" s="25" t="str">
        <f>IF(ISNUMBER('Change in Employment'!I539), TEXT('Change in Employment'!I539, "0"), "")</f>
        <v/>
      </c>
      <c r="C532" s="25" t="str">
        <f>IF(ISNUMBER('Change in Employment'!J539),TEXT('Change in Employment'!J539, "0"),"")</f>
        <v/>
      </c>
    </row>
    <row r="533" spans="1:3">
      <c r="A533" s="23" t="str">
        <f>TEXT(IF('Change in Employment'!B540&lt;&gt;0,DATE(YEAR('Change in Employment'!B540), MONTH('Change in Employment'!B540), 1), ""), "mm/dd/yyyy")</f>
        <v/>
      </c>
      <c r="B533" s="25" t="str">
        <f>IF(ISNUMBER('Change in Employment'!I540), TEXT('Change in Employment'!I540, "0"), "")</f>
        <v/>
      </c>
      <c r="C533" s="25" t="str">
        <f>IF(ISNUMBER('Change in Employment'!J540),TEXT('Change in Employment'!J540, "0"),"")</f>
        <v/>
      </c>
    </row>
    <row r="534" spans="1:3">
      <c r="A534" s="23" t="str">
        <f>TEXT(IF('Change in Employment'!B541&lt;&gt;0,DATE(YEAR('Change in Employment'!B541), MONTH('Change in Employment'!B541), 1), ""), "mm/dd/yyyy")</f>
        <v/>
      </c>
      <c r="B534" s="25" t="str">
        <f>IF(ISNUMBER('Change in Employment'!I541), TEXT('Change in Employment'!I541, "0"), "")</f>
        <v/>
      </c>
      <c r="C534" s="25" t="str">
        <f>IF(ISNUMBER('Change in Employment'!J541),TEXT('Change in Employment'!J541, "0"),"")</f>
        <v/>
      </c>
    </row>
    <row r="535" spans="1:3">
      <c r="A535" s="23" t="str">
        <f>TEXT(IF('Change in Employment'!B542&lt;&gt;0,DATE(YEAR('Change in Employment'!B542), MONTH('Change in Employment'!B542), 1), ""), "mm/dd/yyyy")</f>
        <v/>
      </c>
      <c r="B535" s="25" t="str">
        <f>IF(ISNUMBER('Change in Employment'!I542), TEXT('Change in Employment'!I542, "0"), "")</f>
        <v/>
      </c>
      <c r="C535" s="25" t="str">
        <f>IF(ISNUMBER('Change in Employment'!J542),TEXT('Change in Employment'!J542, "0"),"")</f>
        <v/>
      </c>
    </row>
    <row r="536" spans="1:3">
      <c r="A536" s="23" t="str">
        <f>TEXT(IF('Change in Employment'!B543&lt;&gt;0,DATE(YEAR('Change in Employment'!B543), MONTH('Change in Employment'!B543), 1), ""), "mm/dd/yyyy")</f>
        <v/>
      </c>
      <c r="B536" s="25" t="str">
        <f>IF(ISNUMBER('Change in Employment'!I543), TEXT('Change in Employment'!I543, "0"), "")</f>
        <v/>
      </c>
      <c r="C536" s="25" t="str">
        <f>IF(ISNUMBER('Change in Employment'!J543),TEXT('Change in Employment'!J543, "0"),"")</f>
        <v/>
      </c>
    </row>
    <row r="537" spans="1:3">
      <c r="A537" s="23" t="str">
        <f>TEXT(IF('Change in Employment'!B544&lt;&gt;0,DATE(YEAR('Change in Employment'!B544), MONTH('Change in Employment'!B544), 1), ""), "mm/dd/yyyy")</f>
        <v/>
      </c>
      <c r="B537" s="25" t="str">
        <f>IF(ISNUMBER('Change in Employment'!I544), TEXT('Change in Employment'!I544, "0"), "")</f>
        <v/>
      </c>
      <c r="C537" s="25" t="str">
        <f>IF(ISNUMBER('Change in Employment'!J544),TEXT('Change in Employment'!J544, "0"),"")</f>
        <v/>
      </c>
    </row>
    <row r="538" spans="1:3">
      <c r="A538" s="23" t="str">
        <f>TEXT(IF('Change in Employment'!B545&lt;&gt;0,DATE(YEAR('Change in Employment'!B545), MONTH('Change in Employment'!B545), 1), ""), "mm/dd/yyyy")</f>
        <v/>
      </c>
      <c r="B538" s="25" t="str">
        <f>IF(ISNUMBER('Change in Employment'!I545), TEXT('Change in Employment'!I545, "0"), "")</f>
        <v/>
      </c>
      <c r="C538" s="25" t="str">
        <f>IF(ISNUMBER('Change in Employment'!J545),TEXT('Change in Employment'!J545, "0"),"")</f>
        <v/>
      </c>
    </row>
    <row r="539" spans="1:3">
      <c r="A539" s="23" t="str">
        <f>TEXT(IF('Change in Employment'!B546&lt;&gt;0,DATE(YEAR('Change in Employment'!B546), MONTH('Change in Employment'!B546), 1), ""), "mm/dd/yyyy")</f>
        <v/>
      </c>
      <c r="B539" s="25" t="str">
        <f>IF(ISNUMBER('Change in Employment'!I546), TEXT('Change in Employment'!I546, "0"), "")</f>
        <v/>
      </c>
      <c r="C539" s="25" t="str">
        <f>IF(ISNUMBER('Change in Employment'!J546),TEXT('Change in Employment'!J546, "0"),"")</f>
        <v/>
      </c>
    </row>
    <row r="540" spans="1:3">
      <c r="A540" s="23" t="str">
        <f>TEXT(IF('Change in Employment'!B547&lt;&gt;0,DATE(YEAR('Change in Employment'!B547), MONTH('Change in Employment'!B547), 1), ""), "mm/dd/yyyy")</f>
        <v/>
      </c>
      <c r="B540" s="25" t="str">
        <f>IF(ISNUMBER('Change in Employment'!I547), TEXT('Change in Employment'!I547, "0"), "")</f>
        <v/>
      </c>
      <c r="C540" s="25" t="str">
        <f>IF(ISNUMBER('Change in Employment'!J547),TEXT('Change in Employment'!J547, "0"),"")</f>
        <v/>
      </c>
    </row>
    <row r="541" spans="1:3">
      <c r="A541" s="23" t="str">
        <f>TEXT(IF('Change in Employment'!B548&lt;&gt;0,DATE(YEAR('Change in Employment'!B548), MONTH('Change in Employment'!B548), 1), ""), "mm/dd/yyyy")</f>
        <v/>
      </c>
      <c r="B541" s="25" t="str">
        <f>IF(ISNUMBER('Change in Employment'!I548), TEXT('Change in Employment'!I548, "0"), "")</f>
        <v/>
      </c>
      <c r="C541" s="25" t="str">
        <f>IF(ISNUMBER('Change in Employment'!J548),TEXT('Change in Employment'!J548, "0"),"")</f>
        <v/>
      </c>
    </row>
    <row r="542" spans="1:3">
      <c r="A542" s="23" t="str">
        <f>TEXT(IF('Change in Employment'!B549&lt;&gt;0,DATE(YEAR('Change in Employment'!B549), MONTH('Change in Employment'!B549), 1), ""), "mm/dd/yyyy")</f>
        <v/>
      </c>
      <c r="B542" s="25" t="str">
        <f>IF(ISNUMBER('Change in Employment'!I549), TEXT('Change in Employment'!I549, "0"), "")</f>
        <v/>
      </c>
      <c r="C542" s="25" t="str">
        <f>IF(ISNUMBER('Change in Employment'!J549),TEXT('Change in Employment'!J549, "0"),"")</f>
        <v/>
      </c>
    </row>
    <row r="543" spans="1:3">
      <c r="A543" s="23" t="str">
        <f>TEXT(IF('Change in Employment'!B550&lt;&gt;0,DATE(YEAR('Change in Employment'!B550), MONTH('Change in Employment'!B550), 1), ""), "mm/dd/yyyy")</f>
        <v/>
      </c>
      <c r="B543" s="25" t="str">
        <f>IF(ISNUMBER('Change in Employment'!I550), TEXT('Change in Employment'!I550, "0"), "")</f>
        <v/>
      </c>
      <c r="C543" s="25" t="str">
        <f>IF(ISNUMBER('Change in Employment'!J550),TEXT('Change in Employment'!J550, "0"),"")</f>
        <v/>
      </c>
    </row>
    <row r="544" spans="1:3">
      <c r="A544" s="23" t="str">
        <f>TEXT(IF('Change in Employment'!B551&lt;&gt;0,DATE(YEAR('Change in Employment'!B551), MONTH('Change in Employment'!B551), 1), ""), "mm/dd/yyyy")</f>
        <v/>
      </c>
      <c r="B544" s="25" t="str">
        <f>IF(ISNUMBER('Change in Employment'!I551), TEXT('Change in Employment'!I551, "0"), "")</f>
        <v/>
      </c>
      <c r="C544" s="25" t="str">
        <f>IF(ISNUMBER('Change in Employment'!J551),TEXT('Change in Employment'!J551, "0"),"")</f>
        <v/>
      </c>
    </row>
    <row r="545" spans="1:3">
      <c r="A545" s="23" t="str">
        <f>TEXT(IF('Change in Employment'!B552&lt;&gt;0,DATE(YEAR('Change in Employment'!B552), MONTH('Change in Employment'!B552), 1), ""), "mm/dd/yyyy")</f>
        <v/>
      </c>
      <c r="B545" s="25" t="str">
        <f>IF(ISNUMBER('Change in Employment'!I552), TEXT('Change in Employment'!I552, "0"), "")</f>
        <v/>
      </c>
      <c r="C545" s="25" t="str">
        <f>IF(ISNUMBER('Change in Employment'!J552),TEXT('Change in Employment'!J552, "0"),"")</f>
        <v/>
      </c>
    </row>
    <row r="546" spans="1:3">
      <c r="A546" s="23" t="str">
        <f>TEXT(IF('Change in Employment'!B553&lt;&gt;0,DATE(YEAR('Change in Employment'!B553), MONTH('Change in Employment'!B553), 1), ""), "mm/dd/yyyy")</f>
        <v/>
      </c>
      <c r="B546" s="25" t="str">
        <f>IF(ISNUMBER('Change in Employment'!I553), TEXT('Change in Employment'!I553, "0"), "")</f>
        <v/>
      </c>
      <c r="C546" s="25" t="str">
        <f>IF(ISNUMBER('Change in Employment'!J553),TEXT('Change in Employment'!J553, "0"),"")</f>
        <v/>
      </c>
    </row>
    <row r="547" spans="1:3">
      <c r="A547" s="23" t="str">
        <f>TEXT(IF('Change in Employment'!B554&lt;&gt;0,DATE(YEAR('Change in Employment'!B554), MONTH('Change in Employment'!B554), 1), ""), "mm/dd/yyyy")</f>
        <v/>
      </c>
      <c r="B547" s="25" t="str">
        <f>IF(ISNUMBER('Change in Employment'!I554), TEXT('Change in Employment'!I554, "0"), "")</f>
        <v/>
      </c>
      <c r="C547" s="25" t="str">
        <f>IF(ISNUMBER('Change in Employment'!J554),TEXT('Change in Employment'!J554, "0"),"")</f>
        <v/>
      </c>
    </row>
    <row r="548" spans="1:3">
      <c r="A548" s="23" t="str">
        <f>TEXT(IF('Change in Employment'!B555&lt;&gt;0,DATE(YEAR('Change in Employment'!B555), MONTH('Change in Employment'!B555), 1), ""), "mm/dd/yyyy")</f>
        <v/>
      </c>
      <c r="B548" s="25" t="str">
        <f>IF(ISNUMBER('Change in Employment'!I555), TEXT('Change in Employment'!I555, "0"), "")</f>
        <v/>
      </c>
      <c r="C548" s="25" t="str">
        <f>IF(ISNUMBER('Change in Employment'!J555),TEXT('Change in Employment'!J555, "0"),"")</f>
        <v/>
      </c>
    </row>
    <row r="549" spans="1:3">
      <c r="A549" s="23" t="str">
        <f>TEXT(IF('Change in Employment'!B556&lt;&gt;0,DATE(YEAR('Change in Employment'!B556), MONTH('Change in Employment'!B556), 1), ""), "mm/dd/yyyy")</f>
        <v/>
      </c>
      <c r="B549" s="25" t="str">
        <f>IF(ISNUMBER('Change in Employment'!I556), TEXT('Change in Employment'!I556, "0"), "")</f>
        <v/>
      </c>
      <c r="C549" s="25" t="str">
        <f>IF(ISNUMBER('Change in Employment'!J556),TEXT('Change in Employment'!J556, "0"),"")</f>
        <v/>
      </c>
    </row>
    <row r="550" spans="1:3">
      <c r="A550" s="23" t="str">
        <f>TEXT(IF('Change in Employment'!B557&lt;&gt;0,DATE(YEAR('Change in Employment'!B557), MONTH('Change in Employment'!B557), 1), ""), "mm/dd/yyyy")</f>
        <v/>
      </c>
      <c r="B550" s="25" t="str">
        <f>IF(ISNUMBER('Change in Employment'!I557), TEXT('Change in Employment'!I557, "0"), "")</f>
        <v/>
      </c>
      <c r="C550" s="25" t="str">
        <f>IF(ISNUMBER('Change in Employment'!J557),TEXT('Change in Employment'!J557, "0"),"")</f>
        <v/>
      </c>
    </row>
    <row r="551" spans="1:3">
      <c r="A551" s="23" t="str">
        <f>TEXT(IF('Change in Employment'!B558&lt;&gt;0,DATE(YEAR('Change in Employment'!B558), MONTH('Change in Employment'!B558), 1), ""), "mm/dd/yyyy")</f>
        <v/>
      </c>
      <c r="B551" s="25" t="str">
        <f>IF(ISNUMBER('Change in Employment'!I558), TEXT('Change in Employment'!I558, "0"), "")</f>
        <v/>
      </c>
      <c r="C551" s="25" t="str">
        <f>IF(ISNUMBER('Change in Employment'!J558),TEXT('Change in Employment'!J558, "0"),"")</f>
        <v/>
      </c>
    </row>
    <row r="552" spans="1:3">
      <c r="A552" s="23" t="str">
        <f>TEXT(IF('Change in Employment'!B559&lt;&gt;0,DATE(YEAR('Change in Employment'!B559), MONTH('Change in Employment'!B559), 1), ""), "mm/dd/yyyy")</f>
        <v/>
      </c>
      <c r="B552" s="25" t="str">
        <f>IF(ISNUMBER('Change in Employment'!I559), TEXT('Change in Employment'!I559, "0"), "")</f>
        <v/>
      </c>
      <c r="C552" s="25" t="str">
        <f>IF(ISNUMBER('Change in Employment'!J559),TEXT('Change in Employment'!J559, "0"),"")</f>
        <v/>
      </c>
    </row>
    <row r="553" spans="1:3">
      <c r="A553" s="23" t="str">
        <f>TEXT(IF('Change in Employment'!B560&lt;&gt;0,DATE(YEAR('Change in Employment'!B560), MONTH('Change in Employment'!B560), 1), ""), "mm/dd/yyyy")</f>
        <v/>
      </c>
      <c r="B553" s="25" t="str">
        <f>IF(ISNUMBER('Change in Employment'!I560), TEXT('Change in Employment'!I560, "0"), "")</f>
        <v/>
      </c>
      <c r="C553" s="25" t="str">
        <f>IF(ISNUMBER('Change in Employment'!J560),TEXT('Change in Employment'!J560, "0"),"")</f>
        <v/>
      </c>
    </row>
    <row r="554" spans="1:3">
      <c r="A554" s="23" t="str">
        <f>TEXT(IF('Change in Employment'!B561&lt;&gt;0,DATE(YEAR('Change in Employment'!B561), MONTH('Change in Employment'!B561), 1), ""), "mm/dd/yyyy")</f>
        <v/>
      </c>
      <c r="B554" s="25" t="str">
        <f>IF(ISNUMBER('Change in Employment'!I561), TEXT('Change in Employment'!I561, "0"), "")</f>
        <v/>
      </c>
      <c r="C554" s="25" t="str">
        <f>IF(ISNUMBER('Change in Employment'!J561),TEXT('Change in Employment'!J561, "0"),"")</f>
        <v/>
      </c>
    </row>
    <row r="555" spans="1:3">
      <c r="A555" s="23" t="str">
        <f>TEXT(IF('Change in Employment'!B562&lt;&gt;0,DATE(YEAR('Change in Employment'!B562), MONTH('Change in Employment'!B562), 1), ""), "mm/dd/yyyy")</f>
        <v/>
      </c>
      <c r="B555" s="25" t="str">
        <f>IF(ISNUMBER('Change in Employment'!I562), TEXT('Change in Employment'!I562, "0"), "")</f>
        <v/>
      </c>
      <c r="C555" s="25" t="str">
        <f>IF(ISNUMBER('Change in Employment'!J562),TEXT('Change in Employment'!J562, "0"),"")</f>
        <v/>
      </c>
    </row>
    <row r="556" spans="1:3">
      <c r="A556" s="23" t="str">
        <f>TEXT(IF('Change in Employment'!B563&lt;&gt;0,DATE(YEAR('Change in Employment'!B563), MONTH('Change in Employment'!B563), 1), ""), "mm/dd/yyyy")</f>
        <v/>
      </c>
      <c r="B556" s="25" t="str">
        <f>IF(ISNUMBER('Change in Employment'!I563), TEXT('Change in Employment'!I563, "0"), "")</f>
        <v/>
      </c>
      <c r="C556" s="25" t="str">
        <f>IF(ISNUMBER('Change in Employment'!J563),TEXT('Change in Employment'!J563, "0"),"")</f>
        <v/>
      </c>
    </row>
    <row r="557" spans="1:3">
      <c r="A557" s="23" t="str">
        <f>TEXT(IF('Change in Employment'!B564&lt;&gt;0,DATE(YEAR('Change in Employment'!B564), MONTH('Change in Employment'!B564), 1), ""), "mm/dd/yyyy")</f>
        <v/>
      </c>
      <c r="B557" s="25" t="str">
        <f>IF(ISNUMBER('Change in Employment'!I564), TEXT('Change in Employment'!I564, "0"), "")</f>
        <v/>
      </c>
      <c r="C557" s="25" t="str">
        <f>IF(ISNUMBER('Change in Employment'!J564),TEXT('Change in Employment'!J564, "0"),"")</f>
        <v/>
      </c>
    </row>
    <row r="558" spans="1:3">
      <c r="A558" s="23" t="str">
        <f>TEXT(IF('Change in Employment'!B565&lt;&gt;0,DATE(YEAR('Change in Employment'!B565), MONTH('Change in Employment'!B565), 1), ""), "mm/dd/yyyy")</f>
        <v/>
      </c>
      <c r="B558" s="25" t="str">
        <f>IF(ISNUMBER('Change in Employment'!I565), TEXT('Change in Employment'!I565, "0"), "")</f>
        <v/>
      </c>
      <c r="C558" s="25" t="str">
        <f>IF(ISNUMBER('Change in Employment'!J565),TEXT('Change in Employment'!J565, "0"),"")</f>
        <v/>
      </c>
    </row>
    <row r="559" spans="1:3">
      <c r="A559" s="23" t="str">
        <f>TEXT(IF('Change in Employment'!B566&lt;&gt;0,DATE(YEAR('Change in Employment'!B566), MONTH('Change in Employment'!B566), 1), ""), "mm/dd/yyyy")</f>
        <v/>
      </c>
      <c r="B559" s="25" t="str">
        <f>IF(ISNUMBER('Change in Employment'!I566), TEXT('Change in Employment'!I566, "0"), "")</f>
        <v/>
      </c>
      <c r="C559" s="25" t="str">
        <f>IF(ISNUMBER('Change in Employment'!J566),TEXT('Change in Employment'!J566, "0"),"")</f>
        <v/>
      </c>
    </row>
    <row r="560" spans="1:3">
      <c r="A560" s="23" t="str">
        <f>TEXT(IF('Change in Employment'!B567&lt;&gt;0,DATE(YEAR('Change in Employment'!B567), MONTH('Change in Employment'!B567), 1), ""), "mm/dd/yyyy")</f>
        <v/>
      </c>
      <c r="B560" s="25" t="str">
        <f>IF(ISNUMBER('Change in Employment'!I567), TEXT('Change in Employment'!I567, "0"), "")</f>
        <v/>
      </c>
      <c r="C560" s="25" t="str">
        <f>IF(ISNUMBER('Change in Employment'!J567),TEXT('Change in Employment'!J567, "0"),"")</f>
        <v/>
      </c>
    </row>
    <row r="561" spans="1:3">
      <c r="A561" s="23" t="str">
        <f>TEXT(IF('Change in Employment'!B568&lt;&gt;0,DATE(YEAR('Change in Employment'!B568), MONTH('Change in Employment'!B568), 1), ""), "mm/dd/yyyy")</f>
        <v/>
      </c>
      <c r="B561" s="25" t="str">
        <f>IF(ISNUMBER('Change in Employment'!I568), TEXT('Change in Employment'!I568, "0"), "")</f>
        <v/>
      </c>
      <c r="C561" s="25" t="str">
        <f>IF(ISNUMBER('Change in Employment'!J568),TEXT('Change in Employment'!J568, "0"),"")</f>
        <v/>
      </c>
    </row>
    <row r="562" spans="1:3">
      <c r="A562" s="23" t="str">
        <f>TEXT(IF('Change in Employment'!B569&lt;&gt;0,DATE(YEAR('Change in Employment'!B569), MONTH('Change in Employment'!B569), 1), ""), "mm/dd/yyyy")</f>
        <v/>
      </c>
      <c r="B562" s="25" t="str">
        <f>IF(ISNUMBER('Change in Employment'!I569), TEXT('Change in Employment'!I569, "0"), "")</f>
        <v/>
      </c>
      <c r="C562" s="25" t="str">
        <f>IF(ISNUMBER('Change in Employment'!J569),TEXT('Change in Employment'!J569, "0"),"")</f>
        <v/>
      </c>
    </row>
    <row r="563" spans="1:3">
      <c r="A563" s="23" t="str">
        <f>TEXT(IF('Change in Employment'!B570&lt;&gt;0,DATE(YEAR('Change in Employment'!B570), MONTH('Change in Employment'!B570), 1), ""), "mm/dd/yyyy")</f>
        <v/>
      </c>
      <c r="B563" s="25" t="str">
        <f>IF(ISNUMBER('Change in Employment'!I570), TEXT('Change in Employment'!I570, "0"), "")</f>
        <v/>
      </c>
      <c r="C563" s="25" t="str">
        <f>IF(ISNUMBER('Change in Employment'!J570),TEXT('Change in Employment'!J570, "0"),"")</f>
        <v/>
      </c>
    </row>
    <row r="564" spans="1:3">
      <c r="A564" s="23" t="str">
        <f>TEXT(IF('Change in Employment'!B571&lt;&gt;0,DATE(YEAR('Change in Employment'!B571), MONTH('Change in Employment'!B571), 1), ""), "mm/dd/yyyy")</f>
        <v/>
      </c>
      <c r="B564" s="25" t="str">
        <f>IF(ISNUMBER('Change in Employment'!I571), TEXT('Change in Employment'!I571, "0"), "")</f>
        <v/>
      </c>
      <c r="C564" s="25" t="str">
        <f>IF(ISNUMBER('Change in Employment'!J571),TEXT('Change in Employment'!J571, "0"),"")</f>
        <v/>
      </c>
    </row>
    <row r="565" spans="1:3">
      <c r="A565" s="23" t="str">
        <f>TEXT(IF('Change in Employment'!B572&lt;&gt;0,DATE(YEAR('Change in Employment'!B572), MONTH('Change in Employment'!B572), 1), ""), "mm/dd/yyyy")</f>
        <v/>
      </c>
      <c r="B565" s="25" t="str">
        <f>IF(ISNUMBER('Change in Employment'!I572), TEXT('Change in Employment'!I572, "0"), "")</f>
        <v/>
      </c>
      <c r="C565" s="25" t="str">
        <f>IF(ISNUMBER('Change in Employment'!J572),TEXT('Change in Employment'!J572, "0"),"")</f>
        <v/>
      </c>
    </row>
    <row r="566" spans="1:3">
      <c r="A566" s="23" t="str">
        <f>TEXT(IF('Change in Employment'!B573&lt;&gt;0,DATE(YEAR('Change in Employment'!B573), MONTH('Change in Employment'!B573), 1), ""), "mm/dd/yyyy")</f>
        <v/>
      </c>
      <c r="B566" s="25" t="str">
        <f>IF(ISNUMBER('Change in Employment'!I573), TEXT('Change in Employment'!I573, "0"), "")</f>
        <v/>
      </c>
      <c r="C566" s="25" t="str">
        <f>IF(ISNUMBER('Change in Employment'!J573),TEXT('Change in Employment'!J573, "0"),"")</f>
        <v/>
      </c>
    </row>
    <row r="567" spans="1:3">
      <c r="A567" s="23" t="str">
        <f>TEXT(IF('Change in Employment'!B574&lt;&gt;0,DATE(YEAR('Change in Employment'!B574), MONTH('Change in Employment'!B574), 1), ""), "mm/dd/yyyy")</f>
        <v/>
      </c>
      <c r="B567" s="25" t="str">
        <f>IF(ISNUMBER('Change in Employment'!I574), TEXT('Change in Employment'!I574, "0"), "")</f>
        <v/>
      </c>
      <c r="C567" s="25" t="str">
        <f>IF(ISNUMBER('Change in Employment'!J574),TEXT('Change in Employment'!J574, "0"),"")</f>
        <v/>
      </c>
    </row>
    <row r="568" spans="1:3">
      <c r="A568" s="23" t="str">
        <f>TEXT(IF('Change in Employment'!B575&lt;&gt;0,DATE(YEAR('Change in Employment'!B575), MONTH('Change in Employment'!B575), 1), ""), "mm/dd/yyyy")</f>
        <v/>
      </c>
      <c r="B568" s="25" t="str">
        <f>IF(ISNUMBER('Change in Employment'!I575), TEXT('Change in Employment'!I575, "0"), "")</f>
        <v/>
      </c>
      <c r="C568" s="25" t="str">
        <f>IF(ISNUMBER('Change in Employment'!J575),TEXT('Change in Employment'!J575, "0"),"")</f>
        <v/>
      </c>
    </row>
    <row r="569" spans="1:3">
      <c r="A569" s="23" t="str">
        <f>TEXT(IF('Change in Employment'!B576&lt;&gt;0,DATE(YEAR('Change in Employment'!B576), MONTH('Change in Employment'!B576), 1), ""), "mm/dd/yyyy")</f>
        <v/>
      </c>
      <c r="B569" s="25" t="str">
        <f>IF(ISNUMBER('Change in Employment'!I576), TEXT('Change in Employment'!I576, "0"), "")</f>
        <v/>
      </c>
      <c r="C569" s="25" t="str">
        <f>IF(ISNUMBER('Change in Employment'!J576),TEXT('Change in Employment'!J576, "0"),"")</f>
        <v/>
      </c>
    </row>
    <row r="570" spans="1:3">
      <c r="A570" s="23" t="str">
        <f>TEXT(IF('Change in Employment'!B577&lt;&gt;0,DATE(YEAR('Change in Employment'!B577), MONTH('Change in Employment'!B577), 1), ""), "mm/dd/yyyy")</f>
        <v/>
      </c>
      <c r="B570" s="25" t="str">
        <f>IF(ISNUMBER('Change in Employment'!I577), TEXT('Change in Employment'!I577, "0"), "")</f>
        <v/>
      </c>
      <c r="C570" s="25" t="str">
        <f>IF(ISNUMBER('Change in Employment'!J577),TEXT('Change in Employment'!J577, "0"),"")</f>
        <v/>
      </c>
    </row>
    <row r="571" spans="1:3">
      <c r="A571" s="23" t="str">
        <f>TEXT(IF('Change in Employment'!B578&lt;&gt;0,DATE(YEAR('Change in Employment'!B578), MONTH('Change in Employment'!B578), 1), ""), "mm/dd/yyyy")</f>
        <v/>
      </c>
      <c r="B571" s="25" t="str">
        <f>IF(ISNUMBER('Change in Employment'!I578), TEXT('Change in Employment'!I578, "0"), "")</f>
        <v/>
      </c>
      <c r="C571" s="25" t="str">
        <f>IF(ISNUMBER('Change in Employment'!J578),TEXT('Change in Employment'!J578, "0"),"")</f>
        <v/>
      </c>
    </row>
    <row r="572" spans="1:3">
      <c r="A572" s="23" t="str">
        <f>TEXT(IF('Change in Employment'!B579&lt;&gt;0,DATE(YEAR('Change in Employment'!B579), MONTH('Change in Employment'!B579), 1), ""), "mm/dd/yyyy")</f>
        <v/>
      </c>
      <c r="B572" s="25" t="str">
        <f>IF(ISNUMBER('Change in Employment'!I579), TEXT('Change in Employment'!I579, "0"), "")</f>
        <v/>
      </c>
      <c r="C572" s="25" t="str">
        <f>IF(ISNUMBER('Change in Employment'!J579),TEXT('Change in Employment'!J579, "0"),"")</f>
        <v/>
      </c>
    </row>
    <row r="573" spans="1:3">
      <c r="A573" s="23" t="str">
        <f>TEXT(IF('Change in Employment'!B580&lt;&gt;0,DATE(YEAR('Change in Employment'!B580), MONTH('Change in Employment'!B580), 1), ""), "mm/dd/yyyy")</f>
        <v/>
      </c>
      <c r="B573" s="25" t="str">
        <f>IF(ISNUMBER('Change in Employment'!I580), TEXT('Change in Employment'!I580, "0"), "")</f>
        <v/>
      </c>
      <c r="C573" s="25" t="str">
        <f>IF(ISNUMBER('Change in Employment'!J580),TEXT('Change in Employment'!J580, "0"),"")</f>
        <v/>
      </c>
    </row>
    <row r="574" spans="1:3">
      <c r="A574" s="23" t="str">
        <f>TEXT(IF('Change in Employment'!B581&lt;&gt;0,DATE(YEAR('Change in Employment'!B581), MONTH('Change in Employment'!B581), 1), ""), "mm/dd/yyyy")</f>
        <v/>
      </c>
      <c r="B574" s="25" t="str">
        <f>IF(ISNUMBER('Change in Employment'!I581), TEXT('Change in Employment'!I581, "0"), "")</f>
        <v/>
      </c>
      <c r="C574" s="25" t="str">
        <f>IF(ISNUMBER('Change in Employment'!J581),TEXT('Change in Employment'!J581, "0"),"")</f>
        <v/>
      </c>
    </row>
    <row r="575" spans="1:3">
      <c r="A575" s="23" t="str">
        <f>TEXT(IF('Change in Employment'!B582&lt;&gt;0,DATE(YEAR('Change in Employment'!B582), MONTH('Change in Employment'!B582), 1), ""), "mm/dd/yyyy")</f>
        <v/>
      </c>
      <c r="B575" s="25" t="str">
        <f>IF(ISNUMBER('Change in Employment'!I582), TEXT('Change in Employment'!I582, "0"), "")</f>
        <v/>
      </c>
      <c r="C575" s="25" t="str">
        <f>IF(ISNUMBER('Change in Employment'!J582),TEXT('Change in Employment'!J582, "0"),"")</f>
        <v/>
      </c>
    </row>
    <row r="576" spans="1:3">
      <c r="A576" s="23" t="str">
        <f>TEXT(IF('Change in Employment'!B583&lt;&gt;0,DATE(YEAR('Change in Employment'!B583), MONTH('Change in Employment'!B583), 1), ""), "mm/dd/yyyy")</f>
        <v/>
      </c>
      <c r="B576" s="25" t="str">
        <f>IF(ISNUMBER('Change in Employment'!I583), TEXT('Change in Employment'!I583, "0"), "")</f>
        <v/>
      </c>
      <c r="C576" s="25" t="str">
        <f>IF(ISNUMBER('Change in Employment'!J583),TEXT('Change in Employment'!J583, "0"),"")</f>
        <v/>
      </c>
    </row>
    <row r="577" spans="1:3">
      <c r="A577" s="23" t="str">
        <f>TEXT(IF('Change in Employment'!B584&lt;&gt;0,DATE(YEAR('Change in Employment'!B584), MONTH('Change in Employment'!B584), 1), ""), "mm/dd/yyyy")</f>
        <v/>
      </c>
      <c r="B577" s="25" t="str">
        <f>IF(ISNUMBER('Change in Employment'!I584), TEXT('Change in Employment'!I584, "0"), "")</f>
        <v/>
      </c>
      <c r="C577" s="25" t="str">
        <f>IF(ISNUMBER('Change in Employment'!J584),TEXT('Change in Employment'!J584, "0"),"")</f>
        <v/>
      </c>
    </row>
    <row r="578" spans="1:3">
      <c r="A578" s="23" t="str">
        <f>TEXT(IF('Change in Employment'!B585&lt;&gt;0,DATE(YEAR('Change in Employment'!B585), MONTH('Change in Employment'!B585), 1), ""), "mm/dd/yyyy")</f>
        <v/>
      </c>
      <c r="B578" s="25" t="str">
        <f>IF(ISNUMBER('Change in Employment'!I585), TEXT('Change in Employment'!I585, "0"), "")</f>
        <v/>
      </c>
      <c r="C578" s="25" t="str">
        <f>IF(ISNUMBER('Change in Employment'!J585),TEXT('Change in Employment'!J585, "0"),"")</f>
        <v/>
      </c>
    </row>
    <row r="579" spans="1:3">
      <c r="A579" s="23" t="str">
        <f>TEXT(IF('Change in Employment'!B586&lt;&gt;0,DATE(YEAR('Change in Employment'!B586), MONTH('Change in Employment'!B586), 1), ""), "mm/dd/yyyy")</f>
        <v/>
      </c>
      <c r="B579" s="25" t="str">
        <f>IF(ISNUMBER('Change in Employment'!I586), TEXT('Change in Employment'!I586, "0"), "")</f>
        <v/>
      </c>
      <c r="C579" s="25" t="str">
        <f>IF(ISNUMBER('Change in Employment'!J586),TEXT('Change in Employment'!J586, "0"),"")</f>
        <v/>
      </c>
    </row>
    <row r="580" spans="1:3">
      <c r="A580" s="23" t="str">
        <f>TEXT(IF('Change in Employment'!B587&lt;&gt;0,DATE(YEAR('Change in Employment'!B587), MONTH('Change in Employment'!B587), 1), ""), "mm/dd/yyyy")</f>
        <v/>
      </c>
      <c r="B580" s="25" t="str">
        <f>IF(ISNUMBER('Change in Employment'!I587), TEXT('Change in Employment'!I587, "0"), "")</f>
        <v/>
      </c>
      <c r="C580" s="25" t="str">
        <f>IF(ISNUMBER('Change in Employment'!J587),TEXT('Change in Employment'!J587, "0"),"")</f>
        <v/>
      </c>
    </row>
    <row r="581" spans="1:3">
      <c r="A581" s="23" t="str">
        <f>TEXT(IF('Change in Employment'!B588&lt;&gt;0,DATE(YEAR('Change in Employment'!B588), MONTH('Change in Employment'!B588), 1), ""), "mm/dd/yyyy")</f>
        <v/>
      </c>
      <c r="B581" s="25" t="str">
        <f>IF(ISNUMBER('Change in Employment'!I588), TEXT('Change in Employment'!I588, "0"), "")</f>
        <v/>
      </c>
      <c r="C581" s="25" t="str">
        <f>IF(ISNUMBER('Change in Employment'!J588),TEXT('Change in Employment'!J588, "0"),"")</f>
        <v/>
      </c>
    </row>
    <row r="582" spans="1:3">
      <c r="A582" s="23" t="str">
        <f>TEXT(IF('Change in Employment'!B589&lt;&gt;0,DATE(YEAR('Change in Employment'!B589), MONTH('Change in Employment'!B589), 1), ""), "mm/dd/yyyy")</f>
        <v/>
      </c>
      <c r="B582" s="25" t="str">
        <f>IF(ISNUMBER('Change in Employment'!I589), TEXT('Change in Employment'!I589, "0"), "")</f>
        <v/>
      </c>
      <c r="C582" s="25" t="str">
        <f>IF(ISNUMBER('Change in Employment'!J589),TEXT('Change in Employment'!J589, "0"),"")</f>
        <v/>
      </c>
    </row>
    <row r="583" spans="1:3">
      <c r="A583" s="23" t="str">
        <f>TEXT(IF('Change in Employment'!B590&lt;&gt;0,DATE(YEAR('Change in Employment'!B590), MONTH('Change in Employment'!B590), 1), ""), "mm/dd/yyyy")</f>
        <v/>
      </c>
      <c r="B583" s="25" t="str">
        <f>IF(ISNUMBER('Change in Employment'!I590), TEXT('Change in Employment'!I590, "0"), "")</f>
        <v/>
      </c>
      <c r="C583" s="25" t="str">
        <f>IF(ISNUMBER('Change in Employment'!J590),TEXT('Change in Employment'!J590, "0"),"")</f>
        <v/>
      </c>
    </row>
    <row r="584" spans="1:3">
      <c r="A584" s="23" t="str">
        <f>TEXT(IF('Change in Employment'!B591&lt;&gt;0,DATE(YEAR('Change in Employment'!B591), MONTH('Change in Employment'!B591), 1), ""), "mm/dd/yyyy")</f>
        <v/>
      </c>
      <c r="B584" s="25" t="str">
        <f>IF(ISNUMBER('Change in Employment'!I591), TEXT('Change in Employment'!I591, "0"), "")</f>
        <v/>
      </c>
      <c r="C584" s="25" t="str">
        <f>IF(ISNUMBER('Change in Employment'!J591),TEXT('Change in Employment'!J591, "0"),"")</f>
        <v/>
      </c>
    </row>
    <row r="585" spans="1:3">
      <c r="A585" s="23" t="str">
        <f>TEXT(IF('Change in Employment'!B592&lt;&gt;0,DATE(YEAR('Change in Employment'!B592), MONTH('Change in Employment'!B592), 1), ""), "mm/dd/yyyy")</f>
        <v/>
      </c>
      <c r="B585" s="25" t="str">
        <f>IF(ISNUMBER('Change in Employment'!I592), TEXT('Change in Employment'!I592, "0"), "")</f>
        <v/>
      </c>
      <c r="C585" s="25" t="str">
        <f>IF(ISNUMBER('Change in Employment'!J592),TEXT('Change in Employment'!J592, "0"),"")</f>
        <v/>
      </c>
    </row>
    <row r="586" spans="1:3">
      <c r="A586" s="23" t="str">
        <f>TEXT(IF('Change in Employment'!B593&lt;&gt;0,DATE(YEAR('Change in Employment'!B593), MONTH('Change in Employment'!B593), 1), ""), "mm/dd/yyyy")</f>
        <v/>
      </c>
      <c r="B586" s="25" t="str">
        <f>IF(ISNUMBER('Change in Employment'!I593), TEXT('Change in Employment'!I593, "0"), "")</f>
        <v/>
      </c>
      <c r="C586" s="25" t="str">
        <f>IF(ISNUMBER('Change in Employment'!J593),TEXT('Change in Employment'!J593, "0"),"")</f>
        <v/>
      </c>
    </row>
    <row r="587" spans="1:3">
      <c r="A587" s="23" t="str">
        <f>TEXT(IF('Change in Employment'!B594&lt;&gt;0,DATE(YEAR('Change in Employment'!B594), MONTH('Change in Employment'!B594), 1), ""), "mm/dd/yyyy")</f>
        <v/>
      </c>
      <c r="B587" s="25" t="str">
        <f>IF(ISNUMBER('Change in Employment'!I594), TEXT('Change in Employment'!I594, "0"), "")</f>
        <v/>
      </c>
      <c r="C587" s="25" t="str">
        <f>IF(ISNUMBER('Change in Employment'!J594),TEXT('Change in Employment'!J594, "0"),"")</f>
        <v/>
      </c>
    </row>
    <row r="588" spans="1:3">
      <c r="A588" s="23" t="str">
        <f>TEXT(IF('Change in Employment'!B595&lt;&gt;0,DATE(YEAR('Change in Employment'!B595), MONTH('Change in Employment'!B595), 1), ""), "mm/dd/yyyy")</f>
        <v/>
      </c>
      <c r="B588" s="25" t="str">
        <f>IF(ISNUMBER('Change in Employment'!I595), TEXT('Change in Employment'!I595, "0"), "")</f>
        <v/>
      </c>
      <c r="C588" s="25" t="str">
        <f>IF(ISNUMBER('Change in Employment'!J595),TEXT('Change in Employment'!J595, "0"),"")</f>
        <v/>
      </c>
    </row>
    <row r="589" spans="1:3">
      <c r="A589" s="23" t="str">
        <f>TEXT(IF('Change in Employment'!B596&lt;&gt;0,DATE(YEAR('Change in Employment'!B596), MONTH('Change in Employment'!B596), 1), ""), "mm/dd/yyyy")</f>
        <v/>
      </c>
      <c r="B589" s="25" t="str">
        <f>IF(ISNUMBER('Change in Employment'!I596), TEXT('Change in Employment'!I596, "0"), "")</f>
        <v/>
      </c>
      <c r="C589" s="25" t="str">
        <f>IF(ISNUMBER('Change in Employment'!J596),TEXT('Change in Employment'!J596, "0"),"")</f>
        <v/>
      </c>
    </row>
    <row r="590" spans="1:3">
      <c r="A590" s="23" t="str">
        <f>TEXT(IF('Change in Employment'!B597&lt;&gt;0,DATE(YEAR('Change in Employment'!B597), MONTH('Change in Employment'!B597), 1), ""), "mm/dd/yyyy")</f>
        <v/>
      </c>
      <c r="B590" s="25" t="str">
        <f>IF(ISNUMBER('Change in Employment'!I597), TEXT('Change in Employment'!I597, "0"), "")</f>
        <v/>
      </c>
      <c r="C590" s="25" t="str">
        <f>IF(ISNUMBER('Change in Employment'!J597),TEXT('Change in Employment'!J597, "0"),"")</f>
        <v/>
      </c>
    </row>
    <row r="591" spans="1:3">
      <c r="A591" s="23" t="str">
        <f>TEXT(IF('Change in Employment'!B598&lt;&gt;0,DATE(YEAR('Change in Employment'!B598), MONTH('Change in Employment'!B598), 1), ""), "mm/dd/yyyy")</f>
        <v/>
      </c>
      <c r="B591" s="25" t="str">
        <f>IF(ISNUMBER('Change in Employment'!I598), TEXT('Change in Employment'!I598, "0"), "")</f>
        <v/>
      </c>
      <c r="C591" s="25" t="str">
        <f>IF(ISNUMBER('Change in Employment'!J598),TEXT('Change in Employment'!J598, "0"),"")</f>
        <v/>
      </c>
    </row>
    <row r="592" spans="1:3">
      <c r="A592" s="23" t="str">
        <f>TEXT(IF('Change in Employment'!B599&lt;&gt;0,DATE(YEAR('Change in Employment'!B599), MONTH('Change in Employment'!B599), 1), ""), "mm/dd/yyyy")</f>
        <v/>
      </c>
      <c r="B592" s="25" t="str">
        <f>IF(ISNUMBER('Change in Employment'!I599), TEXT('Change in Employment'!I599, "0"), "")</f>
        <v/>
      </c>
      <c r="C592" s="25" t="str">
        <f>IF(ISNUMBER('Change in Employment'!J599),TEXT('Change in Employment'!J599, "0"),"")</f>
        <v/>
      </c>
    </row>
    <row r="593" spans="1:3">
      <c r="A593" s="23" t="str">
        <f>TEXT(IF('Change in Employment'!B600&lt;&gt;0,DATE(YEAR('Change in Employment'!B600), MONTH('Change in Employment'!B600), 1), ""), "mm/dd/yyyy")</f>
        <v/>
      </c>
      <c r="B593" s="25" t="str">
        <f>IF(ISNUMBER('Change in Employment'!I600), TEXT('Change in Employment'!I600, "0"), "")</f>
        <v/>
      </c>
      <c r="C593" s="25" t="str">
        <f>IF(ISNUMBER('Change in Employment'!J600),TEXT('Change in Employment'!J600, "0"),"")</f>
        <v/>
      </c>
    </row>
    <row r="594" spans="1:3">
      <c r="A594" s="23" t="str">
        <f>TEXT(IF('Change in Employment'!B601&lt;&gt;0,DATE(YEAR('Change in Employment'!B601), MONTH('Change in Employment'!B601), 1), ""), "mm/dd/yyyy")</f>
        <v/>
      </c>
      <c r="B594" s="25" t="str">
        <f>IF(ISNUMBER('Change in Employment'!I601), TEXT('Change in Employment'!I601, "0"), "")</f>
        <v/>
      </c>
      <c r="C594" s="25" t="str">
        <f>IF(ISNUMBER('Change in Employment'!J601),TEXT('Change in Employment'!J601, "0"),"")</f>
        <v/>
      </c>
    </row>
    <row r="595" spans="1:3">
      <c r="A595" s="23" t="str">
        <f>TEXT(IF('Change in Employment'!B602&lt;&gt;0,DATE(YEAR('Change in Employment'!B602), MONTH('Change in Employment'!B602), 1), ""), "mm/dd/yyyy")</f>
        <v/>
      </c>
      <c r="B595" s="25" t="str">
        <f>IF(ISNUMBER('Change in Employment'!I602), TEXT('Change in Employment'!I602, "0"), "")</f>
        <v/>
      </c>
      <c r="C595" s="25" t="str">
        <f>IF(ISNUMBER('Change in Employment'!J602),TEXT('Change in Employment'!J602, "0"),"")</f>
        <v/>
      </c>
    </row>
    <row r="596" spans="1:3">
      <c r="A596" s="23" t="str">
        <f>TEXT(IF('Change in Employment'!B603&lt;&gt;0,DATE(YEAR('Change in Employment'!B603), MONTH('Change in Employment'!B603), 1), ""), "mm/dd/yyyy")</f>
        <v/>
      </c>
      <c r="B596" s="25" t="str">
        <f>IF(ISNUMBER('Change in Employment'!I603), TEXT('Change in Employment'!I603, "0"), "")</f>
        <v/>
      </c>
      <c r="C596" s="25" t="str">
        <f>IF(ISNUMBER('Change in Employment'!J603),TEXT('Change in Employment'!J603, "0"),"")</f>
        <v/>
      </c>
    </row>
    <row r="597" spans="1:3">
      <c r="A597" s="23" t="str">
        <f>TEXT(IF('Change in Employment'!B604&lt;&gt;0,DATE(YEAR('Change in Employment'!B604), MONTH('Change in Employment'!B604), 1), ""), "mm/dd/yyyy")</f>
        <v/>
      </c>
      <c r="B597" s="25" t="str">
        <f>IF(ISNUMBER('Change in Employment'!I604), TEXT('Change in Employment'!I604, "0"), "")</f>
        <v/>
      </c>
      <c r="C597" s="25" t="str">
        <f>IF(ISNUMBER('Change in Employment'!J604),TEXT('Change in Employment'!J604, "0"),"")</f>
        <v/>
      </c>
    </row>
    <row r="598" spans="1:3">
      <c r="A598" s="23" t="str">
        <f>TEXT(IF('Change in Employment'!B605&lt;&gt;0,DATE(YEAR('Change in Employment'!B605), MONTH('Change in Employment'!B605), 1), ""), "mm/dd/yyyy")</f>
        <v/>
      </c>
      <c r="B598" s="25" t="str">
        <f>IF(ISNUMBER('Change in Employment'!I605), TEXT('Change in Employment'!I605, "0"), "")</f>
        <v/>
      </c>
      <c r="C598" s="25" t="str">
        <f>IF(ISNUMBER('Change in Employment'!J605),TEXT('Change in Employment'!J605, "0"),"")</f>
        <v/>
      </c>
    </row>
    <row r="599" spans="1:3">
      <c r="A599" s="23" t="str">
        <f>TEXT(IF('Change in Employment'!B606&lt;&gt;0,DATE(YEAR('Change in Employment'!B606), MONTH('Change in Employment'!B606), 1), ""), "mm/dd/yyyy")</f>
        <v/>
      </c>
      <c r="B599" s="25" t="str">
        <f>IF(ISNUMBER('Change in Employment'!I606), TEXT('Change in Employment'!I606, "0"), "")</f>
        <v/>
      </c>
      <c r="C599" s="25" t="str">
        <f>IF(ISNUMBER('Change in Employment'!J606),TEXT('Change in Employment'!J606, "0"),"")</f>
        <v/>
      </c>
    </row>
    <row r="600" spans="1:3">
      <c r="A600" s="23" t="str">
        <f>TEXT(IF('Change in Employment'!B607&lt;&gt;0,DATE(YEAR('Change in Employment'!B607), MONTH('Change in Employment'!B607), 1), ""), "mm/dd/yyyy")</f>
        <v/>
      </c>
      <c r="B600" s="25" t="str">
        <f>IF(ISNUMBER('Change in Employment'!I607), TEXT('Change in Employment'!I607, "0"), "")</f>
        <v/>
      </c>
      <c r="C600" s="25" t="str">
        <f>IF(ISNUMBER('Change in Employment'!J607),TEXT('Change in Employment'!J607, "0"),"")</f>
        <v/>
      </c>
    </row>
    <row r="601" spans="1:3">
      <c r="A601" s="23" t="str">
        <f>TEXT(IF('Change in Employment'!B608&lt;&gt;0,DATE(YEAR('Change in Employment'!B608), MONTH('Change in Employment'!B608), 1), ""), "mm/dd/yyyy")</f>
        <v/>
      </c>
      <c r="B601" s="25" t="str">
        <f>IF(ISNUMBER('Change in Employment'!I608), TEXT('Change in Employment'!I608, "0"), "")</f>
        <v/>
      </c>
      <c r="C601" s="25" t="str">
        <f>IF(ISNUMBER('Change in Employment'!J608),TEXT('Change in Employment'!J608, "0"),"")</f>
        <v/>
      </c>
    </row>
    <row r="602" spans="1:3">
      <c r="A602" s="23" t="str">
        <f>TEXT(IF('Change in Employment'!B609&lt;&gt;0,DATE(YEAR('Change in Employment'!B609), MONTH('Change in Employment'!B609), 1), ""), "mm/dd/yyyy")</f>
        <v/>
      </c>
      <c r="B602" s="25" t="str">
        <f>IF(ISNUMBER('Change in Employment'!I609), TEXT('Change in Employment'!I609, "0"), "")</f>
        <v/>
      </c>
      <c r="C602" s="25" t="str">
        <f>IF(ISNUMBER('Change in Employment'!J609),TEXT('Change in Employment'!J609, "0"),"")</f>
        <v/>
      </c>
    </row>
    <row r="603" spans="1:3">
      <c r="A603" s="23" t="str">
        <f>TEXT(IF('Change in Employment'!B610&lt;&gt;0,DATE(YEAR('Change in Employment'!B610), MONTH('Change in Employment'!B610), 1), ""), "mm/dd/yyyy")</f>
        <v/>
      </c>
      <c r="B603" s="25" t="str">
        <f>IF(ISNUMBER('Change in Employment'!I610), TEXT('Change in Employment'!I610, "0"), "")</f>
        <v/>
      </c>
      <c r="C603" s="25" t="str">
        <f>IF(ISNUMBER('Change in Employment'!J610),TEXT('Change in Employment'!J610, "0"),"")</f>
        <v/>
      </c>
    </row>
    <row r="604" spans="1:3">
      <c r="A604" s="23" t="str">
        <f>TEXT(IF('Change in Employment'!B611&lt;&gt;0,DATE(YEAR('Change in Employment'!B611), MONTH('Change in Employment'!B611), 1), ""), "mm/dd/yyyy")</f>
        <v/>
      </c>
      <c r="B604" s="25" t="str">
        <f>IF(ISNUMBER('Change in Employment'!I611), TEXT('Change in Employment'!I611, "0"), "")</f>
        <v/>
      </c>
      <c r="C604" s="25" t="str">
        <f>IF(ISNUMBER('Change in Employment'!J611),TEXT('Change in Employment'!J611, "0"),"")</f>
        <v/>
      </c>
    </row>
    <row r="605" spans="1:3">
      <c r="A605" s="23" t="str">
        <f>TEXT(IF('Change in Employment'!B612&lt;&gt;0,DATE(YEAR('Change in Employment'!B612), MONTH('Change in Employment'!B612), 1), ""), "mm/dd/yyyy")</f>
        <v/>
      </c>
      <c r="B605" s="25" t="str">
        <f>IF(ISNUMBER('Change in Employment'!I612), TEXT('Change in Employment'!I612, "0"), "")</f>
        <v/>
      </c>
      <c r="C605" s="25" t="str">
        <f>IF(ISNUMBER('Change in Employment'!J612),TEXT('Change in Employment'!J612, "0"),"")</f>
        <v/>
      </c>
    </row>
    <row r="606" spans="1:3">
      <c r="A606" s="23" t="str">
        <f>TEXT(IF('Change in Employment'!B613&lt;&gt;0,DATE(YEAR('Change in Employment'!B613), MONTH('Change in Employment'!B613), 1), ""), "mm/dd/yyyy")</f>
        <v/>
      </c>
      <c r="B606" s="25" t="str">
        <f>IF(ISNUMBER('Change in Employment'!I613), TEXT('Change in Employment'!I613, "0"), "")</f>
        <v/>
      </c>
      <c r="C606" s="25" t="str">
        <f>IF(ISNUMBER('Change in Employment'!J613),TEXT('Change in Employment'!J613, "0"),"")</f>
        <v/>
      </c>
    </row>
    <row r="607" spans="1:3">
      <c r="A607" s="23" t="str">
        <f>TEXT(IF('Change in Employment'!B614&lt;&gt;0,DATE(YEAR('Change in Employment'!B614), MONTH('Change in Employment'!B614), 1), ""), "mm/dd/yyyy")</f>
        <v/>
      </c>
      <c r="B607" s="25" t="str">
        <f>IF(ISNUMBER('Change in Employment'!I614), TEXT('Change in Employment'!I614, "0"), "")</f>
        <v/>
      </c>
      <c r="C607" s="25" t="str">
        <f>IF(ISNUMBER('Change in Employment'!J614),TEXT('Change in Employment'!J614, "0"),"")</f>
        <v/>
      </c>
    </row>
    <row r="608" spans="1:3">
      <c r="A608" s="23" t="str">
        <f>TEXT(IF('Change in Employment'!B615&lt;&gt;0,DATE(YEAR('Change in Employment'!B615), MONTH('Change in Employment'!B615), 1), ""), "mm/dd/yyyy")</f>
        <v/>
      </c>
      <c r="B608" s="25" t="str">
        <f>IF(ISNUMBER('Change in Employment'!I615), TEXT('Change in Employment'!I615, "0"), "")</f>
        <v/>
      </c>
      <c r="C608" s="25" t="str">
        <f>IF(ISNUMBER('Change in Employment'!J615),TEXT('Change in Employment'!J615, "0"),"")</f>
        <v/>
      </c>
    </row>
    <row r="609" spans="1:3">
      <c r="A609" s="23" t="str">
        <f>TEXT(IF('Change in Employment'!B616&lt;&gt;0,DATE(YEAR('Change in Employment'!B616), MONTH('Change in Employment'!B616), 1), ""), "mm/dd/yyyy")</f>
        <v/>
      </c>
      <c r="B609" s="25" t="str">
        <f>IF(ISNUMBER('Change in Employment'!I616), TEXT('Change in Employment'!I616, "0"), "")</f>
        <v/>
      </c>
      <c r="C609" s="25" t="str">
        <f>IF(ISNUMBER('Change in Employment'!J616),TEXT('Change in Employment'!J616, "0"),"")</f>
        <v/>
      </c>
    </row>
    <row r="610" spans="1:3">
      <c r="A610" s="23" t="str">
        <f>TEXT(IF('Change in Employment'!B617&lt;&gt;0,DATE(YEAR('Change in Employment'!B617), MONTH('Change in Employment'!B617), 1), ""), "mm/dd/yyyy")</f>
        <v/>
      </c>
      <c r="B610" s="25" t="str">
        <f>IF(ISNUMBER('Change in Employment'!I617), TEXT('Change in Employment'!I617, "0"), "")</f>
        <v/>
      </c>
      <c r="C610" s="25" t="str">
        <f>IF(ISNUMBER('Change in Employment'!J617),TEXT('Change in Employment'!J617, "0"),"")</f>
        <v/>
      </c>
    </row>
    <row r="611" spans="1:3">
      <c r="A611" s="23" t="str">
        <f>TEXT(IF('Change in Employment'!B618&lt;&gt;0,DATE(YEAR('Change in Employment'!B618), MONTH('Change in Employment'!B618), 1), ""), "mm/dd/yyyy")</f>
        <v/>
      </c>
      <c r="B611" s="25" t="str">
        <f>IF(ISNUMBER('Change in Employment'!I618), TEXT('Change in Employment'!I618, "0"), "")</f>
        <v/>
      </c>
      <c r="C611" s="25" t="str">
        <f>IF(ISNUMBER('Change in Employment'!J618),TEXT('Change in Employment'!J618, "0"),"")</f>
        <v/>
      </c>
    </row>
    <row r="612" spans="1:3">
      <c r="A612" s="23" t="str">
        <f>TEXT(IF('Change in Employment'!B619&lt;&gt;0,DATE(YEAR('Change in Employment'!B619), MONTH('Change in Employment'!B619), 1), ""), "mm/dd/yyyy")</f>
        <v/>
      </c>
      <c r="B612" s="25" t="str">
        <f>IF(ISNUMBER('Change in Employment'!I619), TEXT('Change in Employment'!I619, "0"), "")</f>
        <v/>
      </c>
      <c r="C612" s="25" t="str">
        <f>IF(ISNUMBER('Change in Employment'!J619),TEXT('Change in Employment'!J619, "0"),"")</f>
        <v/>
      </c>
    </row>
    <row r="613" spans="1:3">
      <c r="A613" s="23" t="str">
        <f>TEXT(IF('Change in Employment'!B620&lt;&gt;0,DATE(YEAR('Change in Employment'!B620), MONTH('Change in Employment'!B620), 1), ""), "mm/dd/yyyy")</f>
        <v/>
      </c>
      <c r="B613" s="25" t="str">
        <f>IF(ISNUMBER('Change in Employment'!I620), TEXT('Change in Employment'!I620, "0"), "")</f>
        <v/>
      </c>
      <c r="C613" s="25" t="str">
        <f>IF(ISNUMBER('Change in Employment'!J620),TEXT('Change in Employment'!J620, "0"),"")</f>
        <v/>
      </c>
    </row>
    <row r="614" spans="1:3">
      <c r="A614" s="23" t="str">
        <f>TEXT(IF('Change in Employment'!B621&lt;&gt;0,DATE(YEAR('Change in Employment'!B621), MONTH('Change in Employment'!B621), 1), ""), "mm/dd/yyyy")</f>
        <v/>
      </c>
      <c r="B614" s="25" t="str">
        <f>IF(ISNUMBER('Change in Employment'!I621), TEXT('Change in Employment'!I621, "0"), "")</f>
        <v/>
      </c>
      <c r="C614" s="25" t="str">
        <f>IF(ISNUMBER('Change in Employment'!J621),TEXT('Change in Employment'!J621, "0"),"")</f>
        <v/>
      </c>
    </row>
    <row r="615" spans="1:3">
      <c r="A615" s="23" t="str">
        <f>TEXT(IF('Change in Employment'!B622&lt;&gt;0,DATE(YEAR('Change in Employment'!B622), MONTH('Change in Employment'!B622), 1), ""), "mm/dd/yyyy")</f>
        <v/>
      </c>
      <c r="B615" s="25" t="str">
        <f>IF(ISNUMBER('Change in Employment'!I622), TEXT('Change in Employment'!I622, "0"), "")</f>
        <v/>
      </c>
      <c r="C615" s="25" t="str">
        <f>IF(ISNUMBER('Change in Employment'!J622),TEXT('Change in Employment'!J622, "0"),"")</f>
        <v/>
      </c>
    </row>
    <row r="616" spans="1:3">
      <c r="A616" s="23" t="str">
        <f>TEXT(IF('Change in Employment'!B623&lt;&gt;0,DATE(YEAR('Change in Employment'!B623), MONTH('Change in Employment'!B623), 1), ""), "mm/dd/yyyy")</f>
        <v/>
      </c>
      <c r="B616" s="25" t="str">
        <f>IF(ISNUMBER('Change in Employment'!I623), TEXT('Change in Employment'!I623, "0"), "")</f>
        <v/>
      </c>
      <c r="C616" s="25" t="str">
        <f>IF(ISNUMBER('Change in Employment'!J623),TEXT('Change in Employment'!J623, "0"),"")</f>
        <v/>
      </c>
    </row>
    <row r="617" spans="1:3">
      <c r="A617" s="23" t="str">
        <f>TEXT(IF('Change in Employment'!B624&lt;&gt;0,DATE(YEAR('Change in Employment'!B624), MONTH('Change in Employment'!B624), 1), ""), "mm/dd/yyyy")</f>
        <v/>
      </c>
      <c r="B617" s="25" t="str">
        <f>IF(ISNUMBER('Change in Employment'!I624), TEXT('Change in Employment'!I624, "0"), "")</f>
        <v/>
      </c>
      <c r="C617" s="25" t="str">
        <f>IF(ISNUMBER('Change in Employment'!J624),TEXT('Change in Employment'!J624, "0"),"")</f>
        <v/>
      </c>
    </row>
    <row r="618" spans="1:3">
      <c r="A618" s="23" t="str">
        <f>TEXT(IF('Change in Employment'!B625&lt;&gt;0,DATE(YEAR('Change in Employment'!B625), MONTH('Change in Employment'!B625), 1), ""), "mm/dd/yyyy")</f>
        <v/>
      </c>
      <c r="B618" s="25" t="str">
        <f>IF(ISNUMBER('Change in Employment'!I625), TEXT('Change in Employment'!I625, "0"), "")</f>
        <v/>
      </c>
      <c r="C618" s="25" t="str">
        <f>IF(ISNUMBER('Change in Employment'!J625),TEXT('Change in Employment'!J625, "0"),"")</f>
        <v/>
      </c>
    </row>
    <row r="619" spans="1:3">
      <c r="A619" s="23" t="str">
        <f>TEXT(IF('Change in Employment'!B626&lt;&gt;0,DATE(YEAR('Change in Employment'!B626), MONTH('Change in Employment'!B626), 1), ""), "mm/dd/yyyy")</f>
        <v/>
      </c>
      <c r="B619" s="25" t="str">
        <f>IF(ISNUMBER('Change in Employment'!I626), TEXT('Change in Employment'!I626, "0"), "")</f>
        <v/>
      </c>
      <c r="C619" s="25" t="str">
        <f>IF(ISNUMBER('Change in Employment'!J626),TEXT('Change in Employment'!J626, "0"),"")</f>
        <v/>
      </c>
    </row>
    <row r="620" spans="1:3">
      <c r="A620" s="23" t="str">
        <f>TEXT(IF('Change in Employment'!B627&lt;&gt;0,DATE(YEAR('Change in Employment'!B627), MONTH('Change in Employment'!B627), 1), ""), "mm/dd/yyyy")</f>
        <v/>
      </c>
      <c r="B620" s="25" t="str">
        <f>IF(ISNUMBER('Change in Employment'!I627), TEXT('Change in Employment'!I627, "0"), "")</f>
        <v/>
      </c>
      <c r="C620" s="25" t="str">
        <f>IF(ISNUMBER('Change in Employment'!J627),TEXT('Change in Employment'!J627, "0"),"")</f>
        <v/>
      </c>
    </row>
    <row r="621" spans="1:3">
      <c r="A621" s="23" t="str">
        <f>TEXT(IF('Change in Employment'!B628&lt;&gt;0,DATE(YEAR('Change in Employment'!B628), MONTH('Change in Employment'!B628), 1), ""), "mm/dd/yyyy")</f>
        <v/>
      </c>
      <c r="B621" s="25" t="str">
        <f>IF(ISNUMBER('Change in Employment'!I628), TEXT('Change in Employment'!I628, "0"), "")</f>
        <v/>
      </c>
      <c r="C621" s="25" t="str">
        <f>IF(ISNUMBER('Change in Employment'!J628),TEXT('Change in Employment'!J628, "0"),"")</f>
        <v/>
      </c>
    </row>
    <row r="622" spans="1:3">
      <c r="A622" s="23" t="str">
        <f>TEXT(IF('Change in Employment'!B629&lt;&gt;0,DATE(YEAR('Change in Employment'!B629), MONTH('Change in Employment'!B629), 1), ""), "mm/dd/yyyy")</f>
        <v/>
      </c>
      <c r="B622" s="25" t="str">
        <f>IF(ISNUMBER('Change in Employment'!I629), TEXT('Change in Employment'!I629, "0"), "")</f>
        <v/>
      </c>
      <c r="C622" s="25" t="str">
        <f>IF(ISNUMBER('Change in Employment'!J629),TEXT('Change in Employment'!J629, "0"),"")</f>
        <v/>
      </c>
    </row>
    <row r="623" spans="1:3">
      <c r="A623" s="23" t="str">
        <f>TEXT(IF('Change in Employment'!B630&lt;&gt;0,DATE(YEAR('Change in Employment'!B630), MONTH('Change in Employment'!B630), 1), ""), "mm/dd/yyyy")</f>
        <v/>
      </c>
      <c r="B623" s="25" t="str">
        <f>IF(ISNUMBER('Change in Employment'!I630), TEXT('Change in Employment'!I630, "0"), "")</f>
        <v/>
      </c>
      <c r="C623" s="25" t="str">
        <f>IF(ISNUMBER('Change in Employment'!J630),TEXT('Change in Employment'!J630, "0"),"")</f>
        <v/>
      </c>
    </row>
    <row r="624" spans="1:3">
      <c r="A624" s="23" t="str">
        <f>TEXT(IF('Change in Employment'!B631&lt;&gt;0,DATE(YEAR('Change in Employment'!B631), MONTH('Change in Employment'!B631), 1), ""), "mm/dd/yyyy")</f>
        <v/>
      </c>
      <c r="B624" s="25" t="str">
        <f>IF(ISNUMBER('Change in Employment'!I631), TEXT('Change in Employment'!I631, "0"), "")</f>
        <v/>
      </c>
      <c r="C624" s="25" t="str">
        <f>IF(ISNUMBER('Change in Employment'!J631),TEXT('Change in Employment'!J631, "0"),"")</f>
        <v/>
      </c>
    </row>
    <row r="625" spans="1:3">
      <c r="A625" s="23" t="str">
        <f>TEXT(IF('Change in Employment'!B632&lt;&gt;0,DATE(YEAR('Change in Employment'!B632), MONTH('Change in Employment'!B632), 1), ""), "mm/dd/yyyy")</f>
        <v/>
      </c>
      <c r="B625" s="25" t="str">
        <f>IF(ISNUMBER('Change in Employment'!I632), TEXT('Change in Employment'!I632, "0"), "")</f>
        <v/>
      </c>
      <c r="C625" s="25" t="str">
        <f>IF(ISNUMBER('Change in Employment'!J632),TEXT('Change in Employment'!J632, "0"),"")</f>
        <v/>
      </c>
    </row>
    <row r="626" spans="1:3">
      <c r="A626" s="23" t="str">
        <f>TEXT(IF('Change in Employment'!B633&lt;&gt;0,DATE(YEAR('Change in Employment'!B633), MONTH('Change in Employment'!B633), 1), ""), "mm/dd/yyyy")</f>
        <v/>
      </c>
      <c r="B626" s="25" t="str">
        <f>IF(ISNUMBER('Change in Employment'!I633), TEXT('Change in Employment'!I633, "0"), "")</f>
        <v/>
      </c>
      <c r="C626" s="25" t="str">
        <f>IF(ISNUMBER('Change in Employment'!J633),TEXT('Change in Employment'!J633, "0"),"")</f>
        <v/>
      </c>
    </row>
    <row r="627" spans="1:3">
      <c r="A627" s="23" t="str">
        <f>TEXT(IF('Change in Employment'!B634&lt;&gt;0,DATE(YEAR('Change in Employment'!B634), MONTH('Change in Employment'!B634), 1), ""), "mm/dd/yyyy")</f>
        <v/>
      </c>
      <c r="B627" s="25" t="str">
        <f>IF(ISNUMBER('Change in Employment'!I634), TEXT('Change in Employment'!I634, "0"), "")</f>
        <v/>
      </c>
      <c r="C627" s="25" t="str">
        <f>IF(ISNUMBER('Change in Employment'!J634),TEXT('Change in Employment'!J634, "0"),"")</f>
        <v/>
      </c>
    </row>
    <row r="628" spans="1:3">
      <c r="A628" s="23" t="str">
        <f>TEXT(IF('Change in Employment'!B635&lt;&gt;0,DATE(YEAR('Change in Employment'!B635), MONTH('Change in Employment'!B635), 1), ""), "mm/dd/yyyy")</f>
        <v/>
      </c>
      <c r="B628" s="25" t="str">
        <f>IF(ISNUMBER('Change in Employment'!I635), TEXT('Change in Employment'!I635, "0"), "")</f>
        <v/>
      </c>
      <c r="C628" s="25" t="str">
        <f>IF(ISNUMBER('Change in Employment'!J635),TEXT('Change in Employment'!J635, "0"),"")</f>
        <v/>
      </c>
    </row>
    <row r="629" spans="1:3">
      <c r="A629" s="23" t="str">
        <f>TEXT(IF('Change in Employment'!B636&lt;&gt;0,DATE(YEAR('Change in Employment'!B636), MONTH('Change in Employment'!B636), 1), ""), "mm/dd/yyyy")</f>
        <v/>
      </c>
      <c r="B629" s="25" t="str">
        <f>IF(ISNUMBER('Change in Employment'!I636), TEXT('Change in Employment'!I636, "0"), "")</f>
        <v/>
      </c>
      <c r="C629" s="25" t="str">
        <f>IF(ISNUMBER('Change in Employment'!J636),TEXT('Change in Employment'!J636, "0"),"")</f>
        <v/>
      </c>
    </row>
    <row r="630" spans="1:3">
      <c r="A630" s="23" t="str">
        <f>TEXT(IF('Change in Employment'!B637&lt;&gt;0,DATE(YEAR('Change in Employment'!B637), MONTH('Change in Employment'!B637), 1), ""), "mm/dd/yyyy")</f>
        <v/>
      </c>
      <c r="B630" s="25" t="str">
        <f>IF(ISNUMBER('Change in Employment'!I637), TEXT('Change in Employment'!I637, "0"), "")</f>
        <v/>
      </c>
      <c r="C630" s="25" t="str">
        <f>IF(ISNUMBER('Change in Employment'!J637),TEXT('Change in Employment'!J637, "0"),"")</f>
        <v/>
      </c>
    </row>
    <row r="631" spans="1:3">
      <c r="A631" s="23" t="str">
        <f>TEXT(IF('Change in Employment'!B638&lt;&gt;0,DATE(YEAR('Change in Employment'!B638), MONTH('Change in Employment'!B638), 1), ""), "mm/dd/yyyy")</f>
        <v/>
      </c>
      <c r="B631" s="25" t="str">
        <f>IF(ISNUMBER('Change in Employment'!I638), TEXT('Change in Employment'!I638, "0"), "")</f>
        <v/>
      </c>
      <c r="C631" s="25" t="str">
        <f>IF(ISNUMBER('Change in Employment'!J638),TEXT('Change in Employment'!J638, "0"),"")</f>
        <v/>
      </c>
    </row>
    <row r="632" spans="1:3">
      <c r="A632" s="23" t="str">
        <f>TEXT(IF('Change in Employment'!B639&lt;&gt;0,DATE(YEAR('Change in Employment'!B639), MONTH('Change in Employment'!B639), 1), ""), "mm/dd/yyyy")</f>
        <v/>
      </c>
      <c r="B632" s="25" t="str">
        <f>IF(ISNUMBER('Change in Employment'!I639), TEXT('Change in Employment'!I639, "0"), "")</f>
        <v/>
      </c>
      <c r="C632" s="25" t="str">
        <f>IF(ISNUMBER('Change in Employment'!J639),TEXT('Change in Employment'!J639, "0"),"")</f>
        <v/>
      </c>
    </row>
    <row r="633" spans="1:3">
      <c r="A633" s="23" t="str">
        <f>TEXT(IF('Change in Employment'!B640&lt;&gt;0,DATE(YEAR('Change in Employment'!B640), MONTH('Change in Employment'!B640), 1), ""), "mm/dd/yyyy")</f>
        <v/>
      </c>
      <c r="B633" s="25" t="str">
        <f>IF(ISNUMBER('Change in Employment'!I640), TEXT('Change in Employment'!I640, "0"), "")</f>
        <v/>
      </c>
      <c r="C633" s="25" t="str">
        <f>IF(ISNUMBER('Change in Employment'!J640),TEXT('Change in Employment'!J640, "0"),"")</f>
        <v/>
      </c>
    </row>
    <row r="634" spans="1:3">
      <c r="A634" s="23" t="str">
        <f>TEXT(IF('Change in Employment'!B641&lt;&gt;0,DATE(YEAR('Change in Employment'!B641), MONTH('Change in Employment'!B641), 1), ""), "mm/dd/yyyy")</f>
        <v/>
      </c>
      <c r="B634" s="25" t="str">
        <f>IF(ISNUMBER('Change in Employment'!I641), TEXT('Change in Employment'!I641, "0"), "")</f>
        <v/>
      </c>
      <c r="C634" s="25" t="str">
        <f>IF(ISNUMBER('Change in Employment'!J641),TEXT('Change in Employment'!J641, "0"),"")</f>
        <v/>
      </c>
    </row>
    <row r="635" spans="1:3">
      <c r="A635" s="23" t="str">
        <f>TEXT(IF('Change in Employment'!B642&lt;&gt;0,DATE(YEAR('Change in Employment'!B642), MONTH('Change in Employment'!B642), 1), ""), "mm/dd/yyyy")</f>
        <v/>
      </c>
      <c r="B635" s="25" t="str">
        <f>IF(ISNUMBER('Change in Employment'!I642), TEXT('Change in Employment'!I642, "0"), "")</f>
        <v/>
      </c>
      <c r="C635" s="25" t="str">
        <f>IF(ISNUMBER('Change in Employment'!J642),TEXT('Change in Employment'!J642, "0"),"")</f>
        <v/>
      </c>
    </row>
    <row r="636" spans="1:3">
      <c r="A636" s="23" t="str">
        <f>TEXT(IF('Change in Employment'!B643&lt;&gt;0,DATE(YEAR('Change in Employment'!B643), MONTH('Change in Employment'!B643), 1), ""), "mm/dd/yyyy")</f>
        <v/>
      </c>
      <c r="B636" s="25" t="str">
        <f>IF(ISNUMBER('Change in Employment'!I643), TEXT('Change in Employment'!I643, "0"), "")</f>
        <v/>
      </c>
      <c r="C636" s="25" t="str">
        <f>IF(ISNUMBER('Change in Employment'!J643),TEXT('Change in Employment'!J643, "0"),"")</f>
        <v/>
      </c>
    </row>
    <row r="637" spans="1:3">
      <c r="A637" s="23" t="str">
        <f>TEXT(IF('Change in Employment'!B644&lt;&gt;0,DATE(YEAR('Change in Employment'!B644), MONTH('Change in Employment'!B644), 1), ""), "mm/dd/yyyy")</f>
        <v/>
      </c>
      <c r="B637" s="25" t="str">
        <f>IF(ISNUMBER('Change in Employment'!I644), TEXT('Change in Employment'!I644, "0"), "")</f>
        <v/>
      </c>
      <c r="C637" s="25" t="str">
        <f>IF(ISNUMBER('Change in Employment'!J644),TEXT('Change in Employment'!J644, "0"),"")</f>
        <v/>
      </c>
    </row>
    <row r="638" spans="1:3">
      <c r="A638" s="23" t="str">
        <f>TEXT(IF('Change in Employment'!B645&lt;&gt;0,DATE(YEAR('Change in Employment'!B645), MONTH('Change in Employment'!B645), 1), ""), "mm/dd/yyyy")</f>
        <v/>
      </c>
      <c r="B638" s="25" t="str">
        <f>IF(ISNUMBER('Change in Employment'!I645), TEXT('Change in Employment'!I645, "0"), "")</f>
        <v/>
      </c>
      <c r="C638" s="25" t="str">
        <f>IF(ISNUMBER('Change in Employment'!J645),TEXT('Change in Employment'!J645, "0"),"")</f>
        <v/>
      </c>
    </row>
    <row r="639" spans="1:3">
      <c r="A639" s="23" t="str">
        <f>TEXT(IF('Change in Employment'!B646&lt;&gt;0,DATE(YEAR('Change in Employment'!B646), MONTH('Change in Employment'!B646), 1), ""), "mm/dd/yyyy")</f>
        <v/>
      </c>
      <c r="B639" s="25" t="str">
        <f>IF(ISNUMBER('Change in Employment'!I646), TEXT('Change in Employment'!I646, "0"), "")</f>
        <v/>
      </c>
      <c r="C639" s="25" t="str">
        <f>IF(ISNUMBER('Change in Employment'!J646),TEXT('Change in Employment'!J646, "0"),"")</f>
        <v/>
      </c>
    </row>
    <row r="640" spans="1:3">
      <c r="A640" s="23" t="str">
        <f>TEXT(IF('Change in Employment'!B647&lt;&gt;0,DATE(YEAR('Change in Employment'!B647), MONTH('Change in Employment'!B647), 1), ""), "mm/dd/yyyy")</f>
        <v/>
      </c>
      <c r="B640" s="25" t="str">
        <f>IF(ISNUMBER('Change in Employment'!I647), TEXT('Change in Employment'!I647, "0"), "")</f>
        <v/>
      </c>
      <c r="C640" s="25" t="str">
        <f>IF(ISNUMBER('Change in Employment'!J647),TEXT('Change in Employment'!J647, "0"),"")</f>
        <v/>
      </c>
    </row>
    <row r="641" spans="1:3">
      <c r="A641" s="23" t="str">
        <f>TEXT(IF('Change in Employment'!B648&lt;&gt;0,DATE(YEAR('Change in Employment'!B648), MONTH('Change in Employment'!B648), 1), ""), "mm/dd/yyyy")</f>
        <v/>
      </c>
      <c r="B641" s="25" t="str">
        <f>IF(ISNUMBER('Change in Employment'!I648), TEXT('Change in Employment'!I648, "0"), "")</f>
        <v/>
      </c>
      <c r="C641" s="25" t="str">
        <f>IF(ISNUMBER('Change in Employment'!J648),TEXT('Change in Employment'!J648, "0"),"")</f>
        <v/>
      </c>
    </row>
    <row r="642" spans="1:3">
      <c r="A642" s="23" t="str">
        <f>TEXT(IF('Change in Employment'!B649&lt;&gt;0,DATE(YEAR('Change in Employment'!B649), MONTH('Change in Employment'!B649), 1), ""), "mm/dd/yyyy")</f>
        <v/>
      </c>
      <c r="B642" s="25" t="str">
        <f>IF(ISNUMBER('Change in Employment'!I649), TEXT('Change in Employment'!I649, "0"), "")</f>
        <v/>
      </c>
      <c r="C642" s="25" t="str">
        <f>IF(ISNUMBER('Change in Employment'!J649),TEXT('Change in Employment'!J649, "0"),"")</f>
        <v/>
      </c>
    </row>
    <row r="643" spans="1:3">
      <c r="A643" s="23" t="str">
        <f>TEXT(IF('Change in Employment'!B650&lt;&gt;0,DATE(YEAR('Change in Employment'!B650), MONTH('Change in Employment'!B650), 1), ""), "mm/dd/yyyy")</f>
        <v/>
      </c>
      <c r="B643" s="25" t="str">
        <f>IF(ISNUMBER('Change in Employment'!I650), TEXT('Change in Employment'!I650, "0"), "")</f>
        <v/>
      </c>
      <c r="C643" s="25" t="str">
        <f>IF(ISNUMBER('Change in Employment'!J650),TEXT('Change in Employment'!J650, "0"),"")</f>
        <v/>
      </c>
    </row>
    <row r="644" spans="1:3">
      <c r="A644" s="23" t="str">
        <f>TEXT(IF('Change in Employment'!B651&lt;&gt;0,DATE(YEAR('Change in Employment'!B651), MONTH('Change in Employment'!B651), 1), ""), "mm/dd/yyyy")</f>
        <v/>
      </c>
      <c r="B644" s="25" t="str">
        <f>IF(ISNUMBER('Change in Employment'!I651), TEXT('Change in Employment'!I651, "0"), "")</f>
        <v/>
      </c>
      <c r="C644" s="25" t="str">
        <f>IF(ISNUMBER('Change in Employment'!J651),TEXT('Change in Employment'!J651, "0"),"")</f>
        <v/>
      </c>
    </row>
    <row r="645" spans="1:3">
      <c r="A645" s="23" t="str">
        <f>TEXT(IF('Change in Employment'!B652&lt;&gt;0,DATE(YEAR('Change in Employment'!B652), MONTH('Change in Employment'!B652), 1), ""), "mm/dd/yyyy")</f>
        <v/>
      </c>
      <c r="B645" s="25" t="str">
        <f>IF(ISNUMBER('Change in Employment'!I652), TEXT('Change in Employment'!I652, "0"), "")</f>
        <v/>
      </c>
      <c r="C645" s="25" t="str">
        <f>IF(ISNUMBER('Change in Employment'!J652),TEXT('Change in Employment'!J652, "0"),"")</f>
        <v/>
      </c>
    </row>
    <row r="646" spans="1:3">
      <c r="A646" s="23" t="str">
        <f>TEXT(IF('Change in Employment'!B653&lt;&gt;0,DATE(YEAR('Change in Employment'!B653), MONTH('Change in Employment'!B653), 1), ""), "mm/dd/yyyy")</f>
        <v/>
      </c>
      <c r="B646" s="25" t="str">
        <f>IF(ISNUMBER('Change in Employment'!I653), TEXT('Change in Employment'!I653, "0"), "")</f>
        <v/>
      </c>
      <c r="C646" s="25" t="str">
        <f>IF(ISNUMBER('Change in Employment'!J653),TEXT('Change in Employment'!J653, "0"),"")</f>
        <v/>
      </c>
    </row>
    <row r="647" spans="1:3">
      <c r="A647" s="23" t="str">
        <f>TEXT(IF('Change in Employment'!B654&lt;&gt;0,DATE(YEAR('Change in Employment'!B654), MONTH('Change in Employment'!B654), 1), ""), "mm/dd/yyyy")</f>
        <v/>
      </c>
      <c r="B647" s="25" t="str">
        <f>IF(ISNUMBER('Change in Employment'!I654), TEXT('Change in Employment'!I654, "0"), "")</f>
        <v/>
      </c>
      <c r="C647" s="25" t="str">
        <f>IF(ISNUMBER('Change in Employment'!J654),TEXT('Change in Employment'!J654, "0"),"")</f>
        <v/>
      </c>
    </row>
    <row r="648" spans="1:3">
      <c r="A648" s="23" t="str">
        <f>TEXT(IF('Change in Employment'!B655&lt;&gt;0,DATE(YEAR('Change in Employment'!B655), MONTH('Change in Employment'!B655), 1), ""), "mm/dd/yyyy")</f>
        <v/>
      </c>
      <c r="B648" s="25" t="str">
        <f>IF(ISNUMBER('Change in Employment'!I655), TEXT('Change in Employment'!I655, "0"), "")</f>
        <v/>
      </c>
      <c r="C648" s="25" t="str">
        <f>IF(ISNUMBER('Change in Employment'!J655),TEXT('Change in Employment'!J655, "0"),"")</f>
        <v/>
      </c>
    </row>
    <row r="649" spans="1:3">
      <c r="A649" s="23" t="str">
        <f>TEXT(IF('Change in Employment'!B656&lt;&gt;0,DATE(YEAR('Change in Employment'!B656), MONTH('Change in Employment'!B656), 1), ""), "mm/dd/yyyy")</f>
        <v/>
      </c>
      <c r="B649" s="25" t="str">
        <f>IF(ISNUMBER('Change in Employment'!I656), TEXT('Change in Employment'!I656, "0"), "")</f>
        <v/>
      </c>
      <c r="C649" s="25" t="str">
        <f>IF(ISNUMBER('Change in Employment'!J656),TEXT('Change in Employment'!J656, "0"),"")</f>
        <v/>
      </c>
    </row>
    <row r="650" spans="1:3">
      <c r="A650" s="23" t="str">
        <f>TEXT(IF('Change in Employment'!B657&lt;&gt;0,DATE(YEAR('Change in Employment'!B657), MONTH('Change in Employment'!B657), 1), ""), "mm/dd/yyyy")</f>
        <v/>
      </c>
      <c r="B650" s="25" t="str">
        <f>IF(ISNUMBER('Change in Employment'!I657), TEXT('Change in Employment'!I657, "0"), "")</f>
        <v/>
      </c>
      <c r="C650" s="25" t="str">
        <f>IF(ISNUMBER('Change in Employment'!J657),TEXT('Change in Employment'!J657, "0"),"")</f>
        <v/>
      </c>
    </row>
    <row r="651" spans="1:3">
      <c r="A651" s="23" t="str">
        <f>TEXT(IF('Change in Employment'!B658&lt;&gt;0,DATE(YEAR('Change in Employment'!B658), MONTH('Change in Employment'!B658), 1), ""), "mm/dd/yyyy")</f>
        <v/>
      </c>
      <c r="B651" s="25" t="str">
        <f>IF(ISNUMBER('Change in Employment'!I658), TEXT('Change in Employment'!I658, "0"), "")</f>
        <v/>
      </c>
      <c r="C651" s="25" t="str">
        <f>IF(ISNUMBER('Change in Employment'!J658),TEXT('Change in Employment'!J658, "0"),"")</f>
        <v/>
      </c>
    </row>
    <row r="652" spans="1:3">
      <c r="A652" s="23" t="str">
        <f>TEXT(IF('Change in Employment'!B659&lt;&gt;0,DATE(YEAR('Change in Employment'!B659), MONTH('Change in Employment'!B659), 1), ""), "mm/dd/yyyy")</f>
        <v/>
      </c>
      <c r="B652" s="25" t="str">
        <f>IF(ISNUMBER('Change in Employment'!I659), TEXT('Change in Employment'!I659, "0"), "")</f>
        <v/>
      </c>
      <c r="C652" s="25" t="str">
        <f>IF(ISNUMBER('Change in Employment'!J659),TEXT('Change in Employment'!J659, "0"),"")</f>
        <v/>
      </c>
    </row>
    <row r="653" spans="1:3">
      <c r="A653" s="23" t="str">
        <f>TEXT(IF('Change in Employment'!B660&lt;&gt;0,DATE(YEAR('Change in Employment'!B660), MONTH('Change in Employment'!B660), 1), ""), "mm/dd/yyyy")</f>
        <v/>
      </c>
      <c r="B653" s="25" t="str">
        <f>IF(ISNUMBER('Change in Employment'!I660), TEXT('Change in Employment'!I660, "0"), "")</f>
        <v/>
      </c>
      <c r="C653" s="25" t="str">
        <f>IF(ISNUMBER('Change in Employment'!J660),TEXT('Change in Employment'!J660, "0"),"")</f>
        <v/>
      </c>
    </row>
    <row r="654" spans="1:3">
      <c r="A654" s="23" t="str">
        <f>TEXT(IF('Change in Employment'!B661&lt;&gt;0,DATE(YEAR('Change in Employment'!B661), MONTH('Change in Employment'!B661), 1), ""), "mm/dd/yyyy")</f>
        <v/>
      </c>
      <c r="B654" s="25" t="str">
        <f>IF(ISNUMBER('Change in Employment'!I661), TEXT('Change in Employment'!I661, "0"), "")</f>
        <v/>
      </c>
      <c r="C654" s="25" t="str">
        <f>IF(ISNUMBER('Change in Employment'!J661),TEXT('Change in Employment'!J661, "0"),"")</f>
        <v/>
      </c>
    </row>
    <row r="655" spans="1:3">
      <c r="A655" s="23" t="str">
        <f>TEXT(IF('Change in Employment'!B662&lt;&gt;0,DATE(YEAR('Change in Employment'!B662), MONTH('Change in Employment'!B662), 1), ""), "mm/dd/yyyy")</f>
        <v/>
      </c>
      <c r="B655" s="25" t="str">
        <f>IF(ISNUMBER('Change in Employment'!I662), TEXT('Change in Employment'!I662, "0"), "")</f>
        <v/>
      </c>
      <c r="C655" s="25" t="str">
        <f>IF(ISNUMBER('Change in Employment'!J662),TEXT('Change in Employment'!J662, "0"),"")</f>
        <v/>
      </c>
    </row>
    <row r="656" spans="1:3">
      <c r="A656" s="23" t="str">
        <f>TEXT(IF('Change in Employment'!B663&lt;&gt;0,DATE(YEAR('Change in Employment'!B663), MONTH('Change in Employment'!B663), 1), ""), "mm/dd/yyyy")</f>
        <v/>
      </c>
      <c r="B656" s="25" t="str">
        <f>IF(ISNUMBER('Change in Employment'!I663), TEXT('Change in Employment'!I663, "0"), "")</f>
        <v/>
      </c>
      <c r="C656" s="25" t="str">
        <f>IF(ISNUMBER('Change in Employment'!J663),TEXT('Change in Employment'!J663, "0"),"")</f>
        <v/>
      </c>
    </row>
    <row r="657" spans="1:3">
      <c r="A657" s="23" t="str">
        <f>TEXT(IF('Change in Employment'!B664&lt;&gt;0,DATE(YEAR('Change in Employment'!B664), MONTH('Change in Employment'!B664), 1), ""), "mm/dd/yyyy")</f>
        <v/>
      </c>
      <c r="B657" s="25" t="str">
        <f>IF(ISNUMBER('Change in Employment'!I664), TEXT('Change in Employment'!I664, "0"), "")</f>
        <v/>
      </c>
      <c r="C657" s="25" t="str">
        <f>IF(ISNUMBER('Change in Employment'!J664),TEXT('Change in Employment'!J664, "0"),"")</f>
        <v/>
      </c>
    </row>
    <row r="658" spans="1:3">
      <c r="A658" s="23" t="str">
        <f>TEXT(IF('Change in Employment'!B665&lt;&gt;0,DATE(YEAR('Change in Employment'!B665), MONTH('Change in Employment'!B665), 1), ""), "mm/dd/yyyy")</f>
        <v/>
      </c>
      <c r="B658" s="25" t="str">
        <f>IF(ISNUMBER('Change in Employment'!I665), TEXT('Change in Employment'!I665, "0"), "")</f>
        <v/>
      </c>
      <c r="C658" s="25" t="str">
        <f>IF(ISNUMBER('Change in Employment'!J665),TEXT('Change in Employment'!J665, "0"),"")</f>
        <v/>
      </c>
    </row>
    <row r="659" spans="1:3">
      <c r="A659" s="23" t="str">
        <f>TEXT(IF('Change in Employment'!B666&lt;&gt;0,DATE(YEAR('Change in Employment'!B666), MONTH('Change in Employment'!B666), 1), ""), "mm/dd/yyyy")</f>
        <v/>
      </c>
      <c r="B659" s="25" t="str">
        <f>IF(ISNUMBER('Change in Employment'!I666), TEXT('Change in Employment'!I666, "0"), "")</f>
        <v/>
      </c>
      <c r="C659" s="25" t="str">
        <f>IF(ISNUMBER('Change in Employment'!J666),TEXT('Change in Employment'!J666, "0"),"")</f>
        <v/>
      </c>
    </row>
    <row r="660" spans="1:3">
      <c r="A660" s="23" t="str">
        <f>TEXT(IF('Change in Employment'!B667&lt;&gt;0,DATE(YEAR('Change in Employment'!B667), MONTH('Change in Employment'!B667), 1), ""), "mm/dd/yyyy")</f>
        <v/>
      </c>
      <c r="B660" s="25" t="str">
        <f>IF(ISNUMBER('Change in Employment'!I667), TEXT('Change in Employment'!I667, "0"), "")</f>
        <v/>
      </c>
      <c r="C660" s="25" t="str">
        <f>IF(ISNUMBER('Change in Employment'!J667),TEXT('Change in Employment'!J667, "0"),"")</f>
        <v/>
      </c>
    </row>
    <row r="661" spans="1:3">
      <c r="A661" s="23" t="str">
        <f>TEXT(IF('Change in Employment'!B668&lt;&gt;0,DATE(YEAR('Change in Employment'!B668), MONTH('Change in Employment'!B668), 1), ""), "mm/dd/yyyy")</f>
        <v/>
      </c>
      <c r="B661" s="25" t="str">
        <f>IF(ISNUMBER('Change in Employment'!I668), TEXT('Change in Employment'!I668, "0"), "")</f>
        <v/>
      </c>
      <c r="C661" s="25" t="str">
        <f>IF(ISNUMBER('Change in Employment'!J668),TEXT('Change in Employment'!J668, "0"),"")</f>
        <v/>
      </c>
    </row>
    <row r="662" spans="1:3">
      <c r="A662" s="23" t="str">
        <f>TEXT(IF('Change in Employment'!B669&lt;&gt;0,DATE(YEAR('Change in Employment'!B669), MONTH('Change in Employment'!B669), 1), ""), "mm/dd/yyyy")</f>
        <v/>
      </c>
      <c r="B662" s="25" t="str">
        <f>IF(ISNUMBER('Change in Employment'!I669), TEXT('Change in Employment'!I669, "0"), "")</f>
        <v/>
      </c>
      <c r="C662" s="25" t="str">
        <f>IF(ISNUMBER('Change in Employment'!J669),TEXT('Change in Employment'!J669, "0"),"")</f>
        <v/>
      </c>
    </row>
    <row r="663" spans="1:3">
      <c r="A663" s="23" t="str">
        <f>TEXT(IF('Change in Employment'!B670&lt;&gt;0,DATE(YEAR('Change in Employment'!B670), MONTH('Change in Employment'!B670), 1), ""), "mm/dd/yyyy")</f>
        <v/>
      </c>
      <c r="B663" s="25" t="str">
        <f>IF(ISNUMBER('Change in Employment'!I670), TEXT('Change in Employment'!I670, "0"), "")</f>
        <v/>
      </c>
      <c r="C663" s="25" t="str">
        <f>IF(ISNUMBER('Change in Employment'!J670),TEXT('Change in Employment'!J670, "0"),"")</f>
        <v/>
      </c>
    </row>
    <row r="664" spans="1:3">
      <c r="A664" s="23" t="str">
        <f>TEXT(IF('Change in Employment'!B671&lt;&gt;0,DATE(YEAR('Change in Employment'!B671), MONTH('Change in Employment'!B671), 1), ""), "mm/dd/yyyy")</f>
        <v/>
      </c>
      <c r="B664" s="25" t="str">
        <f>IF(ISNUMBER('Change in Employment'!I671), TEXT('Change in Employment'!I671, "0"), "")</f>
        <v/>
      </c>
      <c r="C664" s="25" t="str">
        <f>IF(ISNUMBER('Change in Employment'!J671),TEXT('Change in Employment'!J671, "0"),"")</f>
        <v/>
      </c>
    </row>
    <row r="665" spans="1:3">
      <c r="A665" s="23" t="str">
        <f>TEXT(IF('Change in Employment'!B672&lt;&gt;0,DATE(YEAR('Change in Employment'!B672), MONTH('Change in Employment'!B672), 1), ""), "mm/dd/yyyy")</f>
        <v/>
      </c>
      <c r="B665" s="25" t="str">
        <f>IF(ISNUMBER('Change in Employment'!I672), TEXT('Change in Employment'!I672, "0"), "")</f>
        <v/>
      </c>
      <c r="C665" s="25" t="str">
        <f>IF(ISNUMBER('Change in Employment'!J672),TEXT('Change in Employment'!J672, "0"),"")</f>
        <v/>
      </c>
    </row>
    <row r="666" spans="1:3">
      <c r="A666" s="23" t="str">
        <f>TEXT(IF('Change in Employment'!B673&lt;&gt;0,DATE(YEAR('Change in Employment'!B673), MONTH('Change in Employment'!B673), 1), ""), "mm/dd/yyyy")</f>
        <v/>
      </c>
      <c r="B666" s="25" t="str">
        <f>IF(ISNUMBER('Change in Employment'!I673), TEXT('Change in Employment'!I673, "0"), "")</f>
        <v/>
      </c>
      <c r="C666" s="25" t="str">
        <f>IF(ISNUMBER('Change in Employment'!J673),TEXT('Change in Employment'!J673, "0"),"")</f>
        <v/>
      </c>
    </row>
    <row r="667" spans="1:3">
      <c r="A667" s="23" t="str">
        <f>TEXT(IF('Change in Employment'!B674&lt;&gt;0,DATE(YEAR('Change in Employment'!B674), MONTH('Change in Employment'!B674), 1), ""), "mm/dd/yyyy")</f>
        <v/>
      </c>
      <c r="B667" s="25" t="str">
        <f>IF(ISNUMBER('Change in Employment'!I674), TEXT('Change in Employment'!I674, "0"), "")</f>
        <v/>
      </c>
      <c r="C667" s="25" t="str">
        <f>IF(ISNUMBER('Change in Employment'!J674),TEXT('Change in Employment'!J674, "0"),"")</f>
        <v/>
      </c>
    </row>
    <row r="668" spans="1:3">
      <c r="A668" s="23" t="str">
        <f>TEXT(IF('Change in Employment'!B675&lt;&gt;0,DATE(YEAR('Change in Employment'!B675), MONTH('Change in Employment'!B675), 1), ""), "mm/dd/yyyy")</f>
        <v/>
      </c>
      <c r="B668" s="25" t="str">
        <f>IF(ISNUMBER('Change in Employment'!I675), TEXT('Change in Employment'!I675, "0"), "")</f>
        <v/>
      </c>
      <c r="C668" s="25" t="str">
        <f>IF(ISNUMBER('Change in Employment'!J675),TEXT('Change in Employment'!J675, "0"),"")</f>
        <v/>
      </c>
    </row>
    <row r="669" spans="1:3">
      <c r="A669" s="23" t="str">
        <f>TEXT(IF('Change in Employment'!B676&lt;&gt;0,DATE(YEAR('Change in Employment'!B676), MONTH('Change in Employment'!B676), 1), ""), "mm/dd/yyyy")</f>
        <v/>
      </c>
      <c r="B669" s="25" t="str">
        <f>IF(ISNUMBER('Change in Employment'!I676), TEXT('Change in Employment'!I676, "0"), "")</f>
        <v/>
      </c>
      <c r="C669" s="25" t="str">
        <f>IF(ISNUMBER('Change in Employment'!J676),TEXT('Change in Employment'!J676, "0"),"")</f>
        <v/>
      </c>
    </row>
    <row r="670" spans="1:3">
      <c r="A670" s="23" t="str">
        <f>TEXT(IF('Change in Employment'!B677&lt;&gt;0,DATE(YEAR('Change in Employment'!B677), MONTH('Change in Employment'!B677), 1), ""), "mm/dd/yyyy")</f>
        <v/>
      </c>
      <c r="B670" s="25" t="str">
        <f>IF(ISNUMBER('Change in Employment'!I677), TEXT('Change in Employment'!I677, "0"), "")</f>
        <v/>
      </c>
      <c r="C670" s="25" t="str">
        <f>IF(ISNUMBER('Change in Employment'!J677),TEXT('Change in Employment'!J677, "0"),"")</f>
        <v/>
      </c>
    </row>
    <row r="671" spans="1:3">
      <c r="A671" s="23" t="str">
        <f>TEXT(IF('Change in Employment'!B678&lt;&gt;0,DATE(YEAR('Change in Employment'!B678), MONTH('Change in Employment'!B678), 1), ""), "mm/dd/yyyy")</f>
        <v/>
      </c>
      <c r="B671" s="25" t="str">
        <f>IF(ISNUMBER('Change in Employment'!I678), TEXT('Change in Employment'!I678, "0"), "")</f>
        <v/>
      </c>
      <c r="C671" s="25" t="str">
        <f>IF(ISNUMBER('Change in Employment'!J678),TEXT('Change in Employment'!J678, "0"),"")</f>
        <v/>
      </c>
    </row>
    <row r="672" spans="1:3">
      <c r="A672" s="23" t="str">
        <f>TEXT(IF('Change in Employment'!B679&lt;&gt;0,DATE(YEAR('Change in Employment'!B679), MONTH('Change in Employment'!B679), 1), ""), "mm/dd/yyyy")</f>
        <v/>
      </c>
      <c r="B672" s="25" t="str">
        <f>IF(ISNUMBER('Change in Employment'!I679), TEXT('Change in Employment'!I679, "0"), "")</f>
        <v/>
      </c>
      <c r="C672" s="25" t="str">
        <f>IF(ISNUMBER('Change in Employment'!J679),TEXT('Change in Employment'!J679, "0"),"")</f>
        <v/>
      </c>
    </row>
    <row r="673" spans="1:3">
      <c r="A673" s="23" t="str">
        <f>TEXT(IF('Change in Employment'!B680&lt;&gt;0,DATE(YEAR('Change in Employment'!B680), MONTH('Change in Employment'!B680), 1), ""), "mm/dd/yyyy")</f>
        <v/>
      </c>
      <c r="B673" s="25" t="str">
        <f>IF(ISNUMBER('Change in Employment'!I680), TEXT('Change in Employment'!I680, "0"), "")</f>
        <v/>
      </c>
      <c r="C673" s="25" t="str">
        <f>IF(ISNUMBER('Change in Employment'!J680),TEXT('Change in Employment'!J680, "0"),"")</f>
        <v/>
      </c>
    </row>
    <row r="674" spans="1:3">
      <c r="A674" s="23" t="str">
        <f>TEXT(IF('Change in Employment'!B681&lt;&gt;0,DATE(YEAR('Change in Employment'!B681), MONTH('Change in Employment'!B681), 1), ""), "mm/dd/yyyy")</f>
        <v/>
      </c>
      <c r="B674" s="25" t="str">
        <f>IF(ISNUMBER('Change in Employment'!I681), TEXT('Change in Employment'!I681, "0"), "")</f>
        <v/>
      </c>
      <c r="C674" s="25" t="str">
        <f>IF(ISNUMBER('Change in Employment'!J681),TEXT('Change in Employment'!J681, "0"),"")</f>
        <v/>
      </c>
    </row>
    <row r="675" spans="1:3">
      <c r="A675" s="23" t="str">
        <f>TEXT(IF('Change in Employment'!B682&lt;&gt;0,DATE(YEAR('Change in Employment'!B682), MONTH('Change in Employment'!B682), 1), ""), "mm/dd/yyyy")</f>
        <v/>
      </c>
      <c r="B675" s="25" t="str">
        <f>IF(ISNUMBER('Change in Employment'!I682), TEXT('Change in Employment'!I682, "0"), "")</f>
        <v/>
      </c>
      <c r="C675" s="25" t="str">
        <f>IF(ISNUMBER('Change in Employment'!J682),TEXT('Change in Employment'!J682, "0"),"")</f>
        <v/>
      </c>
    </row>
    <row r="676" spans="1:3">
      <c r="A676" s="23" t="str">
        <f>TEXT(IF('Change in Employment'!B683&lt;&gt;0,DATE(YEAR('Change in Employment'!B683), MONTH('Change in Employment'!B683), 1), ""), "mm/dd/yyyy")</f>
        <v/>
      </c>
      <c r="B676" s="25" t="str">
        <f>IF(ISNUMBER('Change in Employment'!I683), TEXT('Change in Employment'!I683, "0"), "")</f>
        <v/>
      </c>
      <c r="C676" s="25" t="str">
        <f>IF(ISNUMBER('Change in Employment'!J683),TEXT('Change in Employment'!J683, "0"),"")</f>
        <v/>
      </c>
    </row>
    <row r="677" spans="1:3">
      <c r="A677" s="23" t="str">
        <f>TEXT(IF('Change in Employment'!B684&lt;&gt;0,DATE(YEAR('Change in Employment'!B684), MONTH('Change in Employment'!B684), 1), ""), "mm/dd/yyyy")</f>
        <v/>
      </c>
      <c r="B677" s="25" t="str">
        <f>IF(ISNUMBER('Change in Employment'!I684), TEXT('Change in Employment'!I684, "0"), "")</f>
        <v/>
      </c>
      <c r="C677" s="25" t="str">
        <f>IF(ISNUMBER('Change in Employment'!J684),TEXT('Change in Employment'!J684, "0"),"")</f>
        <v/>
      </c>
    </row>
    <row r="678" spans="1:3">
      <c r="A678" s="23" t="str">
        <f>TEXT(IF('Change in Employment'!B685&lt;&gt;0,DATE(YEAR('Change in Employment'!B685), MONTH('Change in Employment'!B685), 1), ""), "mm/dd/yyyy")</f>
        <v/>
      </c>
      <c r="B678" s="25" t="str">
        <f>IF(ISNUMBER('Change in Employment'!I685), TEXT('Change in Employment'!I685, "0"), "")</f>
        <v/>
      </c>
      <c r="C678" s="25" t="str">
        <f>IF(ISNUMBER('Change in Employment'!J685),TEXT('Change in Employment'!J685, "0"),"")</f>
        <v/>
      </c>
    </row>
    <row r="679" spans="1:3">
      <c r="A679" s="23" t="str">
        <f>TEXT(IF('Change in Employment'!B686&lt;&gt;0,DATE(YEAR('Change in Employment'!B686), MONTH('Change in Employment'!B686), 1), ""), "mm/dd/yyyy")</f>
        <v/>
      </c>
      <c r="B679" s="25" t="str">
        <f>IF(ISNUMBER('Change in Employment'!I686), TEXT('Change in Employment'!I686, "0"), "")</f>
        <v/>
      </c>
      <c r="C679" s="25" t="str">
        <f>IF(ISNUMBER('Change in Employment'!J686),TEXT('Change in Employment'!J686, "0"),"")</f>
        <v/>
      </c>
    </row>
    <row r="680" spans="1:3">
      <c r="A680" s="23" t="str">
        <f>TEXT(IF('Change in Employment'!B687&lt;&gt;0,DATE(YEAR('Change in Employment'!B687), MONTH('Change in Employment'!B687), 1), ""), "mm/dd/yyyy")</f>
        <v/>
      </c>
      <c r="B680" s="25" t="str">
        <f>IF(ISNUMBER('Change in Employment'!I687), TEXT('Change in Employment'!I687, "0"), "")</f>
        <v/>
      </c>
      <c r="C680" s="25" t="str">
        <f>IF(ISNUMBER('Change in Employment'!J687),TEXT('Change in Employment'!J687, "0"),"")</f>
        <v/>
      </c>
    </row>
    <row r="681" spans="1:3">
      <c r="A681" s="23" t="str">
        <f>TEXT(IF('Change in Employment'!B688&lt;&gt;0,DATE(YEAR('Change in Employment'!B688), MONTH('Change in Employment'!B688), 1), ""), "mm/dd/yyyy")</f>
        <v/>
      </c>
      <c r="B681" s="25" t="str">
        <f>IF(ISNUMBER('Change in Employment'!I688), TEXT('Change in Employment'!I688, "0"), "")</f>
        <v/>
      </c>
      <c r="C681" s="25" t="str">
        <f>IF(ISNUMBER('Change in Employment'!J688),TEXT('Change in Employment'!J688, "0"),"")</f>
        <v/>
      </c>
    </row>
    <row r="682" spans="1:3">
      <c r="A682" s="23" t="str">
        <f>TEXT(IF('Change in Employment'!B689&lt;&gt;0,DATE(YEAR('Change in Employment'!B689), MONTH('Change in Employment'!B689), 1), ""), "mm/dd/yyyy")</f>
        <v/>
      </c>
      <c r="B682" s="25" t="str">
        <f>IF(ISNUMBER('Change in Employment'!I689), TEXT('Change in Employment'!I689, "0"), "")</f>
        <v/>
      </c>
      <c r="C682" s="25" t="str">
        <f>IF(ISNUMBER('Change in Employment'!J689),TEXT('Change in Employment'!J689, "0"),"")</f>
        <v/>
      </c>
    </row>
    <row r="683" spans="1:3">
      <c r="A683" s="23" t="str">
        <f>TEXT(IF('Change in Employment'!B690&lt;&gt;0,DATE(YEAR('Change in Employment'!B690), MONTH('Change in Employment'!B690), 1), ""), "mm/dd/yyyy")</f>
        <v/>
      </c>
      <c r="B683" s="25" t="str">
        <f>IF(ISNUMBER('Change in Employment'!I690), TEXT('Change in Employment'!I690, "0"), "")</f>
        <v/>
      </c>
      <c r="C683" s="25" t="str">
        <f>IF(ISNUMBER('Change in Employment'!J690),TEXT('Change in Employment'!J690, "0"),"")</f>
        <v/>
      </c>
    </row>
    <row r="684" spans="1:3">
      <c r="A684" s="23" t="str">
        <f>TEXT(IF('Change in Employment'!B691&lt;&gt;0,DATE(YEAR('Change in Employment'!B691), MONTH('Change in Employment'!B691), 1), ""), "mm/dd/yyyy")</f>
        <v/>
      </c>
      <c r="B684" s="25" t="str">
        <f>IF(ISNUMBER('Change in Employment'!I691), TEXT('Change in Employment'!I691, "0"), "")</f>
        <v/>
      </c>
      <c r="C684" s="25" t="str">
        <f>IF(ISNUMBER('Change in Employment'!J691),TEXT('Change in Employment'!J691, "0"),"")</f>
        <v/>
      </c>
    </row>
    <row r="685" spans="1:3">
      <c r="A685" s="23" t="str">
        <f>TEXT(IF('Change in Employment'!B692&lt;&gt;0,DATE(YEAR('Change in Employment'!B692), MONTH('Change in Employment'!B692), 1), ""), "mm/dd/yyyy")</f>
        <v/>
      </c>
      <c r="B685" s="25" t="str">
        <f>IF(ISNUMBER('Change in Employment'!I692), TEXT('Change in Employment'!I692, "0"), "")</f>
        <v/>
      </c>
      <c r="C685" s="25" t="str">
        <f>IF(ISNUMBER('Change in Employment'!J692),TEXT('Change in Employment'!J692, "0"),"")</f>
        <v/>
      </c>
    </row>
    <row r="686" spans="1:3">
      <c r="A686" s="23" t="str">
        <f>TEXT(IF('Change in Employment'!B693&lt;&gt;0,DATE(YEAR('Change in Employment'!B693), MONTH('Change in Employment'!B693), 1), ""), "mm/dd/yyyy")</f>
        <v/>
      </c>
      <c r="B686" s="25" t="str">
        <f>IF(ISNUMBER('Change in Employment'!I693), TEXT('Change in Employment'!I693, "0"), "")</f>
        <v/>
      </c>
      <c r="C686" s="25" t="str">
        <f>IF(ISNUMBER('Change in Employment'!J693),TEXT('Change in Employment'!J693, "0"),"")</f>
        <v/>
      </c>
    </row>
    <row r="687" spans="1:3">
      <c r="A687" s="23" t="str">
        <f>TEXT(IF('Change in Employment'!B694&lt;&gt;0,DATE(YEAR('Change in Employment'!B694), MONTH('Change in Employment'!B694), 1), ""), "mm/dd/yyyy")</f>
        <v/>
      </c>
      <c r="B687" s="25" t="str">
        <f>IF(ISNUMBER('Change in Employment'!I694), TEXT('Change in Employment'!I694, "0"), "")</f>
        <v/>
      </c>
      <c r="C687" s="25" t="str">
        <f>IF(ISNUMBER('Change in Employment'!J694),TEXT('Change in Employment'!J694, "0"),"")</f>
        <v/>
      </c>
    </row>
    <row r="688" spans="1:3">
      <c r="A688" s="23" t="str">
        <f>TEXT(IF('Change in Employment'!B695&lt;&gt;0,DATE(YEAR('Change in Employment'!B695), MONTH('Change in Employment'!B695), 1), ""), "mm/dd/yyyy")</f>
        <v/>
      </c>
      <c r="B688" s="25" t="str">
        <f>IF(ISNUMBER('Change in Employment'!I695), TEXT('Change in Employment'!I695, "0"), "")</f>
        <v/>
      </c>
      <c r="C688" s="25" t="str">
        <f>IF(ISNUMBER('Change in Employment'!J695),TEXT('Change in Employment'!J695, "0"),"")</f>
        <v/>
      </c>
    </row>
    <row r="689" spans="1:3">
      <c r="A689" s="23" t="str">
        <f>TEXT(IF('Change in Employment'!B696&lt;&gt;0,DATE(YEAR('Change in Employment'!B696), MONTH('Change in Employment'!B696), 1), ""), "mm/dd/yyyy")</f>
        <v/>
      </c>
      <c r="B689" s="25" t="str">
        <f>IF(ISNUMBER('Change in Employment'!I696), TEXT('Change in Employment'!I696, "0"), "")</f>
        <v/>
      </c>
      <c r="C689" s="25" t="str">
        <f>IF(ISNUMBER('Change in Employment'!J696),TEXT('Change in Employment'!J696, "0"),"")</f>
        <v/>
      </c>
    </row>
    <row r="690" spans="1:3">
      <c r="A690" s="23" t="str">
        <f>TEXT(IF('Change in Employment'!B697&lt;&gt;0,DATE(YEAR('Change in Employment'!B697), MONTH('Change in Employment'!B697), 1), ""), "mm/dd/yyyy")</f>
        <v/>
      </c>
      <c r="B690" s="25" t="str">
        <f>IF(ISNUMBER('Change in Employment'!I697), TEXT('Change in Employment'!I697, "0"), "")</f>
        <v/>
      </c>
      <c r="C690" s="25" t="str">
        <f>IF(ISNUMBER('Change in Employment'!J697),TEXT('Change in Employment'!J697, "0"),"")</f>
        <v/>
      </c>
    </row>
    <row r="691" spans="1:3">
      <c r="A691" s="23" t="str">
        <f>TEXT(IF('Change in Employment'!B698&lt;&gt;0,DATE(YEAR('Change in Employment'!B698), MONTH('Change in Employment'!B698), 1), ""), "mm/dd/yyyy")</f>
        <v/>
      </c>
      <c r="B691" s="25" t="str">
        <f>IF(ISNUMBER('Change in Employment'!I698), TEXT('Change in Employment'!I698, "0"), "")</f>
        <v/>
      </c>
      <c r="C691" s="25" t="str">
        <f>IF(ISNUMBER('Change in Employment'!J698),TEXT('Change in Employment'!J698, "0"),"")</f>
        <v/>
      </c>
    </row>
    <row r="692" spans="1:3">
      <c r="A692" s="23" t="str">
        <f>TEXT(IF('Change in Employment'!B699&lt;&gt;0,DATE(YEAR('Change in Employment'!B699), MONTH('Change in Employment'!B699), 1), ""), "mm/dd/yyyy")</f>
        <v/>
      </c>
      <c r="B692" s="25" t="str">
        <f>IF(ISNUMBER('Change in Employment'!I699), TEXT('Change in Employment'!I699, "0"), "")</f>
        <v/>
      </c>
      <c r="C692" s="25" t="str">
        <f>IF(ISNUMBER('Change in Employment'!J699),TEXT('Change in Employment'!J699, "0"),"")</f>
        <v/>
      </c>
    </row>
    <row r="693" spans="1:3">
      <c r="A693" s="23" t="str">
        <f>TEXT(IF('Change in Employment'!B700&lt;&gt;0,DATE(YEAR('Change in Employment'!B700), MONTH('Change in Employment'!B700), 1), ""), "mm/dd/yyyy")</f>
        <v/>
      </c>
      <c r="B693" s="25" t="str">
        <f>IF(ISNUMBER('Change in Employment'!I700), TEXT('Change in Employment'!I700, "0"), "")</f>
        <v/>
      </c>
      <c r="C693" s="25" t="str">
        <f>IF(ISNUMBER('Change in Employment'!J700),TEXT('Change in Employment'!J700, "0"),"")</f>
        <v/>
      </c>
    </row>
    <row r="694" spans="1:3">
      <c r="A694" s="23" t="str">
        <f>TEXT(IF('Change in Employment'!B701&lt;&gt;0,DATE(YEAR('Change in Employment'!B701), MONTH('Change in Employment'!B701), 1), ""), "mm/dd/yyyy")</f>
        <v/>
      </c>
      <c r="B694" s="25" t="str">
        <f>IF(ISNUMBER('Change in Employment'!I701), TEXT('Change in Employment'!I701, "0"), "")</f>
        <v/>
      </c>
      <c r="C694" s="25" t="str">
        <f>IF(ISNUMBER('Change in Employment'!J701),TEXT('Change in Employment'!J701, "0"),"")</f>
        <v/>
      </c>
    </row>
    <row r="695" spans="1:3">
      <c r="A695" s="23" t="str">
        <f>TEXT(IF('Change in Employment'!B702&lt;&gt;0,DATE(YEAR('Change in Employment'!B702), MONTH('Change in Employment'!B702), 1), ""), "mm/dd/yyyy")</f>
        <v/>
      </c>
      <c r="B695" s="25" t="str">
        <f>IF(ISNUMBER('Change in Employment'!I702), TEXT('Change in Employment'!I702, "0"), "")</f>
        <v/>
      </c>
      <c r="C695" s="25" t="str">
        <f>IF(ISNUMBER('Change in Employment'!J702),TEXT('Change in Employment'!J702, "0"),"")</f>
        <v/>
      </c>
    </row>
    <row r="696" spans="1:3">
      <c r="A696" s="23" t="str">
        <f>TEXT(IF('Change in Employment'!B703&lt;&gt;0,DATE(YEAR('Change in Employment'!B703), MONTH('Change in Employment'!B703), 1), ""), "mm/dd/yyyy")</f>
        <v/>
      </c>
      <c r="B696" s="25" t="str">
        <f>IF(ISNUMBER('Change in Employment'!I703), TEXT('Change in Employment'!I703, "0"), "")</f>
        <v/>
      </c>
      <c r="C696" s="25" t="str">
        <f>IF(ISNUMBER('Change in Employment'!J703),TEXT('Change in Employment'!J703, "0"),"")</f>
        <v/>
      </c>
    </row>
    <row r="697" spans="1:3">
      <c r="A697" s="23" t="str">
        <f>TEXT(IF('Change in Employment'!B704&lt;&gt;0,DATE(YEAR('Change in Employment'!B704), MONTH('Change in Employment'!B704), 1), ""), "mm/dd/yyyy")</f>
        <v/>
      </c>
      <c r="B697" s="25" t="str">
        <f>IF(ISNUMBER('Change in Employment'!I704), TEXT('Change in Employment'!I704, "0"), "")</f>
        <v/>
      </c>
      <c r="C697" s="25" t="str">
        <f>IF(ISNUMBER('Change in Employment'!J704),TEXT('Change in Employment'!J704, "0"),"")</f>
        <v/>
      </c>
    </row>
    <row r="698" spans="1:3">
      <c r="A698" s="23" t="str">
        <f>TEXT(IF('Change in Employment'!B705&lt;&gt;0,DATE(YEAR('Change in Employment'!B705), MONTH('Change in Employment'!B705), 1), ""), "mm/dd/yyyy")</f>
        <v/>
      </c>
      <c r="B698" s="25" t="str">
        <f>IF(ISNUMBER('Change in Employment'!I705), TEXT('Change in Employment'!I705, "0"), "")</f>
        <v/>
      </c>
      <c r="C698" s="25" t="str">
        <f>IF(ISNUMBER('Change in Employment'!J705),TEXT('Change in Employment'!J705, "0"),"")</f>
        <v/>
      </c>
    </row>
    <row r="699" spans="1:3">
      <c r="A699" s="23" t="str">
        <f>TEXT(IF('Change in Employment'!B706&lt;&gt;0,DATE(YEAR('Change in Employment'!B706), MONTH('Change in Employment'!B706), 1), ""), "mm/dd/yyyy")</f>
        <v/>
      </c>
      <c r="B699" s="25" t="str">
        <f>IF(ISNUMBER('Change in Employment'!I706), TEXT('Change in Employment'!I706, "0"), "")</f>
        <v/>
      </c>
      <c r="C699" s="25" t="str">
        <f>IF(ISNUMBER('Change in Employment'!J706),TEXT('Change in Employment'!J706, "0"),"")</f>
        <v/>
      </c>
    </row>
    <row r="700" spans="1:3">
      <c r="A700" s="23" t="str">
        <f>TEXT(IF('Change in Employment'!B707&lt;&gt;0,DATE(YEAR('Change in Employment'!B707), MONTH('Change in Employment'!B707), 1), ""), "mm/dd/yyyy")</f>
        <v/>
      </c>
      <c r="B700" s="25" t="str">
        <f>IF(ISNUMBER('Change in Employment'!I707), TEXT('Change in Employment'!I707, "0"), "")</f>
        <v/>
      </c>
      <c r="C700" s="25" t="str">
        <f>IF(ISNUMBER('Change in Employment'!J707),TEXT('Change in Employment'!J707, "0"),"")</f>
        <v/>
      </c>
    </row>
    <row r="701" spans="1:3">
      <c r="A701" s="23" t="str">
        <f>TEXT(IF('Change in Employment'!B708&lt;&gt;0,DATE(YEAR('Change in Employment'!B708), MONTH('Change in Employment'!B708), 1), ""), "mm/dd/yyyy")</f>
        <v/>
      </c>
      <c r="B701" s="25" t="str">
        <f>IF(ISNUMBER('Change in Employment'!I708), TEXT('Change in Employment'!I708, "0"), "")</f>
        <v/>
      </c>
      <c r="C701" s="25" t="str">
        <f>IF(ISNUMBER('Change in Employment'!J708),TEXT('Change in Employment'!J708, "0"),"")</f>
        <v/>
      </c>
    </row>
    <row r="702" spans="1:3">
      <c r="A702" s="23" t="str">
        <f>TEXT(IF('Change in Employment'!B709&lt;&gt;0,DATE(YEAR('Change in Employment'!B709), MONTH('Change in Employment'!B709), 1), ""), "mm/dd/yyyy")</f>
        <v/>
      </c>
      <c r="B702" s="25" t="str">
        <f>IF(ISNUMBER('Change in Employment'!I709), TEXT('Change in Employment'!I709, "0"), "")</f>
        <v/>
      </c>
      <c r="C702" s="25" t="str">
        <f>IF(ISNUMBER('Change in Employment'!J709),TEXT('Change in Employment'!J709, "0"),"")</f>
        <v/>
      </c>
    </row>
    <row r="703" spans="1:3">
      <c r="A703" s="23" t="str">
        <f>TEXT(IF('Change in Employment'!B710&lt;&gt;0,DATE(YEAR('Change in Employment'!B710), MONTH('Change in Employment'!B710), 1), ""), "mm/dd/yyyy")</f>
        <v/>
      </c>
      <c r="B703" s="25" t="str">
        <f>IF(ISNUMBER('Change in Employment'!I710), TEXT('Change in Employment'!I710, "0"), "")</f>
        <v/>
      </c>
      <c r="C703" s="25" t="str">
        <f>IF(ISNUMBER('Change in Employment'!J710),TEXT('Change in Employment'!J710, "0"),"")</f>
        <v/>
      </c>
    </row>
    <row r="704" spans="1:3">
      <c r="A704" s="23" t="str">
        <f>TEXT(IF('Change in Employment'!B711&lt;&gt;0,DATE(YEAR('Change in Employment'!B711), MONTH('Change in Employment'!B711), 1), ""), "mm/dd/yyyy")</f>
        <v/>
      </c>
      <c r="B704" s="25" t="str">
        <f>IF(ISNUMBER('Change in Employment'!I711), TEXT('Change in Employment'!I711, "0"), "")</f>
        <v/>
      </c>
      <c r="C704" s="25" t="str">
        <f>IF(ISNUMBER('Change in Employment'!J711),TEXT('Change in Employment'!J711, "0"),"")</f>
        <v/>
      </c>
    </row>
    <row r="705" spans="1:3">
      <c r="A705" s="23" t="str">
        <f>TEXT(IF('Change in Employment'!B712&lt;&gt;0,DATE(YEAR('Change in Employment'!B712), MONTH('Change in Employment'!B712), 1), ""), "mm/dd/yyyy")</f>
        <v/>
      </c>
      <c r="B705" s="25" t="str">
        <f>IF(ISNUMBER('Change in Employment'!I712), TEXT('Change in Employment'!I712, "0"), "")</f>
        <v/>
      </c>
      <c r="C705" s="25" t="str">
        <f>IF(ISNUMBER('Change in Employment'!J712),TEXT('Change in Employment'!J712, "0"),"")</f>
        <v/>
      </c>
    </row>
    <row r="706" spans="1:3">
      <c r="A706" s="23" t="str">
        <f>TEXT(IF('Change in Employment'!B713&lt;&gt;0,DATE(YEAR('Change in Employment'!B713), MONTH('Change in Employment'!B713), 1), ""), "mm/dd/yyyy")</f>
        <v/>
      </c>
      <c r="B706" s="25" t="str">
        <f>IF(ISNUMBER('Change in Employment'!I713), TEXT('Change in Employment'!I713, "0"), "")</f>
        <v/>
      </c>
      <c r="C706" s="25" t="str">
        <f>IF(ISNUMBER('Change in Employment'!J713),TEXT('Change in Employment'!J713, "0"),"")</f>
        <v/>
      </c>
    </row>
    <row r="707" spans="1:3">
      <c r="A707" s="23" t="str">
        <f>TEXT(IF('Change in Employment'!B714&lt;&gt;0,DATE(YEAR('Change in Employment'!B714), MONTH('Change in Employment'!B714), 1), ""), "mm/dd/yyyy")</f>
        <v/>
      </c>
      <c r="B707" s="25" t="str">
        <f>IF(ISNUMBER('Change in Employment'!I714), TEXT('Change in Employment'!I714, "0"), "")</f>
        <v/>
      </c>
      <c r="C707" s="25" t="str">
        <f>IF(ISNUMBER('Change in Employment'!J714),TEXT('Change in Employment'!J714, "0"),"")</f>
        <v/>
      </c>
    </row>
    <row r="708" spans="1:3">
      <c r="A708" s="23" t="str">
        <f>TEXT(IF('Change in Employment'!B715&lt;&gt;0,DATE(YEAR('Change in Employment'!B715), MONTH('Change in Employment'!B715), 1), ""), "mm/dd/yyyy")</f>
        <v/>
      </c>
      <c r="B708" s="25" t="str">
        <f>IF(ISNUMBER('Change in Employment'!I715), TEXT('Change in Employment'!I715, "0"), "")</f>
        <v/>
      </c>
      <c r="C708" s="25" t="str">
        <f>IF(ISNUMBER('Change in Employment'!J715),TEXT('Change in Employment'!J715, "0"),"")</f>
        <v/>
      </c>
    </row>
    <row r="709" spans="1:3">
      <c r="A709" s="23" t="str">
        <f>TEXT(IF('Change in Employment'!B716&lt;&gt;0,DATE(YEAR('Change in Employment'!B716), MONTH('Change in Employment'!B716), 1), ""), "mm/dd/yyyy")</f>
        <v/>
      </c>
      <c r="B709" s="25" t="str">
        <f>IF(ISNUMBER('Change in Employment'!I716), TEXT('Change in Employment'!I716, "0"), "")</f>
        <v/>
      </c>
      <c r="C709" s="25" t="str">
        <f>IF(ISNUMBER('Change in Employment'!J716),TEXT('Change in Employment'!J716, "0"),"")</f>
        <v/>
      </c>
    </row>
    <row r="710" spans="1:3">
      <c r="A710" s="23" t="str">
        <f>TEXT(IF('Change in Employment'!B717&lt;&gt;0,DATE(YEAR('Change in Employment'!B717), MONTH('Change in Employment'!B717), 1), ""), "mm/dd/yyyy")</f>
        <v/>
      </c>
      <c r="B710" s="25" t="str">
        <f>IF(ISNUMBER('Change in Employment'!I717), TEXT('Change in Employment'!I717, "0"), "")</f>
        <v/>
      </c>
      <c r="C710" s="25" t="str">
        <f>IF(ISNUMBER('Change in Employment'!J717),TEXT('Change in Employment'!J717, "0"),"")</f>
        <v/>
      </c>
    </row>
    <row r="711" spans="1:3">
      <c r="A711" s="23" t="str">
        <f>TEXT(IF('Change in Employment'!B718&lt;&gt;0,DATE(YEAR('Change in Employment'!B718), MONTH('Change in Employment'!B718), 1), ""), "mm/dd/yyyy")</f>
        <v/>
      </c>
      <c r="B711" s="25" t="str">
        <f>IF(ISNUMBER('Change in Employment'!I718), TEXT('Change in Employment'!I718, "0"), "")</f>
        <v/>
      </c>
      <c r="C711" s="25" t="str">
        <f>IF(ISNUMBER('Change in Employment'!J718),TEXT('Change in Employment'!J718, "0"),"")</f>
        <v/>
      </c>
    </row>
    <row r="712" spans="1:3">
      <c r="A712" s="23" t="str">
        <f>TEXT(IF('Change in Employment'!B719&lt;&gt;0,DATE(YEAR('Change in Employment'!B719), MONTH('Change in Employment'!B719), 1), ""), "mm/dd/yyyy")</f>
        <v/>
      </c>
      <c r="B712" s="25" t="str">
        <f>IF(ISNUMBER('Change in Employment'!I719), TEXT('Change in Employment'!I719, "0"), "")</f>
        <v/>
      </c>
      <c r="C712" s="25" t="str">
        <f>IF(ISNUMBER('Change in Employment'!J719),TEXT('Change in Employment'!J719, "0"),"")</f>
        <v/>
      </c>
    </row>
    <row r="713" spans="1:3">
      <c r="A713" s="23" t="str">
        <f>TEXT(IF('Change in Employment'!B720&lt;&gt;0,DATE(YEAR('Change in Employment'!B720), MONTH('Change in Employment'!B720), 1), ""), "mm/dd/yyyy")</f>
        <v/>
      </c>
      <c r="B713" s="25" t="str">
        <f>IF(ISNUMBER('Change in Employment'!I720), TEXT('Change in Employment'!I720, "0"), "")</f>
        <v/>
      </c>
      <c r="C713" s="25" t="str">
        <f>IF(ISNUMBER('Change in Employment'!J720),TEXT('Change in Employment'!J720, "0"),"")</f>
        <v/>
      </c>
    </row>
    <row r="714" spans="1:3">
      <c r="A714" s="23" t="str">
        <f>TEXT(IF('Change in Employment'!B721&lt;&gt;0,DATE(YEAR('Change in Employment'!B721), MONTH('Change in Employment'!B721), 1), ""), "mm/dd/yyyy")</f>
        <v/>
      </c>
      <c r="B714" s="25" t="str">
        <f>IF(ISNUMBER('Change in Employment'!I721), TEXT('Change in Employment'!I721, "0"), "")</f>
        <v/>
      </c>
      <c r="C714" s="25" t="str">
        <f>IF(ISNUMBER('Change in Employment'!J721),TEXT('Change in Employment'!J721, "0"),"")</f>
        <v/>
      </c>
    </row>
    <row r="715" spans="1:3">
      <c r="A715" s="23" t="str">
        <f>TEXT(IF('Change in Employment'!B722&lt;&gt;0,DATE(YEAR('Change in Employment'!B722), MONTH('Change in Employment'!B722), 1), ""), "mm/dd/yyyy")</f>
        <v/>
      </c>
      <c r="B715" s="25" t="str">
        <f>IF(ISNUMBER('Change in Employment'!I722), TEXT('Change in Employment'!I722, "0"), "")</f>
        <v/>
      </c>
      <c r="C715" s="25" t="str">
        <f>IF(ISNUMBER('Change in Employment'!J722),TEXT('Change in Employment'!J722, "0"),"")</f>
        <v/>
      </c>
    </row>
    <row r="716" spans="1:3">
      <c r="A716" s="23" t="str">
        <f>TEXT(IF('Change in Employment'!B723&lt;&gt;0,DATE(YEAR('Change in Employment'!B723), MONTH('Change in Employment'!B723), 1), ""), "mm/dd/yyyy")</f>
        <v/>
      </c>
      <c r="B716" s="25" t="str">
        <f>IF(ISNUMBER('Change in Employment'!I723), TEXT('Change in Employment'!I723, "0"), "")</f>
        <v/>
      </c>
      <c r="C716" s="25" t="str">
        <f>IF(ISNUMBER('Change in Employment'!J723),TEXT('Change in Employment'!J723, "0"),"")</f>
        <v/>
      </c>
    </row>
    <row r="717" spans="1:3">
      <c r="A717" s="23" t="str">
        <f>TEXT(IF('Change in Employment'!B724&lt;&gt;0,DATE(YEAR('Change in Employment'!B724), MONTH('Change in Employment'!B724), 1), ""), "mm/dd/yyyy")</f>
        <v/>
      </c>
      <c r="B717" s="25" t="str">
        <f>IF(ISNUMBER('Change in Employment'!I724), TEXT('Change in Employment'!I724, "0"), "")</f>
        <v/>
      </c>
      <c r="C717" s="25" t="str">
        <f>IF(ISNUMBER('Change in Employment'!J724),TEXT('Change in Employment'!J724, "0"),"")</f>
        <v/>
      </c>
    </row>
    <row r="718" spans="1:3">
      <c r="A718" s="23" t="str">
        <f>TEXT(IF('Change in Employment'!B725&lt;&gt;0,DATE(YEAR('Change in Employment'!B725), MONTH('Change in Employment'!B725), 1), ""), "mm/dd/yyyy")</f>
        <v/>
      </c>
      <c r="B718" s="25" t="str">
        <f>IF(ISNUMBER('Change in Employment'!I725), TEXT('Change in Employment'!I725, "0"), "")</f>
        <v/>
      </c>
      <c r="C718" s="25" t="str">
        <f>IF(ISNUMBER('Change in Employment'!J725),TEXT('Change in Employment'!J725, "0"),"")</f>
        <v/>
      </c>
    </row>
    <row r="719" spans="1:3">
      <c r="A719" s="23" t="str">
        <f>TEXT(IF('Change in Employment'!B726&lt;&gt;0,DATE(YEAR('Change in Employment'!B726), MONTH('Change in Employment'!B726), 1), ""), "mm/dd/yyyy")</f>
        <v/>
      </c>
      <c r="B719" s="25" t="str">
        <f>IF(ISNUMBER('Change in Employment'!I726), TEXT('Change in Employment'!I726, "0"), "")</f>
        <v/>
      </c>
      <c r="C719" s="25" t="str">
        <f>IF(ISNUMBER('Change in Employment'!J726),TEXT('Change in Employment'!J726, "0"),"")</f>
        <v/>
      </c>
    </row>
    <row r="720" spans="1:3">
      <c r="A720" s="23" t="str">
        <f>TEXT(IF('Change in Employment'!B727&lt;&gt;0,DATE(YEAR('Change in Employment'!B727), MONTH('Change in Employment'!B727), 1), ""), "mm/dd/yyyy")</f>
        <v/>
      </c>
      <c r="B720" s="25" t="str">
        <f>IF(ISNUMBER('Change in Employment'!I727), TEXT('Change in Employment'!I727, "0"), "")</f>
        <v/>
      </c>
      <c r="C720" s="25" t="str">
        <f>IF(ISNUMBER('Change in Employment'!J727),TEXT('Change in Employment'!J727, "0"),"")</f>
        <v/>
      </c>
    </row>
    <row r="721" spans="1:3">
      <c r="A721" s="23" t="str">
        <f>TEXT(IF('Change in Employment'!B728&lt;&gt;0,DATE(YEAR('Change in Employment'!B728), MONTH('Change in Employment'!B728), 1), ""), "mm/dd/yyyy")</f>
        <v/>
      </c>
      <c r="B721" s="25" t="str">
        <f>IF(ISNUMBER('Change in Employment'!I728), TEXT('Change in Employment'!I728, "0"), "")</f>
        <v/>
      </c>
      <c r="C721" s="25" t="str">
        <f>IF(ISNUMBER('Change in Employment'!J728),TEXT('Change in Employment'!J728, "0"),"")</f>
        <v/>
      </c>
    </row>
    <row r="722" spans="1:3">
      <c r="A722" s="23" t="str">
        <f>TEXT(IF('Change in Employment'!B729&lt;&gt;0,DATE(YEAR('Change in Employment'!B729), MONTH('Change in Employment'!B729), 1), ""), "mm/dd/yyyy")</f>
        <v/>
      </c>
      <c r="B722" s="25" t="str">
        <f>IF(ISNUMBER('Change in Employment'!I729), TEXT('Change in Employment'!I729, "0"), "")</f>
        <v/>
      </c>
      <c r="C722" s="25" t="str">
        <f>IF(ISNUMBER('Change in Employment'!J729),TEXT('Change in Employment'!J729, "0"),"")</f>
        <v/>
      </c>
    </row>
    <row r="723" spans="1:3">
      <c r="A723" s="23" t="str">
        <f>TEXT(IF('Change in Employment'!B730&lt;&gt;0,DATE(YEAR('Change in Employment'!B730), MONTH('Change in Employment'!B730), 1), ""), "mm/dd/yyyy")</f>
        <v/>
      </c>
      <c r="B723" s="25" t="str">
        <f>IF(ISNUMBER('Change in Employment'!I730), TEXT('Change in Employment'!I730, "0"), "")</f>
        <v/>
      </c>
      <c r="C723" s="25" t="str">
        <f>IF(ISNUMBER('Change in Employment'!J730),TEXT('Change in Employment'!J730, "0"),"")</f>
        <v/>
      </c>
    </row>
    <row r="724" spans="1:3">
      <c r="A724" s="23" t="str">
        <f>TEXT(IF('Change in Employment'!B731&lt;&gt;0,DATE(YEAR('Change in Employment'!B731), MONTH('Change in Employment'!B731), 1), ""), "mm/dd/yyyy")</f>
        <v/>
      </c>
      <c r="B724" s="25" t="str">
        <f>IF(ISNUMBER('Change in Employment'!I731), TEXT('Change in Employment'!I731, "0"), "")</f>
        <v/>
      </c>
      <c r="C724" s="25" t="str">
        <f>IF(ISNUMBER('Change in Employment'!J731),TEXT('Change in Employment'!J731, "0"),"")</f>
        <v/>
      </c>
    </row>
    <row r="725" spans="1:3">
      <c r="A725" s="23" t="str">
        <f>TEXT(IF('Change in Employment'!B732&lt;&gt;0,DATE(YEAR('Change in Employment'!B732), MONTH('Change in Employment'!B732), 1), ""), "mm/dd/yyyy")</f>
        <v/>
      </c>
      <c r="B725" s="25" t="str">
        <f>IF(ISNUMBER('Change in Employment'!I732), TEXT('Change in Employment'!I732, "0"), "")</f>
        <v/>
      </c>
      <c r="C725" s="25" t="str">
        <f>IF(ISNUMBER('Change in Employment'!J732),TEXT('Change in Employment'!J732, "0"),"")</f>
        <v/>
      </c>
    </row>
    <row r="726" spans="1:3">
      <c r="A726" s="23" t="str">
        <f>TEXT(IF('Change in Employment'!B733&lt;&gt;0,DATE(YEAR('Change in Employment'!B733), MONTH('Change in Employment'!B733), 1), ""), "mm/dd/yyyy")</f>
        <v/>
      </c>
      <c r="B726" s="25" t="str">
        <f>IF(ISNUMBER('Change in Employment'!I733), TEXT('Change in Employment'!I733, "0"), "")</f>
        <v/>
      </c>
      <c r="C726" s="25" t="str">
        <f>IF(ISNUMBER('Change in Employment'!J733),TEXT('Change in Employment'!J733, "0"),"")</f>
        <v/>
      </c>
    </row>
    <row r="727" spans="1:3">
      <c r="A727" s="23" t="str">
        <f>TEXT(IF('Change in Employment'!B734&lt;&gt;0,DATE(YEAR('Change in Employment'!B734), MONTH('Change in Employment'!B734), 1), ""), "mm/dd/yyyy")</f>
        <v/>
      </c>
      <c r="B727" s="25" t="str">
        <f>IF(ISNUMBER('Change in Employment'!I734), TEXT('Change in Employment'!I734, "0"), "")</f>
        <v/>
      </c>
      <c r="C727" s="25" t="str">
        <f>IF(ISNUMBER('Change in Employment'!J734),TEXT('Change in Employment'!J734, "0"),"")</f>
        <v/>
      </c>
    </row>
    <row r="728" spans="1:3">
      <c r="A728" s="23" t="str">
        <f>TEXT(IF('Change in Employment'!B735&lt;&gt;0,DATE(YEAR('Change in Employment'!B735), MONTH('Change in Employment'!B735), 1), ""), "mm/dd/yyyy")</f>
        <v/>
      </c>
      <c r="B728" s="25" t="str">
        <f>IF(ISNUMBER('Change in Employment'!I735), TEXT('Change in Employment'!I735, "0"), "")</f>
        <v/>
      </c>
      <c r="C728" s="25" t="str">
        <f>IF(ISNUMBER('Change in Employment'!J735),TEXT('Change in Employment'!J735, "0"),"")</f>
        <v/>
      </c>
    </row>
    <row r="729" spans="1:3">
      <c r="A729" s="23" t="str">
        <f>TEXT(IF('Change in Employment'!B736&lt;&gt;0,DATE(YEAR('Change in Employment'!B736), MONTH('Change in Employment'!B736), 1), ""), "mm/dd/yyyy")</f>
        <v/>
      </c>
      <c r="B729" s="25" t="str">
        <f>IF(ISNUMBER('Change in Employment'!I736), TEXT('Change in Employment'!I736, "0"), "")</f>
        <v/>
      </c>
      <c r="C729" s="25" t="str">
        <f>IF(ISNUMBER('Change in Employment'!J736),TEXT('Change in Employment'!J736, "0"),"")</f>
        <v/>
      </c>
    </row>
    <row r="730" spans="1:3">
      <c r="A730" s="23" t="str">
        <f>TEXT(IF('Change in Employment'!B737&lt;&gt;0,DATE(YEAR('Change in Employment'!B737), MONTH('Change in Employment'!B737), 1), ""), "mm/dd/yyyy")</f>
        <v/>
      </c>
      <c r="B730" s="25" t="str">
        <f>IF(ISNUMBER('Change in Employment'!I737), TEXT('Change in Employment'!I737, "0"), "")</f>
        <v/>
      </c>
      <c r="C730" s="25" t="str">
        <f>IF(ISNUMBER('Change in Employment'!J737),TEXT('Change in Employment'!J737, "0"),"")</f>
        <v/>
      </c>
    </row>
    <row r="731" spans="1:3">
      <c r="A731" s="23" t="str">
        <f>TEXT(IF('Change in Employment'!B738&lt;&gt;0,DATE(YEAR('Change in Employment'!B738), MONTH('Change in Employment'!B738), 1), ""), "mm/dd/yyyy")</f>
        <v/>
      </c>
      <c r="B731" s="25" t="str">
        <f>IF(ISNUMBER('Change in Employment'!I738), TEXT('Change in Employment'!I738, "0"), "")</f>
        <v/>
      </c>
      <c r="C731" s="25" t="str">
        <f>IF(ISNUMBER('Change in Employment'!J738),TEXT('Change in Employment'!J738, "0"),"")</f>
        <v/>
      </c>
    </row>
    <row r="732" spans="1:3">
      <c r="A732" s="23" t="str">
        <f>TEXT(IF('Change in Employment'!B739&lt;&gt;0,DATE(YEAR('Change in Employment'!B739), MONTH('Change in Employment'!B739), 1), ""), "mm/dd/yyyy")</f>
        <v/>
      </c>
      <c r="B732" s="25" t="str">
        <f>IF(ISNUMBER('Change in Employment'!I739), TEXT('Change in Employment'!I739, "0"), "")</f>
        <v/>
      </c>
      <c r="C732" s="25" t="str">
        <f>IF(ISNUMBER('Change in Employment'!J739),TEXT('Change in Employment'!J739, "0"),"")</f>
        <v/>
      </c>
    </row>
    <row r="733" spans="1:3">
      <c r="A733" s="23" t="str">
        <f>TEXT(IF('Change in Employment'!B740&lt;&gt;0,DATE(YEAR('Change in Employment'!B740), MONTH('Change in Employment'!B740), 1), ""), "mm/dd/yyyy")</f>
        <v/>
      </c>
      <c r="B733" s="25" t="str">
        <f>IF(ISNUMBER('Change in Employment'!I740), TEXT('Change in Employment'!I740, "0"), "")</f>
        <v/>
      </c>
      <c r="C733" s="25" t="str">
        <f>IF(ISNUMBER('Change in Employment'!J740),TEXT('Change in Employment'!J740, "0"),"")</f>
        <v/>
      </c>
    </row>
    <row r="734" spans="1:3">
      <c r="A734" s="23" t="str">
        <f>TEXT(IF('Change in Employment'!B741&lt;&gt;0,DATE(YEAR('Change in Employment'!B741), MONTH('Change in Employment'!B741), 1), ""), "mm/dd/yyyy")</f>
        <v/>
      </c>
      <c r="B734" s="25" t="str">
        <f>IF(ISNUMBER('Change in Employment'!I741), TEXT('Change in Employment'!I741, "0"), "")</f>
        <v/>
      </c>
      <c r="C734" s="25" t="str">
        <f>IF(ISNUMBER('Change in Employment'!J741),TEXT('Change in Employment'!J741, "0"),"")</f>
        <v/>
      </c>
    </row>
    <row r="735" spans="1:3">
      <c r="A735" s="23" t="str">
        <f>TEXT(IF('Change in Employment'!B742&lt;&gt;0,DATE(YEAR('Change in Employment'!B742), MONTH('Change in Employment'!B742), 1), ""), "mm/dd/yyyy")</f>
        <v/>
      </c>
      <c r="B735" s="25" t="str">
        <f>IF(ISNUMBER('Change in Employment'!I742), TEXT('Change in Employment'!I742, "0"), "")</f>
        <v/>
      </c>
      <c r="C735" s="25" t="str">
        <f>IF(ISNUMBER('Change in Employment'!J742),TEXT('Change in Employment'!J742, "0"),"")</f>
        <v/>
      </c>
    </row>
    <row r="736" spans="1:3">
      <c r="A736" s="23" t="str">
        <f>TEXT(IF('Change in Employment'!B743&lt;&gt;0,DATE(YEAR('Change in Employment'!B743), MONTH('Change in Employment'!B743), 1), ""), "mm/dd/yyyy")</f>
        <v/>
      </c>
      <c r="B736" s="25" t="str">
        <f>IF(ISNUMBER('Change in Employment'!I743), TEXT('Change in Employment'!I743, "0"), "")</f>
        <v/>
      </c>
      <c r="C736" s="25" t="str">
        <f>IF(ISNUMBER('Change in Employment'!J743),TEXT('Change in Employment'!J743, "0"),"")</f>
        <v/>
      </c>
    </row>
    <row r="737" spans="1:3">
      <c r="A737" s="23" t="str">
        <f>TEXT(IF('Change in Employment'!B744&lt;&gt;0,DATE(YEAR('Change in Employment'!B744), MONTH('Change in Employment'!B744), 1), ""), "mm/dd/yyyy")</f>
        <v/>
      </c>
      <c r="B737" s="25" t="str">
        <f>IF(ISNUMBER('Change in Employment'!I744), TEXT('Change in Employment'!I744, "0"), "")</f>
        <v/>
      </c>
      <c r="C737" s="25" t="str">
        <f>IF(ISNUMBER('Change in Employment'!J744),TEXT('Change in Employment'!J744, "0"),"")</f>
        <v/>
      </c>
    </row>
    <row r="738" spans="1:3">
      <c r="A738" s="23" t="str">
        <f>TEXT(IF('Change in Employment'!B745&lt;&gt;0,DATE(YEAR('Change in Employment'!B745), MONTH('Change in Employment'!B745), 1), ""), "mm/dd/yyyy")</f>
        <v/>
      </c>
      <c r="B738" s="25" t="str">
        <f>IF(ISNUMBER('Change in Employment'!I745), TEXT('Change in Employment'!I745, "0"), "")</f>
        <v/>
      </c>
      <c r="C738" s="25" t="str">
        <f>IF(ISNUMBER('Change in Employment'!J745),TEXT('Change in Employment'!J745, "0"),"")</f>
        <v/>
      </c>
    </row>
    <row r="739" spans="1:3">
      <c r="A739" s="23" t="str">
        <f>TEXT(IF('Change in Employment'!B746&lt;&gt;0,DATE(YEAR('Change in Employment'!B746), MONTH('Change in Employment'!B746), 1), ""), "mm/dd/yyyy")</f>
        <v/>
      </c>
      <c r="B739" s="25" t="str">
        <f>IF(ISNUMBER('Change in Employment'!I746), TEXT('Change in Employment'!I746, "0"), "")</f>
        <v/>
      </c>
      <c r="C739" s="25" t="str">
        <f>IF(ISNUMBER('Change in Employment'!J746),TEXT('Change in Employment'!J746, "0"),"")</f>
        <v/>
      </c>
    </row>
    <row r="740" spans="1:3">
      <c r="A740" s="23" t="str">
        <f>TEXT(IF('Change in Employment'!B747&lt;&gt;0,DATE(YEAR('Change in Employment'!B747), MONTH('Change in Employment'!B747), 1), ""), "mm/dd/yyyy")</f>
        <v/>
      </c>
      <c r="B740" s="25" t="str">
        <f>IF(ISNUMBER('Change in Employment'!I747), TEXT('Change in Employment'!I747, "0"), "")</f>
        <v/>
      </c>
      <c r="C740" s="25" t="str">
        <f>IF(ISNUMBER('Change in Employment'!J747),TEXT('Change in Employment'!J747, "0"),"")</f>
        <v/>
      </c>
    </row>
    <row r="741" spans="1:3">
      <c r="A741" s="23" t="str">
        <f>TEXT(IF('Change in Employment'!B748&lt;&gt;0,DATE(YEAR('Change in Employment'!B748), MONTH('Change in Employment'!B748), 1), ""), "mm/dd/yyyy")</f>
        <v/>
      </c>
      <c r="B741" s="25" t="str">
        <f>IF(ISNUMBER('Change in Employment'!I748), TEXT('Change in Employment'!I748, "0"), "")</f>
        <v/>
      </c>
      <c r="C741" s="25" t="str">
        <f>IF(ISNUMBER('Change in Employment'!J748),TEXT('Change in Employment'!J748, "0"),"")</f>
        <v/>
      </c>
    </row>
    <row r="742" spans="1:3">
      <c r="A742" s="23" t="str">
        <f>TEXT(IF('Change in Employment'!B749&lt;&gt;0,DATE(YEAR('Change in Employment'!B749), MONTH('Change in Employment'!B749), 1), ""), "mm/dd/yyyy")</f>
        <v/>
      </c>
      <c r="B742" s="25" t="str">
        <f>IF(ISNUMBER('Change in Employment'!I749), TEXT('Change in Employment'!I749, "0"), "")</f>
        <v/>
      </c>
      <c r="C742" s="25" t="str">
        <f>IF(ISNUMBER('Change in Employment'!J749),TEXT('Change in Employment'!J749, "0"),"")</f>
        <v/>
      </c>
    </row>
    <row r="743" spans="1:3">
      <c r="A743" s="23" t="str">
        <f>TEXT(IF('Change in Employment'!B750&lt;&gt;0,DATE(YEAR('Change in Employment'!B750), MONTH('Change in Employment'!B750), 1), ""), "mm/dd/yyyy")</f>
        <v/>
      </c>
      <c r="B743" s="25" t="str">
        <f>IF(ISNUMBER('Change in Employment'!I750), TEXT('Change in Employment'!I750, "0"), "")</f>
        <v/>
      </c>
      <c r="C743" s="25" t="str">
        <f>IF(ISNUMBER('Change in Employment'!J750),TEXT('Change in Employment'!J750, "0"),"")</f>
        <v/>
      </c>
    </row>
    <row r="744" spans="1:3">
      <c r="A744" s="23" t="str">
        <f>TEXT(IF('Change in Employment'!B751&lt;&gt;0,DATE(YEAR('Change in Employment'!B751), MONTH('Change in Employment'!B751), 1), ""), "mm/dd/yyyy")</f>
        <v/>
      </c>
      <c r="B744" s="25" t="str">
        <f>IF(ISNUMBER('Change in Employment'!I751), TEXT('Change in Employment'!I751, "0"), "")</f>
        <v/>
      </c>
      <c r="C744" s="25" t="str">
        <f>IF(ISNUMBER('Change in Employment'!J751),TEXT('Change in Employment'!J751, "0"),"")</f>
        <v/>
      </c>
    </row>
    <row r="745" spans="1:3">
      <c r="A745" s="23" t="str">
        <f>TEXT(IF('Change in Employment'!B752&lt;&gt;0,DATE(YEAR('Change in Employment'!B752), MONTH('Change in Employment'!B752), 1), ""), "mm/dd/yyyy")</f>
        <v/>
      </c>
      <c r="B745" s="25" t="str">
        <f>IF(ISNUMBER('Change in Employment'!I752), TEXT('Change in Employment'!I752, "0"), "")</f>
        <v/>
      </c>
      <c r="C745" s="25" t="str">
        <f>IF(ISNUMBER('Change in Employment'!J752),TEXT('Change in Employment'!J752, "0"),"")</f>
        <v/>
      </c>
    </row>
    <row r="746" spans="1:3">
      <c r="A746" s="23" t="str">
        <f>TEXT(IF('Change in Employment'!B753&lt;&gt;0,DATE(YEAR('Change in Employment'!B753), MONTH('Change in Employment'!B753), 1), ""), "mm/dd/yyyy")</f>
        <v/>
      </c>
      <c r="B746" s="25" t="str">
        <f>IF(ISNUMBER('Change in Employment'!I753), TEXT('Change in Employment'!I753, "0"), "")</f>
        <v/>
      </c>
      <c r="C746" s="25" t="str">
        <f>IF(ISNUMBER('Change in Employment'!J753),TEXT('Change in Employment'!J753, "0"),"")</f>
        <v/>
      </c>
    </row>
    <row r="747" spans="1:3">
      <c r="A747" s="23" t="str">
        <f>TEXT(IF('Change in Employment'!B754&lt;&gt;0,DATE(YEAR('Change in Employment'!B754), MONTH('Change in Employment'!B754), 1), ""), "mm/dd/yyyy")</f>
        <v/>
      </c>
      <c r="B747" s="25" t="str">
        <f>IF(ISNUMBER('Change in Employment'!I754), TEXT('Change in Employment'!I754, "0"), "")</f>
        <v/>
      </c>
      <c r="C747" s="25" t="str">
        <f>IF(ISNUMBER('Change in Employment'!J754),TEXT('Change in Employment'!J754, "0"),"")</f>
        <v/>
      </c>
    </row>
    <row r="748" spans="1:3">
      <c r="A748" s="23" t="str">
        <f>TEXT(IF('Change in Employment'!B755&lt;&gt;0,DATE(YEAR('Change in Employment'!B755), MONTH('Change in Employment'!B755), 1), ""), "mm/dd/yyyy")</f>
        <v/>
      </c>
      <c r="B748" s="25" t="str">
        <f>IF(ISNUMBER('Change in Employment'!I755), TEXT('Change in Employment'!I755, "0"), "")</f>
        <v/>
      </c>
      <c r="C748" s="25" t="str">
        <f>IF(ISNUMBER('Change in Employment'!J755),TEXT('Change in Employment'!J755, "0"),"")</f>
        <v/>
      </c>
    </row>
    <row r="749" spans="1:3">
      <c r="A749" s="23" t="str">
        <f>TEXT(IF('Change in Employment'!B756&lt;&gt;0,DATE(YEAR('Change in Employment'!B756), MONTH('Change in Employment'!B756), 1), ""), "mm/dd/yyyy")</f>
        <v/>
      </c>
      <c r="B749" s="25" t="str">
        <f>IF(ISNUMBER('Change in Employment'!I756), TEXT('Change in Employment'!I756, "0"), "")</f>
        <v/>
      </c>
      <c r="C749" s="25" t="str">
        <f>IF(ISNUMBER('Change in Employment'!J756),TEXT('Change in Employment'!J756, "0"),"")</f>
        <v/>
      </c>
    </row>
    <row r="750" spans="1:3">
      <c r="A750" s="23" t="str">
        <f>TEXT(IF('Change in Employment'!B757&lt;&gt;0,DATE(YEAR('Change in Employment'!B757), MONTH('Change in Employment'!B757), 1), ""), "mm/dd/yyyy")</f>
        <v/>
      </c>
      <c r="B750" s="25" t="str">
        <f>IF(ISNUMBER('Change in Employment'!I757), TEXT('Change in Employment'!I757, "0"), "")</f>
        <v/>
      </c>
      <c r="C750" s="25" t="str">
        <f>IF(ISNUMBER('Change in Employment'!J757),TEXT('Change in Employment'!J757, "0"),"")</f>
        <v/>
      </c>
    </row>
    <row r="751" spans="1:3">
      <c r="A751" s="23" t="str">
        <f>TEXT(IF('Change in Employment'!B758&lt;&gt;0,DATE(YEAR('Change in Employment'!B758), MONTH('Change in Employment'!B758), 1), ""), "mm/dd/yyyy")</f>
        <v/>
      </c>
      <c r="B751" s="25" t="str">
        <f>IF(ISNUMBER('Change in Employment'!I758), TEXT('Change in Employment'!I758, "0"), "")</f>
        <v/>
      </c>
      <c r="C751" s="25" t="str">
        <f>IF(ISNUMBER('Change in Employment'!J758),TEXT('Change in Employment'!J758, "0"),"")</f>
        <v/>
      </c>
    </row>
    <row r="752" spans="1:3">
      <c r="A752" s="23" t="str">
        <f>TEXT(IF('Change in Employment'!B759&lt;&gt;0,DATE(YEAR('Change in Employment'!B759), MONTH('Change in Employment'!B759), 1), ""), "mm/dd/yyyy")</f>
        <v/>
      </c>
      <c r="B752" s="25" t="str">
        <f>IF(ISNUMBER('Change in Employment'!I759), TEXT('Change in Employment'!I759, "0"), "")</f>
        <v/>
      </c>
      <c r="C752" s="25" t="str">
        <f>IF(ISNUMBER('Change in Employment'!J759),TEXT('Change in Employment'!J759, "0"),"")</f>
        <v/>
      </c>
    </row>
    <row r="753" spans="1:3">
      <c r="A753" s="23" t="str">
        <f>TEXT(IF('Change in Employment'!B760&lt;&gt;0,DATE(YEAR('Change in Employment'!B760), MONTH('Change in Employment'!B760), 1), ""), "mm/dd/yyyy")</f>
        <v/>
      </c>
      <c r="B753" s="25" t="str">
        <f>IF(ISNUMBER('Change in Employment'!I760), TEXT('Change in Employment'!I760, "0"), "")</f>
        <v/>
      </c>
      <c r="C753" s="25" t="str">
        <f>IF(ISNUMBER('Change in Employment'!J760),TEXT('Change in Employment'!J760, "0"),"")</f>
        <v/>
      </c>
    </row>
    <row r="754" spans="1:3">
      <c r="A754" s="23" t="str">
        <f>TEXT(IF('Change in Employment'!B761&lt;&gt;0,DATE(YEAR('Change in Employment'!B761), MONTH('Change in Employment'!B761), 1), ""), "mm/dd/yyyy")</f>
        <v/>
      </c>
      <c r="B754" s="25" t="str">
        <f>IF(ISNUMBER('Change in Employment'!I761), TEXT('Change in Employment'!I761, "0"), "")</f>
        <v/>
      </c>
      <c r="C754" s="25" t="str">
        <f>IF(ISNUMBER('Change in Employment'!J761),TEXT('Change in Employment'!J761, "0"),"")</f>
        <v/>
      </c>
    </row>
    <row r="755" spans="1:3">
      <c r="A755" s="23" t="str">
        <f>TEXT(IF('Change in Employment'!B762&lt;&gt;0,DATE(YEAR('Change in Employment'!B762), MONTH('Change in Employment'!B762), 1), ""), "mm/dd/yyyy")</f>
        <v/>
      </c>
      <c r="B755" s="25" t="str">
        <f>IF(ISNUMBER('Change in Employment'!I762), TEXT('Change in Employment'!I762, "0"), "")</f>
        <v/>
      </c>
      <c r="C755" s="25" t="str">
        <f>IF(ISNUMBER('Change in Employment'!J762),TEXT('Change in Employment'!J762, "0"),"")</f>
        <v/>
      </c>
    </row>
    <row r="756" spans="1:3">
      <c r="A756" s="23" t="str">
        <f>TEXT(IF('Change in Employment'!B763&lt;&gt;0,DATE(YEAR('Change in Employment'!B763), MONTH('Change in Employment'!B763), 1), ""), "mm/dd/yyyy")</f>
        <v/>
      </c>
      <c r="B756" s="25" t="str">
        <f>IF(ISNUMBER('Change in Employment'!I763), TEXT('Change in Employment'!I763, "0"), "")</f>
        <v/>
      </c>
      <c r="C756" s="25" t="str">
        <f>IF(ISNUMBER('Change in Employment'!J763),TEXT('Change in Employment'!J763, "0"),"")</f>
        <v/>
      </c>
    </row>
    <row r="757" spans="1:3">
      <c r="A757" s="23" t="str">
        <f>TEXT(IF('Change in Employment'!B764&lt;&gt;0,DATE(YEAR('Change in Employment'!B764), MONTH('Change in Employment'!B764), 1), ""), "mm/dd/yyyy")</f>
        <v/>
      </c>
      <c r="B757" s="25" t="str">
        <f>IF(ISNUMBER('Change in Employment'!I764), TEXT('Change in Employment'!I764, "0"), "")</f>
        <v/>
      </c>
      <c r="C757" s="25" t="str">
        <f>IF(ISNUMBER('Change in Employment'!J764),TEXT('Change in Employment'!J764, "0"),"")</f>
        <v/>
      </c>
    </row>
    <row r="758" spans="1:3">
      <c r="A758" s="23" t="str">
        <f>TEXT(IF('Change in Employment'!B765&lt;&gt;0,DATE(YEAR('Change in Employment'!B765), MONTH('Change in Employment'!B765), 1), ""), "mm/dd/yyyy")</f>
        <v/>
      </c>
      <c r="B758" s="25" t="str">
        <f>IF(ISNUMBER('Change in Employment'!I765), TEXT('Change in Employment'!I765, "0"), "")</f>
        <v/>
      </c>
      <c r="C758" s="25" t="str">
        <f>IF(ISNUMBER('Change in Employment'!J765),TEXT('Change in Employment'!J765, "0"),"")</f>
        <v/>
      </c>
    </row>
    <row r="759" spans="1:3">
      <c r="A759" s="23" t="str">
        <f>TEXT(IF('Change in Employment'!B766&lt;&gt;0,DATE(YEAR('Change in Employment'!B766), MONTH('Change in Employment'!B766), 1), ""), "mm/dd/yyyy")</f>
        <v/>
      </c>
      <c r="B759" s="25" t="str">
        <f>IF(ISNUMBER('Change in Employment'!I766), TEXT('Change in Employment'!I766, "0"), "")</f>
        <v/>
      </c>
      <c r="C759" s="25" t="str">
        <f>IF(ISNUMBER('Change in Employment'!J766),TEXT('Change in Employment'!J766, "0"),"")</f>
        <v/>
      </c>
    </row>
    <row r="760" spans="1:3">
      <c r="A760" s="23" t="str">
        <f>TEXT(IF('Change in Employment'!B767&lt;&gt;0,DATE(YEAR('Change in Employment'!B767), MONTH('Change in Employment'!B767), 1), ""), "mm/dd/yyyy")</f>
        <v/>
      </c>
      <c r="B760" s="25" t="str">
        <f>IF(ISNUMBER('Change in Employment'!I767), TEXT('Change in Employment'!I767, "0"), "")</f>
        <v/>
      </c>
      <c r="C760" s="25" t="str">
        <f>IF(ISNUMBER('Change in Employment'!J767),TEXT('Change in Employment'!J767, "0"),"")</f>
        <v/>
      </c>
    </row>
    <row r="761" spans="1:3">
      <c r="A761" s="23" t="str">
        <f>TEXT(IF('Change in Employment'!B768&lt;&gt;0,DATE(YEAR('Change in Employment'!B768), MONTH('Change in Employment'!B768), 1), ""), "mm/dd/yyyy")</f>
        <v/>
      </c>
      <c r="B761" s="25" t="str">
        <f>IF(ISNUMBER('Change in Employment'!I768), TEXT('Change in Employment'!I768, "0"), "")</f>
        <v/>
      </c>
      <c r="C761" s="25" t="str">
        <f>IF(ISNUMBER('Change in Employment'!J768),TEXT('Change in Employment'!J768, "0"),"")</f>
        <v/>
      </c>
    </row>
    <row r="762" spans="1:3">
      <c r="A762" s="23" t="str">
        <f>TEXT(IF('Change in Employment'!B769&lt;&gt;0,DATE(YEAR('Change in Employment'!B769), MONTH('Change in Employment'!B769), 1), ""), "mm/dd/yyyy")</f>
        <v/>
      </c>
      <c r="B762" s="25" t="str">
        <f>IF(ISNUMBER('Change in Employment'!I769), TEXT('Change in Employment'!I769, "0"), "")</f>
        <v/>
      </c>
      <c r="C762" s="25" t="str">
        <f>IF(ISNUMBER('Change in Employment'!J769),TEXT('Change in Employment'!J769, "0"),"")</f>
        <v/>
      </c>
    </row>
    <row r="763" spans="1:3">
      <c r="A763" s="23" t="str">
        <f>TEXT(IF('Change in Employment'!B770&lt;&gt;0,DATE(YEAR('Change in Employment'!B770), MONTH('Change in Employment'!B770), 1), ""), "mm/dd/yyyy")</f>
        <v/>
      </c>
      <c r="B763" s="25" t="str">
        <f>IF(ISNUMBER('Change in Employment'!I770), TEXT('Change in Employment'!I770, "0"), "")</f>
        <v/>
      </c>
      <c r="C763" s="25" t="str">
        <f>IF(ISNUMBER('Change in Employment'!J770),TEXT('Change in Employment'!J770, "0"),"")</f>
        <v/>
      </c>
    </row>
    <row r="764" spans="1:3">
      <c r="A764" s="23" t="str">
        <f>TEXT(IF('Change in Employment'!B771&lt;&gt;0,DATE(YEAR('Change in Employment'!B771), MONTH('Change in Employment'!B771), 1), ""), "mm/dd/yyyy")</f>
        <v/>
      </c>
      <c r="B764" s="25" t="str">
        <f>IF(ISNUMBER('Change in Employment'!I771), TEXT('Change in Employment'!I771, "0"), "")</f>
        <v/>
      </c>
      <c r="C764" s="25" t="str">
        <f>IF(ISNUMBER('Change in Employment'!J771),TEXT('Change in Employment'!J771, "0"),"")</f>
        <v/>
      </c>
    </row>
    <row r="765" spans="1:3">
      <c r="A765" s="23" t="str">
        <f>TEXT(IF('Change in Employment'!B772&lt;&gt;0,DATE(YEAR('Change in Employment'!B772), MONTH('Change in Employment'!B772), 1), ""), "mm/dd/yyyy")</f>
        <v/>
      </c>
      <c r="B765" s="25" t="str">
        <f>IF(ISNUMBER('Change in Employment'!I772), TEXT('Change in Employment'!I772, "0"), "")</f>
        <v/>
      </c>
      <c r="C765" s="25" t="str">
        <f>IF(ISNUMBER('Change in Employment'!J772),TEXT('Change in Employment'!J772, "0"),"")</f>
        <v/>
      </c>
    </row>
    <row r="766" spans="1:3">
      <c r="A766" s="23" t="str">
        <f>TEXT(IF('Change in Employment'!B773&lt;&gt;0,DATE(YEAR('Change in Employment'!B773), MONTH('Change in Employment'!B773), 1), ""), "mm/dd/yyyy")</f>
        <v/>
      </c>
      <c r="B766" s="25" t="str">
        <f>IF(ISNUMBER('Change in Employment'!I773), TEXT('Change in Employment'!I773, "0"), "")</f>
        <v/>
      </c>
      <c r="C766" s="25" t="str">
        <f>IF(ISNUMBER('Change in Employment'!J773),TEXT('Change in Employment'!J773, "0"),"")</f>
        <v/>
      </c>
    </row>
    <row r="767" spans="1:3">
      <c r="A767" s="23" t="str">
        <f>TEXT(IF('Change in Employment'!B774&lt;&gt;0,DATE(YEAR('Change in Employment'!B774), MONTH('Change in Employment'!B774), 1), ""), "mm/dd/yyyy")</f>
        <v/>
      </c>
      <c r="B767" s="25" t="str">
        <f>IF(ISNUMBER('Change in Employment'!I774), TEXT('Change in Employment'!I774, "0"), "")</f>
        <v/>
      </c>
      <c r="C767" s="25" t="str">
        <f>IF(ISNUMBER('Change in Employment'!J774),TEXT('Change in Employment'!J774, "0"),"")</f>
        <v/>
      </c>
    </row>
    <row r="768" spans="1:3">
      <c r="A768" s="23" t="str">
        <f>TEXT(IF('Change in Employment'!B775&lt;&gt;0,DATE(YEAR('Change in Employment'!B775), MONTH('Change in Employment'!B775), 1), ""), "mm/dd/yyyy")</f>
        <v/>
      </c>
      <c r="B768" s="25" t="str">
        <f>IF(ISNUMBER('Change in Employment'!I775), TEXT('Change in Employment'!I775, "0"), "")</f>
        <v/>
      </c>
      <c r="C768" s="25" t="str">
        <f>IF(ISNUMBER('Change in Employment'!J775),TEXT('Change in Employment'!J775, "0"),"")</f>
        <v/>
      </c>
    </row>
    <row r="769" spans="1:3">
      <c r="A769" s="23" t="str">
        <f>TEXT(IF('Change in Employment'!B776&lt;&gt;0,DATE(YEAR('Change in Employment'!B776), MONTH('Change in Employment'!B776), 1), ""), "mm/dd/yyyy")</f>
        <v/>
      </c>
      <c r="B769" s="25" t="str">
        <f>IF(ISNUMBER('Change in Employment'!I776), TEXT('Change in Employment'!I776, "0"), "")</f>
        <v/>
      </c>
      <c r="C769" s="25" t="str">
        <f>IF(ISNUMBER('Change in Employment'!J776),TEXT('Change in Employment'!J776, "0"),"")</f>
        <v/>
      </c>
    </row>
    <row r="770" spans="1:3">
      <c r="A770" s="23" t="str">
        <f>TEXT(IF('Change in Employment'!B777&lt;&gt;0,DATE(YEAR('Change in Employment'!B777), MONTH('Change in Employment'!B777), 1), ""), "mm/dd/yyyy")</f>
        <v/>
      </c>
      <c r="B770" s="25" t="str">
        <f>IF(ISNUMBER('Change in Employment'!I777), TEXT('Change in Employment'!I777, "0"), "")</f>
        <v/>
      </c>
      <c r="C770" s="25" t="str">
        <f>IF(ISNUMBER('Change in Employment'!J777),TEXT('Change in Employment'!J777, "0"),"")</f>
        <v/>
      </c>
    </row>
    <row r="771" spans="1:3">
      <c r="A771" s="23" t="str">
        <f>TEXT(IF('Change in Employment'!B778&lt;&gt;0,DATE(YEAR('Change in Employment'!B778), MONTH('Change in Employment'!B778), 1), ""), "mm/dd/yyyy")</f>
        <v/>
      </c>
      <c r="B771" s="25" t="str">
        <f>IF(ISNUMBER('Change in Employment'!I778), TEXT('Change in Employment'!I778, "0"), "")</f>
        <v/>
      </c>
      <c r="C771" s="25" t="str">
        <f>IF(ISNUMBER('Change in Employment'!J778),TEXT('Change in Employment'!J778, "0"),"")</f>
        <v/>
      </c>
    </row>
    <row r="772" spans="1:3">
      <c r="A772" s="23" t="str">
        <f>TEXT(IF('Change in Employment'!B779&lt;&gt;0,DATE(YEAR('Change in Employment'!B779), MONTH('Change in Employment'!B779), 1), ""), "mm/dd/yyyy")</f>
        <v/>
      </c>
      <c r="B772" s="25" t="str">
        <f>IF(ISNUMBER('Change in Employment'!I779), TEXT('Change in Employment'!I779, "0"), "")</f>
        <v/>
      </c>
      <c r="C772" s="25" t="str">
        <f>IF(ISNUMBER('Change in Employment'!J779),TEXT('Change in Employment'!J779, "0"),"")</f>
        <v/>
      </c>
    </row>
    <row r="773" spans="1:3">
      <c r="A773" s="23" t="str">
        <f>TEXT(IF('Change in Employment'!B780&lt;&gt;0,DATE(YEAR('Change in Employment'!B780), MONTH('Change in Employment'!B780), 1), ""), "mm/dd/yyyy")</f>
        <v/>
      </c>
      <c r="B773" s="25" t="str">
        <f>IF(ISNUMBER('Change in Employment'!I780), TEXT('Change in Employment'!I780, "0"), "")</f>
        <v/>
      </c>
      <c r="C773" s="25" t="str">
        <f>IF(ISNUMBER('Change in Employment'!J780),TEXT('Change in Employment'!J780, "0"),"")</f>
        <v/>
      </c>
    </row>
    <row r="774" spans="1:3">
      <c r="A774" s="23" t="str">
        <f>TEXT(IF('Change in Employment'!B781&lt;&gt;0,DATE(YEAR('Change in Employment'!B781), MONTH('Change in Employment'!B781), 1), ""), "mm/dd/yyyy")</f>
        <v/>
      </c>
      <c r="B774" s="25" t="str">
        <f>IF(ISNUMBER('Change in Employment'!I781), TEXT('Change in Employment'!I781, "0"), "")</f>
        <v/>
      </c>
      <c r="C774" s="25" t="str">
        <f>IF(ISNUMBER('Change in Employment'!J781),TEXT('Change in Employment'!J781, "0"),"")</f>
        <v/>
      </c>
    </row>
    <row r="775" spans="1:3">
      <c r="A775" s="23" t="str">
        <f>TEXT(IF('Change in Employment'!B782&lt;&gt;0,DATE(YEAR('Change in Employment'!B782), MONTH('Change in Employment'!B782), 1), ""), "mm/dd/yyyy")</f>
        <v/>
      </c>
      <c r="B775" s="25" t="str">
        <f>IF(ISNUMBER('Change in Employment'!I782), TEXT('Change in Employment'!I782, "0"), "")</f>
        <v/>
      </c>
      <c r="C775" s="25" t="str">
        <f>IF(ISNUMBER('Change in Employment'!J782),TEXT('Change in Employment'!J782, "0"),"")</f>
        <v/>
      </c>
    </row>
    <row r="776" spans="1:3">
      <c r="A776" s="23" t="str">
        <f>TEXT(IF('Change in Employment'!B783&lt;&gt;0,DATE(YEAR('Change in Employment'!B783), MONTH('Change in Employment'!B783), 1), ""), "mm/dd/yyyy")</f>
        <v/>
      </c>
      <c r="B776" s="25" t="str">
        <f>IF(ISNUMBER('Change in Employment'!I783), TEXT('Change in Employment'!I783, "0"), "")</f>
        <v/>
      </c>
      <c r="C776" s="25" t="str">
        <f>IF(ISNUMBER('Change in Employment'!J783),TEXT('Change in Employment'!J783, "0"),"")</f>
        <v/>
      </c>
    </row>
    <row r="777" spans="1:3">
      <c r="A777" s="23" t="str">
        <f>TEXT(IF('Change in Employment'!B784&lt;&gt;0,DATE(YEAR('Change in Employment'!B784), MONTH('Change in Employment'!B784), 1), ""), "mm/dd/yyyy")</f>
        <v/>
      </c>
      <c r="B777" s="25" t="str">
        <f>IF(ISNUMBER('Change in Employment'!I784), TEXT('Change in Employment'!I784, "0"), "")</f>
        <v/>
      </c>
      <c r="C777" s="25" t="str">
        <f>IF(ISNUMBER('Change in Employment'!J784),TEXT('Change in Employment'!J784, "0"),"")</f>
        <v/>
      </c>
    </row>
    <row r="778" spans="1:3">
      <c r="A778" s="23" t="str">
        <f>TEXT(IF('Change in Employment'!B785&lt;&gt;0,DATE(YEAR('Change in Employment'!B785), MONTH('Change in Employment'!B785), 1), ""), "mm/dd/yyyy")</f>
        <v/>
      </c>
      <c r="B778" s="25" t="str">
        <f>IF(ISNUMBER('Change in Employment'!I785), TEXT('Change in Employment'!I785, "0"), "")</f>
        <v/>
      </c>
      <c r="C778" s="25" t="str">
        <f>IF(ISNUMBER('Change in Employment'!J785),TEXT('Change in Employment'!J785, "0"),"")</f>
        <v/>
      </c>
    </row>
    <row r="779" spans="1:3">
      <c r="A779" s="23" t="str">
        <f>TEXT(IF('Change in Employment'!B786&lt;&gt;0,DATE(YEAR('Change in Employment'!B786), MONTH('Change in Employment'!B786), 1), ""), "mm/dd/yyyy")</f>
        <v/>
      </c>
      <c r="B779" s="25" t="str">
        <f>IF(ISNUMBER('Change in Employment'!I786), TEXT('Change in Employment'!I786, "0"), "")</f>
        <v/>
      </c>
      <c r="C779" s="25" t="str">
        <f>IF(ISNUMBER('Change in Employment'!J786),TEXT('Change in Employment'!J786, "0"),"")</f>
        <v/>
      </c>
    </row>
    <row r="780" spans="1:3">
      <c r="A780" s="23" t="str">
        <f>TEXT(IF('Change in Employment'!B787&lt;&gt;0,DATE(YEAR('Change in Employment'!B787), MONTH('Change in Employment'!B787), 1), ""), "mm/dd/yyyy")</f>
        <v/>
      </c>
      <c r="B780" s="25" t="str">
        <f>IF(ISNUMBER('Change in Employment'!I787), TEXT('Change in Employment'!I787, "0"), "")</f>
        <v/>
      </c>
      <c r="C780" s="25" t="str">
        <f>IF(ISNUMBER('Change in Employment'!J787),TEXT('Change in Employment'!J787, "0"),"")</f>
        <v/>
      </c>
    </row>
    <row r="781" spans="1:3">
      <c r="A781" s="23" t="str">
        <f>TEXT(IF('Change in Employment'!B788&lt;&gt;0,DATE(YEAR('Change in Employment'!B788), MONTH('Change in Employment'!B788), 1), ""), "mm/dd/yyyy")</f>
        <v/>
      </c>
      <c r="B781" s="25" t="str">
        <f>IF(ISNUMBER('Change in Employment'!I788), TEXT('Change in Employment'!I788, "0"), "")</f>
        <v/>
      </c>
      <c r="C781" s="25" t="str">
        <f>IF(ISNUMBER('Change in Employment'!J788),TEXT('Change in Employment'!J788, "0"),"")</f>
        <v/>
      </c>
    </row>
    <row r="782" spans="1:3">
      <c r="A782" s="23" t="str">
        <f>TEXT(IF('Change in Employment'!B789&lt;&gt;0,DATE(YEAR('Change in Employment'!B789), MONTH('Change in Employment'!B789), 1), ""), "mm/dd/yyyy")</f>
        <v/>
      </c>
      <c r="B782" s="25" t="str">
        <f>IF(ISNUMBER('Change in Employment'!I789), TEXT('Change in Employment'!I789, "0"), "")</f>
        <v/>
      </c>
      <c r="C782" s="25" t="str">
        <f>IF(ISNUMBER('Change in Employment'!J789),TEXT('Change in Employment'!J789, "0"),"")</f>
        <v/>
      </c>
    </row>
    <row r="783" spans="1:3">
      <c r="A783" s="23" t="str">
        <f>TEXT(IF('Change in Employment'!B790&lt;&gt;0,DATE(YEAR('Change in Employment'!B790), MONTH('Change in Employment'!B790), 1), ""), "mm/dd/yyyy")</f>
        <v/>
      </c>
      <c r="B783" s="25" t="str">
        <f>IF(ISNUMBER('Change in Employment'!I790), TEXT('Change in Employment'!I790, "0"), "")</f>
        <v/>
      </c>
      <c r="C783" s="25" t="str">
        <f>IF(ISNUMBER('Change in Employment'!J790),TEXT('Change in Employment'!J790, "0"),"")</f>
        <v/>
      </c>
    </row>
    <row r="784" spans="1:3">
      <c r="A784" s="23" t="str">
        <f>TEXT(IF('Change in Employment'!B791&lt;&gt;0,DATE(YEAR('Change in Employment'!B791), MONTH('Change in Employment'!B791), 1), ""), "mm/dd/yyyy")</f>
        <v/>
      </c>
      <c r="B784" s="25" t="str">
        <f>IF(ISNUMBER('Change in Employment'!I791), TEXT('Change in Employment'!I791, "0"), "")</f>
        <v/>
      </c>
      <c r="C784" s="25" t="str">
        <f>IF(ISNUMBER('Change in Employment'!J791),TEXT('Change in Employment'!J791, "0"),"")</f>
        <v/>
      </c>
    </row>
    <row r="785" spans="1:3">
      <c r="A785" s="23" t="str">
        <f>TEXT(IF('Change in Employment'!B792&lt;&gt;0,DATE(YEAR('Change in Employment'!B792), MONTH('Change in Employment'!B792), 1), ""), "mm/dd/yyyy")</f>
        <v/>
      </c>
      <c r="B785" s="25" t="str">
        <f>IF(ISNUMBER('Change in Employment'!I792), TEXT('Change in Employment'!I792, "0"), "")</f>
        <v/>
      </c>
      <c r="C785" s="25" t="str">
        <f>IF(ISNUMBER('Change in Employment'!J792),TEXT('Change in Employment'!J792, "0"),"")</f>
        <v/>
      </c>
    </row>
    <row r="786" spans="1:3">
      <c r="A786" s="23" t="str">
        <f>TEXT(IF('Change in Employment'!B793&lt;&gt;0,DATE(YEAR('Change in Employment'!B793), MONTH('Change in Employment'!B793), 1), ""), "mm/dd/yyyy")</f>
        <v/>
      </c>
      <c r="B786" s="25" t="str">
        <f>IF(ISNUMBER('Change in Employment'!I793), TEXT('Change in Employment'!I793, "0"), "")</f>
        <v/>
      </c>
      <c r="C786" s="25" t="str">
        <f>IF(ISNUMBER('Change in Employment'!J793),TEXT('Change in Employment'!J793, "0"),"")</f>
        <v/>
      </c>
    </row>
    <row r="787" spans="1:3">
      <c r="A787" s="23" t="str">
        <f>TEXT(IF('Change in Employment'!B794&lt;&gt;0,DATE(YEAR('Change in Employment'!B794), MONTH('Change in Employment'!B794), 1), ""), "mm/dd/yyyy")</f>
        <v/>
      </c>
      <c r="B787" s="25" t="str">
        <f>IF(ISNUMBER('Change in Employment'!I794), TEXT('Change in Employment'!I794, "0"), "")</f>
        <v/>
      </c>
      <c r="C787" s="25" t="str">
        <f>IF(ISNUMBER('Change in Employment'!J794),TEXT('Change in Employment'!J794, "0"),"")</f>
        <v/>
      </c>
    </row>
    <row r="788" spans="1:3">
      <c r="A788" s="23" t="str">
        <f>TEXT(IF('Change in Employment'!B795&lt;&gt;0,DATE(YEAR('Change in Employment'!B795), MONTH('Change in Employment'!B795), 1), ""), "mm/dd/yyyy")</f>
        <v/>
      </c>
      <c r="B788" s="25" t="str">
        <f>IF(ISNUMBER('Change in Employment'!I795), TEXT('Change in Employment'!I795, "0"), "")</f>
        <v/>
      </c>
      <c r="C788" s="25" t="str">
        <f>IF(ISNUMBER('Change in Employment'!J795),TEXT('Change in Employment'!J795, "0"),"")</f>
        <v/>
      </c>
    </row>
    <row r="789" spans="1:3">
      <c r="A789" s="23" t="str">
        <f>TEXT(IF('Change in Employment'!B796&lt;&gt;0,DATE(YEAR('Change in Employment'!B796), MONTH('Change in Employment'!B796), 1), ""), "mm/dd/yyyy")</f>
        <v/>
      </c>
      <c r="B789" s="25" t="str">
        <f>IF(ISNUMBER('Change in Employment'!I796), TEXT('Change in Employment'!I796, "0"), "")</f>
        <v/>
      </c>
      <c r="C789" s="25" t="str">
        <f>IF(ISNUMBER('Change in Employment'!J796),TEXT('Change in Employment'!J796, "0"),"")</f>
        <v/>
      </c>
    </row>
    <row r="790" spans="1:3">
      <c r="A790" s="23" t="str">
        <f>TEXT(IF('Change in Employment'!B797&lt;&gt;0,DATE(YEAR('Change in Employment'!B797), MONTH('Change in Employment'!B797), 1), ""), "mm/dd/yyyy")</f>
        <v/>
      </c>
      <c r="B790" s="25" t="str">
        <f>IF(ISNUMBER('Change in Employment'!I797), TEXT('Change in Employment'!I797, "0"), "")</f>
        <v/>
      </c>
      <c r="C790" s="25" t="str">
        <f>IF(ISNUMBER('Change in Employment'!J797),TEXT('Change in Employment'!J797, "0"),"")</f>
        <v/>
      </c>
    </row>
    <row r="791" spans="1:3">
      <c r="A791" s="23" t="str">
        <f>TEXT(IF('Change in Employment'!B798&lt;&gt;0,DATE(YEAR('Change in Employment'!B798), MONTH('Change in Employment'!B798), 1), ""), "mm/dd/yyyy")</f>
        <v/>
      </c>
      <c r="B791" s="25" t="str">
        <f>IF(ISNUMBER('Change in Employment'!I798), TEXT('Change in Employment'!I798, "0"), "")</f>
        <v/>
      </c>
      <c r="C791" s="25" t="str">
        <f>IF(ISNUMBER('Change in Employment'!J798),TEXT('Change in Employment'!J798, "0"),"")</f>
        <v/>
      </c>
    </row>
    <row r="792" spans="1:3">
      <c r="A792" s="23" t="str">
        <f>TEXT(IF('Change in Employment'!B799&lt;&gt;0,DATE(YEAR('Change in Employment'!B799), MONTH('Change in Employment'!B799), 1), ""), "mm/dd/yyyy")</f>
        <v/>
      </c>
      <c r="B792" s="25" t="str">
        <f>IF(ISNUMBER('Change in Employment'!I799), TEXT('Change in Employment'!I799, "0"), "")</f>
        <v/>
      </c>
      <c r="C792" s="25" t="str">
        <f>IF(ISNUMBER('Change in Employment'!J799),TEXT('Change in Employment'!J799, "0"),"")</f>
        <v/>
      </c>
    </row>
    <row r="793" spans="1:3">
      <c r="A793" s="23" t="str">
        <f>TEXT(IF('Change in Employment'!B800&lt;&gt;0,DATE(YEAR('Change in Employment'!B800), MONTH('Change in Employment'!B800), 1), ""), "mm/dd/yyyy")</f>
        <v/>
      </c>
      <c r="B793" s="25" t="str">
        <f>IF(ISNUMBER('Change in Employment'!I800), TEXT('Change in Employment'!I800, "0"), "")</f>
        <v/>
      </c>
      <c r="C793" s="25" t="str">
        <f>IF(ISNUMBER('Change in Employment'!J800),TEXT('Change in Employment'!J800, "0"),"")</f>
        <v/>
      </c>
    </row>
    <row r="794" spans="1:3">
      <c r="A794" s="23" t="str">
        <f>TEXT(IF('Change in Employment'!B801&lt;&gt;0,DATE(YEAR('Change in Employment'!B801), MONTH('Change in Employment'!B801), 1), ""), "mm/dd/yyyy")</f>
        <v/>
      </c>
      <c r="B794" s="25" t="str">
        <f>IF(ISNUMBER('Change in Employment'!I801), TEXT('Change in Employment'!I801, "0"), "")</f>
        <v/>
      </c>
      <c r="C794" s="25" t="str">
        <f>IF(ISNUMBER('Change in Employment'!J801),TEXT('Change in Employment'!J801, "0"),"")</f>
        <v/>
      </c>
    </row>
    <row r="795" spans="1:3">
      <c r="A795" s="23" t="str">
        <f>TEXT(IF('Change in Employment'!B802&lt;&gt;0,DATE(YEAR('Change in Employment'!B802), MONTH('Change in Employment'!B802), 1), ""), "mm/dd/yyyy")</f>
        <v/>
      </c>
      <c r="B795" s="25" t="str">
        <f>IF(ISNUMBER('Change in Employment'!I802), TEXT('Change in Employment'!I802, "0"), "")</f>
        <v/>
      </c>
      <c r="C795" s="25" t="str">
        <f>IF(ISNUMBER('Change in Employment'!J802),TEXT('Change in Employment'!J802, "0"),"")</f>
        <v/>
      </c>
    </row>
    <row r="796" spans="1:3">
      <c r="A796" s="23" t="str">
        <f>TEXT(IF('Change in Employment'!B803&lt;&gt;0,DATE(YEAR('Change in Employment'!B803), MONTH('Change in Employment'!B803), 1), ""), "mm/dd/yyyy")</f>
        <v/>
      </c>
      <c r="B796" s="25" t="str">
        <f>IF(ISNUMBER('Change in Employment'!I803), TEXT('Change in Employment'!I803, "0"), "")</f>
        <v/>
      </c>
      <c r="C796" s="25" t="str">
        <f>IF(ISNUMBER('Change in Employment'!J803),TEXT('Change in Employment'!J803, "0"),"")</f>
        <v/>
      </c>
    </row>
    <row r="797" spans="1:3">
      <c r="A797" s="23" t="str">
        <f>TEXT(IF('Change in Employment'!B804&lt;&gt;0,DATE(YEAR('Change in Employment'!B804), MONTH('Change in Employment'!B804), 1), ""), "mm/dd/yyyy")</f>
        <v/>
      </c>
      <c r="B797" s="25" t="str">
        <f>IF(ISNUMBER('Change in Employment'!I804), TEXT('Change in Employment'!I804, "0"), "")</f>
        <v/>
      </c>
      <c r="C797" s="25" t="str">
        <f>IF(ISNUMBER('Change in Employment'!J804),TEXT('Change in Employment'!J804, "0"),"")</f>
        <v/>
      </c>
    </row>
    <row r="798" spans="1:3">
      <c r="A798" s="23" t="str">
        <f>TEXT(IF('Change in Employment'!B805&lt;&gt;0,DATE(YEAR('Change in Employment'!B805), MONTH('Change in Employment'!B805), 1), ""), "mm/dd/yyyy")</f>
        <v/>
      </c>
      <c r="B798" s="25" t="str">
        <f>IF(ISNUMBER('Change in Employment'!I805), TEXT('Change in Employment'!I805, "0"), "")</f>
        <v/>
      </c>
      <c r="C798" s="25" t="str">
        <f>IF(ISNUMBER('Change in Employment'!J805),TEXT('Change in Employment'!J805, "0"),"")</f>
        <v/>
      </c>
    </row>
    <row r="799" spans="1:3">
      <c r="A799" s="23" t="str">
        <f>TEXT(IF('Change in Employment'!B806&lt;&gt;0,DATE(YEAR('Change in Employment'!B806), MONTH('Change in Employment'!B806), 1), ""), "mm/dd/yyyy")</f>
        <v/>
      </c>
      <c r="B799" s="25" t="str">
        <f>IF(ISNUMBER('Change in Employment'!I806), TEXT('Change in Employment'!I806, "0"), "")</f>
        <v/>
      </c>
      <c r="C799" s="25" t="str">
        <f>IF(ISNUMBER('Change in Employment'!J806),TEXT('Change in Employment'!J806, "0"),"")</f>
        <v/>
      </c>
    </row>
    <row r="800" spans="1:3">
      <c r="A800" s="23" t="str">
        <f>TEXT(IF('Change in Employment'!B807&lt;&gt;0,DATE(YEAR('Change in Employment'!B807), MONTH('Change in Employment'!B807), 1), ""), "mm/dd/yyyy")</f>
        <v/>
      </c>
      <c r="B800" s="25" t="str">
        <f>IF(ISNUMBER('Change in Employment'!I807), TEXT('Change in Employment'!I807, "0"), "")</f>
        <v/>
      </c>
      <c r="C800" s="25" t="str">
        <f>IF(ISNUMBER('Change in Employment'!J807),TEXT('Change in Employment'!J807, "0"),"")</f>
        <v/>
      </c>
    </row>
    <row r="801" spans="1:3">
      <c r="A801" s="23" t="str">
        <f>TEXT(IF('Change in Employment'!B808&lt;&gt;0,DATE(YEAR('Change in Employment'!B808), MONTH('Change in Employment'!B808), 1), ""), "mm/dd/yyyy")</f>
        <v/>
      </c>
      <c r="B801" s="25" t="str">
        <f>IF(ISNUMBER('Change in Employment'!I808), TEXT('Change in Employment'!I808, "0"), "")</f>
        <v/>
      </c>
      <c r="C801" s="25" t="str">
        <f>IF(ISNUMBER('Change in Employment'!J808),TEXT('Change in Employment'!J808, "0"),"")</f>
        <v/>
      </c>
    </row>
    <row r="802" spans="1:3">
      <c r="A802" s="23" t="str">
        <f>TEXT(IF('Change in Employment'!B809&lt;&gt;0,DATE(YEAR('Change in Employment'!B809), MONTH('Change in Employment'!B809), 1), ""), "mm/dd/yyyy")</f>
        <v/>
      </c>
      <c r="B802" s="25" t="str">
        <f>IF(ISNUMBER('Change in Employment'!I809), TEXT('Change in Employment'!I809, "0"), "")</f>
        <v/>
      </c>
      <c r="C802" s="25" t="str">
        <f>IF(ISNUMBER('Change in Employment'!J809),TEXT('Change in Employment'!J809, "0"),"")</f>
        <v/>
      </c>
    </row>
    <row r="803" spans="1:3">
      <c r="A803" s="23" t="str">
        <f>TEXT(IF('Change in Employment'!B810&lt;&gt;0,DATE(YEAR('Change in Employment'!B810), MONTH('Change in Employment'!B810), 1), ""), "mm/dd/yyyy")</f>
        <v/>
      </c>
      <c r="B803" s="25" t="str">
        <f>IF(ISNUMBER('Change in Employment'!I810), TEXT('Change in Employment'!I810, "0"), "")</f>
        <v/>
      </c>
      <c r="C803" s="25" t="str">
        <f>IF(ISNUMBER('Change in Employment'!J810),TEXT('Change in Employment'!J810, "0"),"")</f>
        <v/>
      </c>
    </row>
    <row r="804" spans="1:3">
      <c r="A804" s="23" t="str">
        <f>TEXT(IF('Change in Employment'!B811&lt;&gt;0,DATE(YEAR('Change in Employment'!B811), MONTH('Change in Employment'!B811), 1), ""), "mm/dd/yyyy")</f>
        <v/>
      </c>
      <c r="B804" s="25" t="str">
        <f>IF(ISNUMBER('Change in Employment'!I811), TEXT('Change in Employment'!I811, "0"), "")</f>
        <v/>
      </c>
      <c r="C804" s="25" t="str">
        <f>IF(ISNUMBER('Change in Employment'!J811),TEXT('Change in Employment'!J811, "0"),"")</f>
        <v/>
      </c>
    </row>
    <row r="805" spans="1:3">
      <c r="A805" s="23" t="str">
        <f>TEXT(IF('Change in Employment'!B812&lt;&gt;0,DATE(YEAR('Change in Employment'!B812), MONTH('Change in Employment'!B812), 1), ""), "mm/dd/yyyy")</f>
        <v/>
      </c>
      <c r="B805" s="25" t="str">
        <f>IF(ISNUMBER('Change in Employment'!I812), TEXT('Change in Employment'!I812, "0"), "")</f>
        <v/>
      </c>
      <c r="C805" s="25" t="str">
        <f>IF(ISNUMBER('Change in Employment'!J812),TEXT('Change in Employment'!J812, "0"),"")</f>
        <v/>
      </c>
    </row>
    <row r="806" spans="1:3">
      <c r="A806" s="23" t="str">
        <f>TEXT(IF('Change in Employment'!B813&lt;&gt;0,DATE(YEAR('Change in Employment'!B813), MONTH('Change in Employment'!B813), 1), ""), "mm/dd/yyyy")</f>
        <v/>
      </c>
      <c r="B806" s="25" t="str">
        <f>IF(ISNUMBER('Change in Employment'!I813), TEXT('Change in Employment'!I813, "0"), "")</f>
        <v/>
      </c>
      <c r="C806" s="25" t="str">
        <f>IF(ISNUMBER('Change in Employment'!J813),TEXT('Change in Employment'!J813, "0"),"")</f>
        <v/>
      </c>
    </row>
    <row r="807" spans="1:3">
      <c r="A807" s="23" t="str">
        <f>TEXT(IF('Change in Employment'!B814&lt;&gt;0,DATE(YEAR('Change in Employment'!B814), MONTH('Change in Employment'!B814), 1), ""), "mm/dd/yyyy")</f>
        <v/>
      </c>
      <c r="B807" s="25" t="str">
        <f>IF(ISNUMBER('Change in Employment'!I814), TEXT('Change in Employment'!I814, "0"), "")</f>
        <v/>
      </c>
      <c r="C807" s="25" t="str">
        <f>IF(ISNUMBER('Change in Employment'!J814),TEXT('Change in Employment'!J814, "0"),"")</f>
        <v/>
      </c>
    </row>
    <row r="808" spans="1:3">
      <c r="A808" s="23" t="str">
        <f>TEXT(IF('Change in Employment'!B815&lt;&gt;0,DATE(YEAR('Change in Employment'!B815), MONTH('Change in Employment'!B815), 1), ""), "mm/dd/yyyy")</f>
        <v/>
      </c>
      <c r="B808" s="25" t="str">
        <f>IF(ISNUMBER('Change in Employment'!I815), TEXT('Change in Employment'!I815, "0"), "")</f>
        <v/>
      </c>
      <c r="C808" s="25" t="str">
        <f>IF(ISNUMBER('Change in Employment'!J815),TEXT('Change in Employment'!J815, "0"),"")</f>
        <v/>
      </c>
    </row>
    <row r="809" spans="1:3">
      <c r="A809" s="23" t="str">
        <f>TEXT(IF('Change in Employment'!B816&lt;&gt;0,DATE(YEAR('Change in Employment'!B816), MONTH('Change in Employment'!B816), 1), ""), "mm/dd/yyyy")</f>
        <v/>
      </c>
      <c r="B809" s="25" t="str">
        <f>IF(ISNUMBER('Change in Employment'!I816), TEXT('Change in Employment'!I816, "0"), "")</f>
        <v/>
      </c>
      <c r="C809" s="25" t="str">
        <f>IF(ISNUMBER('Change in Employment'!J816),TEXT('Change in Employment'!J816, "0"),"")</f>
        <v/>
      </c>
    </row>
    <row r="810" spans="1:3">
      <c r="A810" s="23" t="str">
        <f>TEXT(IF('Change in Employment'!B817&lt;&gt;0,DATE(YEAR('Change in Employment'!B817), MONTH('Change in Employment'!B817), 1), ""), "mm/dd/yyyy")</f>
        <v/>
      </c>
      <c r="B810" s="25" t="str">
        <f>IF(ISNUMBER('Change in Employment'!I817), TEXT('Change in Employment'!I817, "0"), "")</f>
        <v/>
      </c>
      <c r="C810" s="25" t="str">
        <f>IF(ISNUMBER('Change in Employment'!J817),TEXT('Change in Employment'!J817, "0"),"")</f>
        <v/>
      </c>
    </row>
    <row r="811" spans="1:3">
      <c r="A811" s="23" t="str">
        <f>TEXT(IF('Change in Employment'!B818&lt;&gt;0,DATE(YEAR('Change in Employment'!B818), MONTH('Change in Employment'!B818), 1), ""), "mm/dd/yyyy")</f>
        <v/>
      </c>
      <c r="B811" s="25" t="str">
        <f>IF(ISNUMBER('Change in Employment'!I818), TEXT('Change in Employment'!I818, "0"), "")</f>
        <v/>
      </c>
      <c r="C811" s="25" t="str">
        <f>IF(ISNUMBER('Change in Employment'!J818),TEXT('Change in Employment'!J818, "0"),"")</f>
        <v/>
      </c>
    </row>
    <row r="812" spans="1:3">
      <c r="A812" s="23" t="str">
        <f>TEXT(IF('Change in Employment'!B819&lt;&gt;0,DATE(YEAR('Change in Employment'!B819), MONTH('Change in Employment'!B819), 1), ""), "mm/dd/yyyy")</f>
        <v/>
      </c>
      <c r="B812" s="25" t="str">
        <f>IF(ISNUMBER('Change in Employment'!I819), TEXT('Change in Employment'!I819, "0"), "")</f>
        <v/>
      </c>
      <c r="C812" s="25" t="str">
        <f>IF(ISNUMBER('Change in Employment'!J819),TEXT('Change in Employment'!J819, "0"),"")</f>
        <v/>
      </c>
    </row>
    <row r="813" spans="1:3">
      <c r="A813" s="23" t="str">
        <f>TEXT(IF('Change in Employment'!B820&lt;&gt;0,DATE(YEAR('Change in Employment'!B820), MONTH('Change in Employment'!B820), 1), ""), "mm/dd/yyyy")</f>
        <v/>
      </c>
      <c r="B813" s="25" t="str">
        <f>IF(ISNUMBER('Change in Employment'!I820), TEXT('Change in Employment'!I820, "0"), "")</f>
        <v/>
      </c>
      <c r="C813" s="25" t="str">
        <f>IF(ISNUMBER('Change in Employment'!J820),TEXT('Change in Employment'!J820, "0"),"")</f>
        <v/>
      </c>
    </row>
    <row r="814" spans="1:3">
      <c r="A814" s="23" t="str">
        <f>TEXT(IF('Change in Employment'!B821&lt;&gt;0,DATE(YEAR('Change in Employment'!B821), MONTH('Change in Employment'!B821), 1), ""), "mm/dd/yyyy")</f>
        <v/>
      </c>
      <c r="B814" s="25" t="str">
        <f>IF(ISNUMBER('Change in Employment'!I821), TEXT('Change in Employment'!I821, "0"), "")</f>
        <v/>
      </c>
      <c r="C814" s="25" t="str">
        <f>IF(ISNUMBER('Change in Employment'!J821),TEXT('Change in Employment'!J821, "0"),"")</f>
        <v/>
      </c>
    </row>
    <row r="815" spans="1:3">
      <c r="A815" s="23" t="str">
        <f>TEXT(IF('Change in Employment'!B822&lt;&gt;0,DATE(YEAR('Change in Employment'!B822), MONTH('Change in Employment'!B822), 1), ""), "mm/dd/yyyy")</f>
        <v/>
      </c>
      <c r="B815" s="25" t="str">
        <f>IF(ISNUMBER('Change in Employment'!I822), TEXT('Change in Employment'!I822, "0"), "")</f>
        <v/>
      </c>
      <c r="C815" s="25" t="str">
        <f>IF(ISNUMBER('Change in Employment'!J822),TEXT('Change in Employment'!J822, "0"),"")</f>
        <v/>
      </c>
    </row>
    <row r="816" spans="1:3">
      <c r="A816" s="23" t="str">
        <f>TEXT(IF('Change in Employment'!B823&lt;&gt;0,DATE(YEAR('Change in Employment'!B823), MONTH('Change in Employment'!B823), 1), ""), "mm/dd/yyyy")</f>
        <v/>
      </c>
      <c r="B816" s="25" t="str">
        <f>IF(ISNUMBER('Change in Employment'!I823), TEXT('Change in Employment'!I823, "0"), "")</f>
        <v/>
      </c>
      <c r="C816" s="25" t="str">
        <f>IF(ISNUMBER('Change in Employment'!J823),TEXT('Change in Employment'!J823, "0"),"")</f>
        <v/>
      </c>
    </row>
    <row r="817" spans="1:3">
      <c r="A817" s="23" t="str">
        <f>TEXT(IF('Change in Employment'!B824&lt;&gt;0,DATE(YEAR('Change in Employment'!B824), MONTH('Change in Employment'!B824), 1), ""), "mm/dd/yyyy")</f>
        <v/>
      </c>
      <c r="B817" s="25" t="str">
        <f>IF(ISNUMBER('Change in Employment'!I824), TEXT('Change in Employment'!I824, "0"), "")</f>
        <v/>
      </c>
      <c r="C817" s="25" t="str">
        <f>IF(ISNUMBER('Change in Employment'!J824),TEXT('Change in Employment'!J824, "0"),"")</f>
        <v/>
      </c>
    </row>
    <row r="818" spans="1:3">
      <c r="A818" s="23" t="str">
        <f>TEXT(IF('Change in Employment'!B825&lt;&gt;0,DATE(YEAR('Change in Employment'!B825), MONTH('Change in Employment'!B825), 1), ""), "mm/dd/yyyy")</f>
        <v/>
      </c>
      <c r="B818" s="25" t="str">
        <f>IF(ISNUMBER('Change in Employment'!I825), TEXT('Change in Employment'!I825, "0"), "")</f>
        <v/>
      </c>
      <c r="C818" s="25" t="str">
        <f>IF(ISNUMBER('Change in Employment'!J825),TEXT('Change in Employment'!J825, "0"),"")</f>
        <v/>
      </c>
    </row>
    <row r="819" spans="1:3">
      <c r="A819" s="23" t="str">
        <f>TEXT(IF('Change in Employment'!B826&lt;&gt;0,DATE(YEAR('Change in Employment'!B826), MONTH('Change in Employment'!B826), 1), ""), "mm/dd/yyyy")</f>
        <v/>
      </c>
      <c r="B819" s="25" t="str">
        <f>IF(ISNUMBER('Change in Employment'!I826), TEXT('Change in Employment'!I826, "0"), "")</f>
        <v/>
      </c>
      <c r="C819" s="25" t="str">
        <f>IF(ISNUMBER('Change in Employment'!J826),TEXT('Change in Employment'!J826, "0"),"")</f>
        <v/>
      </c>
    </row>
    <row r="820" spans="1:3">
      <c r="A820" s="23" t="str">
        <f>TEXT(IF('Change in Employment'!B827&lt;&gt;0,DATE(YEAR('Change in Employment'!B827), MONTH('Change in Employment'!B827), 1), ""), "mm/dd/yyyy")</f>
        <v/>
      </c>
      <c r="B820" s="25" t="str">
        <f>IF(ISNUMBER('Change in Employment'!I827), TEXT('Change in Employment'!I827, "0"), "")</f>
        <v/>
      </c>
      <c r="C820" s="25" t="str">
        <f>IF(ISNUMBER('Change in Employment'!J827),TEXT('Change in Employment'!J827, "0"),"")</f>
        <v/>
      </c>
    </row>
    <row r="821" spans="1:3">
      <c r="A821" s="23" t="str">
        <f>TEXT(IF('Change in Employment'!B828&lt;&gt;0,DATE(YEAR('Change in Employment'!B828), MONTH('Change in Employment'!B828), 1), ""), "mm/dd/yyyy")</f>
        <v/>
      </c>
      <c r="B821" s="25" t="str">
        <f>IF(ISNUMBER('Change in Employment'!I828), TEXT('Change in Employment'!I828, "0"), "")</f>
        <v/>
      </c>
      <c r="C821" s="25" t="str">
        <f>IF(ISNUMBER('Change in Employment'!J828),TEXT('Change in Employment'!J828, "0"),"")</f>
        <v/>
      </c>
    </row>
    <row r="822" spans="1:3">
      <c r="A822" s="23" t="str">
        <f>TEXT(IF('Change in Employment'!B829&lt;&gt;0,DATE(YEAR('Change in Employment'!B829), MONTH('Change in Employment'!B829), 1), ""), "mm/dd/yyyy")</f>
        <v/>
      </c>
      <c r="B822" s="25" t="str">
        <f>IF(ISNUMBER('Change in Employment'!I829), TEXT('Change in Employment'!I829, "0"), "")</f>
        <v/>
      </c>
      <c r="C822" s="25" t="str">
        <f>IF(ISNUMBER('Change in Employment'!J829),TEXT('Change in Employment'!J829, "0"),"")</f>
        <v/>
      </c>
    </row>
    <row r="823" spans="1:3">
      <c r="A823" s="23" t="str">
        <f>TEXT(IF('Change in Employment'!B830&lt;&gt;0,DATE(YEAR('Change in Employment'!B830), MONTH('Change in Employment'!B830), 1), ""), "mm/dd/yyyy")</f>
        <v/>
      </c>
      <c r="B823" s="25" t="str">
        <f>IF(ISNUMBER('Change in Employment'!I830), TEXT('Change in Employment'!I830, "0"), "")</f>
        <v/>
      </c>
      <c r="C823" s="25" t="str">
        <f>IF(ISNUMBER('Change in Employment'!J830),TEXT('Change in Employment'!J830, "0"),"")</f>
        <v/>
      </c>
    </row>
    <row r="824" spans="1:3">
      <c r="A824" s="23" t="str">
        <f>TEXT(IF('Change in Employment'!B831&lt;&gt;0,DATE(YEAR('Change in Employment'!B831), MONTH('Change in Employment'!B831), 1), ""), "mm/dd/yyyy")</f>
        <v/>
      </c>
      <c r="B824" s="25" t="str">
        <f>IF(ISNUMBER('Change in Employment'!I831), TEXT('Change in Employment'!I831, "0"), "")</f>
        <v/>
      </c>
      <c r="C824" s="25" t="str">
        <f>IF(ISNUMBER('Change in Employment'!J831),TEXT('Change in Employment'!J831, "0"),"")</f>
        <v/>
      </c>
    </row>
    <row r="825" spans="1:3">
      <c r="A825" s="23" t="str">
        <f>TEXT(IF('Change in Employment'!B832&lt;&gt;0,DATE(YEAR('Change in Employment'!B832), MONTH('Change in Employment'!B832), 1), ""), "mm/dd/yyyy")</f>
        <v/>
      </c>
      <c r="B825" s="25" t="str">
        <f>IF(ISNUMBER('Change in Employment'!I832), TEXT('Change in Employment'!I832, "0"), "")</f>
        <v/>
      </c>
      <c r="C825" s="25" t="str">
        <f>IF(ISNUMBER('Change in Employment'!J832),TEXT('Change in Employment'!J832, "0"),"")</f>
        <v/>
      </c>
    </row>
    <row r="826" spans="1:3">
      <c r="A826" s="23" t="str">
        <f>TEXT(IF('Change in Employment'!B833&lt;&gt;0,DATE(YEAR('Change in Employment'!B833), MONTH('Change in Employment'!B833), 1), ""), "mm/dd/yyyy")</f>
        <v/>
      </c>
      <c r="B826" s="25" t="str">
        <f>IF(ISNUMBER('Change in Employment'!I833), TEXT('Change in Employment'!I833, "0"), "")</f>
        <v/>
      </c>
      <c r="C826" s="25" t="str">
        <f>IF(ISNUMBER('Change in Employment'!J833),TEXT('Change in Employment'!J833, "0"),"")</f>
        <v/>
      </c>
    </row>
    <row r="827" spans="1:3">
      <c r="A827" s="23" t="str">
        <f>TEXT(IF('Change in Employment'!B834&lt;&gt;0,DATE(YEAR('Change in Employment'!B834), MONTH('Change in Employment'!B834), 1), ""), "mm/dd/yyyy")</f>
        <v/>
      </c>
      <c r="B827" s="25" t="str">
        <f>IF(ISNUMBER('Change in Employment'!I834), TEXT('Change in Employment'!I834, "0"), "")</f>
        <v/>
      </c>
      <c r="C827" s="25" t="str">
        <f>IF(ISNUMBER('Change in Employment'!J834),TEXT('Change in Employment'!J834, "0"),"")</f>
        <v/>
      </c>
    </row>
    <row r="828" spans="1:3">
      <c r="A828" s="23" t="str">
        <f>TEXT(IF('Change in Employment'!B835&lt;&gt;0,DATE(YEAR('Change in Employment'!B835), MONTH('Change in Employment'!B835), 1), ""), "mm/dd/yyyy")</f>
        <v/>
      </c>
      <c r="B828" s="25" t="str">
        <f>IF(ISNUMBER('Change in Employment'!I835), TEXT('Change in Employment'!I835, "0"), "")</f>
        <v/>
      </c>
      <c r="C828" s="25" t="str">
        <f>IF(ISNUMBER('Change in Employment'!J835),TEXT('Change in Employment'!J835, "0"),"")</f>
        <v/>
      </c>
    </row>
    <row r="829" spans="1:3">
      <c r="A829" s="23" t="str">
        <f>TEXT(IF('Change in Employment'!B836&lt;&gt;0,DATE(YEAR('Change in Employment'!B836), MONTH('Change in Employment'!B836), 1), ""), "mm/dd/yyyy")</f>
        <v/>
      </c>
      <c r="B829" s="25" t="str">
        <f>IF(ISNUMBER('Change in Employment'!I836), TEXT('Change in Employment'!I836, "0"), "")</f>
        <v/>
      </c>
      <c r="C829" s="25" t="str">
        <f>IF(ISNUMBER('Change in Employment'!J836),TEXT('Change in Employment'!J836, "0"),"")</f>
        <v/>
      </c>
    </row>
    <row r="830" spans="1:3">
      <c r="A830" s="23" t="str">
        <f>TEXT(IF('Change in Employment'!B837&lt;&gt;0,DATE(YEAR('Change in Employment'!B837), MONTH('Change in Employment'!B837), 1), ""), "mm/dd/yyyy")</f>
        <v/>
      </c>
      <c r="B830" s="25" t="str">
        <f>IF(ISNUMBER('Change in Employment'!I837), TEXT('Change in Employment'!I837, "0"), "")</f>
        <v/>
      </c>
      <c r="C830" s="25" t="str">
        <f>IF(ISNUMBER('Change in Employment'!J837),TEXT('Change in Employment'!J837, "0"),"")</f>
        <v/>
      </c>
    </row>
    <row r="831" spans="1:3">
      <c r="A831" s="23" t="str">
        <f>TEXT(IF('Change in Employment'!B838&lt;&gt;0,DATE(YEAR('Change in Employment'!B838), MONTH('Change in Employment'!B838), 1), ""), "mm/dd/yyyy")</f>
        <v/>
      </c>
      <c r="B831" s="25" t="str">
        <f>IF(ISNUMBER('Change in Employment'!I838), TEXT('Change in Employment'!I838, "0"), "")</f>
        <v/>
      </c>
      <c r="C831" s="25" t="str">
        <f>IF(ISNUMBER('Change in Employment'!J838),TEXT('Change in Employment'!J838, "0"),"")</f>
        <v/>
      </c>
    </row>
    <row r="832" spans="1:3">
      <c r="A832" s="23" t="str">
        <f>TEXT(IF('Change in Employment'!B839&lt;&gt;0,DATE(YEAR('Change in Employment'!B839), MONTH('Change in Employment'!B839), 1), ""), "mm/dd/yyyy")</f>
        <v/>
      </c>
      <c r="B832" s="25" t="str">
        <f>IF(ISNUMBER('Change in Employment'!I839), TEXT('Change in Employment'!I839, "0"), "")</f>
        <v/>
      </c>
      <c r="C832" s="25" t="str">
        <f>IF(ISNUMBER('Change in Employment'!J839),TEXT('Change in Employment'!J839, "0"),"")</f>
        <v/>
      </c>
    </row>
    <row r="833" spans="1:3">
      <c r="A833" s="23" t="str">
        <f>TEXT(IF('Change in Employment'!B840&lt;&gt;0,DATE(YEAR('Change in Employment'!B840), MONTH('Change in Employment'!B840), 1), ""), "mm/dd/yyyy")</f>
        <v/>
      </c>
      <c r="B833" s="25" t="str">
        <f>IF(ISNUMBER('Change in Employment'!I840), TEXT('Change in Employment'!I840, "0"), "")</f>
        <v/>
      </c>
      <c r="C833" s="25" t="str">
        <f>IF(ISNUMBER('Change in Employment'!J840),TEXT('Change in Employment'!J840, "0"),"")</f>
        <v/>
      </c>
    </row>
    <row r="834" spans="1:3">
      <c r="A834" s="23" t="str">
        <f>TEXT(IF('Change in Employment'!B841&lt;&gt;0,DATE(YEAR('Change in Employment'!B841), MONTH('Change in Employment'!B841), 1), ""), "mm/dd/yyyy")</f>
        <v/>
      </c>
      <c r="B834" s="25" t="str">
        <f>IF(ISNUMBER('Change in Employment'!I841), TEXT('Change in Employment'!I841, "0"), "")</f>
        <v/>
      </c>
      <c r="C834" s="25" t="str">
        <f>IF(ISNUMBER('Change in Employment'!J841),TEXT('Change in Employment'!J841, "0"),"")</f>
        <v/>
      </c>
    </row>
    <row r="835" spans="1:3">
      <c r="A835" s="23" t="str">
        <f>TEXT(IF('Change in Employment'!B842&lt;&gt;0,DATE(YEAR('Change in Employment'!B842), MONTH('Change in Employment'!B842), 1), ""), "mm/dd/yyyy")</f>
        <v/>
      </c>
      <c r="B835" s="25" t="str">
        <f>IF(ISNUMBER('Change in Employment'!I842), TEXT('Change in Employment'!I842, "0"), "")</f>
        <v/>
      </c>
      <c r="C835" s="25" t="str">
        <f>IF(ISNUMBER('Change in Employment'!J842),TEXT('Change in Employment'!J842, "0"),"")</f>
        <v/>
      </c>
    </row>
    <row r="836" spans="1:3">
      <c r="A836" s="23" t="str">
        <f>TEXT(IF('Change in Employment'!B843&lt;&gt;0,DATE(YEAR('Change in Employment'!B843), MONTH('Change in Employment'!B843), 1), ""), "mm/dd/yyyy")</f>
        <v/>
      </c>
      <c r="B836" s="25" t="str">
        <f>IF(ISNUMBER('Change in Employment'!I843), TEXT('Change in Employment'!I843, "0"), "")</f>
        <v/>
      </c>
      <c r="C836" s="25" t="str">
        <f>IF(ISNUMBER('Change in Employment'!J843),TEXT('Change in Employment'!J843, "0"),"")</f>
        <v/>
      </c>
    </row>
    <row r="837" spans="1:3">
      <c r="A837" s="23" t="str">
        <f>TEXT(IF('Change in Employment'!B844&lt;&gt;0,DATE(YEAR('Change in Employment'!B844), MONTH('Change in Employment'!B844), 1), ""), "mm/dd/yyyy")</f>
        <v/>
      </c>
      <c r="B837" s="25" t="str">
        <f>IF(ISNUMBER('Change in Employment'!I844), TEXT('Change in Employment'!I844, "0"), "")</f>
        <v/>
      </c>
      <c r="C837" s="25" t="str">
        <f>IF(ISNUMBER('Change in Employment'!J844),TEXT('Change in Employment'!J844, "0"),"")</f>
        <v/>
      </c>
    </row>
    <row r="838" spans="1:3">
      <c r="A838" s="23" t="str">
        <f>TEXT(IF('Change in Employment'!B845&lt;&gt;0,DATE(YEAR('Change in Employment'!B845), MONTH('Change in Employment'!B845), 1), ""), "mm/dd/yyyy")</f>
        <v/>
      </c>
      <c r="B838" s="25" t="str">
        <f>IF(ISNUMBER('Change in Employment'!I845), TEXT('Change in Employment'!I845, "0"), "")</f>
        <v/>
      </c>
      <c r="C838" s="25" t="str">
        <f>IF(ISNUMBER('Change in Employment'!J845),TEXT('Change in Employment'!J845, "0"),"")</f>
        <v/>
      </c>
    </row>
    <row r="839" spans="1:3">
      <c r="A839" s="23" t="str">
        <f>TEXT(IF('Change in Employment'!B846&lt;&gt;0,DATE(YEAR('Change in Employment'!B846), MONTH('Change in Employment'!B846), 1), ""), "mm/dd/yyyy")</f>
        <v/>
      </c>
      <c r="B839" s="25" t="str">
        <f>IF(ISNUMBER('Change in Employment'!I846), TEXT('Change in Employment'!I846, "0"), "")</f>
        <v/>
      </c>
      <c r="C839" s="25" t="str">
        <f>IF(ISNUMBER('Change in Employment'!J846),TEXT('Change in Employment'!J846, "0"),"")</f>
        <v/>
      </c>
    </row>
    <row r="840" spans="1:3">
      <c r="A840" s="23" t="str">
        <f>TEXT(IF('Change in Employment'!B847&lt;&gt;0,DATE(YEAR('Change in Employment'!B847), MONTH('Change in Employment'!B847), 1), ""), "mm/dd/yyyy")</f>
        <v/>
      </c>
      <c r="B840" s="25" t="str">
        <f>IF(ISNUMBER('Change in Employment'!I847), TEXT('Change in Employment'!I847, "0"), "")</f>
        <v/>
      </c>
      <c r="C840" s="25" t="str">
        <f>IF(ISNUMBER('Change in Employment'!J847),TEXT('Change in Employment'!J847, "0"),"")</f>
        <v/>
      </c>
    </row>
    <row r="841" spans="1:3">
      <c r="A841" s="23" t="str">
        <f>TEXT(IF('Change in Employment'!B848&lt;&gt;0,DATE(YEAR('Change in Employment'!B848), MONTH('Change in Employment'!B848), 1), ""), "mm/dd/yyyy")</f>
        <v/>
      </c>
      <c r="B841" s="25" t="str">
        <f>IF(ISNUMBER('Change in Employment'!I848), TEXT('Change in Employment'!I848, "0"), "")</f>
        <v/>
      </c>
      <c r="C841" s="25" t="str">
        <f>IF(ISNUMBER('Change in Employment'!J848),TEXT('Change in Employment'!J848, "0"),"")</f>
        <v/>
      </c>
    </row>
    <row r="842" spans="1:3">
      <c r="A842" s="23" t="str">
        <f>TEXT(IF('Change in Employment'!B849&lt;&gt;0,DATE(YEAR('Change in Employment'!B849), MONTH('Change in Employment'!B849), 1), ""), "mm/dd/yyyy")</f>
        <v/>
      </c>
      <c r="B842" s="25" t="str">
        <f>IF(ISNUMBER('Change in Employment'!I849), TEXT('Change in Employment'!I849, "0"), "")</f>
        <v/>
      </c>
      <c r="C842" s="25" t="str">
        <f>IF(ISNUMBER('Change in Employment'!J849),TEXT('Change in Employment'!J849, "0"),"")</f>
        <v/>
      </c>
    </row>
    <row r="843" spans="1:3">
      <c r="A843" s="23" t="str">
        <f>TEXT(IF('Change in Employment'!B850&lt;&gt;0,DATE(YEAR('Change in Employment'!B850), MONTH('Change in Employment'!B850), 1), ""), "mm/dd/yyyy")</f>
        <v/>
      </c>
      <c r="B843" s="25" t="str">
        <f>IF(ISNUMBER('Change in Employment'!I850), TEXT('Change in Employment'!I850, "0"), "")</f>
        <v/>
      </c>
      <c r="C843" s="25" t="str">
        <f>IF(ISNUMBER('Change in Employment'!J850),TEXT('Change in Employment'!J850, "0"),"")</f>
        <v/>
      </c>
    </row>
    <row r="844" spans="1:3">
      <c r="A844" s="23" t="str">
        <f>TEXT(IF('Change in Employment'!B851&lt;&gt;0,DATE(YEAR('Change in Employment'!B851), MONTH('Change in Employment'!B851), 1), ""), "mm/dd/yyyy")</f>
        <v/>
      </c>
      <c r="B844" s="25" t="str">
        <f>IF(ISNUMBER('Change in Employment'!I851), TEXT('Change in Employment'!I851, "0"), "")</f>
        <v/>
      </c>
      <c r="C844" s="25" t="str">
        <f>IF(ISNUMBER('Change in Employment'!J851),TEXT('Change in Employment'!J851, "0"),"")</f>
        <v/>
      </c>
    </row>
    <row r="845" spans="1:3">
      <c r="A845" s="23" t="str">
        <f>TEXT(IF('Change in Employment'!B852&lt;&gt;0,DATE(YEAR('Change in Employment'!B852), MONTH('Change in Employment'!B852), 1), ""), "mm/dd/yyyy")</f>
        <v/>
      </c>
      <c r="B845" s="25" t="str">
        <f>IF(ISNUMBER('Change in Employment'!I852), TEXT('Change in Employment'!I852, "0"), "")</f>
        <v/>
      </c>
      <c r="C845" s="25" t="str">
        <f>IF(ISNUMBER('Change in Employment'!J852),TEXT('Change in Employment'!J852, "0"),"")</f>
        <v/>
      </c>
    </row>
    <row r="846" spans="1:3">
      <c r="A846" s="23" t="str">
        <f>TEXT(IF('Change in Employment'!B853&lt;&gt;0,DATE(YEAR('Change in Employment'!B853), MONTH('Change in Employment'!B853), 1), ""), "mm/dd/yyyy")</f>
        <v/>
      </c>
      <c r="B846" s="25" t="str">
        <f>IF(ISNUMBER('Change in Employment'!I853), TEXT('Change in Employment'!I853, "0"), "")</f>
        <v/>
      </c>
      <c r="C846" s="25" t="str">
        <f>IF(ISNUMBER('Change in Employment'!J853),TEXT('Change in Employment'!J853, "0"),"")</f>
        <v/>
      </c>
    </row>
    <row r="847" spans="1:3">
      <c r="A847" s="23" t="str">
        <f>TEXT(IF('Change in Employment'!B854&lt;&gt;0,DATE(YEAR('Change in Employment'!B854), MONTH('Change in Employment'!B854), 1), ""), "mm/dd/yyyy")</f>
        <v/>
      </c>
      <c r="B847" s="25" t="str">
        <f>IF(ISNUMBER('Change in Employment'!I854), TEXT('Change in Employment'!I854, "0"), "")</f>
        <v/>
      </c>
      <c r="C847" s="25" t="str">
        <f>IF(ISNUMBER('Change in Employment'!J854),TEXT('Change in Employment'!J854, "0"),"")</f>
        <v/>
      </c>
    </row>
    <row r="848" spans="1:3">
      <c r="A848" s="23" t="str">
        <f>TEXT(IF('Change in Employment'!B855&lt;&gt;0,DATE(YEAR('Change in Employment'!B855), MONTH('Change in Employment'!B855), 1), ""), "mm/dd/yyyy")</f>
        <v/>
      </c>
      <c r="B848" s="25" t="str">
        <f>IF(ISNUMBER('Change in Employment'!I855), TEXT('Change in Employment'!I855, "0"), "")</f>
        <v/>
      </c>
      <c r="C848" s="25" t="str">
        <f>IF(ISNUMBER('Change in Employment'!J855),TEXT('Change in Employment'!J855, "0"),"")</f>
        <v/>
      </c>
    </row>
    <row r="849" spans="1:3">
      <c r="A849" s="23" t="str">
        <f>TEXT(IF('Change in Employment'!B856&lt;&gt;0,DATE(YEAR('Change in Employment'!B856), MONTH('Change in Employment'!B856), 1), ""), "mm/dd/yyyy")</f>
        <v/>
      </c>
      <c r="B849" s="25" t="str">
        <f>IF(ISNUMBER('Change in Employment'!I856), TEXT('Change in Employment'!I856, "0"), "")</f>
        <v/>
      </c>
      <c r="C849" s="25" t="str">
        <f>IF(ISNUMBER('Change in Employment'!J856),TEXT('Change in Employment'!J856, "0"),"")</f>
        <v/>
      </c>
    </row>
    <row r="850" spans="1:3">
      <c r="A850" s="23" t="str">
        <f>TEXT(IF('Change in Employment'!B857&lt;&gt;0,DATE(YEAR('Change in Employment'!B857), MONTH('Change in Employment'!B857), 1), ""), "mm/dd/yyyy")</f>
        <v/>
      </c>
      <c r="B850" s="25" t="str">
        <f>IF(ISNUMBER('Change in Employment'!I857), TEXT('Change in Employment'!I857, "0"), "")</f>
        <v/>
      </c>
      <c r="C850" s="25" t="str">
        <f>IF(ISNUMBER('Change in Employment'!J857),TEXT('Change in Employment'!J857, "0"),"")</f>
        <v/>
      </c>
    </row>
    <row r="851" spans="1:3">
      <c r="A851" s="23" t="str">
        <f>TEXT(IF('Change in Employment'!B858&lt;&gt;0,DATE(YEAR('Change in Employment'!B858), MONTH('Change in Employment'!B858), 1), ""), "mm/dd/yyyy")</f>
        <v/>
      </c>
      <c r="B851" s="25" t="str">
        <f>IF(ISNUMBER('Change in Employment'!I858), TEXT('Change in Employment'!I858, "0"), "")</f>
        <v/>
      </c>
      <c r="C851" s="25" t="str">
        <f>IF(ISNUMBER('Change in Employment'!J858),TEXT('Change in Employment'!J858, "0"),"")</f>
        <v/>
      </c>
    </row>
    <row r="852" spans="1:3">
      <c r="A852" s="23" t="str">
        <f>TEXT(IF('Change in Employment'!B859&lt;&gt;0,DATE(YEAR('Change in Employment'!B859), MONTH('Change in Employment'!B859), 1), ""), "mm/dd/yyyy")</f>
        <v/>
      </c>
      <c r="B852" s="25" t="str">
        <f>IF(ISNUMBER('Change in Employment'!I859), TEXT('Change in Employment'!I859, "0"), "")</f>
        <v/>
      </c>
      <c r="C852" s="25" t="str">
        <f>IF(ISNUMBER('Change in Employment'!J859),TEXT('Change in Employment'!J859, "0"),"")</f>
        <v/>
      </c>
    </row>
    <row r="853" spans="1:3">
      <c r="A853" s="23" t="str">
        <f>TEXT(IF('Change in Employment'!B860&lt;&gt;0,DATE(YEAR('Change in Employment'!B860), MONTH('Change in Employment'!B860), 1), ""), "mm/dd/yyyy")</f>
        <v/>
      </c>
      <c r="B853" s="25" t="str">
        <f>IF(ISNUMBER('Change in Employment'!I860), TEXT('Change in Employment'!I860, "0"), "")</f>
        <v/>
      </c>
      <c r="C853" s="25" t="str">
        <f>IF(ISNUMBER('Change in Employment'!J860),TEXT('Change in Employment'!J860, "0"),"")</f>
        <v/>
      </c>
    </row>
    <row r="854" spans="1:3">
      <c r="A854" s="23" t="str">
        <f>TEXT(IF('Change in Employment'!B861&lt;&gt;0,DATE(YEAR('Change in Employment'!B861), MONTH('Change in Employment'!B861), 1), ""), "mm/dd/yyyy")</f>
        <v/>
      </c>
      <c r="B854" s="25" t="str">
        <f>IF(ISNUMBER('Change in Employment'!I861), TEXT('Change in Employment'!I861, "0"), "")</f>
        <v/>
      </c>
      <c r="C854" s="25" t="str">
        <f>IF(ISNUMBER('Change in Employment'!J861),TEXT('Change in Employment'!J861, "0"),"")</f>
        <v/>
      </c>
    </row>
    <row r="855" spans="1:3">
      <c r="A855" s="23" t="str">
        <f>TEXT(IF('Change in Employment'!B862&lt;&gt;0,DATE(YEAR('Change in Employment'!B862), MONTH('Change in Employment'!B862), 1), ""), "mm/dd/yyyy")</f>
        <v/>
      </c>
      <c r="B855" s="25" t="str">
        <f>IF(ISNUMBER('Change in Employment'!I862), TEXT('Change in Employment'!I862, "0"), "")</f>
        <v/>
      </c>
      <c r="C855" s="25" t="str">
        <f>IF(ISNUMBER('Change in Employment'!J862),TEXT('Change in Employment'!J862, "0"),"")</f>
        <v/>
      </c>
    </row>
    <row r="856" spans="1:3">
      <c r="A856" s="23" t="str">
        <f>TEXT(IF('Change in Employment'!B863&lt;&gt;0,DATE(YEAR('Change in Employment'!B863), MONTH('Change in Employment'!B863), 1), ""), "mm/dd/yyyy")</f>
        <v/>
      </c>
      <c r="B856" s="25" t="str">
        <f>IF(ISNUMBER('Change in Employment'!I863), TEXT('Change in Employment'!I863, "0"), "")</f>
        <v/>
      </c>
      <c r="C856" s="25" t="str">
        <f>IF(ISNUMBER('Change in Employment'!J863),TEXT('Change in Employment'!J863, "0"),"")</f>
        <v/>
      </c>
    </row>
    <row r="857" spans="1:3">
      <c r="A857" s="23" t="str">
        <f>TEXT(IF('Change in Employment'!B864&lt;&gt;0,DATE(YEAR('Change in Employment'!B864), MONTH('Change in Employment'!B864), 1), ""), "mm/dd/yyyy")</f>
        <v/>
      </c>
      <c r="B857" s="25" t="str">
        <f>IF(ISNUMBER('Change in Employment'!I864), TEXT('Change in Employment'!I864, "0"), "")</f>
        <v/>
      </c>
      <c r="C857" s="25" t="str">
        <f>IF(ISNUMBER('Change in Employment'!J864),TEXT('Change in Employment'!J864, "0"),"")</f>
        <v/>
      </c>
    </row>
    <row r="858" spans="1:3">
      <c r="A858" s="23" t="str">
        <f>TEXT(IF('Change in Employment'!B865&lt;&gt;0,DATE(YEAR('Change in Employment'!B865), MONTH('Change in Employment'!B865), 1), ""), "mm/dd/yyyy")</f>
        <v/>
      </c>
      <c r="B858" s="25" t="str">
        <f>IF(ISNUMBER('Change in Employment'!I865), TEXT('Change in Employment'!I865, "0"), "")</f>
        <v/>
      </c>
      <c r="C858" s="25" t="str">
        <f>IF(ISNUMBER('Change in Employment'!J865),TEXT('Change in Employment'!J865, "0"),"")</f>
        <v/>
      </c>
    </row>
    <row r="859" spans="1:3">
      <c r="A859" s="23" t="str">
        <f>TEXT(IF('Change in Employment'!B866&lt;&gt;0,DATE(YEAR('Change in Employment'!B866), MONTH('Change in Employment'!B866), 1), ""), "mm/dd/yyyy")</f>
        <v/>
      </c>
      <c r="B859" s="25" t="str">
        <f>IF(ISNUMBER('Change in Employment'!I866), TEXT('Change in Employment'!I866, "0"), "")</f>
        <v/>
      </c>
      <c r="C859" s="25" t="str">
        <f>IF(ISNUMBER('Change in Employment'!J866),TEXT('Change in Employment'!J866, "0"),"")</f>
        <v/>
      </c>
    </row>
    <row r="860" spans="1:3">
      <c r="A860" s="23" t="str">
        <f>TEXT(IF('Change in Employment'!B867&lt;&gt;0,DATE(YEAR('Change in Employment'!B867), MONTH('Change in Employment'!B867), 1), ""), "mm/dd/yyyy")</f>
        <v/>
      </c>
      <c r="B860" s="25" t="str">
        <f>IF(ISNUMBER('Change in Employment'!I867), TEXT('Change in Employment'!I867, "0"), "")</f>
        <v/>
      </c>
      <c r="C860" s="25" t="str">
        <f>IF(ISNUMBER('Change in Employment'!J867),TEXT('Change in Employment'!J867, "0"),"")</f>
        <v/>
      </c>
    </row>
    <row r="861" spans="1:3">
      <c r="A861" s="23" t="str">
        <f>TEXT(IF('Change in Employment'!B868&lt;&gt;0,DATE(YEAR('Change in Employment'!B868), MONTH('Change in Employment'!B868), 1), ""), "mm/dd/yyyy")</f>
        <v/>
      </c>
      <c r="B861" s="25" t="str">
        <f>IF(ISNUMBER('Change in Employment'!I868), TEXT('Change in Employment'!I868, "0"), "")</f>
        <v/>
      </c>
      <c r="C861" s="25" t="str">
        <f>IF(ISNUMBER('Change in Employment'!J868),TEXT('Change in Employment'!J868, "0"),"")</f>
        <v/>
      </c>
    </row>
    <row r="862" spans="1:3">
      <c r="A862" s="23" t="str">
        <f>TEXT(IF('Change in Employment'!B869&lt;&gt;0,DATE(YEAR('Change in Employment'!B869), MONTH('Change in Employment'!B869), 1), ""), "mm/dd/yyyy")</f>
        <v/>
      </c>
      <c r="B862" s="25" t="str">
        <f>IF(ISNUMBER('Change in Employment'!I869), TEXT('Change in Employment'!I869, "0"), "")</f>
        <v/>
      </c>
      <c r="C862" s="25" t="str">
        <f>IF(ISNUMBER('Change in Employment'!J869),TEXT('Change in Employment'!J869, "0"),"")</f>
        <v/>
      </c>
    </row>
    <row r="863" spans="1:3">
      <c r="A863" s="23" t="str">
        <f>TEXT(IF('Change in Employment'!B870&lt;&gt;0,DATE(YEAR('Change in Employment'!B870), MONTH('Change in Employment'!B870), 1), ""), "mm/dd/yyyy")</f>
        <v/>
      </c>
      <c r="B863" s="25" t="str">
        <f>IF(ISNUMBER('Change in Employment'!I870), TEXT('Change in Employment'!I870, "0"), "")</f>
        <v/>
      </c>
      <c r="C863" s="25" t="str">
        <f>IF(ISNUMBER('Change in Employment'!J870),TEXT('Change in Employment'!J870, "0"),"")</f>
        <v/>
      </c>
    </row>
    <row r="864" spans="1:3">
      <c r="A864" s="23" t="str">
        <f>TEXT(IF('Change in Employment'!B871&lt;&gt;0,DATE(YEAR('Change in Employment'!B871), MONTH('Change in Employment'!B871), 1), ""), "mm/dd/yyyy")</f>
        <v/>
      </c>
      <c r="B864" s="25" t="str">
        <f>IF(ISNUMBER('Change in Employment'!I871), TEXT('Change in Employment'!I871, "0"), "")</f>
        <v/>
      </c>
      <c r="C864" s="25" t="str">
        <f>IF(ISNUMBER('Change in Employment'!J871),TEXT('Change in Employment'!J871, "0"),"")</f>
        <v/>
      </c>
    </row>
    <row r="865" spans="1:3">
      <c r="A865" s="23" t="str">
        <f>TEXT(IF('Change in Employment'!B872&lt;&gt;0,DATE(YEAR('Change in Employment'!B872), MONTH('Change in Employment'!B872), 1), ""), "mm/dd/yyyy")</f>
        <v/>
      </c>
      <c r="B865" s="25" t="str">
        <f>IF(ISNUMBER('Change in Employment'!I872), TEXT('Change in Employment'!I872, "0"), "")</f>
        <v/>
      </c>
      <c r="C865" s="25" t="str">
        <f>IF(ISNUMBER('Change in Employment'!J872),TEXT('Change in Employment'!J872, "0"),"")</f>
        <v/>
      </c>
    </row>
    <row r="866" spans="1:3">
      <c r="A866" s="23" t="str">
        <f>TEXT(IF('Change in Employment'!B873&lt;&gt;0,DATE(YEAR('Change in Employment'!B873), MONTH('Change in Employment'!B873), 1), ""), "mm/dd/yyyy")</f>
        <v/>
      </c>
      <c r="B866" s="25" t="str">
        <f>IF(ISNUMBER('Change in Employment'!I873), TEXT('Change in Employment'!I873, "0"), "")</f>
        <v/>
      </c>
      <c r="C866" s="25" t="str">
        <f>IF(ISNUMBER('Change in Employment'!J873),TEXT('Change in Employment'!J873, "0"),"")</f>
        <v/>
      </c>
    </row>
    <row r="867" spans="1:3">
      <c r="A867" s="23" t="str">
        <f>TEXT(IF('Change in Employment'!B874&lt;&gt;0,DATE(YEAR('Change in Employment'!B874), MONTH('Change in Employment'!B874), 1), ""), "mm/dd/yyyy")</f>
        <v/>
      </c>
      <c r="B867" s="25" t="str">
        <f>IF(ISNUMBER('Change in Employment'!I874), TEXT('Change in Employment'!I874, "0"), "")</f>
        <v/>
      </c>
      <c r="C867" s="25" t="str">
        <f>IF(ISNUMBER('Change in Employment'!J874),TEXT('Change in Employment'!J874, "0"),"")</f>
        <v/>
      </c>
    </row>
    <row r="868" spans="1:3">
      <c r="A868" s="23" t="str">
        <f>TEXT(IF('Change in Employment'!B875&lt;&gt;0,DATE(YEAR('Change in Employment'!B875), MONTH('Change in Employment'!B875), 1), ""), "mm/dd/yyyy")</f>
        <v/>
      </c>
      <c r="B868" s="25" t="str">
        <f>IF(ISNUMBER('Change in Employment'!I875), TEXT('Change in Employment'!I875, "0"), "")</f>
        <v/>
      </c>
      <c r="C868" s="25" t="str">
        <f>IF(ISNUMBER('Change in Employment'!J875),TEXT('Change in Employment'!J875, "0"),"")</f>
        <v/>
      </c>
    </row>
    <row r="869" spans="1:3">
      <c r="A869" s="23" t="str">
        <f>TEXT(IF('Change in Employment'!B876&lt;&gt;0,DATE(YEAR('Change in Employment'!B876), MONTH('Change in Employment'!B876), 1), ""), "mm/dd/yyyy")</f>
        <v/>
      </c>
      <c r="B869" s="25" t="str">
        <f>IF(ISNUMBER('Change in Employment'!I876), TEXT('Change in Employment'!I876, "0"), "")</f>
        <v/>
      </c>
      <c r="C869" s="25" t="str">
        <f>IF(ISNUMBER('Change in Employment'!J876),TEXT('Change in Employment'!J876, "0"),"")</f>
        <v/>
      </c>
    </row>
    <row r="870" spans="1:3">
      <c r="A870" s="23" t="str">
        <f>TEXT(IF('Change in Employment'!B877&lt;&gt;0,DATE(YEAR('Change in Employment'!B877), MONTH('Change in Employment'!B877), 1), ""), "mm/dd/yyyy")</f>
        <v/>
      </c>
      <c r="B870" s="25" t="str">
        <f>IF(ISNUMBER('Change in Employment'!I877), TEXT('Change in Employment'!I877, "0"), "")</f>
        <v/>
      </c>
      <c r="C870" s="25" t="str">
        <f>IF(ISNUMBER('Change in Employment'!J877),TEXT('Change in Employment'!J877, "0"),"")</f>
        <v/>
      </c>
    </row>
    <row r="871" spans="1:3">
      <c r="A871" s="23" t="str">
        <f>TEXT(IF('Change in Employment'!B878&lt;&gt;0,DATE(YEAR('Change in Employment'!B878), MONTH('Change in Employment'!B878), 1), ""), "mm/dd/yyyy")</f>
        <v/>
      </c>
      <c r="B871" s="25" t="str">
        <f>IF(ISNUMBER('Change in Employment'!I878), TEXT('Change in Employment'!I878, "0"), "")</f>
        <v/>
      </c>
      <c r="C871" s="25" t="str">
        <f>IF(ISNUMBER('Change in Employment'!J878),TEXT('Change in Employment'!J878, "0"),"")</f>
        <v/>
      </c>
    </row>
    <row r="872" spans="1:3">
      <c r="A872" s="23" t="str">
        <f>TEXT(IF('Change in Employment'!B879&lt;&gt;0,DATE(YEAR('Change in Employment'!B879), MONTH('Change in Employment'!B879), 1), ""), "mm/dd/yyyy")</f>
        <v/>
      </c>
      <c r="B872" s="25" t="str">
        <f>IF(ISNUMBER('Change in Employment'!I879), TEXT('Change in Employment'!I879, "0"), "")</f>
        <v/>
      </c>
      <c r="C872" s="25" t="str">
        <f>IF(ISNUMBER('Change in Employment'!J879),TEXT('Change in Employment'!J879, "0"),"")</f>
        <v/>
      </c>
    </row>
    <row r="873" spans="1:3">
      <c r="A873" s="23" t="str">
        <f>TEXT(IF('Change in Employment'!B880&lt;&gt;0,DATE(YEAR('Change in Employment'!B880), MONTH('Change in Employment'!B880), 1), ""), "mm/dd/yyyy")</f>
        <v/>
      </c>
      <c r="B873" s="25" t="str">
        <f>IF(ISNUMBER('Change in Employment'!I880), TEXT('Change in Employment'!I880, "0"), "")</f>
        <v/>
      </c>
      <c r="C873" s="25" t="str">
        <f>IF(ISNUMBER('Change in Employment'!J880),TEXT('Change in Employment'!J880, "0"),"")</f>
        <v/>
      </c>
    </row>
    <row r="874" spans="1:3">
      <c r="A874" s="23" t="str">
        <f>TEXT(IF('Change in Employment'!B881&lt;&gt;0,DATE(YEAR('Change in Employment'!B881), MONTH('Change in Employment'!B881), 1), ""), "mm/dd/yyyy")</f>
        <v/>
      </c>
      <c r="B874" s="25" t="str">
        <f>IF(ISNUMBER('Change in Employment'!I881), TEXT('Change in Employment'!I881, "0"), "")</f>
        <v/>
      </c>
      <c r="C874" s="25" t="str">
        <f>IF(ISNUMBER('Change in Employment'!J881),TEXT('Change in Employment'!J881, "0"),"")</f>
        <v/>
      </c>
    </row>
    <row r="875" spans="1:3">
      <c r="A875" s="23" t="str">
        <f>TEXT(IF('Change in Employment'!B882&lt;&gt;0,DATE(YEAR('Change in Employment'!B882), MONTH('Change in Employment'!B882), 1), ""), "mm/dd/yyyy")</f>
        <v/>
      </c>
      <c r="B875" s="25" t="str">
        <f>IF(ISNUMBER('Change in Employment'!I882), TEXT('Change in Employment'!I882, "0"), "")</f>
        <v/>
      </c>
      <c r="C875" s="25" t="str">
        <f>IF(ISNUMBER('Change in Employment'!J882),TEXT('Change in Employment'!J882, "0"),"")</f>
        <v/>
      </c>
    </row>
    <row r="876" spans="1:3">
      <c r="A876" s="23" t="str">
        <f>TEXT(IF('Change in Employment'!B883&lt;&gt;0,DATE(YEAR('Change in Employment'!B883), MONTH('Change in Employment'!B883), 1), ""), "mm/dd/yyyy")</f>
        <v/>
      </c>
      <c r="B876" s="25" t="str">
        <f>IF(ISNUMBER('Change in Employment'!I883), TEXT('Change in Employment'!I883, "0"), "")</f>
        <v/>
      </c>
      <c r="C876" s="25" t="str">
        <f>IF(ISNUMBER('Change in Employment'!J883),TEXT('Change in Employment'!J883, "0"),"")</f>
        <v/>
      </c>
    </row>
    <row r="877" spans="1:3">
      <c r="A877" s="23" t="str">
        <f>TEXT(IF('Change in Employment'!B884&lt;&gt;0,DATE(YEAR('Change in Employment'!B884), MONTH('Change in Employment'!B884), 1), ""), "mm/dd/yyyy")</f>
        <v/>
      </c>
      <c r="B877" s="25" t="str">
        <f>IF(ISNUMBER('Change in Employment'!I884), TEXT('Change in Employment'!I884, "0"), "")</f>
        <v/>
      </c>
      <c r="C877" s="25" t="str">
        <f>IF(ISNUMBER('Change in Employment'!J884),TEXT('Change in Employment'!J884, "0"),"")</f>
        <v/>
      </c>
    </row>
    <row r="878" spans="1:3">
      <c r="A878" s="23" t="str">
        <f>TEXT(IF('Change in Employment'!B885&lt;&gt;0,DATE(YEAR('Change in Employment'!B885), MONTH('Change in Employment'!B885), 1), ""), "mm/dd/yyyy")</f>
        <v/>
      </c>
      <c r="B878" s="25" t="str">
        <f>IF(ISNUMBER('Change in Employment'!I885), TEXT('Change in Employment'!I885, "0"), "")</f>
        <v/>
      </c>
      <c r="C878" s="25" t="str">
        <f>IF(ISNUMBER('Change in Employment'!J885),TEXT('Change in Employment'!J885, "0"),"")</f>
        <v/>
      </c>
    </row>
    <row r="879" spans="1:3">
      <c r="A879" s="23" t="str">
        <f>TEXT(IF('Change in Employment'!B886&lt;&gt;0,DATE(YEAR('Change in Employment'!B886), MONTH('Change in Employment'!B886), 1), ""), "mm/dd/yyyy")</f>
        <v/>
      </c>
      <c r="B879" s="25" t="str">
        <f>IF(ISNUMBER('Change in Employment'!I886), TEXT('Change in Employment'!I886, "0"), "")</f>
        <v/>
      </c>
      <c r="C879" s="25" t="str">
        <f>IF(ISNUMBER('Change in Employment'!J886),TEXT('Change in Employment'!J886, "0"),"")</f>
        <v/>
      </c>
    </row>
    <row r="880" spans="1:3">
      <c r="A880" s="23" t="str">
        <f>TEXT(IF('Change in Employment'!B887&lt;&gt;0,DATE(YEAR('Change in Employment'!B887), MONTH('Change in Employment'!B887), 1), ""), "mm/dd/yyyy")</f>
        <v/>
      </c>
      <c r="B880" s="25" t="str">
        <f>IF(ISNUMBER('Change in Employment'!I887), TEXT('Change in Employment'!I887, "0"), "")</f>
        <v/>
      </c>
      <c r="C880" s="25" t="str">
        <f>IF(ISNUMBER('Change in Employment'!J887),TEXT('Change in Employment'!J887, "0"),"")</f>
        <v/>
      </c>
    </row>
    <row r="881" spans="1:3">
      <c r="A881" s="23" t="str">
        <f>TEXT(IF('Change in Employment'!B888&lt;&gt;0,DATE(YEAR('Change in Employment'!B888), MONTH('Change in Employment'!B888), 1), ""), "mm/dd/yyyy")</f>
        <v/>
      </c>
      <c r="B881" s="25" t="str">
        <f>IF(ISNUMBER('Change in Employment'!I888), TEXT('Change in Employment'!I888, "0"), "")</f>
        <v/>
      </c>
      <c r="C881" s="25" t="str">
        <f>IF(ISNUMBER('Change in Employment'!J888),TEXT('Change in Employment'!J888, "0"),"")</f>
        <v/>
      </c>
    </row>
    <row r="882" spans="1:3">
      <c r="A882" s="23" t="str">
        <f>TEXT(IF('Change in Employment'!B889&lt;&gt;0,DATE(YEAR('Change in Employment'!B889), MONTH('Change in Employment'!B889), 1), ""), "mm/dd/yyyy")</f>
        <v/>
      </c>
      <c r="B882" s="25" t="str">
        <f>IF(ISNUMBER('Change in Employment'!I889), TEXT('Change in Employment'!I889, "0"), "")</f>
        <v/>
      </c>
      <c r="C882" s="25" t="str">
        <f>IF(ISNUMBER('Change in Employment'!J889),TEXT('Change in Employment'!J889, "0"),"")</f>
        <v/>
      </c>
    </row>
    <row r="883" spans="1:3">
      <c r="A883" s="23" t="str">
        <f>TEXT(IF('Change in Employment'!B890&lt;&gt;0,DATE(YEAR('Change in Employment'!B890), MONTH('Change in Employment'!B890), 1), ""), "mm/dd/yyyy")</f>
        <v/>
      </c>
      <c r="B883" s="25" t="str">
        <f>IF(ISNUMBER('Change in Employment'!I890), TEXT('Change in Employment'!I890, "0"), "")</f>
        <v/>
      </c>
      <c r="C883" s="25" t="str">
        <f>IF(ISNUMBER('Change in Employment'!J890),TEXT('Change in Employment'!J890, "0"),"")</f>
        <v/>
      </c>
    </row>
    <row r="884" spans="1:3">
      <c r="A884" s="23" t="str">
        <f>TEXT(IF('Change in Employment'!B891&lt;&gt;0,DATE(YEAR('Change in Employment'!B891), MONTH('Change in Employment'!B891), 1), ""), "mm/dd/yyyy")</f>
        <v/>
      </c>
      <c r="B884" s="25" t="str">
        <f>IF(ISNUMBER('Change in Employment'!I891), TEXT('Change in Employment'!I891, "0"), "")</f>
        <v/>
      </c>
      <c r="C884" s="25" t="str">
        <f>IF(ISNUMBER('Change in Employment'!J891),TEXT('Change in Employment'!J891, "0"),"")</f>
        <v/>
      </c>
    </row>
    <row r="885" spans="1:3">
      <c r="A885" s="23" t="str">
        <f>TEXT(IF('Change in Employment'!B892&lt;&gt;0,DATE(YEAR('Change in Employment'!B892), MONTH('Change in Employment'!B892), 1), ""), "mm/dd/yyyy")</f>
        <v/>
      </c>
      <c r="B885" s="25" t="str">
        <f>IF(ISNUMBER('Change in Employment'!I892), TEXT('Change in Employment'!I892, "0"), "")</f>
        <v/>
      </c>
      <c r="C885" s="25" t="str">
        <f>IF(ISNUMBER('Change in Employment'!J892),TEXT('Change in Employment'!J892, "0"),"")</f>
        <v/>
      </c>
    </row>
    <row r="886" spans="1:3">
      <c r="A886" s="23" t="str">
        <f>TEXT(IF('Change in Employment'!B893&lt;&gt;0,DATE(YEAR('Change in Employment'!B893), MONTH('Change in Employment'!B893), 1), ""), "mm/dd/yyyy")</f>
        <v/>
      </c>
      <c r="B886" s="25" t="str">
        <f>IF(ISNUMBER('Change in Employment'!I893), TEXT('Change in Employment'!I893, "0"), "")</f>
        <v/>
      </c>
      <c r="C886" s="25" t="str">
        <f>IF(ISNUMBER('Change in Employment'!J893),TEXT('Change in Employment'!J893, "0"),"")</f>
        <v/>
      </c>
    </row>
    <row r="887" spans="1:3">
      <c r="A887" s="23" t="str">
        <f>TEXT(IF('Change in Employment'!B894&lt;&gt;0,DATE(YEAR('Change in Employment'!B894), MONTH('Change in Employment'!B894), 1), ""), "mm/dd/yyyy")</f>
        <v/>
      </c>
      <c r="B887" s="25" t="str">
        <f>IF(ISNUMBER('Change in Employment'!I894), TEXT('Change in Employment'!I894, "0"), "")</f>
        <v/>
      </c>
      <c r="C887" s="25" t="str">
        <f>IF(ISNUMBER('Change in Employment'!J894),TEXT('Change in Employment'!J894, "0"),"")</f>
        <v/>
      </c>
    </row>
    <row r="888" spans="1:3">
      <c r="A888" s="23" t="str">
        <f>TEXT(IF('Change in Employment'!B895&lt;&gt;0,DATE(YEAR('Change in Employment'!B895), MONTH('Change in Employment'!B895), 1), ""), "mm/dd/yyyy")</f>
        <v/>
      </c>
      <c r="B888" s="25" t="str">
        <f>IF(ISNUMBER('Change in Employment'!I895), TEXT('Change in Employment'!I895, "0"), "")</f>
        <v/>
      </c>
      <c r="C888" s="25" t="str">
        <f>IF(ISNUMBER('Change in Employment'!J895),TEXT('Change in Employment'!J895, "0"),"")</f>
        <v/>
      </c>
    </row>
    <row r="889" spans="1:3">
      <c r="A889" s="23" t="str">
        <f>TEXT(IF('Change in Employment'!B896&lt;&gt;0,DATE(YEAR('Change in Employment'!B896), MONTH('Change in Employment'!B896), 1), ""), "mm/dd/yyyy")</f>
        <v/>
      </c>
      <c r="B889" s="25" t="str">
        <f>IF(ISNUMBER('Change in Employment'!I896), TEXT('Change in Employment'!I896, "0"), "")</f>
        <v/>
      </c>
      <c r="C889" s="25" t="str">
        <f>IF(ISNUMBER('Change in Employment'!J896),TEXT('Change in Employment'!J896, "0"),"")</f>
        <v/>
      </c>
    </row>
    <row r="890" spans="1:3">
      <c r="A890" s="23" t="str">
        <f>TEXT(IF('Change in Employment'!B897&lt;&gt;0,DATE(YEAR('Change in Employment'!B897), MONTH('Change in Employment'!B897), 1), ""), "mm/dd/yyyy")</f>
        <v/>
      </c>
      <c r="B890" s="25" t="str">
        <f>IF(ISNUMBER('Change in Employment'!I897), TEXT('Change in Employment'!I897, "0"), "")</f>
        <v/>
      </c>
      <c r="C890" s="25" t="str">
        <f>IF(ISNUMBER('Change in Employment'!J897),TEXT('Change in Employment'!J897, "0"),"")</f>
        <v/>
      </c>
    </row>
    <row r="891" spans="1:3">
      <c r="A891" s="23" t="str">
        <f>TEXT(IF('Change in Employment'!B898&lt;&gt;0,DATE(YEAR('Change in Employment'!B898), MONTH('Change in Employment'!B898), 1), ""), "mm/dd/yyyy")</f>
        <v/>
      </c>
      <c r="B891" s="25" t="str">
        <f>IF(ISNUMBER('Change in Employment'!I898), TEXT('Change in Employment'!I898, "0"), "")</f>
        <v/>
      </c>
      <c r="C891" s="25" t="str">
        <f>IF(ISNUMBER('Change in Employment'!J898),TEXT('Change in Employment'!J898, "0"),"")</f>
        <v/>
      </c>
    </row>
    <row r="892" spans="1:3">
      <c r="A892" s="23" t="str">
        <f>TEXT(IF('Change in Employment'!B899&lt;&gt;0,DATE(YEAR('Change in Employment'!B899), MONTH('Change in Employment'!B899), 1), ""), "mm/dd/yyyy")</f>
        <v/>
      </c>
      <c r="B892" s="25" t="str">
        <f>IF(ISNUMBER('Change in Employment'!I899), TEXT('Change in Employment'!I899, "0"), "")</f>
        <v/>
      </c>
      <c r="C892" s="25" t="str">
        <f>IF(ISNUMBER('Change in Employment'!J899),TEXT('Change in Employment'!J899, "0"),"")</f>
        <v/>
      </c>
    </row>
    <row r="893" spans="1:3">
      <c r="A893" s="23" t="str">
        <f>TEXT(IF('Change in Employment'!B900&lt;&gt;0,DATE(YEAR('Change in Employment'!B900), MONTH('Change in Employment'!B900), 1), ""), "mm/dd/yyyy")</f>
        <v/>
      </c>
      <c r="B893" s="25" t="str">
        <f>IF(ISNUMBER('Change in Employment'!I900), TEXT('Change in Employment'!I900, "0"), "")</f>
        <v/>
      </c>
      <c r="C893" s="25" t="str">
        <f>IF(ISNUMBER('Change in Employment'!J900),TEXT('Change in Employment'!J900, "0"),"")</f>
        <v/>
      </c>
    </row>
    <row r="894" spans="1:3">
      <c r="A894" s="23" t="str">
        <f>TEXT(IF('Change in Employment'!B901&lt;&gt;0,DATE(YEAR('Change in Employment'!B901), MONTH('Change in Employment'!B901), 1), ""), "mm/dd/yyyy")</f>
        <v/>
      </c>
      <c r="B894" s="25" t="str">
        <f>IF(ISNUMBER('Change in Employment'!I901), TEXT('Change in Employment'!I901, "0"), "")</f>
        <v/>
      </c>
      <c r="C894" s="25" t="str">
        <f>IF(ISNUMBER('Change in Employment'!J901),TEXT('Change in Employment'!J901, "0"),"")</f>
        <v/>
      </c>
    </row>
    <row r="895" spans="1:3">
      <c r="A895" s="23" t="str">
        <f>TEXT(IF('Change in Employment'!B902&lt;&gt;0,DATE(YEAR('Change in Employment'!B902), MONTH('Change in Employment'!B902), 1), ""), "mm/dd/yyyy")</f>
        <v/>
      </c>
      <c r="B895" s="25" t="str">
        <f>IF(ISNUMBER('Change in Employment'!I902), TEXT('Change in Employment'!I902, "0"), "")</f>
        <v/>
      </c>
      <c r="C895" s="25" t="str">
        <f>IF(ISNUMBER('Change in Employment'!J902),TEXT('Change in Employment'!J902, "0"),"")</f>
        <v/>
      </c>
    </row>
    <row r="896" spans="1:3">
      <c r="A896" s="23" t="str">
        <f>TEXT(IF('Change in Employment'!B903&lt;&gt;0,DATE(YEAR('Change in Employment'!B903), MONTH('Change in Employment'!B903), 1), ""), "mm/dd/yyyy")</f>
        <v/>
      </c>
      <c r="B896" s="25" t="str">
        <f>IF(ISNUMBER('Change in Employment'!I903), TEXT('Change in Employment'!I903, "0"), "")</f>
        <v/>
      </c>
      <c r="C896" s="25" t="str">
        <f>IF(ISNUMBER('Change in Employment'!J903),TEXT('Change in Employment'!J903, "0"),"")</f>
        <v/>
      </c>
    </row>
    <row r="897" spans="1:3">
      <c r="A897" s="23" t="str">
        <f>TEXT(IF('Change in Employment'!B904&lt;&gt;0,DATE(YEAR('Change in Employment'!B904), MONTH('Change in Employment'!B904), 1), ""), "mm/dd/yyyy")</f>
        <v/>
      </c>
      <c r="B897" s="25" t="str">
        <f>IF(ISNUMBER('Change in Employment'!I904), TEXT('Change in Employment'!I904, "0"), "")</f>
        <v/>
      </c>
      <c r="C897" s="25" t="str">
        <f>IF(ISNUMBER('Change in Employment'!J904),TEXT('Change in Employment'!J904, "0"),"")</f>
        <v/>
      </c>
    </row>
    <row r="898" spans="1:3">
      <c r="A898" s="23" t="str">
        <f>TEXT(IF('Change in Employment'!B905&lt;&gt;0,DATE(YEAR('Change in Employment'!B905), MONTH('Change in Employment'!B905), 1), ""), "mm/dd/yyyy")</f>
        <v/>
      </c>
      <c r="B898" s="25" t="str">
        <f>IF(ISNUMBER('Change in Employment'!I905), TEXT('Change in Employment'!I905, "0"), "")</f>
        <v/>
      </c>
      <c r="C898" s="25" t="str">
        <f>IF(ISNUMBER('Change in Employment'!J905),TEXT('Change in Employment'!J905, "0"),"")</f>
        <v/>
      </c>
    </row>
    <row r="899" spans="1:3">
      <c r="A899" s="23" t="str">
        <f>TEXT(IF('Change in Employment'!B906&lt;&gt;0,DATE(YEAR('Change in Employment'!B906), MONTH('Change in Employment'!B906), 1), ""), "mm/dd/yyyy")</f>
        <v/>
      </c>
      <c r="B899" s="25" t="str">
        <f>IF(ISNUMBER('Change in Employment'!I906), TEXT('Change in Employment'!I906, "0"), "")</f>
        <v/>
      </c>
      <c r="C899" s="25" t="str">
        <f>IF(ISNUMBER('Change in Employment'!J906),TEXT('Change in Employment'!J906, "0"),"")</f>
        <v/>
      </c>
    </row>
    <row r="900" spans="1:3">
      <c r="A900" s="23" t="str">
        <f>TEXT(IF('Change in Employment'!B907&lt;&gt;0,DATE(YEAR('Change in Employment'!B907), MONTH('Change in Employment'!B907), 1), ""), "mm/dd/yyyy")</f>
        <v/>
      </c>
      <c r="B900" s="25" t="str">
        <f>IF(ISNUMBER('Change in Employment'!I907), TEXT('Change in Employment'!I907, "0"), "")</f>
        <v/>
      </c>
      <c r="C900" s="25" t="str">
        <f>IF(ISNUMBER('Change in Employment'!J907),TEXT('Change in Employment'!J907, "0"),"")</f>
        <v/>
      </c>
    </row>
    <row r="901" spans="1:3">
      <c r="A901" s="23" t="str">
        <f>TEXT(IF('Change in Employment'!B908&lt;&gt;0,DATE(YEAR('Change in Employment'!B908), MONTH('Change in Employment'!B908), 1), ""), "mm/dd/yyyy")</f>
        <v/>
      </c>
      <c r="B901" s="25" t="str">
        <f>IF(ISNUMBER('Change in Employment'!I908), TEXT('Change in Employment'!I908, "0"), "")</f>
        <v/>
      </c>
      <c r="C901" s="25" t="str">
        <f>IF(ISNUMBER('Change in Employment'!J908),TEXT('Change in Employment'!J908, "0"),"")</f>
        <v/>
      </c>
    </row>
    <row r="902" spans="1:3">
      <c r="A902" s="23" t="str">
        <f>TEXT(IF('Change in Employment'!B909&lt;&gt;0,DATE(YEAR('Change in Employment'!B909), MONTH('Change in Employment'!B909), 1), ""), "mm/dd/yyyy")</f>
        <v/>
      </c>
      <c r="B902" s="25" t="str">
        <f>IF(ISNUMBER('Change in Employment'!I909), TEXT('Change in Employment'!I909, "0"), "")</f>
        <v/>
      </c>
      <c r="C902" s="25" t="str">
        <f>IF(ISNUMBER('Change in Employment'!J909),TEXT('Change in Employment'!J909, "0"),"")</f>
        <v/>
      </c>
    </row>
    <row r="903" spans="1:3">
      <c r="A903" s="23" t="str">
        <f>TEXT(IF('Change in Employment'!B910&lt;&gt;0,DATE(YEAR('Change in Employment'!B910), MONTH('Change in Employment'!B910), 1), ""), "mm/dd/yyyy")</f>
        <v/>
      </c>
      <c r="B903" s="25" t="str">
        <f>IF(ISNUMBER('Change in Employment'!I910), TEXT('Change in Employment'!I910, "0"), "")</f>
        <v/>
      </c>
      <c r="C903" s="25" t="str">
        <f>IF(ISNUMBER('Change in Employment'!J910),TEXT('Change in Employment'!J910, "0"),"")</f>
        <v/>
      </c>
    </row>
    <row r="904" spans="1:3">
      <c r="A904" s="23" t="str">
        <f>TEXT(IF('Change in Employment'!B911&lt;&gt;0,DATE(YEAR('Change in Employment'!B911), MONTH('Change in Employment'!B911), 1), ""), "mm/dd/yyyy")</f>
        <v/>
      </c>
      <c r="B904" s="25" t="str">
        <f>IF(ISNUMBER('Change in Employment'!I911), TEXT('Change in Employment'!I911, "0"), "")</f>
        <v/>
      </c>
      <c r="C904" s="25" t="str">
        <f>IF(ISNUMBER('Change in Employment'!J911),TEXT('Change in Employment'!J911, "0"),"")</f>
        <v/>
      </c>
    </row>
    <row r="905" spans="1:3">
      <c r="A905" s="23" t="str">
        <f>TEXT(IF('Change in Employment'!B912&lt;&gt;0,DATE(YEAR('Change in Employment'!B912), MONTH('Change in Employment'!B912), 1), ""), "mm/dd/yyyy")</f>
        <v/>
      </c>
      <c r="B905" s="25" t="str">
        <f>IF(ISNUMBER('Change in Employment'!I912), TEXT('Change in Employment'!I912, "0"), "")</f>
        <v/>
      </c>
      <c r="C905" s="25" t="str">
        <f>IF(ISNUMBER('Change in Employment'!J912),TEXT('Change in Employment'!J912, "0"),"")</f>
        <v/>
      </c>
    </row>
    <row r="906" spans="1:3">
      <c r="A906" s="23" t="str">
        <f>TEXT(IF('Change in Employment'!B913&lt;&gt;0,DATE(YEAR('Change in Employment'!B913), MONTH('Change in Employment'!B913), 1), ""), "mm/dd/yyyy")</f>
        <v/>
      </c>
      <c r="B906" s="25" t="str">
        <f>IF(ISNUMBER('Change in Employment'!I913), TEXT('Change in Employment'!I913, "0"), "")</f>
        <v/>
      </c>
      <c r="C906" s="25" t="str">
        <f>IF(ISNUMBER('Change in Employment'!J913),TEXT('Change in Employment'!J913, "0"),"")</f>
        <v/>
      </c>
    </row>
    <row r="907" spans="1:3">
      <c r="A907" s="23" t="str">
        <f>TEXT(IF('Change in Employment'!B914&lt;&gt;0,DATE(YEAR('Change in Employment'!B914), MONTH('Change in Employment'!B914), 1), ""), "mm/dd/yyyy")</f>
        <v/>
      </c>
      <c r="B907" s="25" t="str">
        <f>IF(ISNUMBER('Change in Employment'!I914), TEXT('Change in Employment'!I914, "0"), "")</f>
        <v/>
      </c>
      <c r="C907" s="25" t="str">
        <f>IF(ISNUMBER('Change in Employment'!J914),TEXT('Change in Employment'!J914, "0"),"")</f>
        <v/>
      </c>
    </row>
    <row r="908" spans="1:3">
      <c r="A908" s="23" t="str">
        <f>TEXT(IF('Change in Employment'!B915&lt;&gt;0,DATE(YEAR('Change in Employment'!B915), MONTH('Change in Employment'!B915), 1), ""), "mm/dd/yyyy")</f>
        <v/>
      </c>
      <c r="B908" s="25" t="str">
        <f>IF(ISNUMBER('Change in Employment'!I915), TEXT('Change in Employment'!I915, "0"), "")</f>
        <v/>
      </c>
      <c r="C908" s="25" t="str">
        <f>IF(ISNUMBER('Change in Employment'!J915),TEXT('Change in Employment'!J915, "0"),"")</f>
        <v/>
      </c>
    </row>
    <row r="909" spans="1:3">
      <c r="A909" s="23" t="str">
        <f>TEXT(IF('Change in Employment'!B916&lt;&gt;0,DATE(YEAR('Change in Employment'!B916), MONTH('Change in Employment'!B916), 1), ""), "mm/dd/yyyy")</f>
        <v/>
      </c>
      <c r="B909" s="25" t="str">
        <f>IF(ISNUMBER('Change in Employment'!I916), TEXT('Change in Employment'!I916, "0"), "")</f>
        <v/>
      </c>
      <c r="C909" s="25" t="str">
        <f>IF(ISNUMBER('Change in Employment'!J916),TEXT('Change in Employment'!J916, "0"),"")</f>
        <v/>
      </c>
    </row>
    <row r="910" spans="1:3">
      <c r="A910" s="23" t="str">
        <f>TEXT(IF('Change in Employment'!B917&lt;&gt;0,DATE(YEAR('Change in Employment'!B917), MONTH('Change in Employment'!B917), 1), ""), "mm/dd/yyyy")</f>
        <v/>
      </c>
      <c r="B910" s="25" t="str">
        <f>IF(ISNUMBER('Change in Employment'!I917), TEXT('Change in Employment'!I917, "0"), "")</f>
        <v/>
      </c>
      <c r="C910" s="25" t="str">
        <f>IF(ISNUMBER('Change in Employment'!J917),TEXT('Change in Employment'!J917, "0"),"")</f>
        <v/>
      </c>
    </row>
    <row r="911" spans="1:3">
      <c r="A911" s="23" t="str">
        <f>TEXT(IF('Change in Employment'!B918&lt;&gt;0,DATE(YEAR('Change in Employment'!B918), MONTH('Change in Employment'!B918), 1), ""), "mm/dd/yyyy")</f>
        <v/>
      </c>
      <c r="B911" s="25" t="str">
        <f>IF(ISNUMBER('Change in Employment'!I918), TEXT('Change in Employment'!I918, "0"), "")</f>
        <v/>
      </c>
      <c r="C911" s="25" t="str">
        <f>IF(ISNUMBER('Change in Employment'!J918),TEXT('Change in Employment'!J918, "0"),"")</f>
        <v/>
      </c>
    </row>
    <row r="912" spans="1:3">
      <c r="A912" s="23" t="str">
        <f>TEXT(IF('Change in Employment'!B919&lt;&gt;0,DATE(YEAR('Change in Employment'!B919), MONTH('Change in Employment'!B919), 1), ""), "mm/dd/yyyy")</f>
        <v/>
      </c>
      <c r="B912" s="25" t="str">
        <f>IF(ISNUMBER('Change in Employment'!I919), TEXT('Change in Employment'!I919, "0"), "")</f>
        <v/>
      </c>
      <c r="C912" s="25" t="str">
        <f>IF(ISNUMBER('Change in Employment'!J919),TEXT('Change in Employment'!J919, "0"),"")</f>
        <v/>
      </c>
    </row>
    <row r="913" spans="1:3">
      <c r="A913" s="23" t="str">
        <f>TEXT(IF('Change in Employment'!B920&lt;&gt;0,DATE(YEAR('Change in Employment'!B920), MONTH('Change in Employment'!B920), 1), ""), "mm/dd/yyyy")</f>
        <v/>
      </c>
      <c r="B913" s="25" t="str">
        <f>IF(ISNUMBER('Change in Employment'!I920), TEXT('Change in Employment'!I920, "0"), "")</f>
        <v/>
      </c>
      <c r="C913" s="25" t="str">
        <f>IF(ISNUMBER('Change in Employment'!J920),TEXT('Change in Employment'!J920, "0"),"")</f>
        <v/>
      </c>
    </row>
    <row r="914" spans="1:3">
      <c r="A914" s="23" t="str">
        <f>TEXT(IF('Change in Employment'!B921&lt;&gt;0,DATE(YEAR('Change in Employment'!B921), MONTH('Change in Employment'!B921), 1), ""), "mm/dd/yyyy")</f>
        <v/>
      </c>
      <c r="B914" s="25" t="str">
        <f>IF(ISNUMBER('Change in Employment'!I921), TEXT('Change in Employment'!I921, "0"), "")</f>
        <v/>
      </c>
      <c r="C914" s="25" t="str">
        <f>IF(ISNUMBER('Change in Employment'!J921),TEXT('Change in Employment'!J921, "0"),"")</f>
        <v/>
      </c>
    </row>
    <row r="915" spans="1:3">
      <c r="A915" s="23" t="str">
        <f>TEXT(IF('Change in Employment'!B922&lt;&gt;0,DATE(YEAR('Change in Employment'!B922), MONTH('Change in Employment'!B922), 1), ""), "mm/dd/yyyy")</f>
        <v/>
      </c>
      <c r="B915" s="25" t="str">
        <f>IF(ISNUMBER('Change in Employment'!I922), TEXT('Change in Employment'!I922, "0"), "")</f>
        <v/>
      </c>
      <c r="C915" s="25" t="str">
        <f>IF(ISNUMBER('Change in Employment'!J922),TEXT('Change in Employment'!J922, "0"),"")</f>
        <v/>
      </c>
    </row>
    <row r="916" spans="1:3">
      <c r="A916" s="23" t="str">
        <f>TEXT(IF('Change in Employment'!B923&lt;&gt;0,DATE(YEAR('Change in Employment'!B923), MONTH('Change in Employment'!B923), 1), ""), "mm/dd/yyyy")</f>
        <v/>
      </c>
      <c r="B916" s="25" t="str">
        <f>IF(ISNUMBER('Change in Employment'!I923), TEXT('Change in Employment'!I923, "0"), "")</f>
        <v/>
      </c>
      <c r="C916" s="25" t="str">
        <f>IF(ISNUMBER('Change in Employment'!J923),TEXT('Change in Employment'!J923, "0"),"")</f>
        <v/>
      </c>
    </row>
    <row r="917" spans="1:3">
      <c r="A917" s="23" t="str">
        <f>TEXT(IF('Change in Employment'!B924&lt;&gt;0,DATE(YEAR('Change in Employment'!B924), MONTH('Change in Employment'!B924), 1), ""), "mm/dd/yyyy")</f>
        <v/>
      </c>
      <c r="B917" s="25" t="str">
        <f>IF(ISNUMBER('Change in Employment'!I924), TEXT('Change in Employment'!I924, "0"), "")</f>
        <v/>
      </c>
      <c r="C917" s="25" t="str">
        <f>IF(ISNUMBER('Change in Employment'!J924),TEXT('Change in Employment'!J924, "0"),"")</f>
        <v/>
      </c>
    </row>
    <row r="918" spans="1:3">
      <c r="A918" s="23" t="str">
        <f>TEXT(IF('Change in Employment'!B925&lt;&gt;0,DATE(YEAR('Change in Employment'!B925), MONTH('Change in Employment'!B925), 1), ""), "mm/dd/yyyy")</f>
        <v/>
      </c>
      <c r="B918" s="25" t="str">
        <f>IF(ISNUMBER('Change in Employment'!I925), TEXT('Change in Employment'!I925, "0"), "")</f>
        <v/>
      </c>
      <c r="C918" s="25" t="str">
        <f>IF(ISNUMBER('Change in Employment'!J925),TEXT('Change in Employment'!J925, "0"),"")</f>
        <v/>
      </c>
    </row>
    <row r="919" spans="1:3">
      <c r="A919" s="23" t="str">
        <f>TEXT(IF('Change in Employment'!B926&lt;&gt;0,DATE(YEAR('Change in Employment'!B926), MONTH('Change in Employment'!B926), 1), ""), "mm/dd/yyyy")</f>
        <v/>
      </c>
      <c r="B919" s="25" t="str">
        <f>IF(ISNUMBER('Change in Employment'!I926), TEXT('Change in Employment'!I926, "0"), "")</f>
        <v/>
      </c>
      <c r="C919" s="25" t="str">
        <f>IF(ISNUMBER('Change in Employment'!J926),TEXT('Change in Employment'!J926, "0"),"")</f>
        <v/>
      </c>
    </row>
    <row r="920" spans="1:3">
      <c r="A920" s="23" t="str">
        <f>TEXT(IF('Change in Employment'!B927&lt;&gt;0,DATE(YEAR('Change in Employment'!B927), MONTH('Change in Employment'!B927), 1), ""), "mm/dd/yyyy")</f>
        <v/>
      </c>
      <c r="B920" s="25" t="str">
        <f>IF(ISNUMBER('Change in Employment'!I927), TEXT('Change in Employment'!I927, "0"), "")</f>
        <v/>
      </c>
      <c r="C920" s="25" t="str">
        <f>IF(ISNUMBER('Change in Employment'!J927),TEXT('Change in Employment'!J927, "0"),"")</f>
        <v/>
      </c>
    </row>
    <row r="921" spans="1:3">
      <c r="A921" s="23" t="str">
        <f>TEXT(IF('Change in Employment'!B928&lt;&gt;0,DATE(YEAR('Change in Employment'!B928), MONTH('Change in Employment'!B928), 1), ""), "mm/dd/yyyy")</f>
        <v/>
      </c>
      <c r="B921" s="25" t="str">
        <f>IF(ISNUMBER('Change in Employment'!I928), TEXT('Change in Employment'!I928, "0"), "")</f>
        <v/>
      </c>
      <c r="C921" s="25" t="str">
        <f>IF(ISNUMBER('Change in Employment'!J928),TEXT('Change in Employment'!J928, "0"),"")</f>
        <v/>
      </c>
    </row>
    <row r="922" spans="1:3">
      <c r="A922" s="23" t="str">
        <f>TEXT(IF('Change in Employment'!B929&lt;&gt;0,DATE(YEAR('Change in Employment'!B929), MONTH('Change in Employment'!B929), 1), ""), "mm/dd/yyyy")</f>
        <v/>
      </c>
      <c r="B922" s="25" t="str">
        <f>IF(ISNUMBER('Change in Employment'!I929), TEXT('Change in Employment'!I929, "0"), "")</f>
        <v/>
      </c>
      <c r="C922" s="25" t="str">
        <f>IF(ISNUMBER('Change in Employment'!J929),TEXT('Change in Employment'!J929, "0"),"")</f>
        <v/>
      </c>
    </row>
    <row r="923" spans="1:3">
      <c r="A923" s="23" t="str">
        <f>TEXT(IF('Change in Employment'!B930&lt;&gt;0,DATE(YEAR('Change in Employment'!B930), MONTH('Change in Employment'!B930), 1), ""), "mm/dd/yyyy")</f>
        <v/>
      </c>
      <c r="B923" s="25" t="str">
        <f>IF(ISNUMBER('Change in Employment'!I930), TEXT('Change in Employment'!I930, "0"), "")</f>
        <v/>
      </c>
      <c r="C923" s="25" t="str">
        <f>IF(ISNUMBER('Change in Employment'!J930),TEXT('Change in Employment'!J930, "0"),"")</f>
        <v/>
      </c>
    </row>
    <row r="924" spans="1:3">
      <c r="A924" s="23" t="str">
        <f>TEXT(IF('Change in Employment'!B931&lt;&gt;0,DATE(YEAR('Change in Employment'!B931), MONTH('Change in Employment'!B931), 1), ""), "mm/dd/yyyy")</f>
        <v/>
      </c>
      <c r="B924" s="25" t="str">
        <f>IF(ISNUMBER('Change in Employment'!I931), TEXT('Change in Employment'!I931, "0"), "")</f>
        <v/>
      </c>
      <c r="C924" s="25" t="str">
        <f>IF(ISNUMBER('Change in Employment'!J931),TEXT('Change in Employment'!J931, "0"),"")</f>
        <v/>
      </c>
    </row>
    <row r="925" spans="1:3">
      <c r="A925" s="23" t="str">
        <f>TEXT(IF('Change in Employment'!B932&lt;&gt;0,DATE(YEAR('Change in Employment'!B932), MONTH('Change in Employment'!B932), 1), ""), "mm/dd/yyyy")</f>
        <v/>
      </c>
      <c r="B925" s="25" t="str">
        <f>IF(ISNUMBER('Change in Employment'!I932), TEXT('Change in Employment'!I932, "0"), "")</f>
        <v/>
      </c>
      <c r="C925" s="25" t="str">
        <f>IF(ISNUMBER('Change in Employment'!J932),TEXT('Change in Employment'!J932, "0"),"")</f>
        <v/>
      </c>
    </row>
    <row r="926" spans="1:3">
      <c r="A926" s="23" t="str">
        <f>TEXT(IF('Change in Employment'!B933&lt;&gt;0,DATE(YEAR('Change in Employment'!B933), MONTH('Change in Employment'!B933), 1), ""), "mm/dd/yyyy")</f>
        <v/>
      </c>
      <c r="B926" s="25" t="str">
        <f>IF(ISNUMBER('Change in Employment'!I933), TEXT('Change in Employment'!I933, "0"), "")</f>
        <v/>
      </c>
      <c r="C926" s="25" t="str">
        <f>IF(ISNUMBER('Change in Employment'!J933),TEXT('Change in Employment'!J933, "0"),"")</f>
        <v/>
      </c>
    </row>
    <row r="927" spans="1:3">
      <c r="A927" s="23" t="str">
        <f>TEXT(IF('Change in Employment'!B934&lt;&gt;0,DATE(YEAR('Change in Employment'!B934), MONTH('Change in Employment'!B934), 1), ""), "mm/dd/yyyy")</f>
        <v/>
      </c>
      <c r="B927" s="25" t="str">
        <f>IF(ISNUMBER('Change in Employment'!I934), TEXT('Change in Employment'!I934, "0"), "")</f>
        <v/>
      </c>
      <c r="C927" s="25" t="str">
        <f>IF(ISNUMBER('Change in Employment'!J934),TEXT('Change in Employment'!J934, "0"),"")</f>
        <v/>
      </c>
    </row>
    <row r="928" spans="1:3">
      <c r="A928" s="23" t="str">
        <f>TEXT(IF('Change in Employment'!B935&lt;&gt;0,DATE(YEAR('Change in Employment'!B935), MONTH('Change in Employment'!B935), 1), ""), "mm/dd/yyyy")</f>
        <v/>
      </c>
      <c r="B928" s="25" t="str">
        <f>IF(ISNUMBER('Change in Employment'!I935), TEXT('Change in Employment'!I935, "0"), "")</f>
        <v/>
      </c>
      <c r="C928" s="25" t="str">
        <f>IF(ISNUMBER('Change in Employment'!J935),TEXT('Change in Employment'!J935, "0"),"")</f>
        <v/>
      </c>
    </row>
    <row r="929" spans="1:3">
      <c r="A929" s="23" t="str">
        <f>TEXT(IF('Change in Employment'!B936&lt;&gt;0,DATE(YEAR('Change in Employment'!B936), MONTH('Change in Employment'!B936), 1), ""), "mm/dd/yyyy")</f>
        <v/>
      </c>
      <c r="B929" s="25" t="str">
        <f>IF(ISNUMBER('Change in Employment'!I936), TEXT('Change in Employment'!I936, "0"), "")</f>
        <v/>
      </c>
      <c r="C929" s="25" t="str">
        <f>IF(ISNUMBER('Change in Employment'!J936),TEXT('Change in Employment'!J936, "0"),"")</f>
        <v/>
      </c>
    </row>
    <row r="930" spans="1:3">
      <c r="A930" s="23" t="str">
        <f>TEXT(IF('Change in Employment'!B937&lt;&gt;0,DATE(YEAR('Change in Employment'!B937), MONTH('Change in Employment'!B937), 1), ""), "mm/dd/yyyy")</f>
        <v/>
      </c>
      <c r="B930" s="25" t="str">
        <f>IF(ISNUMBER('Change in Employment'!I937), TEXT('Change in Employment'!I937, "0"), "")</f>
        <v/>
      </c>
      <c r="C930" s="25" t="str">
        <f>IF(ISNUMBER('Change in Employment'!J937),TEXT('Change in Employment'!J937, "0"),"")</f>
        <v/>
      </c>
    </row>
    <row r="931" spans="1:3">
      <c r="A931" s="23" t="str">
        <f>TEXT(IF('Change in Employment'!B938&lt;&gt;0,DATE(YEAR('Change in Employment'!B938), MONTH('Change in Employment'!B938), 1), ""), "mm/dd/yyyy")</f>
        <v/>
      </c>
      <c r="B931" s="25" t="str">
        <f>IF(ISNUMBER('Change in Employment'!I938), TEXT('Change in Employment'!I938, "0"), "")</f>
        <v/>
      </c>
      <c r="C931" s="25" t="str">
        <f>IF(ISNUMBER('Change in Employment'!J938),TEXT('Change in Employment'!J938, "0"),"")</f>
        <v/>
      </c>
    </row>
    <row r="932" spans="1:3">
      <c r="A932" s="23" t="str">
        <f>TEXT(IF('Change in Employment'!B939&lt;&gt;0,DATE(YEAR('Change in Employment'!B939), MONTH('Change in Employment'!B939), 1), ""), "mm/dd/yyyy")</f>
        <v/>
      </c>
      <c r="B932" s="25" t="str">
        <f>IF(ISNUMBER('Change in Employment'!I939), TEXT('Change in Employment'!I939, "0"), "")</f>
        <v/>
      </c>
      <c r="C932" s="25" t="str">
        <f>IF(ISNUMBER('Change in Employment'!J939),TEXT('Change in Employment'!J939, "0"),"")</f>
        <v/>
      </c>
    </row>
    <row r="933" spans="1:3">
      <c r="A933" s="23" t="str">
        <f>TEXT(IF('Change in Employment'!B940&lt;&gt;0,DATE(YEAR('Change in Employment'!B940), MONTH('Change in Employment'!B940), 1), ""), "mm/dd/yyyy")</f>
        <v/>
      </c>
      <c r="B933" s="25" t="str">
        <f>IF(ISNUMBER('Change in Employment'!I940), TEXT('Change in Employment'!I940, "0"), "")</f>
        <v/>
      </c>
      <c r="C933" s="25" t="str">
        <f>IF(ISNUMBER('Change in Employment'!J940),TEXT('Change in Employment'!J940, "0"),"")</f>
        <v/>
      </c>
    </row>
    <row r="934" spans="1:3">
      <c r="A934" s="23" t="str">
        <f>TEXT(IF('Change in Employment'!B941&lt;&gt;0,DATE(YEAR('Change in Employment'!B941), MONTH('Change in Employment'!B941), 1), ""), "mm/dd/yyyy")</f>
        <v/>
      </c>
      <c r="B934" s="25" t="str">
        <f>IF(ISNUMBER('Change in Employment'!I941), TEXT('Change in Employment'!I941, "0"), "")</f>
        <v/>
      </c>
      <c r="C934" s="25" t="str">
        <f>IF(ISNUMBER('Change in Employment'!J941),TEXT('Change in Employment'!J941, "0"),"")</f>
        <v/>
      </c>
    </row>
    <row r="935" spans="1:3">
      <c r="A935" s="23" t="str">
        <f>TEXT(IF('Change in Employment'!B942&lt;&gt;0,DATE(YEAR('Change in Employment'!B942), MONTH('Change in Employment'!B942), 1), ""), "mm/dd/yyyy")</f>
        <v/>
      </c>
      <c r="B935" s="25" t="str">
        <f>IF(ISNUMBER('Change in Employment'!I942), TEXT('Change in Employment'!I942, "0"), "")</f>
        <v/>
      </c>
      <c r="C935" s="25" t="str">
        <f>IF(ISNUMBER('Change in Employment'!J942),TEXT('Change in Employment'!J942, "0"),"")</f>
        <v/>
      </c>
    </row>
    <row r="936" spans="1:3">
      <c r="A936" s="23" t="str">
        <f>TEXT(IF('Change in Employment'!B943&lt;&gt;0,DATE(YEAR('Change in Employment'!B943), MONTH('Change in Employment'!B943), 1), ""), "mm/dd/yyyy")</f>
        <v/>
      </c>
      <c r="B936" s="25" t="str">
        <f>IF(ISNUMBER('Change in Employment'!I943), TEXT('Change in Employment'!I943, "0"), "")</f>
        <v/>
      </c>
      <c r="C936" s="25" t="str">
        <f>IF(ISNUMBER('Change in Employment'!J943),TEXT('Change in Employment'!J943, "0"),"")</f>
        <v/>
      </c>
    </row>
    <row r="937" spans="1:3">
      <c r="A937" s="23" t="str">
        <f>TEXT(IF('Change in Employment'!B944&lt;&gt;0,DATE(YEAR('Change in Employment'!B944), MONTH('Change in Employment'!B944), 1), ""), "mm/dd/yyyy")</f>
        <v/>
      </c>
      <c r="B937" s="25" t="str">
        <f>IF(ISNUMBER('Change in Employment'!I944), TEXT('Change in Employment'!I944, "0"), "")</f>
        <v/>
      </c>
      <c r="C937" s="25" t="str">
        <f>IF(ISNUMBER('Change in Employment'!J944),TEXT('Change in Employment'!J944, "0"),"")</f>
        <v/>
      </c>
    </row>
    <row r="938" spans="1:3">
      <c r="A938" s="23" t="str">
        <f>TEXT(IF('Change in Employment'!B945&lt;&gt;0,DATE(YEAR('Change in Employment'!B945), MONTH('Change in Employment'!B945), 1), ""), "mm/dd/yyyy")</f>
        <v/>
      </c>
      <c r="B938" s="25" t="str">
        <f>IF(ISNUMBER('Change in Employment'!I945), TEXT('Change in Employment'!I945, "0"), "")</f>
        <v/>
      </c>
      <c r="C938" s="25" t="str">
        <f>IF(ISNUMBER('Change in Employment'!J945),TEXT('Change in Employment'!J945, "0"),"")</f>
        <v/>
      </c>
    </row>
    <row r="939" spans="1:3">
      <c r="A939" s="23" t="str">
        <f>TEXT(IF('Change in Employment'!B946&lt;&gt;0,DATE(YEAR('Change in Employment'!B946), MONTH('Change in Employment'!B946), 1), ""), "mm/dd/yyyy")</f>
        <v/>
      </c>
      <c r="B939" s="25" t="str">
        <f>IF(ISNUMBER('Change in Employment'!I946), TEXT('Change in Employment'!I946, "0"), "")</f>
        <v/>
      </c>
      <c r="C939" s="25" t="str">
        <f>IF(ISNUMBER('Change in Employment'!J946),TEXT('Change in Employment'!J946, "0"),"")</f>
        <v/>
      </c>
    </row>
    <row r="940" spans="1:3">
      <c r="A940" s="23" t="str">
        <f>TEXT(IF('Change in Employment'!B947&lt;&gt;0,DATE(YEAR('Change in Employment'!B947), MONTH('Change in Employment'!B947), 1), ""), "mm/dd/yyyy")</f>
        <v/>
      </c>
      <c r="B940" s="25" t="str">
        <f>IF(ISNUMBER('Change in Employment'!I947), TEXT('Change in Employment'!I947, "0"), "")</f>
        <v/>
      </c>
      <c r="C940" s="25" t="str">
        <f>IF(ISNUMBER('Change in Employment'!J947),TEXT('Change in Employment'!J947, "0"),"")</f>
        <v/>
      </c>
    </row>
    <row r="941" spans="1:3">
      <c r="A941" s="23" t="str">
        <f>TEXT(IF('Change in Employment'!B948&lt;&gt;0,DATE(YEAR('Change in Employment'!B948), MONTH('Change in Employment'!B948), 1), ""), "mm/dd/yyyy")</f>
        <v/>
      </c>
      <c r="B941" s="25" t="str">
        <f>IF(ISNUMBER('Change in Employment'!I948), TEXT('Change in Employment'!I948, "0"), "")</f>
        <v/>
      </c>
      <c r="C941" s="25" t="str">
        <f>IF(ISNUMBER('Change in Employment'!J948),TEXT('Change in Employment'!J948, "0"),"")</f>
        <v/>
      </c>
    </row>
    <row r="942" spans="1:3">
      <c r="A942" s="23" t="str">
        <f>TEXT(IF('Change in Employment'!B949&lt;&gt;0,DATE(YEAR('Change in Employment'!B949), MONTH('Change in Employment'!B949), 1), ""), "mm/dd/yyyy")</f>
        <v/>
      </c>
      <c r="B942" s="25" t="str">
        <f>IF(ISNUMBER('Change in Employment'!I949), TEXT('Change in Employment'!I949, "0"), "")</f>
        <v/>
      </c>
      <c r="C942" s="25" t="str">
        <f>IF(ISNUMBER('Change in Employment'!J949),TEXT('Change in Employment'!J949, "0"),"")</f>
        <v/>
      </c>
    </row>
    <row r="943" spans="1:3">
      <c r="A943" s="23" t="str">
        <f>TEXT(IF('Change in Employment'!B950&lt;&gt;0,DATE(YEAR('Change in Employment'!B950), MONTH('Change in Employment'!B950), 1), ""), "mm/dd/yyyy")</f>
        <v/>
      </c>
      <c r="B943" s="25" t="str">
        <f>IF(ISNUMBER('Change in Employment'!I950), TEXT('Change in Employment'!I950, "0"), "")</f>
        <v/>
      </c>
      <c r="C943" s="25" t="str">
        <f>IF(ISNUMBER('Change in Employment'!J950),TEXT('Change in Employment'!J950, "0"),"")</f>
        <v/>
      </c>
    </row>
    <row r="944" spans="1:3">
      <c r="A944" s="23" t="str">
        <f>TEXT(IF('Change in Employment'!B951&lt;&gt;0,DATE(YEAR('Change in Employment'!B951), MONTH('Change in Employment'!B951), 1), ""), "mm/dd/yyyy")</f>
        <v/>
      </c>
      <c r="B944" s="25" t="str">
        <f>IF(ISNUMBER('Change in Employment'!I951), TEXT('Change in Employment'!I951, "0"), "")</f>
        <v/>
      </c>
      <c r="C944" s="25" t="str">
        <f>IF(ISNUMBER('Change in Employment'!J951),TEXT('Change in Employment'!J951, "0"),"")</f>
        <v/>
      </c>
    </row>
    <row r="945" spans="1:3">
      <c r="A945" s="23" t="str">
        <f>TEXT(IF('Change in Employment'!B952&lt;&gt;0,DATE(YEAR('Change in Employment'!B952), MONTH('Change in Employment'!B952), 1), ""), "mm/dd/yyyy")</f>
        <v/>
      </c>
      <c r="B945" s="25" t="str">
        <f>IF(ISNUMBER('Change in Employment'!I952), TEXT('Change in Employment'!I952, "0"), "")</f>
        <v/>
      </c>
      <c r="C945" s="25" t="str">
        <f>IF(ISNUMBER('Change in Employment'!J952),TEXT('Change in Employment'!J952, "0"),"")</f>
        <v/>
      </c>
    </row>
    <row r="946" spans="1:3">
      <c r="A946" s="23" t="str">
        <f>TEXT(IF('Change in Employment'!B953&lt;&gt;0,DATE(YEAR('Change in Employment'!B953), MONTH('Change in Employment'!B953), 1), ""), "mm/dd/yyyy")</f>
        <v/>
      </c>
      <c r="B946" s="25" t="str">
        <f>IF(ISNUMBER('Change in Employment'!I953), TEXT('Change in Employment'!I953, "0"), "")</f>
        <v/>
      </c>
      <c r="C946" s="25" t="str">
        <f>IF(ISNUMBER('Change in Employment'!J953),TEXT('Change in Employment'!J953, "0"),"")</f>
        <v/>
      </c>
    </row>
    <row r="947" spans="1:3">
      <c r="A947" s="23" t="str">
        <f>TEXT(IF('Change in Employment'!B954&lt;&gt;0,DATE(YEAR('Change in Employment'!B954), MONTH('Change in Employment'!B954), 1), ""), "mm/dd/yyyy")</f>
        <v/>
      </c>
      <c r="B947" s="25" t="str">
        <f>IF(ISNUMBER('Change in Employment'!I954), TEXT('Change in Employment'!I954, "0"), "")</f>
        <v/>
      </c>
      <c r="C947" s="25" t="str">
        <f>IF(ISNUMBER('Change in Employment'!J954),TEXT('Change in Employment'!J954, "0"),"")</f>
        <v/>
      </c>
    </row>
    <row r="948" spans="1:3">
      <c r="A948" s="23" t="str">
        <f>TEXT(IF('Change in Employment'!B955&lt;&gt;0,DATE(YEAR('Change in Employment'!B955), MONTH('Change in Employment'!B955), 1), ""), "mm/dd/yyyy")</f>
        <v/>
      </c>
      <c r="B948" s="25" t="str">
        <f>IF(ISNUMBER('Change in Employment'!I955), TEXT('Change in Employment'!I955, "0"), "")</f>
        <v/>
      </c>
      <c r="C948" s="25" t="str">
        <f>IF(ISNUMBER('Change in Employment'!J955),TEXT('Change in Employment'!J955, "0"),"")</f>
        <v/>
      </c>
    </row>
    <row r="949" spans="1:3">
      <c r="A949" s="23" t="str">
        <f>TEXT(IF('Change in Employment'!B956&lt;&gt;0,DATE(YEAR('Change in Employment'!B956), MONTH('Change in Employment'!B956), 1), ""), "mm/dd/yyyy")</f>
        <v/>
      </c>
      <c r="B949" s="25" t="str">
        <f>IF(ISNUMBER('Change in Employment'!I956), TEXT('Change in Employment'!I956, "0"), "")</f>
        <v/>
      </c>
      <c r="C949" s="25" t="str">
        <f>IF(ISNUMBER('Change in Employment'!J956),TEXT('Change in Employment'!J956, "0"),"")</f>
        <v/>
      </c>
    </row>
    <row r="950" spans="1:3">
      <c r="A950" s="23" t="str">
        <f>TEXT(IF('Change in Employment'!B957&lt;&gt;0,DATE(YEAR('Change in Employment'!B957), MONTH('Change in Employment'!B957), 1), ""), "mm/dd/yyyy")</f>
        <v/>
      </c>
      <c r="B950" s="25" t="str">
        <f>IF(ISNUMBER('Change in Employment'!I957), TEXT('Change in Employment'!I957, "0"), "")</f>
        <v/>
      </c>
      <c r="C950" s="25" t="str">
        <f>IF(ISNUMBER('Change in Employment'!J957),TEXT('Change in Employment'!J957, "0"),"")</f>
        <v/>
      </c>
    </row>
    <row r="951" spans="1:3">
      <c r="A951" s="23" t="str">
        <f>TEXT(IF('Change in Employment'!B958&lt;&gt;0,DATE(YEAR('Change in Employment'!B958), MONTH('Change in Employment'!B958), 1), ""), "mm/dd/yyyy")</f>
        <v/>
      </c>
      <c r="B951" s="25" t="str">
        <f>IF(ISNUMBER('Change in Employment'!I958), TEXT('Change in Employment'!I958, "0"), "")</f>
        <v/>
      </c>
      <c r="C951" s="25" t="str">
        <f>IF(ISNUMBER('Change in Employment'!J958),TEXT('Change in Employment'!J958, "0"),"")</f>
        <v/>
      </c>
    </row>
    <row r="952" spans="1:3">
      <c r="A952" s="23" t="str">
        <f>TEXT(IF('Change in Employment'!B959&lt;&gt;0,DATE(YEAR('Change in Employment'!B959), MONTH('Change in Employment'!B959), 1), ""), "mm/dd/yyyy")</f>
        <v/>
      </c>
      <c r="B952" s="25" t="str">
        <f>IF(ISNUMBER('Change in Employment'!I959), TEXT('Change in Employment'!I959, "0"), "")</f>
        <v/>
      </c>
      <c r="C952" s="25" t="str">
        <f>IF(ISNUMBER('Change in Employment'!J959),TEXT('Change in Employment'!J959, "0"),"")</f>
        <v/>
      </c>
    </row>
    <row r="953" spans="1:3">
      <c r="A953" s="23" t="str">
        <f>TEXT(IF('Change in Employment'!B960&lt;&gt;0,DATE(YEAR('Change in Employment'!B960), MONTH('Change in Employment'!B960), 1), ""), "mm/dd/yyyy")</f>
        <v/>
      </c>
      <c r="B953" s="25" t="str">
        <f>IF(ISNUMBER('Change in Employment'!I960), TEXT('Change in Employment'!I960, "0"), "")</f>
        <v/>
      </c>
      <c r="C953" s="25" t="str">
        <f>IF(ISNUMBER('Change in Employment'!J960),TEXT('Change in Employment'!J960, "0"),"")</f>
        <v/>
      </c>
    </row>
    <row r="954" spans="1:3">
      <c r="A954" s="23" t="str">
        <f>TEXT(IF('Change in Employment'!B961&lt;&gt;0,DATE(YEAR('Change in Employment'!B961), MONTH('Change in Employment'!B961), 1), ""), "mm/dd/yyyy")</f>
        <v/>
      </c>
      <c r="B954" s="25" t="str">
        <f>IF(ISNUMBER('Change in Employment'!I961), TEXT('Change in Employment'!I961, "0"), "")</f>
        <v/>
      </c>
      <c r="C954" s="25" t="str">
        <f>IF(ISNUMBER('Change in Employment'!J961),TEXT('Change in Employment'!J961, "0"),"")</f>
        <v/>
      </c>
    </row>
    <row r="955" spans="1:3">
      <c r="A955" s="23" t="str">
        <f>TEXT(IF('Change in Employment'!B962&lt;&gt;0,DATE(YEAR('Change in Employment'!B962), MONTH('Change in Employment'!B962), 1), ""), "mm/dd/yyyy")</f>
        <v/>
      </c>
      <c r="B955" s="25" t="str">
        <f>IF(ISNUMBER('Change in Employment'!I962), TEXT('Change in Employment'!I962, "0"), "")</f>
        <v/>
      </c>
      <c r="C955" s="25" t="str">
        <f>IF(ISNUMBER('Change in Employment'!J962),TEXT('Change in Employment'!J962, "0"),"")</f>
        <v/>
      </c>
    </row>
    <row r="956" spans="1:3">
      <c r="A956" s="23" t="str">
        <f>TEXT(IF('Change in Employment'!B963&lt;&gt;0,DATE(YEAR('Change in Employment'!B963), MONTH('Change in Employment'!B963), 1), ""), "mm/dd/yyyy")</f>
        <v/>
      </c>
      <c r="B956" s="25" t="str">
        <f>IF(ISNUMBER('Change in Employment'!I963), TEXT('Change in Employment'!I963, "0"), "")</f>
        <v/>
      </c>
      <c r="C956" s="25" t="str">
        <f>IF(ISNUMBER('Change in Employment'!J963),TEXT('Change in Employment'!J963, "0"),"")</f>
        <v/>
      </c>
    </row>
    <row r="957" spans="1:3">
      <c r="A957" s="23" t="str">
        <f>TEXT(IF('Change in Employment'!B964&lt;&gt;0,DATE(YEAR('Change in Employment'!B964), MONTH('Change in Employment'!B964), 1), ""), "mm/dd/yyyy")</f>
        <v/>
      </c>
      <c r="B957" s="25" t="str">
        <f>IF(ISNUMBER('Change in Employment'!I964), TEXT('Change in Employment'!I964, "0"), "")</f>
        <v/>
      </c>
      <c r="C957" s="25" t="str">
        <f>IF(ISNUMBER('Change in Employment'!J964),TEXT('Change in Employment'!J964, "0"),"")</f>
        <v/>
      </c>
    </row>
    <row r="958" spans="1:3">
      <c r="A958" s="23" t="str">
        <f>TEXT(IF('Change in Employment'!B965&lt;&gt;0,DATE(YEAR('Change in Employment'!B965), MONTH('Change in Employment'!B965), 1), ""), "mm/dd/yyyy")</f>
        <v/>
      </c>
      <c r="B958" s="25" t="str">
        <f>IF(ISNUMBER('Change in Employment'!I965), TEXT('Change in Employment'!I965, "0"), "")</f>
        <v/>
      </c>
      <c r="C958" s="25" t="str">
        <f>IF(ISNUMBER('Change in Employment'!J965),TEXT('Change in Employment'!J965, "0"),"")</f>
        <v/>
      </c>
    </row>
    <row r="959" spans="1:3">
      <c r="A959" s="23" t="str">
        <f>TEXT(IF('Change in Employment'!B966&lt;&gt;0,DATE(YEAR('Change in Employment'!B966), MONTH('Change in Employment'!B966), 1), ""), "mm/dd/yyyy")</f>
        <v/>
      </c>
      <c r="B959" s="25" t="str">
        <f>IF(ISNUMBER('Change in Employment'!I966), TEXT('Change in Employment'!I966, "0"), "")</f>
        <v/>
      </c>
      <c r="C959" s="25" t="str">
        <f>IF(ISNUMBER('Change in Employment'!J966),TEXT('Change in Employment'!J966, "0"),"")</f>
        <v/>
      </c>
    </row>
    <row r="960" spans="1:3">
      <c r="A960" s="23" t="str">
        <f>TEXT(IF('Change in Employment'!B967&lt;&gt;0,DATE(YEAR('Change in Employment'!B967), MONTH('Change in Employment'!B967), 1), ""), "mm/dd/yyyy")</f>
        <v/>
      </c>
      <c r="B960" s="25" t="str">
        <f>IF(ISNUMBER('Change in Employment'!I967), TEXT('Change in Employment'!I967, "0"), "")</f>
        <v/>
      </c>
      <c r="C960" s="25" t="str">
        <f>IF(ISNUMBER('Change in Employment'!J967),TEXT('Change in Employment'!J967, "0"),"")</f>
        <v/>
      </c>
    </row>
    <row r="961" spans="1:3">
      <c r="A961" s="23" t="str">
        <f>TEXT(IF('Change in Employment'!B968&lt;&gt;0,DATE(YEAR('Change in Employment'!B968), MONTH('Change in Employment'!B968), 1), ""), "mm/dd/yyyy")</f>
        <v/>
      </c>
      <c r="B961" s="25" t="str">
        <f>IF(ISNUMBER('Change in Employment'!I968), TEXT('Change in Employment'!I968, "0"), "")</f>
        <v/>
      </c>
      <c r="C961" s="25" t="str">
        <f>IF(ISNUMBER('Change in Employment'!J968),TEXT('Change in Employment'!J968, "0"),"")</f>
        <v/>
      </c>
    </row>
    <row r="962" spans="1:3">
      <c r="A962" s="23" t="str">
        <f>TEXT(IF('Change in Employment'!B969&lt;&gt;0,DATE(YEAR('Change in Employment'!B969), MONTH('Change in Employment'!B969), 1), ""), "mm/dd/yyyy")</f>
        <v/>
      </c>
      <c r="B962" s="25" t="str">
        <f>IF(ISNUMBER('Change in Employment'!I969), TEXT('Change in Employment'!I969, "0"), "")</f>
        <v/>
      </c>
      <c r="C962" s="25" t="str">
        <f>IF(ISNUMBER('Change in Employment'!J969),TEXT('Change in Employment'!J969, "0"),"")</f>
        <v/>
      </c>
    </row>
    <row r="963" spans="1:3">
      <c r="A963" s="23" t="str">
        <f>TEXT(IF('Change in Employment'!B970&lt;&gt;0,DATE(YEAR('Change in Employment'!B970), MONTH('Change in Employment'!B970), 1), ""), "mm/dd/yyyy")</f>
        <v/>
      </c>
      <c r="B963" s="25" t="str">
        <f>IF(ISNUMBER('Change in Employment'!I970), TEXT('Change in Employment'!I970, "0"), "")</f>
        <v/>
      </c>
      <c r="C963" s="25" t="str">
        <f>IF(ISNUMBER('Change in Employment'!J970),TEXT('Change in Employment'!J970, "0"),"")</f>
        <v/>
      </c>
    </row>
    <row r="964" spans="1:3">
      <c r="A964" s="23" t="str">
        <f>TEXT(IF('Change in Employment'!B971&lt;&gt;0,DATE(YEAR('Change in Employment'!B971), MONTH('Change in Employment'!B971), 1), ""), "mm/dd/yyyy")</f>
        <v/>
      </c>
      <c r="B964" s="25" t="str">
        <f>IF(ISNUMBER('Change in Employment'!I971), TEXT('Change in Employment'!I971, "0"), "")</f>
        <v/>
      </c>
      <c r="C964" s="25" t="str">
        <f>IF(ISNUMBER('Change in Employment'!J971),TEXT('Change in Employment'!J971, "0"),"")</f>
        <v/>
      </c>
    </row>
    <row r="965" spans="1:3">
      <c r="A965" s="23" t="str">
        <f>TEXT(IF('Change in Employment'!B972&lt;&gt;0,DATE(YEAR('Change in Employment'!B972), MONTH('Change in Employment'!B972), 1), ""), "mm/dd/yyyy")</f>
        <v/>
      </c>
      <c r="B965" s="25" t="str">
        <f>IF(ISNUMBER('Change in Employment'!I972), TEXT('Change in Employment'!I972, "0"), "")</f>
        <v/>
      </c>
      <c r="C965" s="25" t="str">
        <f>IF(ISNUMBER('Change in Employment'!J972),TEXT('Change in Employment'!J972, "0"),"")</f>
        <v/>
      </c>
    </row>
    <row r="966" spans="1:3">
      <c r="A966" s="23" t="str">
        <f>TEXT(IF('Change in Employment'!B973&lt;&gt;0,DATE(YEAR('Change in Employment'!B973), MONTH('Change in Employment'!B973), 1), ""), "mm/dd/yyyy")</f>
        <v/>
      </c>
      <c r="B966" s="25" t="str">
        <f>IF(ISNUMBER('Change in Employment'!I973), TEXT('Change in Employment'!I973, "0"), "")</f>
        <v/>
      </c>
      <c r="C966" s="25" t="str">
        <f>IF(ISNUMBER('Change in Employment'!J973),TEXT('Change in Employment'!J973, "0"),"")</f>
        <v/>
      </c>
    </row>
    <row r="967" spans="1:3">
      <c r="A967" s="23" t="str">
        <f>TEXT(IF('Change in Employment'!B974&lt;&gt;0,DATE(YEAR('Change in Employment'!B974), MONTH('Change in Employment'!B974), 1), ""), "mm/dd/yyyy")</f>
        <v/>
      </c>
      <c r="B967" s="25" t="str">
        <f>IF(ISNUMBER('Change in Employment'!I974), TEXT('Change in Employment'!I974, "0"), "")</f>
        <v/>
      </c>
      <c r="C967" s="25" t="str">
        <f>IF(ISNUMBER('Change in Employment'!J974),TEXT('Change in Employment'!J974, "0"),"")</f>
        <v/>
      </c>
    </row>
    <row r="968" spans="1:3">
      <c r="A968" s="23" t="str">
        <f>TEXT(IF('Change in Employment'!B975&lt;&gt;0,DATE(YEAR('Change in Employment'!B975), MONTH('Change in Employment'!B975), 1), ""), "mm/dd/yyyy")</f>
        <v/>
      </c>
      <c r="B968" s="25" t="str">
        <f>IF(ISNUMBER('Change in Employment'!I975), TEXT('Change in Employment'!I975, "0"), "")</f>
        <v/>
      </c>
      <c r="C968" s="25" t="str">
        <f>IF(ISNUMBER('Change in Employment'!J975),TEXT('Change in Employment'!J975, "0"),"")</f>
        <v/>
      </c>
    </row>
    <row r="969" spans="1:3">
      <c r="A969" s="23" t="str">
        <f>TEXT(IF('Change in Employment'!B976&lt;&gt;0,DATE(YEAR('Change in Employment'!B976), MONTH('Change in Employment'!B976), 1), ""), "mm/dd/yyyy")</f>
        <v/>
      </c>
      <c r="B969" s="25" t="str">
        <f>IF(ISNUMBER('Change in Employment'!I976), TEXT('Change in Employment'!I976, "0"), "")</f>
        <v/>
      </c>
      <c r="C969" s="25" t="str">
        <f>IF(ISNUMBER('Change in Employment'!J976),TEXT('Change in Employment'!J976, "0"),"")</f>
        <v/>
      </c>
    </row>
    <row r="970" spans="1:3">
      <c r="A970" s="23" t="str">
        <f>TEXT(IF('Change in Employment'!B977&lt;&gt;0,DATE(YEAR('Change in Employment'!B977), MONTH('Change in Employment'!B977), 1), ""), "mm/dd/yyyy")</f>
        <v/>
      </c>
      <c r="B970" s="25" t="str">
        <f>IF(ISNUMBER('Change in Employment'!I977), TEXT('Change in Employment'!I977, "0"), "")</f>
        <v/>
      </c>
      <c r="C970" s="25" t="str">
        <f>IF(ISNUMBER('Change in Employment'!J977),TEXT('Change in Employment'!J977, "0"),"")</f>
        <v/>
      </c>
    </row>
    <row r="971" spans="1:3">
      <c r="A971" s="23" t="str">
        <f>TEXT(IF('Change in Employment'!B978&lt;&gt;0,DATE(YEAR('Change in Employment'!B978), MONTH('Change in Employment'!B978), 1), ""), "mm/dd/yyyy")</f>
        <v/>
      </c>
      <c r="B971" s="25" t="str">
        <f>IF(ISNUMBER('Change in Employment'!I978), TEXT('Change in Employment'!I978, "0"), "")</f>
        <v/>
      </c>
      <c r="C971" s="25" t="str">
        <f>IF(ISNUMBER('Change in Employment'!J978),TEXT('Change in Employment'!J978, "0"),"")</f>
        <v/>
      </c>
    </row>
    <row r="972" spans="1:3">
      <c r="A972" s="23" t="str">
        <f>TEXT(IF('Change in Employment'!B979&lt;&gt;0,DATE(YEAR('Change in Employment'!B979), MONTH('Change in Employment'!B979), 1), ""), "mm/dd/yyyy")</f>
        <v/>
      </c>
      <c r="B972" s="25" t="str">
        <f>IF(ISNUMBER('Change in Employment'!I979), TEXT('Change in Employment'!I979, "0"), "")</f>
        <v/>
      </c>
      <c r="C972" s="25" t="str">
        <f>IF(ISNUMBER('Change in Employment'!J979),TEXT('Change in Employment'!J979, "0"),"")</f>
        <v/>
      </c>
    </row>
    <row r="973" spans="1:3">
      <c r="A973" s="23" t="str">
        <f>TEXT(IF('Change in Employment'!B980&lt;&gt;0,DATE(YEAR('Change in Employment'!B980), MONTH('Change in Employment'!B980), 1), ""), "mm/dd/yyyy")</f>
        <v/>
      </c>
      <c r="B973" s="25" t="str">
        <f>IF(ISNUMBER('Change in Employment'!I980), TEXT('Change in Employment'!I980, "0"), "")</f>
        <v/>
      </c>
      <c r="C973" s="25" t="str">
        <f>IF(ISNUMBER('Change in Employment'!J980),TEXT('Change in Employment'!J980, "0"),"")</f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C1088"/>
  <sheetViews>
    <sheetView workbookViewId="0"/>
  </sheetViews>
  <sheetFormatPr defaultRowHeight="15"/>
  <cols>
    <col min="1" max="1" width="10.42578125" style="23" bestFit="1" customWidth="1"/>
    <col min="2" max="2" width="13.5703125" style="23" bestFit="1" customWidth="1"/>
    <col min="3" max="3" width="13.7109375" style="23" bestFit="1" customWidth="1"/>
    <col min="4" max="16384" width="9.140625" style="23"/>
  </cols>
  <sheetData>
    <row r="1" spans="1:3">
      <c r="A1" s="23" t="s">
        <v>143</v>
      </c>
      <c r="B1" s="23" t="s">
        <v>369</v>
      </c>
      <c r="C1" s="23" t="s">
        <v>370</v>
      </c>
    </row>
    <row r="2" spans="1:3">
      <c r="A2" s="23" t="str">
        <f>TEXT(A3-31, "mm/dd/yyyy")</f>
        <v>12/01/2008</v>
      </c>
    </row>
    <row r="3" spans="1:3">
      <c r="A3" s="23" t="str">
        <f>TEXT(IF('Change in Employment'!B10&lt;&gt;0,DATE(YEAR('Change in Employment'!B10), MONTH('Change in Employment'!B10), 1), ""), "mm/dd/yyyy")</f>
        <v>01/01/2009</v>
      </c>
      <c r="B3" s="23">
        <f>IF(ISNUMBER('Change in Employment'!L10),'Change in Employment'!L10, "")</f>
        <v>7900.0000000000909</v>
      </c>
      <c r="C3" s="23" t="str">
        <f>IFERROR(IF(ISNUMBER('Change in Employment'!M10),TEXT('Change in Employment'!M10, "0"), ""), "")</f>
        <v>6500</v>
      </c>
    </row>
    <row r="4" spans="1:3">
      <c r="A4" s="23" t="str">
        <f>TEXT(IF('Change in Employment'!B11&lt;&gt;0,DATE(YEAR('Change in Employment'!B11), MONTH('Change in Employment'!B11), 1), ""), "mm/dd/yyyy")</f>
        <v>02/01/2009</v>
      </c>
      <c r="B4" s="23">
        <f>IF(ISNUMBER('Change in Employment'!L11),'Change in Employment'!L11, "")</f>
        <v>7699.9999999998181</v>
      </c>
      <c r="C4" s="23" t="str">
        <f>IFERROR(IF(ISNUMBER('Change in Employment'!M11),TEXT('Change in Employment'!M11, "0"), ""), "")</f>
        <v>6167</v>
      </c>
    </row>
    <row r="5" spans="1:3">
      <c r="A5" s="23" t="str">
        <f>TEXT(IF('Change in Employment'!B12&lt;&gt;0,DATE(YEAR('Change in Employment'!B12), MONTH('Change in Employment'!B12), 1), ""), "mm/dd/yyyy")</f>
        <v>03/01/2009</v>
      </c>
      <c r="B5" s="23">
        <f>IF(ISNUMBER('Change in Employment'!L12),'Change in Employment'!L12, "")</f>
        <v>800.0000000001819</v>
      </c>
      <c r="C5" s="23" t="str">
        <f>IFERROR(IF(ISNUMBER('Change in Employment'!M12),TEXT('Change in Employment'!M12, "0"), ""), "")</f>
        <v>5467</v>
      </c>
    </row>
    <row r="6" spans="1:3">
      <c r="A6" s="23" t="str">
        <f>TEXT(IF('Change in Employment'!B13&lt;&gt;0,DATE(YEAR('Change in Employment'!B13), MONTH('Change in Employment'!B13), 1), ""), "mm/dd/yyyy")</f>
        <v>04/01/2009</v>
      </c>
      <c r="B6" s="23">
        <f>IF(ISNUMBER('Change in Employment'!L13),'Change in Employment'!L13, "")</f>
        <v>11800.000000000182</v>
      </c>
      <c r="C6" s="23" t="str">
        <f>IFERROR(IF(ISNUMBER('Change in Employment'!M13),TEXT('Change in Employment'!M13, "0"), ""), "")</f>
        <v>6767</v>
      </c>
    </row>
    <row r="7" spans="1:3">
      <c r="A7" s="23" t="str">
        <f>TEXT(IF('Change in Employment'!B14&lt;&gt;0,DATE(YEAR('Change in Employment'!B14), MONTH('Change in Employment'!B14), 1), ""), "mm/dd/yyyy")</f>
        <v>05/01/2009</v>
      </c>
      <c r="B7" s="23">
        <f>IF(ISNUMBER('Change in Employment'!L14),'Change in Employment'!L14, "")</f>
        <v>7799.9999999997272</v>
      </c>
      <c r="C7" s="23" t="str">
        <f>IFERROR(IF(ISNUMBER('Change in Employment'!M14),TEXT('Change in Employment'!M14, "0"), ""), "")</f>
        <v>6800</v>
      </c>
    </row>
    <row r="8" spans="1:3">
      <c r="A8" s="23" t="str">
        <f>TEXT(IF('Change in Employment'!B15&lt;&gt;0,DATE(YEAR('Change in Employment'!B15), MONTH('Change in Employment'!B15), 1), ""), "mm/dd/yyyy")</f>
        <v>06/01/2009</v>
      </c>
      <c r="B8" s="23">
        <f>IF(ISNUMBER('Change in Employment'!L15),'Change in Employment'!L15, "")</f>
        <v>17400.000000000091</v>
      </c>
      <c r="C8" s="23" t="str">
        <f>IFERROR(IF(ISNUMBER('Change in Employment'!M15),TEXT('Change in Employment'!M15, "0"), ""), "")</f>
        <v>12333</v>
      </c>
    </row>
    <row r="9" spans="1:3">
      <c r="A9" s="23" t="str">
        <f>TEXT(IF('Change in Employment'!B16&lt;&gt;0,DATE(YEAR('Change in Employment'!B16), MONTH('Change in Employment'!B16), 1), ""), "mm/dd/yyyy")</f>
        <v>07/01/2009</v>
      </c>
      <c r="B9" s="23">
        <f>IF(ISNUMBER('Change in Employment'!L16),'Change in Employment'!L16, "")</f>
        <v>15800.000000000182</v>
      </c>
      <c r="C9" s="23" t="str">
        <f>IFERROR(IF(ISNUMBER('Change in Employment'!M16),TEXT('Change in Employment'!M16, "0"), ""), "")</f>
        <v>13667</v>
      </c>
    </row>
    <row r="10" spans="1:3">
      <c r="A10" s="23" t="str">
        <f>TEXT(IF('Change in Employment'!B17&lt;&gt;0,DATE(YEAR('Change in Employment'!B17), MONTH('Change in Employment'!B17), 1), ""), "mm/dd/yyyy")</f>
        <v>08/01/2009</v>
      </c>
      <c r="B10" s="23">
        <f>IF(ISNUMBER('Change in Employment'!L17),'Change in Employment'!L17, "")</f>
        <v>8899.9999999996362</v>
      </c>
      <c r="C10" s="23" t="str">
        <f>IFERROR(IF(ISNUMBER('Change in Employment'!M17),TEXT('Change in Employment'!M17, "0"), ""), "")</f>
        <v>14033</v>
      </c>
    </row>
    <row r="11" spans="1:3">
      <c r="A11" s="23" t="str">
        <f>TEXT(IF('Change in Employment'!B18&lt;&gt;0,DATE(YEAR('Change in Employment'!B18), MONTH('Change in Employment'!B18), 1), ""), "mm/dd/yyyy")</f>
        <v>09/01/2009</v>
      </c>
      <c r="B11" s="23">
        <f>IF(ISNUMBER('Change in Employment'!L18),'Change in Employment'!L18, "")</f>
        <v>3900.0000000000909</v>
      </c>
      <c r="C11" s="23" t="str">
        <f>IFERROR(IF(ISNUMBER('Change in Employment'!M18),TEXT('Change in Employment'!M18, "0"), ""), "")</f>
        <v>9533</v>
      </c>
    </row>
    <row r="12" spans="1:3">
      <c r="A12" s="23" t="str">
        <f>TEXT(IF('Change in Employment'!B19&lt;&gt;0,DATE(YEAR('Change in Employment'!B19), MONTH('Change in Employment'!B19), 1), ""), "mm/dd/yyyy")</f>
        <v>10/01/2009</v>
      </c>
      <c r="B12" s="23">
        <f>IF(ISNUMBER('Change in Employment'!L19),'Change in Employment'!L19, "")</f>
        <v>11000</v>
      </c>
      <c r="C12" s="23" t="str">
        <f>IFERROR(IF(ISNUMBER('Change in Employment'!M19),TEXT('Change in Employment'!M19, "0"), ""), "")</f>
        <v>7933</v>
      </c>
    </row>
    <row r="13" spans="1:3">
      <c r="A13" s="23" t="str">
        <f>TEXT(IF('Change in Employment'!B20&lt;&gt;0,DATE(YEAR('Change in Employment'!B20), MONTH('Change in Employment'!B20), 1), ""), "mm/dd/yyyy")</f>
        <v>11/01/2009</v>
      </c>
      <c r="B13" s="23">
        <f>IF(ISNUMBER('Change in Employment'!L20),'Change in Employment'!L20, "")</f>
        <v>6400.0000000000909</v>
      </c>
      <c r="C13" s="23" t="str">
        <f>IFERROR(IF(ISNUMBER('Change in Employment'!M20),TEXT('Change in Employment'!M20, "0"), ""), "")</f>
        <v>7100</v>
      </c>
    </row>
    <row r="14" spans="1:3">
      <c r="A14" s="23" t="str">
        <f>TEXT(IF('Change in Employment'!B21&lt;&gt;0,DATE(YEAR('Change in Employment'!B21), MONTH('Change in Employment'!B21), 1), ""), "mm/dd/yyyy")</f>
        <v>12/01/2009</v>
      </c>
      <c r="B14" s="23">
        <f>IF(ISNUMBER('Change in Employment'!L21),'Change in Employment'!L21, "")</f>
        <v>9199.9999999998181</v>
      </c>
      <c r="C14" s="23" t="str">
        <f>IFERROR(IF(ISNUMBER('Change in Employment'!M21),TEXT('Change in Employment'!M21, "0"), ""), "")</f>
        <v>8867</v>
      </c>
    </row>
    <row r="15" spans="1:3">
      <c r="A15" s="23" t="str">
        <f>TEXT(IF('Change in Employment'!B22&lt;&gt;0,DATE(YEAR('Change in Employment'!B22), MONTH('Change in Employment'!B22), 1), ""), "mm/dd/yyyy")</f>
        <v>01/01/2010</v>
      </c>
      <c r="B15" s="23">
        <f>IF(ISNUMBER('Change in Employment'!L22),'Change in Employment'!L22, "")</f>
        <v>5400.0000000000909</v>
      </c>
      <c r="C15" s="23" t="str">
        <f>IFERROR(IF(ISNUMBER('Change in Employment'!M22),TEXT('Change in Employment'!M22, "0"), ""), "")</f>
        <v>7000</v>
      </c>
    </row>
    <row r="16" spans="1:3">
      <c r="A16" s="23" t="str">
        <f>TEXT(IF('Change in Employment'!B23&lt;&gt;0,DATE(YEAR('Change in Employment'!B23), MONTH('Change in Employment'!B23), 1), ""), "mm/dd/yyyy")</f>
        <v>02/01/2010</v>
      </c>
      <c r="B16" s="23">
        <f>IF(ISNUMBER('Change in Employment'!L23),'Change in Employment'!L23, "")</f>
        <v>3700.0000000002728</v>
      </c>
      <c r="C16" s="23" t="str">
        <f>IFERROR(IF(ISNUMBER('Change in Employment'!M23),TEXT('Change in Employment'!M23, "0"), ""), "")</f>
        <v>6100</v>
      </c>
    </row>
    <row r="17" spans="1:3">
      <c r="A17" s="23" t="str">
        <f>TEXT(IF('Change in Employment'!B24&lt;&gt;0,DATE(YEAR('Change in Employment'!B24), MONTH('Change in Employment'!B24), 1), ""), "mm/dd/yyyy")</f>
        <v>03/01/2010</v>
      </c>
      <c r="B17" s="23">
        <f>IF(ISNUMBER('Change in Employment'!L24),'Change in Employment'!L24, "")</f>
        <v>6099.9999999999091</v>
      </c>
      <c r="C17" s="23" t="str">
        <f>IFERROR(IF(ISNUMBER('Change in Employment'!M24),TEXT('Change in Employment'!M24, "0"), ""), "")</f>
        <v>5067</v>
      </c>
    </row>
    <row r="18" spans="1:3">
      <c r="A18" s="23" t="str">
        <f>TEXT(IF('Change in Employment'!B25&lt;&gt;0,DATE(YEAR('Change in Employment'!B25), MONTH('Change in Employment'!B25), 1), ""), "mm/dd/yyyy")</f>
        <v>04/01/2010</v>
      </c>
      <c r="B18" s="23">
        <f>IF(ISNUMBER('Change in Employment'!L25),'Change in Employment'!L25, "")</f>
        <v>400.00000000009095</v>
      </c>
      <c r="C18" s="23" t="str">
        <f>IFERROR(IF(ISNUMBER('Change in Employment'!M25),TEXT('Change in Employment'!M25, "0"), ""), "")</f>
        <v>3400</v>
      </c>
    </row>
    <row r="19" spans="1:3">
      <c r="A19" s="23" t="str">
        <f>TEXT(IF('Change in Employment'!B26&lt;&gt;0,DATE(YEAR('Change in Employment'!B26), MONTH('Change in Employment'!B26), 1), ""), "mm/dd/yyyy")</f>
        <v>05/01/2010</v>
      </c>
      <c r="B19" s="23">
        <f>IF(ISNUMBER('Change in Employment'!L26),'Change in Employment'!L26, "")</f>
        <v>21299.999999999727</v>
      </c>
      <c r="C19" s="23" t="str">
        <f>IFERROR(IF(ISNUMBER('Change in Employment'!M26),TEXT('Change in Employment'!M26, "0"), ""), "")</f>
        <v>9267</v>
      </c>
    </row>
    <row r="20" spans="1:3">
      <c r="A20" s="23" t="str">
        <f>TEXT(IF('Change in Employment'!B27&lt;&gt;0,DATE(YEAR('Change in Employment'!B27), MONTH('Change in Employment'!B27), 1), ""), "mm/dd/yyyy")</f>
        <v>06/01/2010</v>
      </c>
      <c r="B20" s="23">
        <f>IF(ISNUMBER('Change in Employment'!L27),'Change in Employment'!L27, "")</f>
        <v>3099.9999999999091</v>
      </c>
      <c r="C20" s="23" t="str">
        <f>IFERROR(IF(ISNUMBER('Change in Employment'!M27),TEXT('Change in Employment'!M27, "0"), ""), "")</f>
        <v>8267</v>
      </c>
    </row>
    <row r="21" spans="1:3">
      <c r="A21" s="23" t="str">
        <f>TEXT(IF('Change in Employment'!B28&lt;&gt;0,DATE(YEAR('Change in Employment'!B28), MONTH('Change in Employment'!B28), 1), ""), "mm/dd/yyyy")</f>
        <v>07/01/2010</v>
      </c>
      <c r="B21" s="23">
        <f>IF(ISNUMBER('Change in Employment'!L28),'Change in Employment'!L28, "")</f>
        <v>6000</v>
      </c>
      <c r="C21" s="23" t="str">
        <f>IFERROR(IF(ISNUMBER('Change in Employment'!M28),TEXT('Change in Employment'!M28, "0"), ""), "")</f>
        <v>10133</v>
      </c>
    </row>
    <row r="22" spans="1:3">
      <c r="A22" s="23" t="str">
        <f>TEXT(IF('Change in Employment'!B29&lt;&gt;0,DATE(YEAR('Change in Employment'!B29), MONTH('Change in Employment'!B29), 1), ""), "mm/dd/yyyy")</f>
        <v>08/01/2010</v>
      </c>
      <c r="B22" s="23">
        <f>IF(ISNUMBER('Change in Employment'!L29),'Change in Employment'!L29, "")</f>
        <v>5700.0000000002728</v>
      </c>
      <c r="C22" s="23" t="str">
        <f>IFERROR(IF(ISNUMBER('Change in Employment'!M29),TEXT('Change in Employment'!M29, "0"), ""), "")</f>
        <v>4933</v>
      </c>
    </row>
    <row r="23" spans="1:3">
      <c r="A23" s="23" t="str">
        <f>TEXT(IF('Change in Employment'!B30&lt;&gt;0,DATE(YEAR('Change in Employment'!B30), MONTH('Change in Employment'!B30), 1), ""), "mm/dd/yyyy")</f>
        <v>09/01/2010</v>
      </c>
      <c r="B23" s="23">
        <f>IF(ISNUMBER('Change in Employment'!L30),'Change in Employment'!L30, "")</f>
        <v>1099.9999999999091</v>
      </c>
      <c r="C23" s="23" t="str">
        <f>IFERROR(IF(ISNUMBER('Change in Employment'!M30),TEXT('Change in Employment'!M30, "0"), ""), "")</f>
        <v>4267</v>
      </c>
    </row>
    <row r="24" spans="1:3">
      <c r="A24" s="23" t="str">
        <f>TEXT(IF('Change in Employment'!B31&lt;&gt;0,DATE(YEAR('Change in Employment'!B31), MONTH('Change in Employment'!B31), 1), ""), "mm/dd/yyyy")</f>
        <v>10/01/2010</v>
      </c>
      <c r="B24" s="23">
        <f>IF(ISNUMBER('Change in Employment'!L31),'Change in Employment'!L31, "")</f>
        <v>4599.9999999999091</v>
      </c>
      <c r="C24" s="23" t="str">
        <f>IFERROR(IF(ISNUMBER('Change in Employment'!M31),TEXT('Change in Employment'!M31, "0"), ""), "")</f>
        <v>3800</v>
      </c>
    </row>
    <row r="25" spans="1:3">
      <c r="A25" s="23" t="str">
        <f>TEXT(IF('Change in Employment'!B32&lt;&gt;0,DATE(YEAR('Change in Employment'!B32), MONTH('Change in Employment'!B32), 1), ""), "mm/dd/yyyy")</f>
        <v>11/01/2010</v>
      </c>
      <c r="B25" s="23">
        <f>IF(ISNUMBER('Change in Employment'!L32),'Change in Employment'!L32, "")</f>
        <v>2599.9999999999091</v>
      </c>
      <c r="C25" s="23" t="str">
        <f>IFERROR(IF(ISNUMBER('Change in Employment'!M32),TEXT('Change in Employment'!M32, "0"), ""), "")</f>
        <v>2767</v>
      </c>
    </row>
    <row r="26" spans="1:3">
      <c r="A26" s="23" t="str">
        <f>TEXT(IF('Change in Employment'!B33&lt;&gt;0,DATE(YEAR('Change in Employment'!B33), MONTH('Change in Employment'!B33), 1), ""), "mm/dd/yyyy")</f>
        <v>12/01/2010</v>
      </c>
      <c r="B26" s="23">
        <f>IF(ISNUMBER('Change in Employment'!L33),'Change in Employment'!L33, "")</f>
        <v>6100.0000000003638</v>
      </c>
      <c r="C26" s="23" t="str">
        <f>IFERROR(IF(ISNUMBER('Change in Employment'!M33),TEXT('Change in Employment'!M33, "0"), ""), "")</f>
        <v>4433</v>
      </c>
    </row>
    <row r="27" spans="1:3">
      <c r="A27" s="23" t="str">
        <f>TEXT(IF('Change in Employment'!B34&lt;&gt;0,DATE(YEAR('Change in Employment'!B34), MONTH('Change in Employment'!B34), 1), ""), "mm/dd/yyyy")</f>
        <v>01/01/2011</v>
      </c>
      <c r="B27" s="23">
        <f>IF(ISNUMBER('Change in Employment'!L34),'Change in Employment'!L34, "")</f>
        <v>5899.9999999996362</v>
      </c>
      <c r="C27" s="23" t="str">
        <f>IFERROR(IF(ISNUMBER('Change in Employment'!M34),TEXT('Change in Employment'!M34, "0"), ""), "")</f>
        <v>4867</v>
      </c>
    </row>
    <row r="28" spans="1:3">
      <c r="A28" s="23" t="str">
        <f>TEXT(IF('Change in Employment'!B35&lt;&gt;0,DATE(YEAR('Change in Employment'!B35), MONTH('Change in Employment'!B35), 1), ""), "mm/dd/yyyy")</f>
        <v>02/01/2011</v>
      </c>
      <c r="B28" s="23">
        <f>IF(ISNUMBER('Change in Employment'!L35),'Change in Employment'!L35, "")</f>
        <v>2600.0000000003638</v>
      </c>
      <c r="C28" s="23" t="str">
        <f>IFERROR(IF(ISNUMBER('Change in Employment'!M35),TEXT('Change in Employment'!M35, "0"), ""), "")</f>
        <v>4867</v>
      </c>
    </row>
    <row r="29" spans="1:3">
      <c r="A29" s="23" t="str">
        <f>TEXT(IF('Change in Employment'!B36&lt;&gt;0,DATE(YEAR('Change in Employment'!B36), MONTH('Change in Employment'!B36), 1), ""), "mm/dd/yyyy")</f>
        <v>03/01/2011</v>
      </c>
      <c r="B29" s="23">
        <f>IF(ISNUMBER('Change in Employment'!L36),'Change in Employment'!L36, "")</f>
        <v>3500</v>
      </c>
      <c r="C29" s="23" t="str">
        <f>IFERROR(IF(ISNUMBER('Change in Employment'!M36),TEXT('Change in Employment'!M36, "0"), ""), "")</f>
        <v>4000</v>
      </c>
    </row>
    <row r="30" spans="1:3">
      <c r="A30" s="23" t="str">
        <f>TEXT(IF('Change in Employment'!B37&lt;&gt;0,DATE(YEAR('Change in Employment'!B37), MONTH('Change in Employment'!B37), 1), ""), "mm/dd/yyyy")</f>
        <v>04/01/2011</v>
      </c>
      <c r="B30" s="23">
        <f>IF(ISNUMBER('Change in Employment'!L37),'Change in Employment'!L37, "")</f>
        <v>1599.9999999999091</v>
      </c>
      <c r="C30" s="23" t="str">
        <f>IFERROR(IF(ISNUMBER('Change in Employment'!M37),TEXT('Change in Employment'!M37, "0"), ""), "")</f>
        <v>2567</v>
      </c>
    </row>
    <row r="31" spans="1:3">
      <c r="A31" s="23" t="str">
        <f>TEXT(IF('Change in Employment'!B38&lt;&gt;0,DATE(YEAR('Change in Employment'!B38), MONTH('Change in Employment'!B38), 1), ""), "mm/dd/yyyy")</f>
        <v>05/01/2011</v>
      </c>
      <c r="B31" s="23">
        <f>IF(ISNUMBER('Change in Employment'!L38),'Change in Employment'!L38, "")</f>
        <v>1500</v>
      </c>
      <c r="C31" s="23" t="str">
        <f>IFERROR(IF(ISNUMBER('Change in Employment'!M38),TEXT('Change in Employment'!M38, "0"), ""), "")</f>
        <v>2200</v>
      </c>
    </row>
    <row r="32" spans="1:3">
      <c r="A32" s="23" t="str">
        <f>TEXT(IF('Change in Employment'!B39&lt;&gt;0,DATE(YEAR('Change in Employment'!B39), MONTH('Change in Employment'!B39), 1), ""), "mm/dd/yyyy")</f>
        <v>06/01/2011</v>
      </c>
      <c r="B32" s="23">
        <f>IF(ISNUMBER('Change in Employment'!L39),'Change in Employment'!L39, "")</f>
        <v>-8800.0000000001819</v>
      </c>
      <c r="C32" s="23" t="str">
        <f>IFERROR(IF(ISNUMBER('Change in Employment'!M39),TEXT('Change in Employment'!M39, "0"), ""), "")</f>
        <v>-1900</v>
      </c>
    </row>
    <row r="33" spans="1:3">
      <c r="A33" s="23" t="str">
        <f>TEXT(IF('Change in Employment'!B40&lt;&gt;0,DATE(YEAR('Change in Employment'!B40), MONTH('Change in Employment'!B40), 1), ""), "mm/dd/yyyy")</f>
        <v>07/01/2011</v>
      </c>
      <c r="B33" s="23">
        <f>IF(ISNUMBER('Change in Employment'!L40),'Change in Employment'!L40, "")</f>
        <v>-2299.9999999997272</v>
      </c>
      <c r="C33" s="23" t="str">
        <f>IFERROR(IF(ISNUMBER('Change in Employment'!M40),TEXT('Change in Employment'!M40, "0"), ""), "")</f>
        <v>-3200</v>
      </c>
    </row>
    <row r="34" spans="1:3">
      <c r="A34" s="23" t="str">
        <f>TEXT(IF('Change in Employment'!B41&lt;&gt;0,DATE(YEAR('Change in Employment'!B41), MONTH('Change in Employment'!B41), 1), ""), "mm/dd/yyyy")</f>
        <v>08/01/2011</v>
      </c>
      <c r="B34" s="23">
        <f>IF(ISNUMBER('Change in Employment'!L41),'Change in Employment'!L41, "")</f>
        <v>-1100.0000000003638</v>
      </c>
      <c r="C34" s="23" t="str">
        <f>IFERROR(IF(ISNUMBER('Change in Employment'!M41),TEXT('Change in Employment'!M41, "0"), ""), "")</f>
        <v>-4067</v>
      </c>
    </row>
    <row r="35" spans="1:3">
      <c r="A35" s="23" t="str">
        <f>TEXT(IF('Change in Employment'!B42&lt;&gt;0,DATE(YEAR('Change in Employment'!B42), MONTH('Change in Employment'!B42), 1), ""), "mm/dd/yyyy")</f>
        <v>09/01/2011</v>
      </c>
      <c r="B35" s="23">
        <f>IF(ISNUMBER('Change in Employment'!L42),'Change in Employment'!L42, "")</f>
        <v>-99.999999999909051</v>
      </c>
      <c r="C35" s="23" t="str">
        <f>IFERROR(IF(ISNUMBER('Change in Employment'!M42),TEXT('Change in Employment'!M42, "0"), ""), "")</f>
        <v>-1167</v>
      </c>
    </row>
    <row r="36" spans="1:3">
      <c r="A36" s="23" t="str">
        <f>TEXT(IF('Change in Employment'!B43&lt;&gt;0,DATE(YEAR('Change in Employment'!B43), MONTH('Change in Employment'!B43), 1), ""), "mm/dd/yyyy")</f>
        <v>10/01/2011</v>
      </c>
      <c r="B36" s="23">
        <f>IF(ISNUMBER('Change in Employment'!L43),'Change in Employment'!L43, "")</f>
        <v>-699.9999999998181</v>
      </c>
      <c r="C36" s="23" t="str">
        <f>IFERROR(IF(ISNUMBER('Change in Employment'!M43),TEXT('Change in Employment'!M43, "0"), ""), "")</f>
        <v>-633</v>
      </c>
    </row>
    <row r="37" spans="1:3">
      <c r="A37" s="23" t="str">
        <f>TEXT(IF('Change in Employment'!B44&lt;&gt;0,DATE(YEAR('Change in Employment'!B44), MONTH('Change in Employment'!B44), 1), ""), "mm/dd/yyyy")</f>
        <v>11/01/2011</v>
      </c>
      <c r="B37" s="23">
        <f>IF(ISNUMBER('Change in Employment'!L44),'Change in Employment'!L44, "")</f>
        <v>-3000</v>
      </c>
      <c r="C37" s="23" t="str">
        <f>IFERROR(IF(ISNUMBER('Change in Employment'!M44),TEXT('Change in Employment'!M44, "0"), ""), "")</f>
        <v>-1267</v>
      </c>
    </row>
    <row r="38" spans="1:3">
      <c r="A38" s="23" t="str">
        <f>TEXT(IF('Change in Employment'!B45&lt;&gt;0,DATE(YEAR('Change in Employment'!B45), MONTH('Change in Employment'!B45), 1), ""), "mm/dd/yyyy")</f>
        <v>12/01/2011</v>
      </c>
      <c r="B38" s="23">
        <f>IF(ISNUMBER('Change in Employment'!L45),'Change in Employment'!L45, "")</f>
        <v>-1500</v>
      </c>
      <c r="C38" s="23" t="str">
        <f>IFERROR(IF(ISNUMBER('Change in Employment'!M45),TEXT('Change in Employment'!M45, "0"), ""), "")</f>
        <v>-1733</v>
      </c>
    </row>
    <row r="39" spans="1:3">
      <c r="A39" s="23" t="str">
        <f>TEXT(IF('Change in Employment'!B46&lt;&gt;0,DATE(YEAR('Change in Employment'!B46), MONTH('Change in Employment'!B46), 1), ""), "mm/dd/yyyy")</f>
        <v>01/01/2012</v>
      </c>
      <c r="B39" s="23">
        <f>IF(ISNUMBER('Change in Employment'!L46),'Change in Employment'!L46, "")</f>
        <v>-5800.0000000001819</v>
      </c>
      <c r="C39" s="23" t="str">
        <f>IFERROR(IF(ISNUMBER('Change in Employment'!M46),TEXT('Change in Employment'!M46, "0"), ""), "")</f>
        <v>-3433</v>
      </c>
    </row>
    <row r="40" spans="1:3">
      <c r="A40" s="23" t="str">
        <f>TEXT(IF('Change in Employment'!B47&lt;&gt;0,DATE(YEAR('Change in Employment'!B47), MONTH('Change in Employment'!B47), 1), ""), "mm/dd/yyyy")</f>
        <v>02/01/2012</v>
      </c>
      <c r="B40" s="23">
        <f>IF(ISNUMBER('Change in Employment'!L47),'Change in Employment'!L47, "")</f>
        <v>-3699.9999999998181</v>
      </c>
      <c r="C40" s="23" t="str">
        <f>IFERROR(IF(ISNUMBER('Change in Employment'!M47),TEXT('Change in Employment'!M47, "0"), ""), "")</f>
        <v>-3667</v>
      </c>
    </row>
    <row r="41" spans="1:3">
      <c r="A41" s="23" t="str">
        <f>TEXT(IF('Change in Employment'!B48&lt;&gt;0,DATE(YEAR('Change in Employment'!B48), MONTH('Change in Employment'!B48), 1), ""), "mm/dd/yyyy")</f>
        <v>03/01/2012</v>
      </c>
      <c r="B41" s="23">
        <f>IF(ISNUMBER('Change in Employment'!L48),'Change in Employment'!L48, "")</f>
        <v>1400.0000000000909</v>
      </c>
      <c r="C41" s="23" t="str">
        <f>IFERROR(IF(ISNUMBER('Change in Employment'!M48),TEXT('Change in Employment'!M48, "0"), ""), "")</f>
        <v>-2700</v>
      </c>
    </row>
    <row r="42" spans="1:3">
      <c r="A42" s="23" t="str">
        <f>TEXT(IF('Change in Employment'!B49&lt;&gt;0,DATE(YEAR('Change in Employment'!B49), MONTH('Change in Employment'!B49), 1), ""), "mm/dd/yyyy")</f>
        <v>04/01/2012</v>
      </c>
      <c r="B42" s="23">
        <f>IF(ISNUMBER('Change in Employment'!L49),'Change in Employment'!L49, "")</f>
        <v>-700.00000000027285</v>
      </c>
      <c r="C42" s="23" t="str">
        <f>IFERROR(IF(ISNUMBER('Change in Employment'!M49),TEXT('Change in Employment'!M49, "0"), ""), "")</f>
        <v>-1000</v>
      </c>
    </row>
    <row r="43" spans="1:3">
      <c r="A43" s="23" t="str">
        <f>TEXT(IF('Change in Employment'!B50&lt;&gt;0,DATE(YEAR('Change in Employment'!B50), MONTH('Change in Employment'!B50), 1), ""), "mm/dd/yyyy")</f>
        <v>05/01/2012</v>
      </c>
      <c r="B43" s="23">
        <f>IF(ISNUMBER('Change in Employment'!L50),'Change in Employment'!L50, "")</f>
        <v>900.00000000009095</v>
      </c>
      <c r="C43" s="23" t="str">
        <f>IFERROR(IF(ISNUMBER('Change in Employment'!M50),TEXT('Change in Employment'!M50, "0"), ""), "")</f>
        <v>533</v>
      </c>
    </row>
    <row r="44" spans="1:3">
      <c r="A44" s="23" t="str">
        <f>TEXT(IF('Change in Employment'!B51&lt;&gt;0,DATE(YEAR('Change in Employment'!B51), MONTH('Change in Employment'!B51), 1), ""), "mm/dd/yyyy")</f>
        <v>06/01/2012</v>
      </c>
      <c r="B44" s="23">
        <f>IF(ISNUMBER('Change in Employment'!L51),'Change in Employment'!L51, "")</f>
        <v>-199.9999999998181</v>
      </c>
      <c r="C44" s="23" t="str">
        <f>IFERROR(IF(ISNUMBER('Change in Employment'!M51),TEXT('Change in Employment'!M51, "0"), ""), "")</f>
        <v>0</v>
      </c>
    </row>
    <row r="45" spans="1:3">
      <c r="A45" s="23" t="str">
        <f>TEXT(IF('Change in Employment'!B52&lt;&gt;0,DATE(YEAR('Change in Employment'!B52), MONTH('Change in Employment'!B52), 1), ""), "mm/dd/yyyy")</f>
        <v>07/01/2012</v>
      </c>
      <c r="B45" s="23">
        <f>IF(ISNUMBER('Change in Employment'!L52),'Change in Employment'!L52, "")</f>
        <v>-8400.0000000000909</v>
      </c>
      <c r="C45" s="23" t="str">
        <f>IFERROR(IF(ISNUMBER('Change in Employment'!M52),TEXT('Change in Employment'!M52, "0"), ""), "")</f>
        <v>-2567</v>
      </c>
    </row>
    <row r="46" spans="1:3">
      <c r="A46" s="23" t="str">
        <f>TEXT(IF('Change in Employment'!B53&lt;&gt;0,DATE(YEAR('Change in Employment'!B53), MONTH('Change in Employment'!B53), 1), ""), "mm/dd/yyyy")</f>
        <v>08/01/2012</v>
      </c>
      <c r="B46" s="23">
        <f>IF(ISNUMBER('Change in Employment'!L53),'Change in Employment'!L53, "")</f>
        <v>7199.9999999998181</v>
      </c>
      <c r="C46" s="23" t="str">
        <f>IFERROR(IF(ISNUMBER('Change in Employment'!M53),TEXT('Change in Employment'!M53, "0"), ""), "")</f>
        <v>-467</v>
      </c>
    </row>
    <row r="47" spans="1:3">
      <c r="A47" s="23" t="str">
        <f>TEXT(IF('Change in Employment'!B54&lt;&gt;0,DATE(YEAR('Change in Employment'!B54), MONTH('Change in Employment'!B54), 1), ""), "mm/dd/yyyy")</f>
        <v>09/01/2012</v>
      </c>
      <c r="B47" s="23">
        <f>IF(ISNUMBER('Change in Employment'!L54),'Change in Employment'!L54, "")</f>
        <v>6300.0000000001819</v>
      </c>
      <c r="C47" s="23" t="str">
        <f>IFERROR(IF(ISNUMBER('Change in Employment'!M54),TEXT('Change in Employment'!M54, "0"), ""), "")</f>
        <v>1700</v>
      </c>
    </row>
    <row r="48" spans="1:3">
      <c r="A48" s="23" t="str">
        <f>TEXT(IF('Change in Employment'!B55&lt;&gt;0,DATE(YEAR('Change in Employment'!B55), MONTH('Change in Employment'!B55), 1), ""), "mm/dd/yyyy")</f>
        <v>10/01/2012</v>
      </c>
      <c r="B48" s="23">
        <f>IF(ISNUMBER('Change in Employment'!L55),'Change in Employment'!L55, "")</f>
        <v>-3900.0000000000909</v>
      </c>
      <c r="C48" s="23" t="str">
        <f>IFERROR(IF(ISNUMBER('Change in Employment'!M55),TEXT('Change in Employment'!M55, "0"), ""), "")</f>
        <v>3200</v>
      </c>
    </row>
    <row r="49" spans="1:3">
      <c r="A49" s="23" t="str">
        <f>TEXT(IF('Change in Employment'!B56&lt;&gt;0,DATE(YEAR('Change in Employment'!B56), MONTH('Change in Employment'!B56), 1), ""), "mm/dd/yyyy")</f>
        <v>11/01/2012</v>
      </c>
      <c r="B49" s="23">
        <f>IF(ISNUMBER('Change in Employment'!L56),'Change in Employment'!L56, "")</f>
        <v>-599.99999999990905</v>
      </c>
      <c r="C49" s="23" t="str">
        <f>IFERROR(IF(ISNUMBER('Change in Employment'!M56),TEXT('Change in Employment'!M56, "0"), ""), "")</f>
        <v>600</v>
      </c>
    </row>
    <row r="50" spans="1:3">
      <c r="A50" s="23" t="str">
        <f>TEXT(IF('Change in Employment'!B57&lt;&gt;0,DATE(YEAR('Change in Employment'!B57), MONTH('Change in Employment'!B57), 1), ""), "mm/dd/yyyy")</f>
        <v>12/01/2012</v>
      </c>
      <c r="B50" s="23">
        <f>IF(ISNUMBER('Change in Employment'!L57),'Change in Employment'!L57, "")</f>
        <v>-1500</v>
      </c>
      <c r="C50" s="23" t="str">
        <f>IFERROR(IF(ISNUMBER('Change in Employment'!M57),TEXT('Change in Employment'!M57, "0"), ""), "")</f>
        <v>-2000</v>
      </c>
    </row>
    <row r="51" spans="1:3">
      <c r="A51" s="23" t="str">
        <f>TEXT(IF('Change in Employment'!B58&lt;&gt;0,DATE(YEAR('Change in Employment'!B58), MONTH('Change in Employment'!B58), 1), ""), "mm/dd/yyyy")</f>
        <v>01/01/2013</v>
      </c>
      <c r="B51" s="23">
        <f>IF(ISNUMBER('Change in Employment'!L58),'Change in Employment'!L58, "")</f>
        <v>-3900.0000000000909</v>
      </c>
      <c r="C51" s="23" t="str">
        <f>IFERROR(IF(ISNUMBER('Change in Employment'!M58),TEXT('Change in Employment'!M58, "0"), ""), "")</f>
        <v>-2000</v>
      </c>
    </row>
    <row r="52" spans="1:3">
      <c r="A52" s="23" t="str">
        <f>TEXT(IF('Change in Employment'!B59&lt;&gt;0,DATE(YEAR('Change in Employment'!B59), MONTH('Change in Employment'!B59), 1), ""), "mm/dd/yyyy")</f>
        <v>02/01/2013</v>
      </c>
      <c r="B52" s="23">
        <f>IF(ISNUMBER('Change in Employment'!L59),'Change in Employment'!L59, "")</f>
        <v>-2400.0000000000909</v>
      </c>
      <c r="C52" s="23" t="str">
        <f>IFERROR(IF(ISNUMBER('Change in Employment'!M59),TEXT('Change in Employment'!M59, "0"), ""), "")</f>
        <v>-2600</v>
      </c>
    </row>
    <row r="53" spans="1:3">
      <c r="A53" s="23" t="str">
        <f>TEXT(IF('Change in Employment'!B60&lt;&gt;0,DATE(YEAR('Change in Employment'!B60), MONTH('Change in Employment'!B60), 1), ""), "mm/dd/yyyy")</f>
        <v>03/01/2013</v>
      </c>
      <c r="B53" s="23">
        <f>IF(ISNUMBER('Change in Employment'!L60),'Change in Employment'!L60, "")</f>
        <v>-4099.9999999999091</v>
      </c>
      <c r="C53" s="23" t="str">
        <f>IFERROR(IF(ISNUMBER('Change in Employment'!M60),TEXT('Change in Employment'!M60, "0"), ""), "")</f>
        <v>-3467</v>
      </c>
    </row>
    <row r="54" spans="1:3">
      <c r="A54" s="23" t="str">
        <f>TEXT(IF('Change in Employment'!B61&lt;&gt;0,DATE(YEAR('Change in Employment'!B61), MONTH('Change in Employment'!B61), 1), ""), "mm/dd/yyyy")</f>
        <v>04/01/2013</v>
      </c>
      <c r="B54" s="23">
        <f>IF(ISNUMBER('Change in Employment'!L61),'Change in Employment'!L61, "")</f>
        <v>-9300.0000000001819</v>
      </c>
      <c r="C54" s="23" t="str">
        <f>IFERROR(IF(ISNUMBER('Change in Employment'!M61),TEXT('Change in Employment'!M61, "0"), ""), "")</f>
        <v>-5267</v>
      </c>
    </row>
    <row r="55" spans="1:3">
      <c r="A55" s="23" t="str">
        <f>TEXT(IF('Change in Employment'!B62&lt;&gt;0,DATE(YEAR('Change in Employment'!B62), MONTH('Change in Employment'!B62), 1), ""), "mm/dd/yyyy")</f>
        <v>05/01/2013</v>
      </c>
      <c r="B55" s="23">
        <f>IF(ISNUMBER('Change in Employment'!L62),'Change in Employment'!L62, "")</f>
        <v>-10699.999999999818</v>
      </c>
      <c r="C55" s="23" t="str">
        <f>IFERROR(IF(ISNUMBER('Change in Employment'!M62),TEXT('Change in Employment'!M62, "0"), ""), "")</f>
        <v>-8033</v>
      </c>
    </row>
    <row r="56" spans="1:3">
      <c r="A56" s="23" t="str">
        <f>TEXT(IF('Change in Employment'!B63&lt;&gt;0,DATE(YEAR('Change in Employment'!B63), MONTH('Change in Employment'!B63), 1), ""), "mm/dd/yyyy")</f>
        <v>06/01/2013</v>
      </c>
      <c r="B56" s="23">
        <f>IF(ISNUMBER('Change in Employment'!L63),'Change in Employment'!L63, "")</f>
        <v>-6800.0000000001819</v>
      </c>
      <c r="C56" s="23" t="str">
        <f>IFERROR(IF(ISNUMBER('Change in Employment'!M63),TEXT('Change in Employment'!M63, "0"), ""), "")</f>
        <v>-8933</v>
      </c>
    </row>
    <row r="57" spans="1:3">
      <c r="A57" s="23" t="str">
        <f>TEXT(IF('Change in Employment'!B64&lt;&gt;0,DATE(YEAR('Change in Employment'!B64), MONTH('Change in Employment'!B64), 1), ""), "mm/dd/yyyy")</f>
        <v>07/01/2013</v>
      </c>
      <c r="B57" s="23">
        <f>IF(ISNUMBER('Change in Employment'!L64),'Change in Employment'!L64, "")</f>
        <v>-7199.9999999998181</v>
      </c>
      <c r="C57" s="23" t="str">
        <f>IFERROR(IF(ISNUMBER('Change in Employment'!M64),TEXT('Change in Employment'!M64, "0"), ""), "")</f>
        <v>-8233</v>
      </c>
    </row>
    <row r="58" spans="1:3">
      <c r="A58" s="23" t="str">
        <f>TEXT(IF('Change in Employment'!B65&lt;&gt;0,DATE(YEAR('Change in Employment'!B65), MONTH('Change in Employment'!B65), 1), ""), "mm/dd/yyyy")</f>
        <v>08/01/2013</v>
      </c>
      <c r="B58" s="23">
        <f>IF(ISNUMBER('Change in Employment'!L65),'Change in Employment'!L65, "")</f>
        <v>-7900.0000000000909</v>
      </c>
      <c r="C58" s="23" t="str">
        <f>IFERROR(IF(ISNUMBER('Change in Employment'!M65),TEXT('Change in Employment'!M65, "0"), ""), "")</f>
        <v>-7300</v>
      </c>
    </row>
    <row r="59" spans="1:3">
      <c r="A59" s="23" t="str">
        <f>TEXT(IF('Change in Employment'!B66&lt;&gt;0,DATE(YEAR('Change in Employment'!B66), MONTH('Change in Employment'!B66), 1), ""), "mm/dd/yyyy")</f>
        <v>09/01/2013</v>
      </c>
      <c r="B59" s="23">
        <f>IF(ISNUMBER('Change in Employment'!L66),'Change in Employment'!L66, "")</f>
        <v>-4900.0000000000909</v>
      </c>
      <c r="C59" s="23" t="str">
        <f>IFERROR(IF(ISNUMBER('Change in Employment'!M66),TEXT('Change in Employment'!M66, "0"), ""), "")</f>
        <v>-6667</v>
      </c>
    </row>
    <row r="60" spans="1:3">
      <c r="A60" s="23" t="str">
        <f>TEXT(IF('Change in Employment'!B67&lt;&gt;0,DATE(YEAR('Change in Employment'!B67), MONTH('Change in Employment'!B67), 1), ""), "mm/dd/yyyy")</f>
        <v>10/01/2013</v>
      </c>
      <c r="B60" s="23">
        <f>IF(ISNUMBER('Change in Employment'!L67),'Change in Employment'!L67, "")</f>
        <v>-9299.9999999997272</v>
      </c>
      <c r="C60" s="23" t="str">
        <f>IFERROR(IF(ISNUMBER('Change in Employment'!M67),TEXT('Change in Employment'!M67, "0"), ""), "")</f>
        <v>-7367</v>
      </c>
    </row>
    <row r="61" spans="1:3">
      <c r="A61" s="23" t="str">
        <f>TEXT(IF('Change in Employment'!B68&lt;&gt;0,DATE(YEAR('Change in Employment'!B68), MONTH('Change in Employment'!B68), 1), ""), "mm/dd/yyyy")</f>
        <v>11/01/2013</v>
      </c>
      <c r="B61" s="23">
        <f>IF(ISNUMBER('Change in Employment'!L68),'Change in Employment'!L68, "")</f>
        <v>4199.9999999998181</v>
      </c>
      <c r="C61" s="23" t="str">
        <f>IFERROR(IF(ISNUMBER('Change in Employment'!M68),TEXT('Change in Employment'!M68, "0"), ""), "")</f>
        <v>-3333</v>
      </c>
    </row>
    <row r="62" spans="1:3">
      <c r="A62" s="23" t="str">
        <f>TEXT(IF('Change in Employment'!B69&lt;&gt;0,DATE(YEAR('Change in Employment'!B69), MONTH('Change in Employment'!B69), 1), ""), "mm/dd/yyyy")</f>
        <v>12/01/2013</v>
      </c>
      <c r="B62" s="23">
        <f>IF(ISNUMBER('Change in Employment'!L69),'Change in Employment'!L69, "")</f>
        <v>-6299.9999999997272</v>
      </c>
      <c r="C62" s="23" t="str">
        <f>IFERROR(IF(ISNUMBER('Change in Employment'!M69),TEXT('Change in Employment'!M69, "0"), ""), "")</f>
        <v>-3800</v>
      </c>
    </row>
    <row r="63" spans="1:3">
      <c r="A63" s="23" t="str">
        <f>TEXT(IF('Change in Employment'!B70&lt;&gt;0,DATE(YEAR('Change in Employment'!B70), MONTH('Change in Employment'!B70), 1), ""), "mm/dd/yyyy")</f>
        <v>01/01/2014</v>
      </c>
      <c r="B63" s="23">
        <f>IF(ISNUMBER('Change in Employment'!L70),'Change in Employment'!L70, "")</f>
        <v>-5600.0000000003638</v>
      </c>
      <c r="C63" s="23" t="str">
        <f>IFERROR(IF(ISNUMBER('Change in Employment'!M70),TEXT('Change in Employment'!M70, "0"), ""), "")</f>
        <v>-2567</v>
      </c>
    </row>
    <row r="64" spans="1:3">
      <c r="A64" s="23" t="str">
        <f>TEXT(IF('Change in Employment'!B71&lt;&gt;0,DATE(YEAR('Change in Employment'!B71), MONTH('Change in Employment'!B71), 1), ""), "mm/dd/yyyy")</f>
        <v>02/01/2014</v>
      </c>
      <c r="B64" s="23">
        <f>IF(ISNUMBER('Change in Employment'!L71),'Change in Employment'!L71, "")</f>
        <v>-6299.9999999997272</v>
      </c>
      <c r="C64" s="23" t="str">
        <f>IFERROR(IF(ISNUMBER('Change in Employment'!M71),TEXT('Change in Employment'!M71, "0"), ""), "")</f>
        <v>-6067</v>
      </c>
    </row>
    <row r="65" spans="1:3">
      <c r="A65" s="23" t="str">
        <f>TEXT(IF('Change in Employment'!B72&lt;&gt;0,DATE(YEAR('Change in Employment'!B72), MONTH('Change in Employment'!B72), 1), ""), "mm/dd/yyyy")</f>
        <v>03/01/2014</v>
      </c>
      <c r="B65" s="23">
        <f>IF(ISNUMBER('Change in Employment'!L72),'Change in Employment'!L72, "")</f>
        <v>-4000</v>
      </c>
      <c r="C65" s="23" t="str">
        <f>IFERROR(IF(ISNUMBER('Change in Employment'!M72),TEXT('Change in Employment'!M72, "0"), ""), "")</f>
        <v>-5300</v>
      </c>
    </row>
    <row r="66" spans="1:3">
      <c r="A66" s="23" t="str">
        <f>TEXT(IF('Change in Employment'!B73&lt;&gt;0,DATE(YEAR('Change in Employment'!B73), MONTH('Change in Employment'!B73), 1), ""), "mm/dd/yyyy")</f>
        <v>04/01/2014</v>
      </c>
      <c r="B66" s="23">
        <f>IF(ISNUMBER('Change in Employment'!L73),'Change in Employment'!L73, "")</f>
        <v>-2800.0000000001819</v>
      </c>
      <c r="C66" s="23" t="str">
        <f>IFERROR(IF(ISNUMBER('Change in Employment'!M73),TEXT('Change in Employment'!M73, "0"), ""), "")</f>
        <v>-4367</v>
      </c>
    </row>
    <row r="67" spans="1:3">
      <c r="A67" s="23" t="str">
        <f>TEXT(IF('Change in Employment'!B74&lt;&gt;0,DATE(YEAR('Change in Employment'!B74), MONTH('Change in Employment'!B74), 1), ""), "mm/dd/yyyy")</f>
        <v>05/01/2014</v>
      </c>
      <c r="B67" s="23">
        <f>IF(ISNUMBER('Change in Employment'!L74),'Change in Employment'!L74, "")</f>
        <v>200.00000000027285</v>
      </c>
      <c r="C67" s="23" t="str">
        <f>IFERROR(IF(ISNUMBER('Change in Employment'!M74),TEXT('Change in Employment'!M74, "0"), ""), "")</f>
        <v>-2200</v>
      </c>
    </row>
    <row r="68" spans="1:3">
      <c r="A68" s="23" t="str">
        <f>TEXT(IF('Change in Employment'!B75&lt;&gt;0,DATE(YEAR('Change in Employment'!B75), MONTH('Change in Employment'!B75), 1), ""), "mm/dd/yyyy")</f>
        <v>06/01/2014</v>
      </c>
      <c r="B68" s="23">
        <f>IF(ISNUMBER('Change in Employment'!L75),'Change in Employment'!L75, "")</f>
        <v>199.9999999998181</v>
      </c>
      <c r="C68" s="23" t="str">
        <f>IFERROR(IF(ISNUMBER('Change in Employment'!M75),TEXT('Change in Employment'!M75, "0"), ""), "")</f>
        <v>-800</v>
      </c>
    </row>
    <row r="69" spans="1:3">
      <c r="A69" s="23" t="str">
        <f>TEXT(IF('Change in Employment'!B76&lt;&gt;0,DATE(YEAR('Change in Employment'!B76), MONTH('Change in Employment'!B76), 1), ""), "mm/dd/yyyy")</f>
        <v>07/01/2014</v>
      </c>
      <c r="B69" s="23">
        <f>IF(ISNUMBER('Change in Employment'!L76),'Change in Employment'!L76, "")</f>
        <v>1599.9999999999091</v>
      </c>
      <c r="C69" s="23" t="str">
        <f>IFERROR(IF(ISNUMBER('Change in Employment'!M76),TEXT('Change in Employment'!M76, "0"), ""), "")</f>
        <v>667</v>
      </c>
    </row>
    <row r="70" spans="1:3">
      <c r="A70" s="23" t="str">
        <f>TEXT(IF('Change in Employment'!B77&lt;&gt;0,DATE(YEAR('Change in Employment'!B77), MONTH('Change in Employment'!B77), 1), ""), "mm/dd/yyyy")</f>
        <v>08/01/2014</v>
      </c>
      <c r="B70" s="23">
        <f>IF(ISNUMBER('Change in Employment'!L77),'Change in Employment'!L77, "")</f>
        <v>1099.9999999999091</v>
      </c>
      <c r="C70" s="23" t="str">
        <f>IFERROR(IF(ISNUMBER('Change in Employment'!M77),TEXT('Change in Employment'!M77, "0"), ""), "")</f>
        <v>967</v>
      </c>
    </row>
    <row r="71" spans="1:3">
      <c r="A71" s="23" t="str">
        <f>TEXT(IF('Change in Employment'!B78&lt;&gt;0,DATE(YEAR('Change in Employment'!B78), MONTH('Change in Employment'!B78), 1), ""), "mm/dd/yyyy")</f>
        <v/>
      </c>
      <c r="B71" s="23" t="str">
        <f>IF(ISNUMBER('Change in Employment'!L78),'Change in Employment'!L78, "")</f>
        <v/>
      </c>
      <c r="C71" s="23" t="str">
        <f>IFERROR(IF(ISNUMBER('Change in Employment'!M78),TEXT('Change in Employment'!M78, "0"), ""), "")</f>
        <v/>
      </c>
    </row>
    <row r="72" spans="1:3">
      <c r="A72" s="23" t="str">
        <f>TEXT(IF('Change in Employment'!B79&lt;&gt;0,DATE(YEAR('Change in Employment'!B79), MONTH('Change in Employment'!B79), 1), ""), "mm/dd/yyyy")</f>
        <v/>
      </c>
      <c r="B72" s="23" t="str">
        <f>IF(ISNUMBER('Change in Employment'!L79),'Change in Employment'!L79, "")</f>
        <v/>
      </c>
      <c r="C72" s="23" t="str">
        <f>IFERROR(IF(ISNUMBER('Change in Employment'!M79),TEXT('Change in Employment'!M79, "0"), ""), "")</f>
        <v/>
      </c>
    </row>
    <row r="73" spans="1:3">
      <c r="A73" s="23" t="str">
        <f>TEXT(IF('Change in Employment'!B80&lt;&gt;0,DATE(YEAR('Change in Employment'!B80), MONTH('Change in Employment'!B80), 1), ""), "mm/dd/yyyy")</f>
        <v/>
      </c>
      <c r="B73" s="23" t="str">
        <f>IF(ISNUMBER('Change in Employment'!L80),'Change in Employment'!L80, "")</f>
        <v/>
      </c>
      <c r="C73" s="23" t="str">
        <f>IFERROR(IF(ISNUMBER('Change in Employment'!M80),TEXT('Change in Employment'!M80, "0"), ""), "")</f>
        <v/>
      </c>
    </row>
    <row r="74" spans="1:3">
      <c r="A74" s="23" t="str">
        <f>TEXT(IF('Change in Employment'!B81&lt;&gt;0,DATE(YEAR('Change in Employment'!B81), MONTH('Change in Employment'!B81), 1), ""), "mm/dd/yyyy")</f>
        <v/>
      </c>
      <c r="B74" s="23" t="str">
        <f>IF(ISNUMBER('Change in Employment'!L81),'Change in Employment'!L81, "")</f>
        <v/>
      </c>
      <c r="C74" s="23" t="str">
        <f>IFERROR(IF(ISNUMBER('Change in Employment'!M81),TEXT('Change in Employment'!M81, "0"), ""), "")</f>
        <v/>
      </c>
    </row>
    <row r="75" spans="1:3">
      <c r="A75" s="23" t="str">
        <f>TEXT(IF('Change in Employment'!B82&lt;&gt;0,DATE(YEAR('Change in Employment'!B82), MONTH('Change in Employment'!B82), 1), ""), "mm/dd/yyyy")</f>
        <v/>
      </c>
      <c r="B75" s="23" t="str">
        <f>IF(ISNUMBER('Change in Employment'!L82),'Change in Employment'!L82, "")</f>
        <v/>
      </c>
      <c r="C75" s="23" t="str">
        <f>IFERROR(IF(ISNUMBER('Change in Employment'!M82),TEXT('Change in Employment'!M82, "0"), ""), "")</f>
        <v/>
      </c>
    </row>
    <row r="76" spans="1:3">
      <c r="A76" s="23" t="str">
        <f>TEXT(IF('Change in Employment'!B83&lt;&gt;0,DATE(YEAR('Change in Employment'!B83), MONTH('Change in Employment'!B83), 1), ""), "mm/dd/yyyy")</f>
        <v/>
      </c>
      <c r="B76" s="23" t="str">
        <f>IF(ISNUMBER('Change in Employment'!L83),'Change in Employment'!L83, "")</f>
        <v/>
      </c>
      <c r="C76" s="23" t="str">
        <f>IFERROR(IF(ISNUMBER('Change in Employment'!M83),TEXT('Change in Employment'!M83, "0"), ""), "")</f>
        <v/>
      </c>
    </row>
    <row r="77" spans="1:3">
      <c r="A77" s="23" t="str">
        <f>TEXT(IF('Change in Employment'!B84&lt;&gt;0,DATE(YEAR('Change in Employment'!B84), MONTH('Change in Employment'!B84), 1), ""), "mm/dd/yyyy")</f>
        <v/>
      </c>
      <c r="B77" s="23" t="str">
        <f>IF(ISNUMBER('Change in Employment'!L84),'Change in Employment'!L84, "")</f>
        <v/>
      </c>
      <c r="C77" s="23" t="str">
        <f>IFERROR(IF(ISNUMBER('Change in Employment'!M84),TEXT('Change in Employment'!M84, "0"), ""), "")</f>
        <v/>
      </c>
    </row>
    <row r="78" spans="1:3">
      <c r="A78" s="23" t="str">
        <f>TEXT(IF('Change in Employment'!B85&lt;&gt;0,DATE(YEAR('Change in Employment'!B85), MONTH('Change in Employment'!B85), 1), ""), "mm/dd/yyyy")</f>
        <v/>
      </c>
      <c r="B78" s="23" t="str">
        <f>IF(ISNUMBER('Change in Employment'!L85),'Change in Employment'!L85, "")</f>
        <v/>
      </c>
      <c r="C78" s="23" t="str">
        <f>IFERROR(IF(ISNUMBER('Change in Employment'!M85),TEXT('Change in Employment'!M85, "0"), ""), "")</f>
        <v/>
      </c>
    </row>
    <row r="79" spans="1:3">
      <c r="A79" s="23" t="str">
        <f>TEXT(IF('Change in Employment'!B86&lt;&gt;0,DATE(YEAR('Change in Employment'!B86), MONTH('Change in Employment'!B86), 1), ""), "mm/dd/yyyy")</f>
        <v/>
      </c>
      <c r="B79" s="23" t="str">
        <f>IF(ISNUMBER('Change in Employment'!L86),'Change in Employment'!L86, "")</f>
        <v/>
      </c>
      <c r="C79" s="23" t="str">
        <f>IFERROR(IF(ISNUMBER('Change in Employment'!M86),TEXT('Change in Employment'!M86, "0"), ""), "")</f>
        <v/>
      </c>
    </row>
    <row r="80" spans="1:3">
      <c r="A80" s="23" t="str">
        <f>TEXT(IF('Change in Employment'!B87&lt;&gt;0,DATE(YEAR('Change in Employment'!B87), MONTH('Change in Employment'!B87), 1), ""), "mm/dd/yyyy")</f>
        <v/>
      </c>
      <c r="B80" s="23" t="str">
        <f>IF(ISNUMBER('Change in Employment'!L87),'Change in Employment'!L87, "")</f>
        <v/>
      </c>
      <c r="C80" s="23" t="str">
        <f>IFERROR(IF(ISNUMBER('Change in Employment'!M87),TEXT('Change in Employment'!M87, "0"), ""), "")</f>
        <v/>
      </c>
    </row>
    <row r="81" spans="1:3">
      <c r="A81" s="23" t="str">
        <f>TEXT(IF('Change in Employment'!B88&lt;&gt;0,DATE(YEAR('Change in Employment'!B88), MONTH('Change in Employment'!B88), 1), ""), "mm/dd/yyyy")</f>
        <v/>
      </c>
      <c r="B81" s="23" t="str">
        <f>IF(ISNUMBER('Change in Employment'!L88),'Change in Employment'!L88, "")</f>
        <v/>
      </c>
      <c r="C81" s="23" t="str">
        <f>IFERROR(IF(ISNUMBER('Change in Employment'!M88),TEXT('Change in Employment'!M88, "0"), ""), "")</f>
        <v/>
      </c>
    </row>
    <row r="82" spans="1:3">
      <c r="A82" s="23" t="str">
        <f>TEXT(IF('Change in Employment'!B89&lt;&gt;0,DATE(YEAR('Change in Employment'!B89), MONTH('Change in Employment'!B89), 1), ""), "mm/dd/yyyy")</f>
        <v/>
      </c>
      <c r="B82" s="23" t="str">
        <f>IF(ISNUMBER('Change in Employment'!L89),'Change in Employment'!L89, "")</f>
        <v/>
      </c>
      <c r="C82" s="23" t="str">
        <f>IFERROR(IF(ISNUMBER('Change in Employment'!M89),TEXT('Change in Employment'!M89, "0"), ""), "")</f>
        <v/>
      </c>
    </row>
    <row r="83" spans="1:3">
      <c r="A83" s="23" t="str">
        <f>TEXT(IF('Change in Employment'!B90&lt;&gt;0,DATE(YEAR('Change in Employment'!B90), MONTH('Change in Employment'!B90), 1), ""), "mm/dd/yyyy")</f>
        <v/>
      </c>
      <c r="B83" s="23" t="str">
        <f>IF(ISNUMBER('Change in Employment'!L90),'Change in Employment'!L90, "")</f>
        <v/>
      </c>
      <c r="C83" s="23" t="str">
        <f>IFERROR(IF(ISNUMBER('Change in Employment'!M90),TEXT('Change in Employment'!M90, "0"), ""), "")</f>
        <v/>
      </c>
    </row>
    <row r="84" spans="1:3">
      <c r="A84" s="23" t="str">
        <f>TEXT(IF('Change in Employment'!B91&lt;&gt;0,DATE(YEAR('Change in Employment'!B91), MONTH('Change in Employment'!B91), 1), ""), "mm/dd/yyyy")</f>
        <v/>
      </c>
      <c r="B84" s="23" t="str">
        <f>IF(ISNUMBER('Change in Employment'!L91),'Change in Employment'!L91, "")</f>
        <v/>
      </c>
      <c r="C84" s="23" t="str">
        <f>IFERROR(IF(ISNUMBER('Change in Employment'!M91),TEXT('Change in Employment'!M91, "0"), ""), "")</f>
        <v/>
      </c>
    </row>
    <row r="85" spans="1:3">
      <c r="A85" s="23" t="str">
        <f>TEXT(IF('Change in Employment'!B92&lt;&gt;0,DATE(YEAR('Change in Employment'!B92), MONTH('Change in Employment'!B92), 1), ""), "mm/dd/yyyy")</f>
        <v/>
      </c>
      <c r="B85" s="23" t="str">
        <f>IF(ISNUMBER('Change in Employment'!L92),'Change in Employment'!L92, "")</f>
        <v/>
      </c>
      <c r="C85" s="23" t="str">
        <f>IFERROR(IF(ISNUMBER('Change in Employment'!M92),TEXT('Change in Employment'!M92, "0"), ""), "")</f>
        <v/>
      </c>
    </row>
    <row r="86" spans="1:3">
      <c r="A86" s="23" t="str">
        <f>TEXT(IF('Change in Employment'!B93&lt;&gt;0,DATE(YEAR('Change in Employment'!B93), MONTH('Change in Employment'!B93), 1), ""), "mm/dd/yyyy")</f>
        <v/>
      </c>
      <c r="B86" s="23" t="str">
        <f>IF(ISNUMBER('Change in Employment'!L93),'Change in Employment'!L93, "")</f>
        <v/>
      </c>
      <c r="C86" s="23" t="str">
        <f>IFERROR(IF(ISNUMBER('Change in Employment'!M93),TEXT('Change in Employment'!M93, "0"), ""), "")</f>
        <v/>
      </c>
    </row>
    <row r="87" spans="1:3">
      <c r="A87" s="23" t="str">
        <f>TEXT(IF('Change in Employment'!B94&lt;&gt;0,DATE(YEAR('Change in Employment'!B94), MONTH('Change in Employment'!B94), 1), ""), "mm/dd/yyyy")</f>
        <v/>
      </c>
      <c r="B87" s="23" t="str">
        <f>IF(ISNUMBER('Change in Employment'!L94),'Change in Employment'!L94, "")</f>
        <v/>
      </c>
      <c r="C87" s="23" t="str">
        <f>IFERROR(IF(ISNUMBER('Change in Employment'!M94),TEXT('Change in Employment'!M94, "0"), ""), "")</f>
        <v/>
      </c>
    </row>
    <row r="88" spans="1:3">
      <c r="A88" s="23" t="str">
        <f>TEXT(IF('Change in Employment'!B95&lt;&gt;0,DATE(YEAR('Change in Employment'!B95), MONTH('Change in Employment'!B95), 1), ""), "mm/dd/yyyy")</f>
        <v/>
      </c>
      <c r="B88" s="23" t="str">
        <f>IF(ISNUMBER('Change in Employment'!L95),'Change in Employment'!L95, "")</f>
        <v/>
      </c>
      <c r="C88" s="23" t="str">
        <f>IFERROR(IF(ISNUMBER('Change in Employment'!M95),TEXT('Change in Employment'!M95, "0"), ""), "")</f>
        <v/>
      </c>
    </row>
    <row r="89" spans="1:3">
      <c r="A89" s="23" t="str">
        <f>TEXT(IF('Change in Employment'!B96&lt;&gt;0,DATE(YEAR('Change in Employment'!B96), MONTH('Change in Employment'!B96), 1), ""), "mm/dd/yyyy")</f>
        <v/>
      </c>
      <c r="B89" s="23" t="str">
        <f>IF(ISNUMBER('Change in Employment'!L96),'Change in Employment'!L96, "")</f>
        <v/>
      </c>
      <c r="C89" s="23" t="str">
        <f>IFERROR(IF(ISNUMBER('Change in Employment'!M96),TEXT('Change in Employment'!M96, "0"), ""), "")</f>
        <v/>
      </c>
    </row>
    <row r="90" spans="1:3">
      <c r="A90" s="23" t="str">
        <f>TEXT(IF('Change in Employment'!B97&lt;&gt;0,DATE(YEAR('Change in Employment'!B97), MONTH('Change in Employment'!B97), 1), ""), "mm/dd/yyyy")</f>
        <v/>
      </c>
      <c r="B90" s="23" t="str">
        <f>IF(ISNUMBER('Change in Employment'!L97),'Change in Employment'!L97, "")</f>
        <v/>
      </c>
      <c r="C90" s="23" t="str">
        <f>IFERROR(IF(ISNUMBER('Change in Employment'!M97),TEXT('Change in Employment'!M97, "0"), ""), "")</f>
        <v/>
      </c>
    </row>
    <row r="91" spans="1:3">
      <c r="A91" s="23" t="str">
        <f>TEXT(IF('Change in Employment'!B98&lt;&gt;0,DATE(YEAR('Change in Employment'!B98), MONTH('Change in Employment'!B98), 1), ""), "mm/dd/yyyy")</f>
        <v/>
      </c>
      <c r="B91" s="23" t="str">
        <f>IF(ISNUMBER('Change in Employment'!L98),'Change in Employment'!L98, "")</f>
        <v/>
      </c>
      <c r="C91" s="23" t="str">
        <f>IFERROR(IF(ISNUMBER('Change in Employment'!M98),TEXT('Change in Employment'!M98, "0"), ""), "")</f>
        <v/>
      </c>
    </row>
    <row r="92" spans="1:3">
      <c r="A92" s="23" t="str">
        <f>TEXT(IF('Change in Employment'!B99&lt;&gt;0,DATE(YEAR('Change in Employment'!B99), MONTH('Change in Employment'!B99), 1), ""), "mm/dd/yyyy")</f>
        <v/>
      </c>
      <c r="B92" s="23" t="str">
        <f>IF(ISNUMBER('Change in Employment'!L99),'Change in Employment'!L99, "")</f>
        <v/>
      </c>
      <c r="C92" s="23" t="str">
        <f>IFERROR(IF(ISNUMBER('Change in Employment'!M99),TEXT('Change in Employment'!M99, "0"), ""), "")</f>
        <v/>
      </c>
    </row>
    <row r="93" spans="1:3">
      <c r="A93" s="23" t="str">
        <f>TEXT(IF('Change in Employment'!B100&lt;&gt;0,DATE(YEAR('Change in Employment'!B100), MONTH('Change in Employment'!B100), 1), ""), "mm/dd/yyyy")</f>
        <v/>
      </c>
      <c r="B93" s="23" t="str">
        <f>IF(ISNUMBER('Change in Employment'!L100),'Change in Employment'!L100, "")</f>
        <v/>
      </c>
      <c r="C93" s="23" t="str">
        <f>IFERROR(IF(ISNUMBER('Change in Employment'!M100),TEXT('Change in Employment'!M100, "0"), ""), "")</f>
        <v/>
      </c>
    </row>
    <row r="94" spans="1:3">
      <c r="A94" s="23" t="str">
        <f>TEXT(IF('Change in Employment'!B101&lt;&gt;0,DATE(YEAR('Change in Employment'!B101), MONTH('Change in Employment'!B101), 1), ""), "mm/dd/yyyy")</f>
        <v/>
      </c>
      <c r="B94" s="23" t="str">
        <f>IF(ISNUMBER('Change in Employment'!L101),'Change in Employment'!L101, "")</f>
        <v/>
      </c>
      <c r="C94" s="23" t="str">
        <f>IFERROR(IF(ISNUMBER('Change in Employment'!M101),TEXT('Change in Employment'!M101, "0"), ""), "")</f>
        <v/>
      </c>
    </row>
    <row r="95" spans="1:3">
      <c r="A95" s="23" t="str">
        <f>TEXT(IF('Change in Employment'!B102&lt;&gt;0,DATE(YEAR('Change in Employment'!B102), MONTH('Change in Employment'!B102), 1), ""), "mm/dd/yyyy")</f>
        <v/>
      </c>
      <c r="B95" s="23" t="str">
        <f>IF(ISNUMBER('Change in Employment'!L102),'Change in Employment'!L102, "")</f>
        <v/>
      </c>
      <c r="C95" s="23" t="str">
        <f>IFERROR(IF(ISNUMBER('Change in Employment'!M102),TEXT('Change in Employment'!M102, "0"), ""), "")</f>
        <v/>
      </c>
    </row>
    <row r="96" spans="1:3">
      <c r="A96" s="23" t="str">
        <f>TEXT(IF('Change in Employment'!B103&lt;&gt;0,DATE(YEAR('Change in Employment'!B103), MONTH('Change in Employment'!B103), 1), ""), "mm/dd/yyyy")</f>
        <v/>
      </c>
      <c r="B96" s="23" t="str">
        <f>IF(ISNUMBER('Change in Employment'!L103),'Change in Employment'!L103, "")</f>
        <v/>
      </c>
      <c r="C96" s="23" t="str">
        <f>IFERROR(IF(ISNUMBER('Change in Employment'!M103),TEXT('Change in Employment'!M103, "0"), ""), "")</f>
        <v/>
      </c>
    </row>
    <row r="97" spans="1:3">
      <c r="A97" s="23" t="str">
        <f>TEXT(IF('Change in Employment'!B104&lt;&gt;0,DATE(YEAR('Change in Employment'!B104), MONTH('Change in Employment'!B104), 1), ""), "mm/dd/yyyy")</f>
        <v/>
      </c>
      <c r="B97" s="23" t="str">
        <f>IF(ISNUMBER('Change in Employment'!L104),'Change in Employment'!L104, "")</f>
        <v/>
      </c>
      <c r="C97" s="23" t="str">
        <f>IFERROR(IF(ISNUMBER('Change in Employment'!M104),TEXT('Change in Employment'!M104, "0"), ""), "")</f>
        <v/>
      </c>
    </row>
    <row r="98" spans="1:3">
      <c r="A98" s="23" t="str">
        <f>TEXT(IF('Change in Employment'!B105&lt;&gt;0,DATE(YEAR('Change in Employment'!B105), MONTH('Change in Employment'!B105), 1), ""), "mm/dd/yyyy")</f>
        <v/>
      </c>
      <c r="B98" s="23" t="str">
        <f>IF(ISNUMBER('Change in Employment'!L105),'Change in Employment'!L105, "")</f>
        <v/>
      </c>
      <c r="C98" s="23" t="str">
        <f>IFERROR(IF(ISNUMBER('Change in Employment'!M105),TEXT('Change in Employment'!M105, "0"), ""), "")</f>
        <v/>
      </c>
    </row>
    <row r="99" spans="1:3">
      <c r="A99" s="23" t="str">
        <f>TEXT(IF('Change in Employment'!B106&lt;&gt;0,DATE(YEAR('Change in Employment'!B106), MONTH('Change in Employment'!B106), 1), ""), "mm/dd/yyyy")</f>
        <v/>
      </c>
      <c r="B99" s="23" t="str">
        <f>IF(ISNUMBER('Change in Employment'!L106),'Change in Employment'!L106, "")</f>
        <v/>
      </c>
      <c r="C99" s="23" t="str">
        <f>IFERROR(IF(ISNUMBER('Change in Employment'!M106),TEXT('Change in Employment'!M106, "0"), ""), "")</f>
        <v/>
      </c>
    </row>
    <row r="100" spans="1:3">
      <c r="A100" s="23" t="str">
        <f>TEXT(IF('Change in Employment'!B107&lt;&gt;0,DATE(YEAR('Change in Employment'!B107), MONTH('Change in Employment'!B107), 1), ""), "mm/dd/yyyy")</f>
        <v/>
      </c>
      <c r="B100" s="23" t="str">
        <f>IF(ISNUMBER('Change in Employment'!L107),'Change in Employment'!L107, "")</f>
        <v/>
      </c>
      <c r="C100" s="23" t="str">
        <f>IFERROR(IF(ISNUMBER('Change in Employment'!M107),TEXT('Change in Employment'!M107, "0"), ""), "")</f>
        <v/>
      </c>
    </row>
    <row r="101" spans="1:3">
      <c r="A101" s="23" t="str">
        <f>TEXT(IF('Change in Employment'!B108&lt;&gt;0,DATE(YEAR('Change in Employment'!B108), MONTH('Change in Employment'!B108), 1), ""), "mm/dd/yyyy")</f>
        <v/>
      </c>
      <c r="B101" s="23" t="str">
        <f>IF(ISNUMBER('Change in Employment'!L108),'Change in Employment'!L108, "")</f>
        <v/>
      </c>
      <c r="C101" s="23" t="str">
        <f>IFERROR(IF(ISNUMBER('Change in Employment'!M108),TEXT('Change in Employment'!M108, "0"), ""), "")</f>
        <v/>
      </c>
    </row>
    <row r="102" spans="1:3">
      <c r="A102" s="23" t="str">
        <f>TEXT(IF('Change in Employment'!B109&lt;&gt;0,DATE(YEAR('Change in Employment'!B109), MONTH('Change in Employment'!B109), 1), ""), "mm/dd/yyyy")</f>
        <v/>
      </c>
      <c r="B102" s="23" t="str">
        <f>IF(ISNUMBER('Change in Employment'!L109),'Change in Employment'!L109, "")</f>
        <v/>
      </c>
      <c r="C102" s="23" t="str">
        <f>IFERROR(IF(ISNUMBER('Change in Employment'!M109),TEXT('Change in Employment'!M109, "0"), ""), "")</f>
        <v/>
      </c>
    </row>
    <row r="103" spans="1:3">
      <c r="A103" s="23" t="str">
        <f>TEXT(IF('Change in Employment'!B110&lt;&gt;0,DATE(YEAR('Change in Employment'!B110), MONTH('Change in Employment'!B110), 1), ""), "mm/dd/yyyy")</f>
        <v/>
      </c>
      <c r="B103" s="23" t="str">
        <f>IF(ISNUMBER('Change in Employment'!L110),'Change in Employment'!L110, "")</f>
        <v/>
      </c>
      <c r="C103" s="23" t="str">
        <f>IFERROR(IF(ISNUMBER('Change in Employment'!M110),TEXT('Change in Employment'!M110, "0"), ""), "")</f>
        <v/>
      </c>
    </row>
    <row r="104" spans="1:3">
      <c r="A104" s="23" t="str">
        <f>TEXT(IF('Change in Employment'!B111&lt;&gt;0,DATE(YEAR('Change in Employment'!B111), MONTH('Change in Employment'!B111), 1), ""), "mm/dd/yyyy")</f>
        <v/>
      </c>
      <c r="B104" s="23" t="str">
        <f>IF(ISNUMBER('Change in Employment'!L111),'Change in Employment'!L111, "")</f>
        <v/>
      </c>
      <c r="C104" s="23" t="str">
        <f>IFERROR(IF(ISNUMBER('Change in Employment'!M111),TEXT('Change in Employment'!M111, "0"), ""), "")</f>
        <v/>
      </c>
    </row>
    <row r="105" spans="1:3">
      <c r="A105" s="23" t="str">
        <f>TEXT(IF('Change in Employment'!B112&lt;&gt;0,DATE(YEAR('Change in Employment'!B112), MONTH('Change in Employment'!B112), 1), ""), "mm/dd/yyyy")</f>
        <v/>
      </c>
      <c r="B105" s="23" t="str">
        <f>IF(ISNUMBER('Change in Employment'!L112),'Change in Employment'!L112, "")</f>
        <v/>
      </c>
      <c r="C105" s="23" t="str">
        <f>IFERROR(IF(ISNUMBER('Change in Employment'!M112),TEXT('Change in Employment'!M112, "0"), ""), "")</f>
        <v/>
      </c>
    </row>
    <row r="106" spans="1:3">
      <c r="A106" s="23" t="str">
        <f>TEXT(IF('Change in Employment'!B113&lt;&gt;0,DATE(YEAR('Change in Employment'!B113), MONTH('Change in Employment'!B113), 1), ""), "mm/dd/yyyy")</f>
        <v/>
      </c>
      <c r="B106" s="23" t="str">
        <f>IF(ISNUMBER('Change in Employment'!L113),'Change in Employment'!L113, "")</f>
        <v/>
      </c>
      <c r="C106" s="23" t="str">
        <f>IFERROR(IF(ISNUMBER('Change in Employment'!M113),TEXT('Change in Employment'!M113, "0"), ""), "")</f>
        <v/>
      </c>
    </row>
    <row r="107" spans="1:3">
      <c r="A107" s="23" t="str">
        <f>TEXT(IF('Change in Employment'!B114&lt;&gt;0,DATE(YEAR('Change in Employment'!B114), MONTH('Change in Employment'!B114), 1), ""), "mm/dd/yyyy")</f>
        <v/>
      </c>
      <c r="B107" s="23" t="str">
        <f>IF(ISNUMBER('Change in Employment'!L114),'Change in Employment'!L114, "")</f>
        <v/>
      </c>
      <c r="C107" s="23" t="str">
        <f>IFERROR(IF(ISNUMBER('Change in Employment'!M114),TEXT('Change in Employment'!M114, "0"), ""), "")</f>
        <v/>
      </c>
    </row>
    <row r="108" spans="1:3">
      <c r="A108" s="23" t="str">
        <f>TEXT(IF('Change in Employment'!B115&lt;&gt;0,DATE(YEAR('Change in Employment'!B115), MONTH('Change in Employment'!B115), 1), ""), "mm/dd/yyyy")</f>
        <v/>
      </c>
      <c r="B108" s="23" t="str">
        <f>IF(ISNUMBER('Change in Employment'!L115),'Change in Employment'!L115, "")</f>
        <v/>
      </c>
      <c r="C108" s="23" t="str">
        <f>IFERROR(IF(ISNUMBER('Change in Employment'!M115),TEXT('Change in Employment'!M115, "0"), ""), "")</f>
        <v/>
      </c>
    </row>
    <row r="109" spans="1:3">
      <c r="A109" s="23" t="str">
        <f>TEXT(IF('Change in Employment'!B116&lt;&gt;0,DATE(YEAR('Change in Employment'!B116), MONTH('Change in Employment'!B116), 1), ""), "mm/dd/yyyy")</f>
        <v/>
      </c>
      <c r="B109" s="23" t="str">
        <f>IF(ISNUMBER('Change in Employment'!L116),'Change in Employment'!L116, "")</f>
        <v/>
      </c>
      <c r="C109" s="23" t="str">
        <f>IFERROR(IF(ISNUMBER('Change in Employment'!M116),TEXT('Change in Employment'!M116, "0"), ""), "")</f>
        <v/>
      </c>
    </row>
    <row r="110" spans="1:3">
      <c r="A110" s="23" t="str">
        <f>TEXT(IF('Change in Employment'!B117&lt;&gt;0,DATE(YEAR('Change in Employment'!B117), MONTH('Change in Employment'!B117), 1), ""), "mm/dd/yyyy")</f>
        <v/>
      </c>
      <c r="B110" s="23" t="str">
        <f>IF(ISNUMBER('Change in Employment'!L117),'Change in Employment'!L117, "")</f>
        <v/>
      </c>
      <c r="C110" s="23" t="str">
        <f>IFERROR(IF(ISNUMBER('Change in Employment'!M117),TEXT('Change in Employment'!M117, "0"), ""), "")</f>
        <v/>
      </c>
    </row>
    <row r="111" spans="1:3">
      <c r="A111" s="23" t="str">
        <f>TEXT(IF('Change in Employment'!B118&lt;&gt;0,DATE(YEAR('Change in Employment'!B118), MONTH('Change in Employment'!B118), 1), ""), "mm/dd/yyyy")</f>
        <v/>
      </c>
      <c r="B111" s="23" t="str">
        <f>IF(ISNUMBER('Change in Employment'!L118),'Change in Employment'!L118, "")</f>
        <v/>
      </c>
      <c r="C111" s="23" t="str">
        <f>IFERROR(IF(ISNUMBER('Change in Employment'!M118),TEXT('Change in Employment'!M118, "0"), ""), "")</f>
        <v/>
      </c>
    </row>
    <row r="112" spans="1:3">
      <c r="A112" s="23" t="str">
        <f>TEXT(IF('Change in Employment'!B119&lt;&gt;0,DATE(YEAR('Change in Employment'!B119), MONTH('Change in Employment'!B119), 1), ""), "mm/dd/yyyy")</f>
        <v/>
      </c>
      <c r="B112" s="23" t="str">
        <f>IF(ISNUMBER('Change in Employment'!L119),'Change in Employment'!L119, "")</f>
        <v/>
      </c>
      <c r="C112" s="23" t="str">
        <f>IFERROR(IF(ISNUMBER('Change in Employment'!M119),TEXT('Change in Employment'!M119, "0"), ""), "")</f>
        <v/>
      </c>
    </row>
    <row r="113" spans="1:3">
      <c r="A113" s="23" t="str">
        <f>TEXT(IF('Change in Employment'!B120&lt;&gt;0,DATE(YEAR('Change in Employment'!B120), MONTH('Change in Employment'!B120), 1), ""), "mm/dd/yyyy")</f>
        <v/>
      </c>
      <c r="B113" s="23" t="str">
        <f>IF(ISNUMBER('Change in Employment'!L120),'Change in Employment'!L120, "")</f>
        <v/>
      </c>
      <c r="C113" s="23" t="str">
        <f>IFERROR(IF(ISNUMBER('Change in Employment'!M120),TEXT('Change in Employment'!M120, "0"), ""), "")</f>
        <v/>
      </c>
    </row>
    <row r="114" spans="1:3">
      <c r="A114" s="23" t="str">
        <f>TEXT(IF('Change in Employment'!B121&lt;&gt;0,DATE(YEAR('Change in Employment'!B121), MONTH('Change in Employment'!B121), 1), ""), "mm/dd/yyyy")</f>
        <v/>
      </c>
      <c r="B114" s="23" t="str">
        <f>IF(ISNUMBER('Change in Employment'!L121),'Change in Employment'!L121, "")</f>
        <v/>
      </c>
      <c r="C114" s="23" t="str">
        <f>IFERROR(IF(ISNUMBER('Change in Employment'!M121),TEXT('Change in Employment'!M121, "0"), ""), "")</f>
        <v/>
      </c>
    </row>
    <row r="115" spans="1:3">
      <c r="A115" s="23" t="str">
        <f>TEXT(IF('Change in Employment'!B122&lt;&gt;0,DATE(YEAR('Change in Employment'!B122), MONTH('Change in Employment'!B122), 1), ""), "mm/dd/yyyy")</f>
        <v/>
      </c>
      <c r="B115" s="23" t="str">
        <f>IF(ISNUMBER('Change in Employment'!L122),'Change in Employment'!L122, "")</f>
        <v/>
      </c>
      <c r="C115" s="23" t="str">
        <f>IFERROR(IF(ISNUMBER('Change in Employment'!M122),TEXT('Change in Employment'!M122, "0"), ""), "")</f>
        <v/>
      </c>
    </row>
    <row r="116" spans="1:3">
      <c r="A116" s="23" t="str">
        <f>TEXT(IF('Change in Employment'!B123&lt;&gt;0,DATE(YEAR('Change in Employment'!B123), MONTH('Change in Employment'!B123), 1), ""), "mm/dd/yyyy")</f>
        <v/>
      </c>
      <c r="B116" s="23" t="str">
        <f>IF(ISNUMBER('Change in Employment'!L123),'Change in Employment'!L123, "")</f>
        <v/>
      </c>
      <c r="C116" s="23" t="str">
        <f>IFERROR(IF(ISNUMBER('Change in Employment'!M123),TEXT('Change in Employment'!M123, "0"), ""), "")</f>
        <v/>
      </c>
    </row>
    <row r="117" spans="1:3">
      <c r="A117" s="23" t="str">
        <f>TEXT(IF('Change in Employment'!B124&lt;&gt;0,DATE(YEAR('Change in Employment'!B124), MONTH('Change in Employment'!B124), 1), ""), "mm/dd/yyyy")</f>
        <v/>
      </c>
      <c r="B117" s="23" t="str">
        <f>IF(ISNUMBER('Change in Employment'!L124),'Change in Employment'!L124, "")</f>
        <v/>
      </c>
      <c r="C117" s="23" t="str">
        <f>IFERROR(IF(ISNUMBER('Change in Employment'!M124),TEXT('Change in Employment'!M124, "0"), ""), "")</f>
        <v/>
      </c>
    </row>
    <row r="118" spans="1:3">
      <c r="A118" s="23" t="str">
        <f>TEXT(IF('Change in Employment'!B125&lt;&gt;0,DATE(YEAR('Change in Employment'!B125), MONTH('Change in Employment'!B125), 1), ""), "mm/dd/yyyy")</f>
        <v/>
      </c>
      <c r="B118" s="23" t="str">
        <f>IF(ISNUMBER('Change in Employment'!L125),'Change in Employment'!L125, "")</f>
        <v/>
      </c>
      <c r="C118" s="23" t="str">
        <f>IFERROR(IF(ISNUMBER('Change in Employment'!M125),TEXT('Change in Employment'!M125, "0"), ""), "")</f>
        <v/>
      </c>
    </row>
    <row r="119" spans="1:3">
      <c r="A119" s="23" t="str">
        <f>TEXT(IF('Change in Employment'!B126&lt;&gt;0,DATE(YEAR('Change in Employment'!B126), MONTH('Change in Employment'!B126), 1), ""), "mm/dd/yyyy")</f>
        <v/>
      </c>
      <c r="B119" s="23" t="str">
        <f>IF(ISNUMBER('Change in Employment'!L126),'Change in Employment'!L126, "")</f>
        <v/>
      </c>
      <c r="C119" s="23" t="str">
        <f>IFERROR(IF(ISNUMBER('Change in Employment'!M126),TEXT('Change in Employment'!M126, "0"), ""), "")</f>
        <v/>
      </c>
    </row>
    <row r="120" spans="1:3">
      <c r="A120" s="23" t="str">
        <f>TEXT(IF('Change in Employment'!B127&lt;&gt;0,DATE(YEAR('Change in Employment'!B127), MONTH('Change in Employment'!B127), 1), ""), "mm/dd/yyyy")</f>
        <v/>
      </c>
      <c r="B120" s="23" t="str">
        <f>IF(ISNUMBER('Change in Employment'!L127),'Change in Employment'!L127, "")</f>
        <v/>
      </c>
      <c r="C120" s="23" t="str">
        <f>IFERROR(IF(ISNUMBER('Change in Employment'!M127),TEXT('Change in Employment'!M127, "0"), ""), "")</f>
        <v/>
      </c>
    </row>
    <row r="121" spans="1:3">
      <c r="A121" s="23" t="str">
        <f>TEXT(IF('Change in Employment'!B128&lt;&gt;0,DATE(YEAR('Change in Employment'!B128), MONTH('Change in Employment'!B128), 1), ""), "mm/dd/yyyy")</f>
        <v/>
      </c>
      <c r="B121" s="23" t="str">
        <f>IF(ISNUMBER('Change in Employment'!L128),'Change in Employment'!L128, "")</f>
        <v/>
      </c>
      <c r="C121" s="23" t="str">
        <f>IFERROR(IF(ISNUMBER('Change in Employment'!M128),TEXT('Change in Employment'!M128, "0"), ""), "")</f>
        <v/>
      </c>
    </row>
    <row r="122" spans="1:3">
      <c r="A122" s="23" t="str">
        <f>TEXT(IF('Change in Employment'!B129&lt;&gt;0,DATE(YEAR('Change in Employment'!B129), MONTH('Change in Employment'!B129), 1), ""), "mm/dd/yyyy")</f>
        <v/>
      </c>
      <c r="B122" s="23" t="str">
        <f>IF(ISNUMBER('Change in Employment'!L129),'Change in Employment'!L129, "")</f>
        <v/>
      </c>
      <c r="C122" s="23" t="str">
        <f>IFERROR(IF(ISNUMBER('Change in Employment'!M129),TEXT('Change in Employment'!M129, "0"), ""), "")</f>
        <v/>
      </c>
    </row>
    <row r="123" spans="1:3">
      <c r="A123" s="23" t="str">
        <f>TEXT(IF('Change in Employment'!B130&lt;&gt;0,DATE(YEAR('Change in Employment'!B130), MONTH('Change in Employment'!B130), 1), ""), "mm/dd/yyyy")</f>
        <v/>
      </c>
      <c r="B123" s="23" t="str">
        <f>IF(ISNUMBER('Change in Employment'!L130),'Change in Employment'!L130, "")</f>
        <v/>
      </c>
      <c r="C123" s="23" t="str">
        <f>IFERROR(IF(ISNUMBER('Change in Employment'!M130),TEXT('Change in Employment'!M130, "0"), ""), "")</f>
        <v/>
      </c>
    </row>
    <row r="124" spans="1:3">
      <c r="A124" s="23" t="str">
        <f>TEXT(IF('Change in Employment'!B131&lt;&gt;0,DATE(YEAR('Change in Employment'!B131), MONTH('Change in Employment'!B131), 1), ""), "mm/dd/yyyy")</f>
        <v/>
      </c>
      <c r="B124" s="23" t="str">
        <f>IF(ISNUMBER('Change in Employment'!L131),'Change in Employment'!L131, "")</f>
        <v/>
      </c>
      <c r="C124" s="23" t="str">
        <f>IFERROR(IF(ISNUMBER('Change in Employment'!M131),TEXT('Change in Employment'!M131, "0"), ""), "")</f>
        <v/>
      </c>
    </row>
    <row r="125" spans="1:3">
      <c r="A125" s="23" t="str">
        <f>TEXT(IF('Change in Employment'!B132&lt;&gt;0,DATE(YEAR('Change in Employment'!B132), MONTH('Change in Employment'!B132), 1), ""), "mm/dd/yyyy")</f>
        <v/>
      </c>
      <c r="B125" s="23" t="str">
        <f>IF(ISNUMBER('Change in Employment'!L132),'Change in Employment'!L132, "")</f>
        <v/>
      </c>
      <c r="C125" s="23" t="str">
        <f>IFERROR(IF(ISNUMBER('Change in Employment'!M132),TEXT('Change in Employment'!M132, "0"), ""), "")</f>
        <v/>
      </c>
    </row>
    <row r="126" spans="1:3">
      <c r="A126" s="23" t="str">
        <f>TEXT(IF('Change in Employment'!B133&lt;&gt;0,DATE(YEAR('Change in Employment'!B133), MONTH('Change in Employment'!B133), 1), ""), "mm/dd/yyyy")</f>
        <v/>
      </c>
      <c r="B126" s="23" t="str">
        <f>IF(ISNUMBER('Change in Employment'!L133),'Change in Employment'!L133, "")</f>
        <v/>
      </c>
      <c r="C126" s="23" t="str">
        <f>IFERROR(IF(ISNUMBER('Change in Employment'!M133),TEXT('Change in Employment'!M133, "0"), ""), "")</f>
        <v/>
      </c>
    </row>
    <row r="127" spans="1:3">
      <c r="A127" s="23" t="str">
        <f>TEXT(IF('Change in Employment'!B134&lt;&gt;0,DATE(YEAR('Change in Employment'!B134), MONTH('Change in Employment'!B134), 1), ""), "mm/dd/yyyy")</f>
        <v/>
      </c>
      <c r="B127" s="23" t="str">
        <f>IF(ISNUMBER('Change in Employment'!L134),'Change in Employment'!L134, "")</f>
        <v/>
      </c>
      <c r="C127" s="23" t="str">
        <f>IFERROR(IF(ISNUMBER('Change in Employment'!M134),TEXT('Change in Employment'!M134, "0"), ""), "")</f>
        <v/>
      </c>
    </row>
    <row r="128" spans="1:3">
      <c r="A128" s="23" t="str">
        <f>TEXT(IF('Change in Employment'!B135&lt;&gt;0,DATE(YEAR('Change in Employment'!B135), MONTH('Change in Employment'!B135), 1), ""), "mm/dd/yyyy")</f>
        <v/>
      </c>
      <c r="B128" s="23" t="str">
        <f>IF(ISNUMBER('Change in Employment'!L135),'Change in Employment'!L135, "")</f>
        <v/>
      </c>
      <c r="C128" s="23" t="str">
        <f>IFERROR(IF(ISNUMBER('Change in Employment'!M135),TEXT('Change in Employment'!M135, "0"), ""), "")</f>
        <v/>
      </c>
    </row>
    <row r="129" spans="1:3">
      <c r="A129" s="23" t="str">
        <f>TEXT(IF('Change in Employment'!B136&lt;&gt;0,DATE(YEAR('Change in Employment'!B136), MONTH('Change in Employment'!B136), 1), ""), "mm/dd/yyyy")</f>
        <v/>
      </c>
      <c r="B129" s="23" t="str">
        <f>IF(ISNUMBER('Change in Employment'!L136),'Change in Employment'!L136, "")</f>
        <v/>
      </c>
      <c r="C129" s="23" t="str">
        <f>IFERROR(IF(ISNUMBER('Change in Employment'!M136),TEXT('Change in Employment'!M136, "0"), ""), "")</f>
        <v/>
      </c>
    </row>
    <row r="130" spans="1:3">
      <c r="A130" s="23" t="str">
        <f>TEXT(IF('Change in Employment'!B137&lt;&gt;0,DATE(YEAR('Change in Employment'!B137), MONTH('Change in Employment'!B137), 1), ""), "mm/dd/yyyy")</f>
        <v/>
      </c>
      <c r="B130" s="23" t="str">
        <f>IF(ISNUMBER('Change in Employment'!L137),'Change in Employment'!L137, "")</f>
        <v/>
      </c>
      <c r="C130" s="23" t="str">
        <f>IFERROR(IF(ISNUMBER('Change in Employment'!M137),TEXT('Change in Employment'!M137, "0"), ""), "")</f>
        <v/>
      </c>
    </row>
    <row r="131" spans="1:3">
      <c r="A131" s="23" t="str">
        <f>TEXT(IF('Change in Employment'!B138&lt;&gt;0,DATE(YEAR('Change in Employment'!B138), MONTH('Change in Employment'!B138), 1), ""), "mm/dd/yyyy")</f>
        <v/>
      </c>
      <c r="B131" s="23" t="str">
        <f>IF(ISNUMBER('Change in Employment'!L138),'Change in Employment'!L138, "")</f>
        <v/>
      </c>
      <c r="C131" s="23" t="str">
        <f>IFERROR(IF(ISNUMBER('Change in Employment'!M138),TEXT('Change in Employment'!M138, "0"), ""), "")</f>
        <v/>
      </c>
    </row>
    <row r="132" spans="1:3">
      <c r="A132" s="23" t="str">
        <f>TEXT(IF('Change in Employment'!B139&lt;&gt;0,DATE(YEAR('Change in Employment'!B139), MONTH('Change in Employment'!B139), 1), ""), "mm/dd/yyyy")</f>
        <v/>
      </c>
      <c r="B132" s="23" t="str">
        <f>IF(ISNUMBER('Change in Employment'!L139),'Change in Employment'!L139, "")</f>
        <v/>
      </c>
      <c r="C132" s="23" t="str">
        <f>IFERROR(IF(ISNUMBER('Change in Employment'!M139),TEXT('Change in Employment'!M139, "0"), ""), "")</f>
        <v/>
      </c>
    </row>
    <row r="133" spans="1:3">
      <c r="A133" s="23" t="str">
        <f>TEXT(IF('Change in Employment'!B140&lt;&gt;0,DATE(YEAR('Change in Employment'!B140), MONTH('Change in Employment'!B140), 1), ""), "mm/dd/yyyy")</f>
        <v/>
      </c>
      <c r="B133" s="23" t="str">
        <f>IF(ISNUMBER('Change in Employment'!L140),'Change in Employment'!L140, "")</f>
        <v/>
      </c>
      <c r="C133" s="23" t="str">
        <f>IFERROR(IF(ISNUMBER('Change in Employment'!M140),TEXT('Change in Employment'!M140, "0"), ""), "")</f>
        <v/>
      </c>
    </row>
    <row r="134" spans="1:3">
      <c r="A134" s="23" t="str">
        <f>TEXT(IF('Change in Employment'!B141&lt;&gt;0,DATE(YEAR('Change in Employment'!B141), MONTH('Change in Employment'!B141), 1), ""), "mm/dd/yyyy")</f>
        <v/>
      </c>
      <c r="B134" s="23" t="str">
        <f>IF(ISNUMBER('Change in Employment'!L141),'Change in Employment'!L141, "")</f>
        <v/>
      </c>
      <c r="C134" s="23" t="str">
        <f>IFERROR(IF(ISNUMBER('Change in Employment'!M141),TEXT('Change in Employment'!M141, "0"), ""), "")</f>
        <v/>
      </c>
    </row>
    <row r="135" spans="1:3">
      <c r="A135" s="23" t="str">
        <f>TEXT(IF('Change in Employment'!B142&lt;&gt;0,DATE(YEAR('Change in Employment'!B142), MONTH('Change in Employment'!B142), 1), ""), "mm/dd/yyyy")</f>
        <v/>
      </c>
      <c r="B135" s="23" t="str">
        <f>IF(ISNUMBER('Change in Employment'!L142),'Change in Employment'!L142, "")</f>
        <v/>
      </c>
      <c r="C135" s="23" t="str">
        <f>IFERROR(IF(ISNUMBER('Change in Employment'!M142),TEXT('Change in Employment'!M142, "0"), ""), "")</f>
        <v/>
      </c>
    </row>
    <row r="136" spans="1:3">
      <c r="A136" s="23" t="str">
        <f>TEXT(IF('Change in Employment'!B143&lt;&gt;0,DATE(YEAR('Change in Employment'!B143), MONTH('Change in Employment'!B143), 1), ""), "mm/dd/yyyy")</f>
        <v/>
      </c>
      <c r="B136" s="23" t="str">
        <f>IF(ISNUMBER('Change in Employment'!L143),'Change in Employment'!L143, "")</f>
        <v/>
      </c>
      <c r="C136" s="23" t="str">
        <f>IFERROR(IF(ISNUMBER('Change in Employment'!M143),TEXT('Change in Employment'!M143, "0"), ""), "")</f>
        <v/>
      </c>
    </row>
    <row r="137" spans="1:3">
      <c r="A137" s="23" t="str">
        <f>TEXT(IF('Change in Employment'!B144&lt;&gt;0,DATE(YEAR('Change in Employment'!B144), MONTH('Change in Employment'!B144), 1), ""), "mm/dd/yyyy")</f>
        <v/>
      </c>
      <c r="B137" s="23" t="str">
        <f>IF(ISNUMBER('Change in Employment'!L144),'Change in Employment'!L144, "")</f>
        <v/>
      </c>
      <c r="C137" s="23" t="str">
        <f>IFERROR(IF(ISNUMBER('Change in Employment'!M144),TEXT('Change in Employment'!M144, "0"), ""), "")</f>
        <v/>
      </c>
    </row>
    <row r="138" spans="1:3">
      <c r="A138" s="23" t="str">
        <f>TEXT(IF('Change in Employment'!B145&lt;&gt;0,DATE(YEAR('Change in Employment'!B145), MONTH('Change in Employment'!B145), 1), ""), "mm/dd/yyyy")</f>
        <v/>
      </c>
      <c r="B138" s="23" t="str">
        <f>IF(ISNUMBER('Change in Employment'!L145),'Change in Employment'!L145, "")</f>
        <v/>
      </c>
      <c r="C138" s="23" t="str">
        <f>IFERROR(IF(ISNUMBER('Change in Employment'!M145),TEXT('Change in Employment'!M145, "0"), ""), "")</f>
        <v/>
      </c>
    </row>
    <row r="139" spans="1:3">
      <c r="A139" s="23" t="str">
        <f>TEXT(IF('Change in Employment'!B146&lt;&gt;0,DATE(YEAR('Change in Employment'!B146), MONTH('Change in Employment'!B146), 1), ""), "mm/dd/yyyy")</f>
        <v/>
      </c>
      <c r="B139" s="23" t="str">
        <f>IF(ISNUMBER('Change in Employment'!L146),'Change in Employment'!L146, "")</f>
        <v/>
      </c>
      <c r="C139" s="23" t="str">
        <f>IFERROR(IF(ISNUMBER('Change in Employment'!M146),TEXT('Change in Employment'!M146, "0"), ""), "")</f>
        <v/>
      </c>
    </row>
    <row r="140" spans="1:3">
      <c r="A140" s="23" t="str">
        <f>TEXT(IF('Change in Employment'!B147&lt;&gt;0,DATE(YEAR('Change in Employment'!B147), MONTH('Change in Employment'!B147), 1), ""), "mm/dd/yyyy")</f>
        <v/>
      </c>
      <c r="B140" s="23" t="str">
        <f>IF(ISNUMBER('Change in Employment'!L147),'Change in Employment'!L147, "")</f>
        <v/>
      </c>
      <c r="C140" s="23" t="str">
        <f>IFERROR(IF(ISNUMBER('Change in Employment'!M147),TEXT('Change in Employment'!M147, "0"), ""), "")</f>
        <v/>
      </c>
    </row>
    <row r="141" spans="1:3">
      <c r="A141" s="23" t="str">
        <f>TEXT(IF('Change in Employment'!B148&lt;&gt;0,DATE(YEAR('Change in Employment'!B148), MONTH('Change in Employment'!B148), 1), ""), "mm/dd/yyyy")</f>
        <v/>
      </c>
      <c r="B141" s="23" t="str">
        <f>IF(ISNUMBER('Change in Employment'!L148),'Change in Employment'!L148, "")</f>
        <v/>
      </c>
      <c r="C141" s="23" t="str">
        <f>IFERROR(IF(ISNUMBER('Change in Employment'!M148),TEXT('Change in Employment'!M148, "0"), ""), "")</f>
        <v/>
      </c>
    </row>
    <row r="142" spans="1:3">
      <c r="A142" s="23" t="str">
        <f>TEXT(IF('Change in Employment'!B149&lt;&gt;0,DATE(YEAR('Change in Employment'!B149), MONTH('Change in Employment'!B149), 1), ""), "mm/dd/yyyy")</f>
        <v/>
      </c>
      <c r="B142" s="23" t="str">
        <f>IF(ISNUMBER('Change in Employment'!L149),'Change in Employment'!L149, "")</f>
        <v/>
      </c>
      <c r="C142" s="23" t="str">
        <f>IFERROR(IF(ISNUMBER('Change in Employment'!M149),TEXT('Change in Employment'!M149, "0"), ""), "")</f>
        <v/>
      </c>
    </row>
    <row r="143" spans="1:3">
      <c r="A143" s="23" t="str">
        <f>TEXT(IF('Change in Employment'!B150&lt;&gt;0,DATE(YEAR('Change in Employment'!B150), MONTH('Change in Employment'!B150), 1), ""), "mm/dd/yyyy")</f>
        <v/>
      </c>
      <c r="B143" s="23" t="str">
        <f>IF(ISNUMBER('Change in Employment'!L150),'Change in Employment'!L150, "")</f>
        <v/>
      </c>
      <c r="C143" s="23" t="str">
        <f>IFERROR(IF(ISNUMBER('Change in Employment'!M150),TEXT('Change in Employment'!M150, "0"), ""), "")</f>
        <v/>
      </c>
    </row>
    <row r="144" spans="1:3">
      <c r="A144" s="23" t="str">
        <f>TEXT(IF('Change in Employment'!B151&lt;&gt;0,DATE(YEAR('Change in Employment'!B151), MONTH('Change in Employment'!B151), 1), ""), "mm/dd/yyyy")</f>
        <v/>
      </c>
      <c r="B144" s="23" t="str">
        <f>IF(ISNUMBER('Change in Employment'!L151),'Change in Employment'!L151, "")</f>
        <v/>
      </c>
      <c r="C144" s="23" t="str">
        <f>IFERROR(IF(ISNUMBER('Change in Employment'!M151),TEXT('Change in Employment'!M151, "0"), ""), "")</f>
        <v/>
      </c>
    </row>
    <row r="145" spans="1:3">
      <c r="A145" s="23" t="str">
        <f>TEXT(IF('Change in Employment'!B152&lt;&gt;0,DATE(YEAR('Change in Employment'!B152), MONTH('Change in Employment'!B152), 1), ""), "mm/dd/yyyy")</f>
        <v/>
      </c>
      <c r="B145" s="23" t="str">
        <f>IF(ISNUMBER('Change in Employment'!L152),'Change in Employment'!L152, "")</f>
        <v/>
      </c>
      <c r="C145" s="23" t="str">
        <f>IFERROR(IF(ISNUMBER('Change in Employment'!M152),TEXT('Change in Employment'!M152, "0"), ""), "")</f>
        <v/>
      </c>
    </row>
    <row r="146" spans="1:3">
      <c r="A146" s="23" t="str">
        <f>TEXT(IF('Change in Employment'!B153&lt;&gt;0,DATE(YEAR('Change in Employment'!B153), MONTH('Change in Employment'!B153), 1), ""), "mm/dd/yyyy")</f>
        <v/>
      </c>
      <c r="B146" s="23" t="str">
        <f>IF(ISNUMBER('Change in Employment'!L153),'Change in Employment'!L153, "")</f>
        <v/>
      </c>
      <c r="C146" s="23" t="str">
        <f>IFERROR(IF(ISNUMBER('Change in Employment'!M153),TEXT('Change in Employment'!M153, "0"), ""), "")</f>
        <v/>
      </c>
    </row>
    <row r="147" spans="1:3">
      <c r="A147" s="23" t="str">
        <f>TEXT(IF('Change in Employment'!B154&lt;&gt;0,DATE(YEAR('Change in Employment'!B154), MONTH('Change in Employment'!B154), 1), ""), "mm/dd/yyyy")</f>
        <v/>
      </c>
      <c r="B147" s="23" t="str">
        <f>IF(ISNUMBER('Change in Employment'!L154),'Change in Employment'!L154, "")</f>
        <v/>
      </c>
      <c r="C147" s="23" t="str">
        <f>IFERROR(IF(ISNUMBER('Change in Employment'!M154),TEXT('Change in Employment'!M154, "0"), ""), "")</f>
        <v/>
      </c>
    </row>
    <row r="148" spans="1:3">
      <c r="A148" s="23" t="str">
        <f>TEXT(IF('Change in Employment'!B155&lt;&gt;0,DATE(YEAR('Change in Employment'!B155), MONTH('Change in Employment'!B155), 1), ""), "mm/dd/yyyy")</f>
        <v/>
      </c>
      <c r="B148" s="23" t="str">
        <f>IF(ISNUMBER('Change in Employment'!L155),'Change in Employment'!L155, "")</f>
        <v/>
      </c>
      <c r="C148" s="23" t="str">
        <f>IFERROR(IF(ISNUMBER('Change in Employment'!M155),TEXT('Change in Employment'!M155, "0"), ""), "")</f>
        <v/>
      </c>
    </row>
    <row r="149" spans="1:3">
      <c r="A149" s="23" t="str">
        <f>TEXT(IF('Change in Employment'!B156&lt;&gt;0,DATE(YEAR('Change in Employment'!B156), MONTH('Change in Employment'!B156), 1), ""), "mm/dd/yyyy")</f>
        <v/>
      </c>
      <c r="B149" s="23" t="str">
        <f>IF(ISNUMBER('Change in Employment'!L156),'Change in Employment'!L156, "")</f>
        <v/>
      </c>
      <c r="C149" s="23" t="str">
        <f>IFERROR(IF(ISNUMBER('Change in Employment'!M156),TEXT('Change in Employment'!M156, "0"), ""), "")</f>
        <v/>
      </c>
    </row>
    <row r="150" spans="1:3">
      <c r="A150" s="23" t="str">
        <f>TEXT(IF('Change in Employment'!B157&lt;&gt;0,DATE(YEAR('Change in Employment'!B157), MONTH('Change in Employment'!B157), 1), ""), "mm/dd/yyyy")</f>
        <v/>
      </c>
      <c r="B150" s="23" t="str">
        <f>IF(ISNUMBER('Change in Employment'!L157),'Change in Employment'!L157, "")</f>
        <v/>
      </c>
      <c r="C150" s="23" t="str">
        <f>IFERROR(IF(ISNUMBER('Change in Employment'!M157),TEXT('Change in Employment'!M157, "0"), ""), "")</f>
        <v/>
      </c>
    </row>
    <row r="151" spans="1:3">
      <c r="A151" s="23" t="str">
        <f>TEXT(IF('Change in Employment'!B158&lt;&gt;0,DATE(YEAR('Change in Employment'!B158), MONTH('Change in Employment'!B158), 1), ""), "mm/dd/yyyy")</f>
        <v/>
      </c>
      <c r="B151" s="23" t="str">
        <f>IF(ISNUMBER('Change in Employment'!L158),'Change in Employment'!L158, "")</f>
        <v/>
      </c>
      <c r="C151" s="23" t="str">
        <f>IFERROR(IF(ISNUMBER('Change in Employment'!M158),TEXT('Change in Employment'!M158, "0"), ""), "")</f>
        <v/>
      </c>
    </row>
    <row r="152" spans="1:3">
      <c r="A152" s="23" t="str">
        <f>TEXT(IF('Change in Employment'!B159&lt;&gt;0,DATE(YEAR('Change in Employment'!B159), MONTH('Change in Employment'!B159), 1), ""), "mm/dd/yyyy")</f>
        <v/>
      </c>
      <c r="B152" s="23" t="str">
        <f>IF(ISNUMBER('Change in Employment'!L159),'Change in Employment'!L159, "")</f>
        <v/>
      </c>
      <c r="C152" s="23" t="str">
        <f>IFERROR(IF(ISNUMBER('Change in Employment'!M159),TEXT('Change in Employment'!M159, "0"), ""), "")</f>
        <v/>
      </c>
    </row>
    <row r="153" spans="1:3">
      <c r="A153" s="23" t="str">
        <f>TEXT(IF('Change in Employment'!B160&lt;&gt;0,DATE(YEAR('Change in Employment'!B160), MONTH('Change in Employment'!B160), 1), ""), "mm/dd/yyyy")</f>
        <v/>
      </c>
      <c r="B153" s="23" t="str">
        <f>IF(ISNUMBER('Change in Employment'!L160),'Change in Employment'!L160, "")</f>
        <v/>
      </c>
      <c r="C153" s="23" t="str">
        <f>IFERROR(IF(ISNUMBER('Change in Employment'!M160),TEXT('Change in Employment'!M160, "0"), ""), "")</f>
        <v/>
      </c>
    </row>
    <row r="154" spans="1:3">
      <c r="A154" s="23" t="str">
        <f>TEXT(IF('Change in Employment'!B161&lt;&gt;0,DATE(YEAR('Change in Employment'!B161), MONTH('Change in Employment'!B161), 1), ""), "mm/dd/yyyy")</f>
        <v/>
      </c>
      <c r="B154" s="23" t="str">
        <f>IF(ISNUMBER('Change in Employment'!L161),'Change in Employment'!L161, "")</f>
        <v/>
      </c>
      <c r="C154" s="23" t="str">
        <f>IFERROR(IF(ISNUMBER('Change in Employment'!M161),TEXT('Change in Employment'!M161, "0"), ""), "")</f>
        <v/>
      </c>
    </row>
    <row r="155" spans="1:3">
      <c r="A155" s="23" t="str">
        <f>TEXT(IF('Change in Employment'!B162&lt;&gt;0,DATE(YEAR('Change in Employment'!B162), MONTH('Change in Employment'!B162), 1), ""), "mm/dd/yyyy")</f>
        <v/>
      </c>
      <c r="B155" s="23" t="str">
        <f>IF(ISNUMBER('Change in Employment'!L162),'Change in Employment'!L162, "")</f>
        <v/>
      </c>
      <c r="C155" s="23" t="str">
        <f>IFERROR(IF(ISNUMBER('Change in Employment'!M162),TEXT('Change in Employment'!M162, "0"), ""), "")</f>
        <v/>
      </c>
    </row>
    <row r="156" spans="1:3">
      <c r="A156" s="23" t="str">
        <f>TEXT(IF('Change in Employment'!B163&lt;&gt;0,DATE(YEAR('Change in Employment'!B163), MONTH('Change in Employment'!B163), 1), ""), "mm/dd/yyyy")</f>
        <v/>
      </c>
      <c r="B156" s="23" t="str">
        <f>IF(ISNUMBER('Change in Employment'!L163),'Change in Employment'!L163, "")</f>
        <v/>
      </c>
      <c r="C156" s="23" t="str">
        <f>IFERROR(IF(ISNUMBER('Change in Employment'!M163),TEXT('Change in Employment'!M163, "0"), ""), "")</f>
        <v/>
      </c>
    </row>
    <row r="157" spans="1:3">
      <c r="A157" s="23" t="str">
        <f>TEXT(IF('Change in Employment'!B164&lt;&gt;0,DATE(YEAR('Change in Employment'!B164), MONTH('Change in Employment'!B164), 1), ""), "mm/dd/yyyy")</f>
        <v/>
      </c>
      <c r="B157" s="23" t="str">
        <f>IF(ISNUMBER('Change in Employment'!L164),'Change in Employment'!L164, "")</f>
        <v/>
      </c>
      <c r="C157" s="23" t="str">
        <f>IFERROR(IF(ISNUMBER('Change in Employment'!M164),TEXT('Change in Employment'!M164, "0"), ""), "")</f>
        <v/>
      </c>
    </row>
    <row r="158" spans="1:3">
      <c r="A158" s="23" t="str">
        <f>TEXT(IF('Change in Employment'!B165&lt;&gt;0,DATE(YEAR('Change in Employment'!B165), MONTH('Change in Employment'!B165), 1), ""), "mm/dd/yyyy")</f>
        <v/>
      </c>
      <c r="B158" s="23" t="str">
        <f>IF(ISNUMBER('Change in Employment'!L165),'Change in Employment'!L165, "")</f>
        <v/>
      </c>
      <c r="C158" s="23" t="str">
        <f>IFERROR(IF(ISNUMBER('Change in Employment'!M165),TEXT('Change in Employment'!M165, "0"), ""), "")</f>
        <v/>
      </c>
    </row>
    <row r="159" spans="1:3">
      <c r="A159" s="23" t="str">
        <f>TEXT(IF('Change in Employment'!B166&lt;&gt;0,DATE(YEAR('Change in Employment'!B166), MONTH('Change in Employment'!B166), 1), ""), "mm/dd/yyyy")</f>
        <v/>
      </c>
      <c r="B159" s="23" t="str">
        <f>IF(ISNUMBER('Change in Employment'!L166),'Change in Employment'!L166, "")</f>
        <v/>
      </c>
      <c r="C159" s="23" t="str">
        <f>IFERROR(IF(ISNUMBER('Change in Employment'!M166),TEXT('Change in Employment'!M166, "0"), ""), "")</f>
        <v/>
      </c>
    </row>
    <row r="160" spans="1:3">
      <c r="A160" s="23" t="str">
        <f>TEXT(IF('Change in Employment'!B167&lt;&gt;0,DATE(YEAR('Change in Employment'!B167), MONTH('Change in Employment'!B167), 1), ""), "mm/dd/yyyy")</f>
        <v/>
      </c>
      <c r="B160" s="23" t="str">
        <f>IF(ISNUMBER('Change in Employment'!L167),'Change in Employment'!L167, "")</f>
        <v/>
      </c>
      <c r="C160" s="23" t="str">
        <f>IFERROR(IF(ISNUMBER('Change in Employment'!M167),TEXT('Change in Employment'!M167, "0"), ""), "")</f>
        <v/>
      </c>
    </row>
    <row r="161" spans="1:3">
      <c r="A161" s="23" t="str">
        <f>TEXT(IF('Change in Employment'!B168&lt;&gt;0,DATE(YEAR('Change in Employment'!B168), MONTH('Change in Employment'!B168), 1), ""), "mm/dd/yyyy")</f>
        <v/>
      </c>
      <c r="B161" s="23" t="str">
        <f>IF(ISNUMBER('Change in Employment'!L168),'Change in Employment'!L168, "")</f>
        <v/>
      </c>
      <c r="C161" s="23" t="str">
        <f>IFERROR(IF(ISNUMBER('Change in Employment'!M168),TEXT('Change in Employment'!M168, "0"), ""), "")</f>
        <v/>
      </c>
    </row>
    <row r="162" spans="1:3">
      <c r="A162" s="23" t="str">
        <f>TEXT(IF('Change in Employment'!B169&lt;&gt;0,DATE(YEAR('Change in Employment'!B169), MONTH('Change in Employment'!B169), 1), ""), "mm/dd/yyyy")</f>
        <v/>
      </c>
      <c r="B162" s="23" t="str">
        <f>IF(ISNUMBER('Change in Employment'!L169),'Change in Employment'!L169, "")</f>
        <v/>
      </c>
      <c r="C162" s="23" t="str">
        <f>IFERROR(IF(ISNUMBER('Change in Employment'!M169),TEXT('Change in Employment'!M169, "0"), ""), "")</f>
        <v/>
      </c>
    </row>
    <row r="163" spans="1:3">
      <c r="A163" s="23" t="str">
        <f>TEXT(IF('Change in Employment'!B170&lt;&gt;0,DATE(YEAR('Change in Employment'!B170), MONTH('Change in Employment'!B170), 1), ""), "mm/dd/yyyy")</f>
        <v/>
      </c>
      <c r="B163" s="23" t="str">
        <f>IF(ISNUMBER('Change in Employment'!L170),'Change in Employment'!L170, "")</f>
        <v/>
      </c>
      <c r="C163" s="23" t="str">
        <f>IFERROR(IF(ISNUMBER('Change in Employment'!M170),TEXT('Change in Employment'!M170, "0"), ""), "")</f>
        <v/>
      </c>
    </row>
    <row r="164" spans="1:3">
      <c r="A164" s="23" t="str">
        <f>TEXT(IF('Change in Employment'!B171&lt;&gt;0,DATE(YEAR('Change in Employment'!B171), MONTH('Change in Employment'!B171), 1), ""), "mm/dd/yyyy")</f>
        <v/>
      </c>
      <c r="B164" s="23" t="str">
        <f>IF(ISNUMBER('Change in Employment'!L171),'Change in Employment'!L171, "")</f>
        <v/>
      </c>
      <c r="C164" s="23" t="str">
        <f>IFERROR(IF(ISNUMBER('Change in Employment'!M171),TEXT('Change in Employment'!M171, "0"), ""), "")</f>
        <v/>
      </c>
    </row>
    <row r="165" spans="1:3">
      <c r="A165" s="23" t="str">
        <f>TEXT(IF('Change in Employment'!B172&lt;&gt;0,DATE(YEAR('Change in Employment'!B172), MONTH('Change in Employment'!B172), 1), ""), "mm/dd/yyyy")</f>
        <v/>
      </c>
      <c r="B165" s="23" t="str">
        <f>IF(ISNUMBER('Change in Employment'!L172),'Change in Employment'!L172, "")</f>
        <v/>
      </c>
      <c r="C165" s="23" t="str">
        <f>IFERROR(IF(ISNUMBER('Change in Employment'!M172),TEXT('Change in Employment'!M172, "0"), ""), "")</f>
        <v/>
      </c>
    </row>
    <row r="166" spans="1:3">
      <c r="A166" s="23" t="str">
        <f>TEXT(IF('Change in Employment'!B173&lt;&gt;0,DATE(YEAR('Change in Employment'!B173), MONTH('Change in Employment'!B173), 1), ""), "mm/dd/yyyy")</f>
        <v/>
      </c>
      <c r="B166" s="23" t="str">
        <f>IF(ISNUMBER('Change in Employment'!L173),'Change in Employment'!L173, "")</f>
        <v/>
      </c>
      <c r="C166" s="23" t="str">
        <f>IFERROR(IF(ISNUMBER('Change in Employment'!M173),TEXT('Change in Employment'!M173, "0"), ""), "")</f>
        <v/>
      </c>
    </row>
    <row r="167" spans="1:3">
      <c r="A167" s="23" t="str">
        <f>TEXT(IF('Change in Employment'!B174&lt;&gt;0,DATE(YEAR('Change in Employment'!B174), MONTH('Change in Employment'!B174), 1), ""), "mm/dd/yyyy")</f>
        <v/>
      </c>
      <c r="B167" s="23" t="str">
        <f>IF(ISNUMBER('Change in Employment'!L174),'Change in Employment'!L174, "")</f>
        <v/>
      </c>
      <c r="C167" s="23" t="str">
        <f>IFERROR(IF(ISNUMBER('Change in Employment'!M174),TEXT('Change in Employment'!M174, "0"), ""), "")</f>
        <v/>
      </c>
    </row>
    <row r="168" spans="1:3">
      <c r="A168" s="23" t="str">
        <f>TEXT(IF('Change in Employment'!B175&lt;&gt;0,DATE(YEAR('Change in Employment'!B175), MONTH('Change in Employment'!B175), 1), ""), "mm/dd/yyyy")</f>
        <v/>
      </c>
      <c r="B168" s="23" t="str">
        <f>IF(ISNUMBER('Change in Employment'!L175),'Change in Employment'!L175, "")</f>
        <v/>
      </c>
      <c r="C168" s="23" t="str">
        <f>IFERROR(IF(ISNUMBER('Change in Employment'!M175),TEXT('Change in Employment'!M175, "0"), ""), "")</f>
        <v/>
      </c>
    </row>
    <row r="169" spans="1:3">
      <c r="A169" s="23" t="str">
        <f>TEXT(IF('Change in Employment'!B176&lt;&gt;0,DATE(YEAR('Change in Employment'!B176), MONTH('Change in Employment'!B176), 1), ""), "mm/dd/yyyy")</f>
        <v/>
      </c>
      <c r="B169" s="23" t="str">
        <f>IF(ISNUMBER('Change in Employment'!L176),'Change in Employment'!L176, "")</f>
        <v/>
      </c>
      <c r="C169" s="23" t="str">
        <f>IFERROR(IF(ISNUMBER('Change in Employment'!M176),TEXT('Change in Employment'!M176, "0"), ""), "")</f>
        <v/>
      </c>
    </row>
    <row r="170" spans="1:3">
      <c r="A170" s="23" t="str">
        <f>TEXT(IF('Change in Employment'!B177&lt;&gt;0,DATE(YEAR('Change in Employment'!B177), MONTH('Change in Employment'!B177), 1), ""), "mm/dd/yyyy")</f>
        <v/>
      </c>
      <c r="B170" s="23" t="str">
        <f>IF(ISNUMBER('Change in Employment'!L177),'Change in Employment'!L177, "")</f>
        <v/>
      </c>
      <c r="C170" s="23" t="str">
        <f>IFERROR(IF(ISNUMBER('Change in Employment'!M177),TEXT('Change in Employment'!M177, "0"), ""), "")</f>
        <v/>
      </c>
    </row>
    <row r="171" spans="1:3">
      <c r="A171" s="23" t="str">
        <f>TEXT(IF('Change in Employment'!B178&lt;&gt;0,DATE(YEAR('Change in Employment'!B178), MONTH('Change in Employment'!B178), 1), ""), "mm/dd/yyyy")</f>
        <v/>
      </c>
      <c r="B171" s="23" t="str">
        <f>IF(ISNUMBER('Change in Employment'!L178),'Change in Employment'!L178, "")</f>
        <v/>
      </c>
      <c r="C171" s="23" t="str">
        <f>IFERROR(IF(ISNUMBER('Change in Employment'!M178),TEXT('Change in Employment'!M178, "0"), ""), "")</f>
        <v/>
      </c>
    </row>
    <row r="172" spans="1:3">
      <c r="A172" s="23" t="str">
        <f>TEXT(IF('Change in Employment'!B179&lt;&gt;0,DATE(YEAR('Change in Employment'!B179), MONTH('Change in Employment'!B179), 1), ""), "mm/dd/yyyy")</f>
        <v/>
      </c>
      <c r="B172" s="23" t="str">
        <f>IF(ISNUMBER('Change in Employment'!L179),'Change in Employment'!L179, "")</f>
        <v/>
      </c>
      <c r="C172" s="23" t="str">
        <f>IFERROR(IF(ISNUMBER('Change in Employment'!M179),TEXT('Change in Employment'!M179, "0"), ""), "")</f>
        <v/>
      </c>
    </row>
    <row r="173" spans="1:3">
      <c r="A173" s="23" t="str">
        <f>TEXT(IF('Change in Employment'!B180&lt;&gt;0,DATE(YEAR('Change in Employment'!B180), MONTH('Change in Employment'!B180), 1), ""), "mm/dd/yyyy")</f>
        <v/>
      </c>
      <c r="B173" s="23" t="str">
        <f>IF(ISNUMBER('Change in Employment'!L180),'Change in Employment'!L180, "")</f>
        <v/>
      </c>
      <c r="C173" s="23" t="str">
        <f>IFERROR(IF(ISNUMBER('Change in Employment'!M180),TEXT('Change in Employment'!M180, "0"), ""), "")</f>
        <v/>
      </c>
    </row>
    <row r="174" spans="1:3">
      <c r="A174" s="23" t="str">
        <f>TEXT(IF('Change in Employment'!B181&lt;&gt;0,DATE(YEAR('Change in Employment'!B181), MONTH('Change in Employment'!B181), 1), ""), "mm/dd/yyyy")</f>
        <v/>
      </c>
      <c r="B174" s="23" t="str">
        <f>IF(ISNUMBER('Change in Employment'!L181),'Change in Employment'!L181, "")</f>
        <v/>
      </c>
      <c r="C174" s="23" t="str">
        <f>IFERROR(IF(ISNUMBER('Change in Employment'!M181),TEXT('Change in Employment'!M181, "0"), ""), "")</f>
        <v/>
      </c>
    </row>
    <row r="175" spans="1:3">
      <c r="A175" s="23" t="str">
        <f>TEXT(IF('Change in Employment'!B182&lt;&gt;0,DATE(YEAR('Change in Employment'!B182), MONTH('Change in Employment'!B182), 1), ""), "mm/dd/yyyy")</f>
        <v/>
      </c>
      <c r="B175" s="23" t="str">
        <f>IF(ISNUMBER('Change in Employment'!L182),'Change in Employment'!L182, "")</f>
        <v/>
      </c>
      <c r="C175" s="23" t="str">
        <f>IFERROR(IF(ISNUMBER('Change in Employment'!M182),TEXT('Change in Employment'!M182, "0"), ""), "")</f>
        <v/>
      </c>
    </row>
    <row r="176" spans="1:3">
      <c r="A176" s="23" t="str">
        <f>TEXT(IF('Change in Employment'!B183&lt;&gt;0,DATE(YEAR('Change in Employment'!B183), MONTH('Change in Employment'!B183), 1), ""), "mm/dd/yyyy")</f>
        <v/>
      </c>
      <c r="B176" s="23" t="str">
        <f>IF(ISNUMBER('Change in Employment'!L183),'Change in Employment'!L183, "")</f>
        <v/>
      </c>
      <c r="C176" s="23" t="str">
        <f>IFERROR(IF(ISNUMBER('Change in Employment'!M183),TEXT('Change in Employment'!M183, "0"), ""), "")</f>
        <v/>
      </c>
    </row>
    <row r="177" spans="1:3">
      <c r="A177" s="23" t="str">
        <f>TEXT(IF('Change in Employment'!B184&lt;&gt;0,DATE(YEAR('Change in Employment'!B184), MONTH('Change in Employment'!B184), 1), ""), "mm/dd/yyyy")</f>
        <v/>
      </c>
      <c r="B177" s="23" t="str">
        <f>IF(ISNUMBER('Change in Employment'!L184),'Change in Employment'!L184, "")</f>
        <v/>
      </c>
      <c r="C177" s="23" t="str">
        <f>IFERROR(IF(ISNUMBER('Change in Employment'!M184),TEXT('Change in Employment'!M184, "0"), ""), "")</f>
        <v/>
      </c>
    </row>
    <row r="178" spans="1:3">
      <c r="A178" s="23" t="str">
        <f>TEXT(IF('Change in Employment'!B185&lt;&gt;0,DATE(YEAR('Change in Employment'!B185), MONTH('Change in Employment'!B185), 1), ""), "mm/dd/yyyy")</f>
        <v/>
      </c>
      <c r="B178" s="23" t="str">
        <f>IF(ISNUMBER('Change in Employment'!L185),'Change in Employment'!L185, "")</f>
        <v/>
      </c>
      <c r="C178" s="23" t="str">
        <f>IFERROR(IF(ISNUMBER('Change in Employment'!M185),TEXT('Change in Employment'!M185, "0"), ""), "")</f>
        <v/>
      </c>
    </row>
    <row r="179" spans="1:3">
      <c r="A179" s="23" t="str">
        <f>TEXT(IF('Change in Employment'!B186&lt;&gt;0,DATE(YEAR('Change in Employment'!B186), MONTH('Change in Employment'!B186), 1), ""), "mm/dd/yyyy")</f>
        <v/>
      </c>
      <c r="B179" s="23" t="str">
        <f>IF(ISNUMBER('Change in Employment'!L186),'Change in Employment'!L186, "")</f>
        <v/>
      </c>
      <c r="C179" s="23" t="str">
        <f>IFERROR(IF(ISNUMBER('Change in Employment'!M186),TEXT('Change in Employment'!M186, "0"), ""), "")</f>
        <v/>
      </c>
    </row>
    <row r="180" spans="1:3">
      <c r="A180" s="23" t="str">
        <f>TEXT(IF('Change in Employment'!B187&lt;&gt;0,DATE(YEAR('Change in Employment'!B187), MONTH('Change in Employment'!B187), 1), ""), "mm/dd/yyyy")</f>
        <v/>
      </c>
      <c r="B180" s="23" t="str">
        <f>IF(ISNUMBER('Change in Employment'!L187),'Change in Employment'!L187, "")</f>
        <v/>
      </c>
      <c r="C180" s="23" t="str">
        <f>IFERROR(IF(ISNUMBER('Change in Employment'!M187),TEXT('Change in Employment'!M187, "0"), ""), "")</f>
        <v/>
      </c>
    </row>
    <row r="181" spans="1:3">
      <c r="A181" s="23" t="str">
        <f>TEXT(IF('Change in Employment'!B188&lt;&gt;0,DATE(YEAR('Change in Employment'!B188), MONTH('Change in Employment'!B188), 1), ""), "mm/dd/yyyy")</f>
        <v/>
      </c>
      <c r="B181" s="23" t="str">
        <f>IF(ISNUMBER('Change in Employment'!L188),'Change in Employment'!L188, "")</f>
        <v/>
      </c>
      <c r="C181" s="23" t="str">
        <f>IFERROR(IF(ISNUMBER('Change in Employment'!M188),TEXT('Change in Employment'!M188, "0"), ""), "")</f>
        <v/>
      </c>
    </row>
    <row r="182" spans="1:3">
      <c r="A182" s="23" t="str">
        <f>TEXT(IF('Change in Employment'!B189&lt;&gt;0,DATE(YEAR('Change in Employment'!B189), MONTH('Change in Employment'!B189), 1), ""), "mm/dd/yyyy")</f>
        <v/>
      </c>
      <c r="B182" s="23" t="str">
        <f>IF(ISNUMBER('Change in Employment'!L189),'Change in Employment'!L189, "")</f>
        <v/>
      </c>
      <c r="C182" s="23" t="str">
        <f>IFERROR(IF(ISNUMBER('Change in Employment'!M189),TEXT('Change in Employment'!M189, "0"), ""), "")</f>
        <v/>
      </c>
    </row>
    <row r="183" spans="1:3">
      <c r="A183" s="23" t="str">
        <f>TEXT(IF('Change in Employment'!B190&lt;&gt;0,DATE(YEAR('Change in Employment'!B190), MONTH('Change in Employment'!B190), 1), ""), "mm/dd/yyyy")</f>
        <v/>
      </c>
      <c r="B183" s="23" t="str">
        <f>IF(ISNUMBER('Change in Employment'!L190),'Change in Employment'!L190, "")</f>
        <v/>
      </c>
      <c r="C183" s="23" t="str">
        <f>IFERROR(IF(ISNUMBER('Change in Employment'!M190),TEXT('Change in Employment'!M190, "0"), ""), "")</f>
        <v/>
      </c>
    </row>
    <row r="184" spans="1:3">
      <c r="A184" s="23" t="str">
        <f>TEXT(IF('Change in Employment'!B191&lt;&gt;0,DATE(YEAR('Change in Employment'!B191), MONTH('Change in Employment'!B191), 1), ""), "mm/dd/yyyy")</f>
        <v/>
      </c>
      <c r="B184" s="23" t="str">
        <f>IF(ISNUMBER('Change in Employment'!L191),'Change in Employment'!L191, "")</f>
        <v/>
      </c>
      <c r="C184" s="23" t="str">
        <f>IFERROR(IF(ISNUMBER('Change in Employment'!M191),TEXT('Change in Employment'!M191, "0"), ""), "")</f>
        <v/>
      </c>
    </row>
    <row r="185" spans="1:3">
      <c r="A185" s="23" t="str">
        <f>TEXT(IF('Change in Employment'!B192&lt;&gt;0,DATE(YEAR('Change in Employment'!B192), MONTH('Change in Employment'!B192), 1), ""), "mm/dd/yyyy")</f>
        <v/>
      </c>
      <c r="B185" s="23" t="str">
        <f>IF(ISNUMBER('Change in Employment'!L192),'Change in Employment'!L192, "")</f>
        <v/>
      </c>
      <c r="C185" s="23" t="str">
        <f>IFERROR(IF(ISNUMBER('Change in Employment'!M192),TEXT('Change in Employment'!M192, "0"), ""), "")</f>
        <v/>
      </c>
    </row>
    <row r="186" spans="1:3">
      <c r="A186" s="23" t="str">
        <f>TEXT(IF('Change in Employment'!B193&lt;&gt;0,DATE(YEAR('Change in Employment'!B193), MONTH('Change in Employment'!B193), 1), ""), "mm/dd/yyyy")</f>
        <v/>
      </c>
      <c r="B186" s="23" t="str">
        <f>IF(ISNUMBER('Change in Employment'!L193),'Change in Employment'!L193, "")</f>
        <v/>
      </c>
      <c r="C186" s="23" t="str">
        <f>IFERROR(IF(ISNUMBER('Change in Employment'!M193),TEXT('Change in Employment'!M193, "0"), ""), "")</f>
        <v/>
      </c>
    </row>
    <row r="187" spans="1:3">
      <c r="A187" s="23" t="str">
        <f>TEXT(IF('Change in Employment'!B194&lt;&gt;0,DATE(YEAR('Change in Employment'!B194), MONTH('Change in Employment'!B194), 1), ""), "mm/dd/yyyy")</f>
        <v/>
      </c>
      <c r="B187" s="23" t="str">
        <f>IF(ISNUMBER('Change in Employment'!L194),'Change in Employment'!L194, "")</f>
        <v/>
      </c>
      <c r="C187" s="23" t="str">
        <f>IFERROR(IF(ISNUMBER('Change in Employment'!M194),TEXT('Change in Employment'!M194, "0"), ""), "")</f>
        <v/>
      </c>
    </row>
    <row r="188" spans="1:3">
      <c r="A188" s="23" t="str">
        <f>TEXT(IF('Change in Employment'!B195&lt;&gt;0,DATE(YEAR('Change in Employment'!B195), MONTH('Change in Employment'!B195), 1), ""), "mm/dd/yyyy")</f>
        <v/>
      </c>
      <c r="B188" s="23" t="str">
        <f>IF(ISNUMBER('Change in Employment'!L195),'Change in Employment'!L195, "")</f>
        <v/>
      </c>
      <c r="C188" s="23" t="str">
        <f>IFERROR(IF(ISNUMBER('Change in Employment'!M195),TEXT('Change in Employment'!M195, "0"), ""), "")</f>
        <v/>
      </c>
    </row>
    <row r="189" spans="1:3">
      <c r="A189" s="23" t="str">
        <f>TEXT(IF('Change in Employment'!B196&lt;&gt;0,DATE(YEAR('Change in Employment'!B196), MONTH('Change in Employment'!B196), 1), ""), "mm/dd/yyyy")</f>
        <v/>
      </c>
      <c r="B189" s="23" t="str">
        <f>IF(ISNUMBER('Change in Employment'!L196),'Change in Employment'!L196, "")</f>
        <v/>
      </c>
      <c r="C189" s="23" t="str">
        <f>IFERROR(IF(ISNUMBER('Change in Employment'!M196),TEXT('Change in Employment'!M196, "0"), ""), "")</f>
        <v/>
      </c>
    </row>
    <row r="190" spans="1:3">
      <c r="A190" s="23" t="str">
        <f>TEXT(IF('Change in Employment'!B197&lt;&gt;0,DATE(YEAR('Change in Employment'!B197), MONTH('Change in Employment'!B197), 1), ""), "mm/dd/yyyy")</f>
        <v/>
      </c>
      <c r="B190" s="23" t="str">
        <f>IF(ISNUMBER('Change in Employment'!L197),'Change in Employment'!L197, "")</f>
        <v/>
      </c>
      <c r="C190" s="23" t="str">
        <f>IFERROR(IF(ISNUMBER('Change in Employment'!M197),TEXT('Change in Employment'!M197, "0"), ""), "")</f>
        <v/>
      </c>
    </row>
    <row r="191" spans="1:3">
      <c r="A191" s="23" t="str">
        <f>TEXT(IF('Change in Employment'!B198&lt;&gt;0,DATE(YEAR('Change in Employment'!B198), MONTH('Change in Employment'!B198), 1), ""), "mm/dd/yyyy")</f>
        <v/>
      </c>
      <c r="B191" s="23" t="str">
        <f>IF(ISNUMBER('Change in Employment'!L198),'Change in Employment'!L198, "")</f>
        <v/>
      </c>
      <c r="C191" s="23" t="str">
        <f>IFERROR(IF(ISNUMBER('Change in Employment'!M198),TEXT('Change in Employment'!M198, "0"), ""), "")</f>
        <v/>
      </c>
    </row>
    <row r="192" spans="1:3">
      <c r="A192" s="23" t="str">
        <f>TEXT(IF('Change in Employment'!B199&lt;&gt;0,DATE(YEAR('Change in Employment'!B199), MONTH('Change in Employment'!B199), 1), ""), "mm/dd/yyyy")</f>
        <v/>
      </c>
      <c r="B192" s="23" t="str">
        <f>IF(ISNUMBER('Change in Employment'!L199),'Change in Employment'!L199, "")</f>
        <v/>
      </c>
      <c r="C192" s="23" t="str">
        <f>IFERROR(IF(ISNUMBER('Change in Employment'!M199),TEXT('Change in Employment'!M199, "0"), ""), "")</f>
        <v/>
      </c>
    </row>
    <row r="193" spans="1:3">
      <c r="A193" s="23" t="str">
        <f>TEXT(IF('Change in Employment'!B200&lt;&gt;0,DATE(YEAR('Change in Employment'!B200), MONTH('Change in Employment'!B200), 1), ""), "mm/dd/yyyy")</f>
        <v/>
      </c>
      <c r="B193" s="23" t="str">
        <f>IF(ISNUMBER('Change in Employment'!L200),'Change in Employment'!L200, "")</f>
        <v/>
      </c>
      <c r="C193" s="23" t="str">
        <f>IFERROR(IF(ISNUMBER('Change in Employment'!M200),TEXT('Change in Employment'!M200, "0"), ""), "")</f>
        <v/>
      </c>
    </row>
    <row r="194" spans="1:3">
      <c r="A194" s="23" t="str">
        <f>TEXT(IF('Change in Employment'!B201&lt;&gt;0,DATE(YEAR('Change in Employment'!B201), MONTH('Change in Employment'!B201), 1), ""), "mm/dd/yyyy")</f>
        <v/>
      </c>
      <c r="B194" s="23" t="str">
        <f>IF(ISNUMBER('Change in Employment'!L201),'Change in Employment'!L201, "")</f>
        <v/>
      </c>
      <c r="C194" s="23" t="str">
        <f>IFERROR(IF(ISNUMBER('Change in Employment'!M201),TEXT('Change in Employment'!M201, "0"), ""), "")</f>
        <v/>
      </c>
    </row>
    <row r="195" spans="1:3">
      <c r="A195" s="23" t="str">
        <f>TEXT(IF('Change in Employment'!B202&lt;&gt;0,DATE(YEAR('Change in Employment'!B202), MONTH('Change in Employment'!B202), 1), ""), "mm/dd/yyyy")</f>
        <v/>
      </c>
      <c r="B195" s="23" t="str">
        <f>IF(ISNUMBER('Change in Employment'!L202),'Change in Employment'!L202, "")</f>
        <v/>
      </c>
      <c r="C195" s="23" t="str">
        <f>IFERROR(IF(ISNUMBER('Change in Employment'!M202),TEXT('Change in Employment'!M202, "0"), ""), "")</f>
        <v/>
      </c>
    </row>
    <row r="196" spans="1:3">
      <c r="A196" s="23" t="str">
        <f>TEXT(IF('Change in Employment'!B203&lt;&gt;0,DATE(YEAR('Change in Employment'!B203), MONTH('Change in Employment'!B203), 1), ""), "mm/dd/yyyy")</f>
        <v/>
      </c>
      <c r="B196" s="23" t="str">
        <f>IF(ISNUMBER('Change in Employment'!L203),'Change in Employment'!L203, "")</f>
        <v/>
      </c>
      <c r="C196" s="23" t="str">
        <f>IFERROR(IF(ISNUMBER('Change in Employment'!M203),TEXT('Change in Employment'!M203, "0"), ""), "")</f>
        <v/>
      </c>
    </row>
    <row r="197" spans="1:3">
      <c r="A197" s="23" t="str">
        <f>TEXT(IF('Change in Employment'!B204&lt;&gt;0,DATE(YEAR('Change in Employment'!B204), MONTH('Change in Employment'!B204), 1), ""), "mm/dd/yyyy")</f>
        <v/>
      </c>
      <c r="B197" s="23" t="str">
        <f>IF(ISNUMBER('Change in Employment'!L204),'Change in Employment'!L204, "")</f>
        <v/>
      </c>
      <c r="C197" s="23" t="str">
        <f>IFERROR(IF(ISNUMBER('Change in Employment'!M204),TEXT('Change in Employment'!M204, "0"), ""), "")</f>
        <v/>
      </c>
    </row>
    <row r="198" spans="1:3">
      <c r="A198" s="23" t="str">
        <f>TEXT(IF('Change in Employment'!B205&lt;&gt;0,DATE(YEAR('Change in Employment'!B205), MONTH('Change in Employment'!B205), 1), ""), "mm/dd/yyyy")</f>
        <v/>
      </c>
      <c r="B198" s="23" t="str">
        <f>IF(ISNUMBER('Change in Employment'!L205),'Change in Employment'!L205, "")</f>
        <v/>
      </c>
      <c r="C198" s="23" t="str">
        <f>IFERROR(IF(ISNUMBER('Change in Employment'!M205),TEXT('Change in Employment'!M205, "0"), ""), "")</f>
        <v/>
      </c>
    </row>
    <row r="199" spans="1:3">
      <c r="A199" s="23" t="str">
        <f>TEXT(IF('Change in Employment'!B206&lt;&gt;0,DATE(YEAR('Change in Employment'!B206), MONTH('Change in Employment'!B206), 1), ""), "mm/dd/yyyy")</f>
        <v/>
      </c>
      <c r="B199" s="23" t="str">
        <f>IF(ISNUMBER('Change in Employment'!L206),'Change in Employment'!L206, "")</f>
        <v/>
      </c>
      <c r="C199" s="23" t="str">
        <f>IFERROR(IF(ISNUMBER('Change in Employment'!M206),TEXT('Change in Employment'!M206, "0"), ""), "")</f>
        <v/>
      </c>
    </row>
    <row r="200" spans="1:3">
      <c r="A200" s="23" t="str">
        <f>TEXT(IF('Change in Employment'!B207&lt;&gt;0,DATE(YEAR('Change in Employment'!B207), MONTH('Change in Employment'!B207), 1), ""), "mm/dd/yyyy")</f>
        <v/>
      </c>
      <c r="B200" s="23" t="str">
        <f>IF(ISNUMBER('Change in Employment'!L207),'Change in Employment'!L207, "")</f>
        <v/>
      </c>
      <c r="C200" s="23" t="str">
        <f>IFERROR(IF(ISNUMBER('Change in Employment'!M207),TEXT('Change in Employment'!M207, "0"), ""), "")</f>
        <v/>
      </c>
    </row>
    <row r="201" spans="1:3">
      <c r="A201" s="23" t="str">
        <f>TEXT(IF('Change in Employment'!B208&lt;&gt;0,DATE(YEAR('Change in Employment'!B208), MONTH('Change in Employment'!B208), 1), ""), "mm/dd/yyyy")</f>
        <v/>
      </c>
      <c r="B201" s="23" t="str">
        <f>IF(ISNUMBER('Change in Employment'!L208),'Change in Employment'!L208, "")</f>
        <v/>
      </c>
      <c r="C201" s="23" t="str">
        <f>IFERROR(IF(ISNUMBER('Change in Employment'!M208),TEXT('Change in Employment'!M208, "0"), ""), "")</f>
        <v/>
      </c>
    </row>
    <row r="202" spans="1:3">
      <c r="A202" s="23" t="str">
        <f>TEXT(IF('Change in Employment'!B209&lt;&gt;0,DATE(YEAR('Change in Employment'!B209), MONTH('Change in Employment'!B209), 1), ""), "mm/dd/yyyy")</f>
        <v/>
      </c>
      <c r="B202" s="23" t="str">
        <f>IF(ISNUMBER('Change in Employment'!L209),'Change in Employment'!L209, "")</f>
        <v/>
      </c>
      <c r="C202" s="23" t="str">
        <f>IFERROR(IF(ISNUMBER('Change in Employment'!M209),TEXT('Change in Employment'!M209, "0"), ""), "")</f>
        <v/>
      </c>
    </row>
    <row r="203" spans="1:3">
      <c r="A203" s="23" t="str">
        <f>TEXT(IF('Change in Employment'!B210&lt;&gt;0,DATE(YEAR('Change in Employment'!B210), MONTH('Change in Employment'!B210), 1), ""), "mm/dd/yyyy")</f>
        <v/>
      </c>
      <c r="B203" s="23" t="str">
        <f>IF(ISNUMBER('Change in Employment'!L210),'Change in Employment'!L210, "")</f>
        <v/>
      </c>
      <c r="C203" s="23" t="str">
        <f>IFERROR(IF(ISNUMBER('Change in Employment'!M210),TEXT('Change in Employment'!M210, "0"), ""), "")</f>
        <v/>
      </c>
    </row>
    <row r="204" spans="1:3">
      <c r="A204" s="23" t="str">
        <f>TEXT(IF('Change in Employment'!B211&lt;&gt;0,DATE(YEAR('Change in Employment'!B211), MONTH('Change in Employment'!B211), 1), ""), "mm/dd/yyyy")</f>
        <v/>
      </c>
      <c r="B204" s="23" t="str">
        <f>IF(ISNUMBER('Change in Employment'!L211),'Change in Employment'!L211, "")</f>
        <v/>
      </c>
      <c r="C204" s="23" t="str">
        <f>IFERROR(IF(ISNUMBER('Change in Employment'!M211),TEXT('Change in Employment'!M211, "0"), ""), "")</f>
        <v/>
      </c>
    </row>
    <row r="205" spans="1:3">
      <c r="A205" s="23" t="str">
        <f>TEXT(IF('Change in Employment'!B212&lt;&gt;0,DATE(YEAR('Change in Employment'!B212), MONTH('Change in Employment'!B212), 1), ""), "mm/dd/yyyy")</f>
        <v/>
      </c>
      <c r="B205" s="23" t="str">
        <f>IF(ISNUMBER('Change in Employment'!L212),'Change in Employment'!L212, "")</f>
        <v/>
      </c>
      <c r="C205" s="23" t="str">
        <f>IFERROR(IF(ISNUMBER('Change in Employment'!M212),TEXT('Change in Employment'!M212, "0"), ""), "")</f>
        <v/>
      </c>
    </row>
    <row r="206" spans="1:3">
      <c r="A206" s="23" t="str">
        <f>TEXT(IF('Change in Employment'!B213&lt;&gt;0,DATE(YEAR('Change in Employment'!B213), MONTH('Change in Employment'!B213), 1), ""), "mm/dd/yyyy")</f>
        <v/>
      </c>
      <c r="B206" s="23" t="str">
        <f>IF(ISNUMBER('Change in Employment'!L213),'Change in Employment'!L213, "")</f>
        <v/>
      </c>
      <c r="C206" s="23" t="str">
        <f>IFERROR(IF(ISNUMBER('Change in Employment'!M213),TEXT('Change in Employment'!M213, "0"), ""), "")</f>
        <v/>
      </c>
    </row>
    <row r="207" spans="1:3">
      <c r="A207" s="23" t="str">
        <f>TEXT(IF('Change in Employment'!B214&lt;&gt;0,DATE(YEAR('Change in Employment'!B214), MONTH('Change in Employment'!B214), 1), ""), "mm/dd/yyyy")</f>
        <v/>
      </c>
      <c r="B207" s="23" t="str">
        <f>IF(ISNUMBER('Change in Employment'!L214),'Change in Employment'!L214, "")</f>
        <v/>
      </c>
      <c r="C207" s="23" t="str">
        <f>IFERROR(IF(ISNUMBER('Change in Employment'!M214),TEXT('Change in Employment'!M214, "0"), ""), "")</f>
        <v/>
      </c>
    </row>
    <row r="208" spans="1:3">
      <c r="A208" s="23" t="str">
        <f>TEXT(IF('Change in Employment'!B215&lt;&gt;0,DATE(YEAR('Change in Employment'!B215), MONTH('Change in Employment'!B215), 1), ""), "mm/dd/yyyy")</f>
        <v/>
      </c>
      <c r="B208" s="23" t="str">
        <f>IF(ISNUMBER('Change in Employment'!L215),'Change in Employment'!L215, "")</f>
        <v/>
      </c>
      <c r="C208" s="23" t="str">
        <f>IFERROR(IF(ISNUMBER('Change in Employment'!M215),TEXT('Change in Employment'!M215, "0"), ""), "")</f>
        <v/>
      </c>
    </row>
    <row r="209" spans="1:3">
      <c r="A209" s="23" t="str">
        <f>TEXT(IF('Change in Employment'!B216&lt;&gt;0,DATE(YEAR('Change in Employment'!B216), MONTH('Change in Employment'!B216), 1), ""), "mm/dd/yyyy")</f>
        <v/>
      </c>
      <c r="B209" s="23" t="str">
        <f>IF(ISNUMBER('Change in Employment'!L216),'Change in Employment'!L216, "")</f>
        <v/>
      </c>
      <c r="C209" s="23" t="str">
        <f>IFERROR(IF(ISNUMBER('Change in Employment'!M216),TEXT('Change in Employment'!M216, "0"), ""), "")</f>
        <v/>
      </c>
    </row>
    <row r="210" spans="1:3">
      <c r="A210" s="23" t="str">
        <f>TEXT(IF('Change in Employment'!B217&lt;&gt;0,DATE(YEAR('Change in Employment'!B217), MONTH('Change in Employment'!B217), 1), ""), "mm/dd/yyyy")</f>
        <v/>
      </c>
      <c r="B210" s="23" t="str">
        <f>IF(ISNUMBER('Change in Employment'!L217),'Change in Employment'!L217, "")</f>
        <v/>
      </c>
      <c r="C210" s="23" t="str">
        <f>IFERROR(IF(ISNUMBER('Change in Employment'!M217),TEXT('Change in Employment'!M217, "0"), ""), "")</f>
        <v/>
      </c>
    </row>
    <row r="211" spans="1:3">
      <c r="A211" s="23" t="str">
        <f>TEXT(IF('Change in Employment'!B218&lt;&gt;0,DATE(YEAR('Change in Employment'!B218), MONTH('Change in Employment'!B218), 1), ""), "mm/dd/yyyy")</f>
        <v/>
      </c>
      <c r="B211" s="23" t="str">
        <f>IF(ISNUMBER('Change in Employment'!L218),'Change in Employment'!L218, "")</f>
        <v/>
      </c>
      <c r="C211" s="23" t="str">
        <f>IFERROR(IF(ISNUMBER('Change in Employment'!M218),TEXT('Change in Employment'!M218, "0"), ""), "")</f>
        <v/>
      </c>
    </row>
    <row r="212" spans="1:3">
      <c r="A212" s="23" t="str">
        <f>TEXT(IF('Change in Employment'!B219&lt;&gt;0,DATE(YEAR('Change in Employment'!B219), MONTH('Change in Employment'!B219), 1), ""), "mm/dd/yyyy")</f>
        <v/>
      </c>
      <c r="B212" s="23" t="str">
        <f>IF(ISNUMBER('Change in Employment'!L219),'Change in Employment'!L219, "")</f>
        <v/>
      </c>
      <c r="C212" s="23" t="str">
        <f>IFERROR(IF(ISNUMBER('Change in Employment'!M219),TEXT('Change in Employment'!M219, "0"), ""), "")</f>
        <v/>
      </c>
    </row>
    <row r="213" spans="1:3">
      <c r="A213" s="23" t="str">
        <f>TEXT(IF('Change in Employment'!B220&lt;&gt;0,DATE(YEAR('Change in Employment'!B220), MONTH('Change in Employment'!B220), 1), ""), "mm/dd/yyyy")</f>
        <v/>
      </c>
      <c r="B213" s="23" t="str">
        <f>IF(ISNUMBER('Change in Employment'!L220),'Change in Employment'!L220, "")</f>
        <v/>
      </c>
      <c r="C213" s="23" t="str">
        <f>IFERROR(IF(ISNUMBER('Change in Employment'!M220),TEXT('Change in Employment'!M220, "0"), ""), "")</f>
        <v/>
      </c>
    </row>
    <row r="214" spans="1:3">
      <c r="A214" s="23" t="str">
        <f>TEXT(IF('Change in Employment'!B221&lt;&gt;0,DATE(YEAR('Change in Employment'!B221), MONTH('Change in Employment'!B221), 1), ""), "mm/dd/yyyy")</f>
        <v/>
      </c>
      <c r="B214" s="23" t="str">
        <f>IF(ISNUMBER('Change in Employment'!L221),'Change in Employment'!L221, "")</f>
        <v/>
      </c>
      <c r="C214" s="23" t="str">
        <f>IFERROR(IF(ISNUMBER('Change in Employment'!M221),TEXT('Change in Employment'!M221, "0"), ""), "")</f>
        <v/>
      </c>
    </row>
    <row r="215" spans="1:3">
      <c r="A215" s="23" t="str">
        <f>TEXT(IF('Change in Employment'!B222&lt;&gt;0,DATE(YEAR('Change in Employment'!B222), MONTH('Change in Employment'!B222), 1), ""), "mm/dd/yyyy")</f>
        <v/>
      </c>
      <c r="B215" s="23" t="str">
        <f>IF(ISNUMBER('Change in Employment'!L222),'Change in Employment'!L222, "")</f>
        <v/>
      </c>
      <c r="C215" s="23" t="str">
        <f>IFERROR(IF(ISNUMBER('Change in Employment'!M222),TEXT('Change in Employment'!M222, "0"), ""), "")</f>
        <v/>
      </c>
    </row>
    <row r="216" spans="1:3">
      <c r="A216" s="23" t="str">
        <f>TEXT(IF('Change in Employment'!B223&lt;&gt;0,DATE(YEAR('Change in Employment'!B223), MONTH('Change in Employment'!B223), 1), ""), "mm/dd/yyyy")</f>
        <v/>
      </c>
      <c r="B216" s="23" t="str">
        <f>IF(ISNUMBER('Change in Employment'!L223),'Change in Employment'!L223, "")</f>
        <v/>
      </c>
      <c r="C216" s="23" t="str">
        <f>IFERROR(IF(ISNUMBER('Change in Employment'!M223),TEXT('Change in Employment'!M223, "0"), ""), "")</f>
        <v/>
      </c>
    </row>
    <row r="217" spans="1:3">
      <c r="A217" s="23" t="str">
        <f>TEXT(IF('Change in Employment'!B224&lt;&gt;0,DATE(YEAR('Change in Employment'!B224), MONTH('Change in Employment'!B224), 1), ""), "mm/dd/yyyy")</f>
        <v/>
      </c>
      <c r="B217" s="23" t="str">
        <f>IF(ISNUMBER('Change in Employment'!L224),'Change in Employment'!L224, "")</f>
        <v/>
      </c>
      <c r="C217" s="23" t="str">
        <f>IFERROR(IF(ISNUMBER('Change in Employment'!M224),TEXT('Change in Employment'!M224, "0"), ""), "")</f>
        <v/>
      </c>
    </row>
    <row r="218" spans="1:3">
      <c r="A218" s="23" t="str">
        <f>TEXT(IF('Change in Employment'!B225&lt;&gt;0,DATE(YEAR('Change in Employment'!B225), MONTH('Change in Employment'!B225), 1), ""), "mm/dd/yyyy")</f>
        <v/>
      </c>
      <c r="B218" s="23" t="str">
        <f>IF(ISNUMBER('Change in Employment'!L225),'Change in Employment'!L225, "")</f>
        <v/>
      </c>
      <c r="C218" s="23" t="str">
        <f>IFERROR(IF(ISNUMBER('Change in Employment'!M225),TEXT('Change in Employment'!M225, "0"), ""), "")</f>
        <v/>
      </c>
    </row>
    <row r="219" spans="1:3">
      <c r="A219" s="23" t="str">
        <f>TEXT(IF('Change in Employment'!B226&lt;&gt;0,DATE(YEAR('Change in Employment'!B226), MONTH('Change in Employment'!B226), 1), ""), "mm/dd/yyyy")</f>
        <v/>
      </c>
      <c r="B219" s="23" t="str">
        <f>IF(ISNUMBER('Change in Employment'!L226),'Change in Employment'!L226, "")</f>
        <v/>
      </c>
      <c r="C219" s="23" t="str">
        <f>IFERROR(IF(ISNUMBER('Change in Employment'!M226),TEXT('Change in Employment'!M226, "0"), ""), "")</f>
        <v/>
      </c>
    </row>
    <row r="220" spans="1:3">
      <c r="A220" s="23" t="str">
        <f>TEXT(IF('Change in Employment'!B227&lt;&gt;0,DATE(YEAR('Change in Employment'!B227), MONTH('Change in Employment'!B227), 1), ""), "mm/dd/yyyy")</f>
        <v/>
      </c>
      <c r="B220" s="23" t="str">
        <f>IF(ISNUMBER('Change in Employment'!L227),'Change in Employment'!L227, "")</f>
        <v/>
      </c>
      <c r="C220" s="23" t="str">
        <f>IFERROR(IF(ISNUMBER('Change in Employment'!M227),TEXT('Change in Employment'!M227, "0"), ""), "")</f>
        <v/>
      </c>
    </row>
    <row r="221" spans="1:3">
      <c r="A221" s="23" t="str">
        <f>TEXT(IF('Change in Employment'!B228&lt;&gt;0,DATE(YEAR('Change in Employment'!B228), MONTH('Change in Employment'!B228), 1), ""), "mm/dd/yyyy")</f>
        <v/>
      </c>
      <c r="B221" s="23" t="str">
        <f>IF(ISNUMBER('Change in Employment'!L228),'Change in Employment'!L228, "")</f>
        <v/>
      </c>
      <c r="C221" s="23" t="str">
        <f>IFERROR(IF(ISNUMBER('Change in Employment'!M228),TEXT('Change in Employment'!M228, "0"), ""), "")</f>
        <v/>
      </c>
    </row>
    <row r="222" spans="1:3">
      <c r="A222" s="23" t="str">
        <f>TEXT(IF('Change in Employment'!B229&lt;&gt;0,DATE(YEAR('Change in Employment'!B229), MONTH('Change in Employment'!B229), 1), ""), "mm/dd/yyyy")</f>
        <v/>
      </c>
      <c r="B222" s="23" t="str">
        <f>IF(ISNUMBER('Change in Employment'!L229),'Change in Employment'!L229, "")</f>
        <v/>
      </c>
      <c r="C222" s="23" t="str">
        <f>IFERROR(IF(ISNUMBER('Change in Employment'!M229),TEXT('Change in Employment'!M229, "0"), ""), "")</f>
        <v/>
      </c>
    </row>
    <row r="223" spans="1:3">
      <c r="A223" s="23" t="str">
        <f>TEXT(IF('Change in Employment'!B230&lt;&gt;0,DATE(YEAR('Change in Employment'!B230), MONTH('Change in Employment'!B230), 1), ""), "mm/dd/yyyy")</f>
        <v/>
      </c>
      <c r="B223" s="23" t="str">
        <f>IF(ISNUMBER('Change in Employment'!L230),'Change in Employment'!L230, "")</f>
        <v/>
      </c>
      <c r="C223" s="23" t="str">
        <f>IFERROR(IF(ISNUMBER('Change in Employment'!M230),TEXT('Change in Employment'!M230, "0"), ""), "")</f>
        <v/>
      </c>
    </row>
    <row r="224" spans="1:3">
      <c r="A224" s="23" t="str">
        <f>TEXT(IF('Change in Employment'!B231&lt;&gt;0,DATE(YEAR('Change in Employment'!B231), MONTH('Change in Employment'!B231), 1), ""), "mm/dd/yyyy")</f>
        <v/>
      </c>
      <c r="B224" s="23" t="str">
        <f>IF(ISNUMBER('Change in Employment'!L231),'Change in Employment'!L231, "")</f>
        <v/>
      </c>
      <c r="C224" s="23" t="str">
        <f>IFERROR(IF(ISNUMBER('Change in Employment'!M231),TEXT('Change in Employment'!M231, "0"), ""), "")</f>
        <v/>
      </c>
    </row>
    <row r="225" spans="1:3">
      <c r="A225" s="23" t="str">
        <f>TEXT(IF('Change in Employment'!B232&lt;&gt;0,DATE(YEAR('Change in Employment'!B232), MONTH('Change in Employment'!B232), 1), ""), "mm/dd/yyyy")</f>
        <v/>
      </c>
      <c r="B225" s="23" t="str">
        <f>IF(ISNUMBER('Change in Employment'!L232),'Change in Employment'!L232, "")</f>
        <v/>
      </c>
      <c r="C225" s="23" t="str">
        <f>IFERROR(IF(ISNUMBER('Change in Employment'!M232),TEXT('Change in Employment'!M232, "0"), ""), "")</f>
        <v/>
      </c>
    </row>
    <row r="226" spans="1:3">
      <c r="A226" s="23" t="str">
        <f>TEXT(IF('Change in Employment'!B233&lt;&gt;0,DATE(YEAR('Change in Employment'!B233), MONTH('Change in Employment'!B233), 1), ""), "mm/dd/yyyy")</f>
        <v/>
      </c>
      <c r="B226" s="23" t="str">
        <f>IF(ISNUMBER('Change in Employment'!L233),'Change in Employment'!L233, "")</f>
        <v/>
      </c>
      <c r="C226" s="23" t="str">
        <f>IFERROR(IF(ISNUMBER('Change in Employment'!M233),TEXT('Change in Employment'!M233, "0"), ""), "")</f>
        <v/>
      </c>
    </row>
    <row r="227" spans="1:3">
      <c r="A227" s="23" t="str">
        <f>TEXT(IF('Change in Employment'!B234&lt;&gt;0,DATE(YEAR('Change in Employment'!B234), MONTH('Change in Employment'!B234), 1), ""), "mm/dd/yyyy")</f>
        <v/>
      </c>
      <c r="B227" s="23" t="str">
        <f>IF(ISNUMBER('Change in Employment'!L234),'Change in Employment'!L234, "")</f>
        <v/>
      </c>
      <c r="C227" s="23" t="str">
        <f>IFERROR(IF(ISNUMBER('Change in Employment'!M234),TEXT('Change in Employment'!M234, "0"), ""), "")</f>
        <v/>
      </c>
    </row>
    <row r="228" spans="1:3">
      <c r="A228" s="23" t="str">
        <f>TEXT(IF('Change in Employment'!B235&lt;&gt;0,DATE(YEAR('Change in Employment'!B235), MONTH('Change in Employment'!B235), 1), ""), "mm/dd/yyyy")</f>
        <v/>
      </c>
      <c r="B228" s="23" t="str">
        <f>IF(ISNUMBER('Change in Employment'!L235),'Change in Employment'!L235, "")</f>
        <v/>
      </c>
      <c r="C228" s="23" t="str">
        <f>IFERROR(IF(ISNUMBER('Change in Employment'!M235),TEXT('Change in Employment'!M235, "0"), ""), "")</f>
        <v/>
      </c>
    </row>
    <row r="229" spans="1:3">
      <c r="A229" s="23" t="str">
        <f>TEXT(IF('Change in Employment'!B236&lt;&gt;0,DATE(YEAR('Change in Employment'!B236), MONTH('Change in Employment'!B236), 1), ""), "mm/dd/yyyy")</f>
        <v/>
      </c>
      <c r="B229" s="23" t="str">
        <f>IF(ISNUMBER('Change in Employment'!L236),'Change in Employment'!L236, "")</f>
        <v/>
      </c>
      <c r="C229" s="23" t="str">
        <f>IFERROR(IF(ISNUMBER('Change in Employment'!M236),TEXT('Change in Employment'!M236, "0"), ""), "")</f>
        <v/>
      </c>
    </row>
    <row r="230" spans="1:3">
      <c r="A230" s="23" t="str">
        <f>TEXT(IF('Change in Employment'!B237&lt;&gt;0,DATE(YEAR('Change in Employment'!B237), MONTH('Change in Employment'!B237), 1), ""), "mm/dd/yyyy")</f>
        <v/>
      </c>
      <c r="B230" s="23" t="str">
        <f>IF(ISNUMBER('Change in Employment'!L237),'Change in Employment'!L237, "")</f>
        <v/>
      </c>
      <c r="C230" s="23" t="str">
        <f>IFERROR(IF(ISNUMBER('Change in Employment'!M237),TEXT('Change in Employment'!M237, "0"), ""), "")</f>
        <v/>
      </c>
    </row>
    <row r="231" spans="1:3">
      <c r="A231" s="23" t="str">
        <f>TEXT(IF('Change in Employment'!B238&lt;&gt;0,DATE(YEAR('Change in Employment'!B238), MONTH('Change in Employment'!B238), 1), ""), "mm/dd/yyyy")</f>
        <v/>
      </c>
      <c r="B231" s="23" t="str">
        <f>IF(ISNUMBER('Change in Employment'!L238),'Change in Employment'!L238, "")</f>
        <v/>
      </c>
      <c r="C231" s="23" t="str">
        <f>IFERROR(IF(ISNUMBER('Change in Employment'!M238),TEXT('Change in Employment'!M238, "0"), ""), "")</f>
        <v/>
      </c>
    </row>
    <row r="232" spans="1:3">
      <c r="A232" s="23" t="str">
        <f>TEXT(IF('Change in Employment'!B239&lt;&gt;0,DATE(YEAR('Change in Employment'!B239), MONTH('Change in Employment'!B239), 1), ""), "mm/dd/yyyy")</f>
        <v/>
      </c>
      <c r="B232" s="23" t="str">
        <f>IF(ISNUMBER('Change in Employment'!L239),'Change in Employment'!L239, "")</f>
        <v/>
      </c>
      <c r="C232" s="23" t="str">
        <f>IFERROR(IF(ISNUMBER('Change in Employment'!M239),TEXT('Change in Employment'!M239, "0"), ""), "")</f>
        <v/>
      </c>
    </row>
    <row r="233" spans="1:3">
      <c r="A233" s="23" t="str">
        <f>TEXT(IF('Change in Employment'!B240&lt;&gt;0,DATE(YEAR('Change in Employment'!B240), MONTH('Change in Employment'!B240), 1), ""), "mm/dd/yyyy")</f>
        <v/>
      </c>
      <c r="B233" s="23" t="str">
        <f>IF(ISNUMBER('Change in Employment'!L240),'Change in Employment'!L240, "")</f>
        <v/>
      </c>
      <c r="C233" s="23" t="str">
        <f>IFERROR(IF(ISNUMBER('Change in Employment'!M240),TEXT('Change in Employment'!M240, "0"), ""), "")</f>
        <v/>
      </c>
    </row>
    <row r="234" spans="1:3">
      <c r="A234" s="23" t="str">
        <f>TEXT(IF('Change in Employment'!B241&lt;&gt;0,DATE(YEAR('Change in Employment'!B241), MONTH('Change in Employment'!B241), 1), ""), "mm/dd/yyyy")</f>
        <v/>
      </c>
      <c r="B234" s="23" t="str">
        <f>IF(ISNUMBER('Change in Employment'!L241),'Change in Employment'!L241, "")</f>
        <v/>
      </c>
      <c r="C234" s="23" t="str">
        <f>IFERROR(IF(ISNUMBER('Change in Employment'!M241),TEXT('Change in Employment'!M241, "0"), ""), "")</f>
        <v/>
      </c>
    </row>
    <row r="235" spans="1:3">
      <c r="A235" s="23" t="str">
        <f>TEXT(IF('Change in Employment'!B242&lt;&gt;0,DATE(YEAR('Change in Employment'!B242), MONTH('Change in Employment'!B242), 1), ""), "mm/dd/yyyy")</f>
        <v/>
      </c>
      <c r="B235" s="23" t="str">
        <f>IF(ISNUMBER('Change in Employment'!L242),'Change in Employment'!L242, "")</f>
        <v/>
      </c>
      <c r="C235" s="23" t="str">
        <f>IFERROR(IF(ISNUMBER('Change in Employment'!M242),TEXT('Change in Employment'!M242, "0"), ""), "")</f>
        <v/>
      </c>
    </row>
    <row r="236" spans="1:3">
      <c r="A236" s="23" t="str">
        <f>TEXT(IF('Change in Employment'!B243&lt;&gt;0,DATE(YEAR('Change in Employment'!B243), MONTH('Change in Employment'!B243), 1), ""), "mm/dd/yyyy")</f>
        <v/>
      </c>
      <c r="B236" s="23" t="str">
        <f>IF(ISNUMBER('Change in Employment'!L243),'Change in Employment'!L243, "")</f>
        <v/>
      </c>
      <c r="C236" s="23" t="str">
        <f>IFERROR(IF(ISNUMBER('Change in Employment'!M243),TEXT('Change in Employment'!M243, "0"), ""), "")</f>
        <v/>
      </c>
    </row>
    <row r="237" spans="1:3">
      <c r="A237" s="23" t="str">
        <f>TEXT(IF('Change in Employment'!B244&lt;&gt;0,DATE(YEAR('Change in Employment'!B244), MONTH('Change in Employment'!B244), 1), ""), "mm/dd/yyyy")</f>
        <v/>
      </c>
      <c r="B237" s="23" t="str">
        <f>IF(ISNUMBER('Change in Employment'!L244),'Change in Employment'!L244, "")</f>
        <v/>
      </c>
      <c r="C237" s="23" t="str">
        <f>IFERROR(IF(ISNUMBER('Change in Employment'!M244),TEXT('Change in Employment'!M244, "0"), ""), "")</f>
        <v/>
      </c>
    </row>
    <row r="238" spans="1:3">
      <c r="A238" s="23" t="str">
        <f>TEXT(IF('Change in Employment'!B245&lt;&gt;0,DATE(YEAR('Change in Employment'!B245), MONTH('Change in Employment'!B245), 1), ""), "mm/dd/yyyy")</f>
        <v/>
      </c>
      <c r="B238" s="23" t="str">
        <f>IF(ISNUMBER('Change in Employment'!L245),'Change in Employment'!L245, "")</f>
        <v/>
      </c>
      <c r="C238" s="23" t="str">
        <f>IFERROR(IF(ISNUMBER('Change in Employment'!M245),TEXT('Change in Employment'!M245, "0"), ""), "")</f>
        <v/>
      </c>
    </row>
    <row r="239" spans="1:3">
      <c r="A239" s="23" t="str">
        <f>TEXT(IF('Change in Employment'!B246&lt;&gt;0,DATE(YEAR('Change in Employment'!B246), MONTH('Change in Employment'!B246), 1), ""), "mm/dd/yyyy")</f>
        <v/>
      </c>
      <c r="B239" s="23" t="str">
        <f>IF(ISNUMBER('Change in Employment'!L246),'Change in Employment'!L246, "")</f>
        <v/>
      </c>
      <c r="C239" s="23" t="str">
        <f>IFERROR(IF(ISNUMBER('Change in Employment'!M246),TEXT('Change in Employment'!M246, "0"), ""), "")</f>
        <v/>
      </c>
    </row>
    <row r="240" spans="1:3">
      <c r="A240" s="23" t="str">
        <f>TEXT(IF('Change in Employment'!B247&lt;&gt;0,DATE(YEAR('Change in Employment'!B247), MONTH('Change in Employment'!B247), 1), ""), "mm/dd/yyyy")</f>
        <v/>
      </c>
      <c r="B240" s="23" t="str">
        <f>IF(ISNUMBER('Change in Employment'!L247),'Change in Employment'!L247, "")</f>
        <v/>
      </c>
      <c r="C240" s="23" t="str">
        <f>IFERROR(IF(ISNUMBER('Change in Employment'!M247),TEXT('Change in Employment'!M247, "0"), ""), "")</f>
        <v/>
      </c>
    </row>
    <row r="241" spans="1:3">
      <c r="A241" s="23" t="str">
        <f>TEXT(IF('Change in Employment'!B248&lt;&gt;0,DATE(YEAR('Change in Employment'!B248), MONTH('Change in Employment'!B248), 1), ""), "mm/dd/yyyy")</f>
        <v/>
      </c>
      <c r="B241" s="23" t="str">
        <f>IF(ISNUMBER('Change in Employment'!L248),'Change in Employment'!L248, "")</f>
        <v/>
      </c>
      <c r="C241" s="23" t="str">
        <f>IFERROR(IF(ISNUMBER('Change in Employment'!M248),TEXT('Change in Employment'!M248, "0"), ""), "")</f>
        <v/>
      </c>
    </row>
    <row r="242" spans="1:3">
      <c r="A242" s="23" t="str">
        <f>TEXT(IF('Change in Employment'!B249&lt;&gt;0,DATE(YEAR('Change in Employment'!B249), MONTH('Change in Employment'!B249), 1), ""), "mm/dd/yyyy")</f>
        <v/>
      </c>
      <c r="B242" s="23" t="str">
        <f>IF(ISNUMBER('Change in Employment'!L249),'Change in Employment'!L249, "")</f>
        <v/>
      </c>
      <c r="C242" s="23" t="str">
        <f>IFERROR(IF(ISNUMBER('Change in Employment'!M249),TEXT('Change in Employment'!M249, "0"), ""), "")</f>
        <v/>
      </c>
    </row>
    <row r="243" spans="1:3">
      <c r="A243" s="23" t="str">
        <f>TEXT(IF('Change in Employment'!B250&lt;&gt;0,DATE(YEAR('Change in Employment'!B250), MONTH('Change in Employment'!B250), 1), ""), "mm/dd/yyyy")</f>
        <v/>
      </c>
      <c r="B243" s="23" t="str">
        <f>IF(ISNUMBER('Change in Employment'!L250),'Change in Employment'!L250, "")</f>
        <v/>
      </c>
      <c r="C243" s="23" t="str">
        <f>IFERROR(IF(ISNUMBER('Change in Employment'!M250),TEXT('Change in Employment'!M250, "0"), ""), "")</f>
        <v/>
      </c>
    </row>
    <row r="244" spans="1:3">
      <c r="A244" s="23" t="str">
        <f>TEXT(IF('Change in Employment'!B251&lt;&gt;0,DATE(YEAR('Change in Employment'!B251), MONTH('Change in Employment'!B251), 1), ""), "mm/dd/yyyy")</f>
        <v/>
      </c>
      <c r="B244" s="23" t="str">
        <f>IF(ISNUMBER('Change in Employment'!L251),'Change in Employment'!L251, "")</f>
        <v/>
      </c>
      <c r="C244" s="23" t="str">
        <f>IFERROR(IF(ISNUMBER('Change in Employment'!M251),TEXT('Change in Employment'!M251, "0"), ""), "")</f>
        <v/>
      </c>
    </row>
    <row r="245" spans="1:3">
      <c r="A245" s="23" t="str">
        <f>TEXT(IF('Change in Employment'!B252&lt;&gt;0,DATE(YEAR('Change in Employment'!B252), MONTH('Change in Employment'!B252), 1), ""), "mm/dd/yyyy")</f>
        <v/>
      </c>
      <c r="B245" s="23" t="str">
        <f>IF(ISNUMBER('Change in Employment'!L252),'Change in Employment'!L252, "")</f>
        <v/>
      </c>
      <c r="C245" s="23" t="str">
        <f>IFERROR(IF(ISNUMBER('Change in Employment'!M252),TEXT('Change in Employment'!M252, "0"), ""), "")</f>
        <v/>
      </c>
    </row>
    <row r="246" spans="1:3">
      <c r="A246" s="23" t="str">
        <f>TEXT(IF('Change in Employment'!B253&lt;&gt;0,DATE(YEAR('Change in Employment'!B253), MONTH('Change in Employment'!B253), 1), ""), "mm/dd/yyyy")</f>
        <v/>
      </c>
      <c r="B246" s="23" t="str">
        <f>IF(ISNUMBER('Change in Employment'!L253),'Change in Employment'!L253, "")</f>
        <v/>
      </c>
      <c r="C246" s="23" t="str">
        <f>IFERROR(IF(ISNUMBER('Change in Employment'!M253),TEXT('Change in Employment'!M253, "0"), ""), "")</f>
        <v/>
      </c>
    </row>
    <row r="247" spans="1:3">
      <c r="A247" s="23" t="str">
        <f>TEXT(IF('Change in Employment'!B254&lt;&gt;0,DATE(YEAR('Change in Employment'!B254), MONTH('Change in Employment'!B254), 1), ""), "mm/dd/yyyy")</f>
        <v/>
      </c>
      <c r="B247" s="23" t="str">
        <f>IF(ISNUMBER('Change in Employment'!L254),'Change in Employment'!L254, "")</f>
        <v/>
      </c>
      <c r="C247" s="23" t="str">
        <f>IFERROR(IF(ISNUMBER('Change in Employment'!M254),TEXT('Change in Employment'!M254, "0"), ""), "")</f>
        <v/>
      </c>
    </row>
    <row r="248" spans="1:3">
      <c r="A248" s="23" t="str">
        <f>TEXT(IF('Change in Employment'!B255&lt;&gt;0,DATE(YEAR('Change in Employment'!B255), MONTH('Change in Employment'!B255), 1), ""), "mm/dd/yyyy")</f>
        <v/>
      </c>
      <c r="B248" s="23" t="str">
        <f>IF(ISNUMBER('Change in Employment'!L255),'Change in Employment'!L255, "")</f>
        <v/>
      </c>
      <c r="C248" s="23" t="str">
        <f>IFERROR(IF(ISNUMBER('Change in Employment'!M255),TEXT('Change in Employment'!M255, "0"), ""), "")</f>
        <v/>
      </c>
    </row>
    <row r="249" spans="1:3">
      <c r="A249" s="23" t="str">
        <f>TEXT(IF('Change in Employment'!B256&lt;&gt;0,DATE(YEAR('Change in Employment'!B256), MONTH('Change in Employment'!B256), 1), ""), "mm/dd/yyyy")</f>
        <v/>
      </c>
      <c r="B249" s="23" t="str">
        <f>IF(ISNUMBER('Change in Employment'!L256),'Change in Employment'!L256, "")</f>
        <v/>
      </c>
      <c r="C249" s="23" t="str">
        <f>IFERROR(IF(ISNUMBER('Change in Employment'!M256),TEXT('Change in Employment'!M256, "0"), ""), "")</f>
        <v/>
      </c>
    </row>
    <row r="250" spans="1:3">
      <c r="A250" s="23" t="str">
        <f>TEXT(IF('Change in Employment'!B257&lt;&gt;0,DATE(YEAR('Change in Employment'!B257), MONTH('Change in Employment'!B257), 1), ""), "mm/dd/yyyy")</f>
        <v/>
      </c>
      <c r="B250" s="23" t="str">
        <f>IF(ISNUMBER('Change in Employment'!L257),'Change in Employment'!L257, "")</f>
        <v/>
      </c>
      <c r="C250" s="23" t="str">
        <f>IFERROR(IF(ISNUMBER('Change in Employment'!M257),TEXT('Change in Employment'!M257, "0"), ""), "")</f>
        <v/>
      </c>
    </row>
    <row r="251" spans="1:3">
      <c r="A251" s="23" t="str">
        <f>TEXT(IF('Change in Employment'!B258&lt;&gt;0,DATE(YEAR('Change in Employment'!B258), MONTH('Change in Employment'!B258), 1), ""), "mm/dd/yyyy")</f>
        <v/>
      </c>
      <c r="B251" s="23" t="str">
        <f>IF(ISNUMBER('Change in Employment'!L258),'Change in Employment'!L258, "")</f>
        <v/>
      </c>
      <c r="C251" s="23" t="str">
        <f>IFERROR(IF(ISNUMBER('Change in Employment'!M258),TEXT('Change in Employment'!M258, "0"), ""), "")</f>
        <v/>
      </c>
    </row>
    <row r="252" spans="1:3">
      <c r="A252" s="23" t="str">
        <f>TEXT(IF('Change in Employment'!B259&lt;&gt;0,DATE(YEAR('Change in Employment'!B259), MONTH('Change in Employment'!B259), 1), ""), "mm/dd/yyyy")</f>
        <v/>
      </c>
      <c r="B252" s="23" t="str">
        <f>IF(ISNUMBER('Change in Employment'!L259),'Change in Employment'!L259, "")</f>
        <v/>
      </c>
      <c r="C252" s="23" t="str">
        <f>IFERROR(IF(ISNUMBER('Change in Employment'!M259),TEXT('Change in Employment'!M259, "0"), ""), "")</f>
        <v/>
      </c>
    </row>
    <row r="253" spans="1:3">
      <c r="A253" s="23" t="str">
        <f>TEXT(IF('Change in Employment'!B260&lt;&gt;0,DATE(YEAR('Change in Employment'!B260), MONTH('Change in Employment'!B260), 1), ""), "mm/dd/yyyy")</f>
        <v/>
      </c>
      <c r="B253" s="23" t="str">
        <f>IF(ISNUMBER('Change in Employment'!L260),'Change in Employment'!L260, "")</f>
        <v/>
      </c>
      <c r="C253" s="23" t="str">
        <f>IFERROR(IF(ISNUMBER('Change in Employment'!M260),TEXT('Change in Employment'!M260, "0"), ""), "")</f>
        <v/>
      </c>
    </row>
    <row r="254" spans="1:3">
      <c r="A254" s="23" t="str">
        <f>TEXT(IF('Change in Employment'!B261&lt;&gt;0,DATE(YEAR('Change in Employment'!B261), MONTH('Change in Employment'!B261), 1), ""), "mm/dd/yyyy")</f>
        <v/>
      </c>
      <c r="B254" s="23" t="str">
        <f>IF(ISNUMBER('Change in Employment'!L261),'Change in Employment'!L261, "")</f>
        <v/>
      </c>
      <c r="C254" s="23" t="str">
        <f>IFERROR(IF(ISNUMBER('Change in Employment'!M261),TEXT('Change in Employment'!M261, "0"), ""), "")</f>
        <v/>
      </c>
    </row>
    <row r="255" spans="1:3">
      <c r="A255" s="23" t="str">
        <f>TEXT(IF('Change in Employment'!B262&lt;&gt;0,DATE(YEAR('Change in Employment'!B262), MONTH('Change in Employment'!B262), 1), ""), "mm/dd/yyyy")</f>
        <v/>
      </c>
      <c r="B255" s="23" t="str">
        <f>IF(ISNUMBER('Change in Employment'!L262),'Change in Employment'!L262, "")</f>
        <v/>
      </c>
      <c r="C255" s="23" t="str">
        <f>IFERROR(IF(ISNUMBER('Change in Employment'!M262),TEXT('Change in Employment'!M262, "0"), ""), "")</f>
        <v/>
      </c>
    </row>
    <row r="256" spans="1:3">
      <c r="A256" s="23" t="str">
        <f>TEXT(IF('Change in Employment'!B263&lt;&gt;0,DATE(YEAR('Change in Employment'!B263), MONTH('Change in Employment'!B263), 1), ""), "mm/dd/yyyy")</f>
        <v/>
      </c>
      <c r="B256" s="23" t="str">
        <f>IF(ISNUMBER('Change in Employment'!L263),'Change in Employment'!L263, "")</f>
        <v/>
      </c>
      <c r="C256" s="23" t="str">
        <f>IFERROR(IF(ISNUMBER('Change in Employment'!M263),TEXT('Change in Employment'!M263, "0"), ""), "")</f>
        <v/>
      </c>
    </row>
    <row r="257" spans="1:3">
      <c r="A257" s="23" t="str">
        <f>TEXT(IF('Change in Employment'!B264&lt;&gt;0,DATE(YEAR('Change in Employment'!B264), MONTH('Change in Employment'!B264), 1), ""), "mm/dd/yyyy")</f>
        <v/>
      </c>
      <c r="B257" s="23" t="str">
        <f>IF(ISNUMBER('Change in Employment'!L264),'Change in Employment'!L264, "")</f>
        <v/>
      </c>
      <c r="C257" s="23" t="str">
        <f>IFERROR(IF(ISNUMBER('Change in Employment'!M264),TEXT('Change in Employment'!M264, "0"), ""), "")</f>
        <v/>
      </c>
    </row>
    <row r="258" spans="1:3">
      <c r="A258" s="23" t="str">
        <f>TEXT(IF('Change in Employment'!B265&lt;&gt;0,DATE(YEAR('Change in Employment'!B265), MONTH('Change in Employment'!B265), 1), ""), "mm/dd/yyyy")</f>
        <v/>
      </c>
      <c r="B258" s="23" t="str">
        <f>IF(ISNUMBER('Change in Employment'!L265),'Change in Employment'!L265, "")</f>
        <v/>
      </c>
      <c r="C258" s="23" t="str">
        <f>IFERROR(IF(ISNUMBER('Change in Employment'!M265),TEXT('Change in Employment'!M265, "0"), ""), "")</f>
        <v/>
      </c>
    </row>
    <row r="259" spans="1:3">
      <c r="A259" s="23" t="str">
        <f>TEXT(IF('Change in Employment'!B266&lt;&gt;0,DATE(YEAR('Change in Employment'!B266), MONTH('Change in Employment'!B266), 1), ""), "mm/dd/yyyy")</f>
        <v/>
      </c>
      <c r="B259" s="23" t="str">
        <f>IF(ISNUMBER('Change in Employment'!L266),'Change in Employment'!L266, "")</f>
        <v/>
      </c>
      <c r="C259" s="23" t="str">
        <f>IFERROR(IF(ISNUMBER('Change in Employment'!M266),TEXT('Change in Employment'!M266, "0"), ""), "")</f>
        <v/>
      </c>
    </row>
    <row r="260" spans="1:3">
      <c r="A260" s="23" t="str">
        <f>TEXT(IF('Change in Employment'!B267&lt;&gt;0,DATE(YEAR('Change in Employment'!B267), MONTH('Change in Employment'!B267), 1), ""), "mm/dd/yyyy")</f>
        <v/>
      </c>
      <c r="B260" s="23" t="str">
        <f>IF(ISNUMBER('Change in Employment'!L267),'Change in Employment'!L267, "")</f>
        <v/>
      </c>
      <c r="C260" s="23" t="str">
        <f>IFERROR(IF(ISNUMBER('Change in Employment'!M267),TEXT('Change in Employment'!M267, "0"), ""), "")</f>
        <v/>
      </c>
    </row>
    <row r="261" spans="1:3">
      <c r="A261" s="23" t="str">
        <f>TEXT(IF('Change in Employment'!B268&lt;&gt;0,DATE(YEAR('Change in Employment'!B268), MONTH('Change in Employment'!B268), 1), ""), "mm/dd/yyyy")</f>
        <v/>
      </c>
      <c r="B261" s="23" t="str">
        <f>IF(ISNUMBER('Change in Employment'!L268),'Change in Employment'!L268, "")</f>
        <v/>
      </c>
      <c r="C261" s="23" t="str">
        <f>IFERROR(IF(ISNUMBER('Change in Employment'!M268),TEXT('Change in Employment'!M268, "0"), ""), "")</f>
        <v/>
      </c>
    </row>
    <row r="262" spans="1:3">
      <c r="A262" s="23" t="str">
        <f>TEXT(IF('Change in Employment'!B269&lt;&gt;0,DATE(YEAR('Change in Employment'!B269), MONTH('Change in Employment'!B269), 1), ""), "mm/dd/yyyy")</f>
        <v/>
      </c>
      <c r="B262" s="23" t="str">
        <f>IF(ISNUMBER('Change in Employment'!L269),'Change in Employment'!L269, "")</f>
        <v/>
      </c>
      <c r="C262" s="23" t="str">
        <f>IFERROR(IF(ISNUMBER('Change in Employment'!M269),TEXT('Change in Employment'!M269, "0"), ""), "")</f>
        <v/>
      </c>
    </row>
    <row r="263" spans="1:3">
      <c r="A263" s="23" t="str">
        <f>TEXT(IF('Change in Employment'!B270&lt;&gt;0,DATE(YEAR('Change in Employment'!B270), MONTH('Change in Employment'!B270), 1), ""), "mm/dd/yyyy")</f>
        <v/>
      </c>
      <c r="B263" s="23" t="str">
        <f>IF(ISNUMBER('Change in Employment'!L270),'Change in Employment'!L270, "")</f>
        <v/>
      </c>
      <c r="C263" s="23" t="str">
        <f>IFERROR(IF(ISNUMBER('Change in Employment'!M270),TEXT('Change in Employment'!M270, "0"), ""), "")</f>
        <v/>
      </c>
    </row>
    <row r="264" spans="1:3">
      <c r="A264" s="23" t="str">
        <f>TEXT(IF('Change in Employment'!B271&lt;&gt;0,DATE(YEAR('Change in Employment'!B271), MONTH('Change in Employment'!B271), 1), ""), "mm/dd/yyyy")</f>
        <v/>
      </c>
      <c r="B264" s="23" t="str">
        <f>IF(ISNUMBER('Change in Employment'!L271),'Change in Employment'!L271, "")</f>
        <v/>
      </c>
      <c r="C264" s="23" t="str">
        <f>IFERROR(IF(ISNUMBER('Change in Employment'!M271),TEXT('Change in Employment'!M271, "0"), ""), "")</f>
        <v/>
      </c>
    </row>
    <row r="265" spans="1:3">
      <c r="A265" s="23" t="str">
        <f>TEXT(IF('Change in Employment'!B272&lt;&gt;0,DATE(YEAR('Change in Employment'!B272), MONTH('Change in Employment'!B272), 1), ""), "mm/dd/yyyy")</f>
        <v/>
      </c>
      <c r="B265" s="23" t="str">
        <f>IF(ISNUMBER('Change in Employment'!L272),'Change in Employment'!L272, "")</f>
        <v/>
      </c>
      <c r="C265" s="23" t="str">
        <f>IFERROR(IF(ISNUMBER('Change in Employment'!M272),TEXT('Change in Employment'!M272, "0"), ""), "")</f>
        <v/>
      </c>
    </row>
    <row r="266" spans="1:3">
      <c r="A266" s="23" t="str">
        <f>TEXT(IF('Change in Employment'!B273&lt;&gt;0,DATE(YEAR('Change in Employment'!B273), MONTH('Change in Employment'!B273), 1), ""), "mm/dd/yyyy")</f>
        <v/>
      </c>
      <c r="B266" s="23" t="str">
        <f>IF(ISNUMBER('Change in Employment'!L273),'Change in Employment'!L273, "")</f>
        <v/>
      </c>
      <c r="C266" s="23" t="str">
        <f>IFERROR(IF(ISNUMBER('Change in Employment'!M273),TEXT('Change in Employment'!M273, "0"), ""), "")</f>
        <v/>
      </c>
    </row>
    <row r="267" spans="1:3">
      <c r="A267" s="23" t="str">
        <f>TEXT(IF('Change in Employment'!B274&lt;&gt;0,DATE(YEAR('Change in Employment'!B274), MONTH('Change in Employment'!B274), 1), ""), "mm/dd/yyyy")</f>
        <v/>
      </c>
      <c r="B267" s="23" t="str">
        <f>IF(ISNUMBER('Change in Employment'!L274),'Change in Employment'!L274, "")</f>
        <v/>
      </c>
      <c r="C267" s="23" t="str">
        <f>IFERROR(IF(ISNUMBER('Change in Employment'!M274),TEXT('Change in Employment'!M274, "0"), ""), "")</f>
        <v/>
      </c>
    </row>
    <row r="268" spans="1:3">
      <c r="A268" s="23" t="str">
        <f>TEXT(IF('Change in Employment'!B275&lt;&gt;0,DATE(YEAR('Change in Employment'!B275), MONTH('Change in Employment'!B275), 1), ""), "mm/dd/yyyy")</f>
        <v/>
      </c>
      <c r="B268" s="23" t="str">
        <f>IF(ISNUMBER('Change in Employment'!L275),'Change in Employment'!L275, "")</f>
        <v/>
      </c>
      <c r="C268" s="23" t="str">
        <f>IFERROR(IF(ISNUMBER('Change in Employment'!M275),TEXT('Change in Employment'!M275, "0"), ""), "")</f>
        <v/>
      </c>
    </row>
    <row r="269" spans="1:3">
      <c r="A269" s="23" t="str">
        <f>TEXT(IF('Change in Employment'!B276&lt;&gt;0,DATE(YEAR('Change in Employment'!B276), MONTH('Change in Employment'!B276), 1), ""), "mm/dd/yyyy")</f>
        <v/>
      </c>
      <c r="B269" s="23" t="str">
        <f>IF(ISNUMBER('Change in Employment'!L276),'Change in Employment'!L276, "")</f>
        <v/>
      </c>
      <c r="C269" s="23" t="str">
        <f>IFERROR(IF(ISNUMBER('Change in Employment'!M276),TEXT('Change in Employment'!M276, "0"), ""), "")</f>
        <v/>
      </c>
    </row>
    <row r="270" spans="1:3">
      <c r="A270" s="23" t="str">
        <f>TEXT(IF('Change in Employment'!B277&lt;&gt;0,DATE(YEAR('Change in Employment'!B277), MONTH('Change in Employment'!B277), 1), ""), "mm/dd/yyyy")</f>
        <v/>
      </c>
      <c r="B270" s="23" t="str">
        <f>IF(ISNUMBER('Change in Employment'!L277),'Change in Employment'!L277, "")</f>
        <v/>
      </c>
      <c r="C270" s="23" t="str">
        <f>IFERROR(IF(ISNUMBER('Change in Employment'!M277),TEXT('Change in Employment'!M277, "0"), ""), "")</f>
        <v/>
      </c>
    </row>
    <row r="271" spans="1:3">
      <c r="A271" s="23" t="str">
        <f>TEXT(IF('Change in Employment'!B278&lt;&gt;0,DATE(YEAR('Change in Employment'!B278), MONTH('Change in Employment'!B278), 1), ""), "mm/dd/yyyy")</f>
        <v/>
      </c>
      <c r="B271" s="23" t="str">
        <f>IF(ISNUMBER('Change in Employment'!L278),'Change in Employment'!L278, "")</f>
        <v/>
      </c>
      <c r="C271" s="23" t="str">
        <f>IFERROR(IF(ISNUMBER('Change in Employment'!M278),TEXT('Change in Employment'!M278, "0"), ""), "")</f>
        <v/>
      </c>
    </row>
    <row r="272" spans="1:3">
      <c r="A272" s="23" t="str">
        <f>TEXT(IF('Change in Employment'!B279&lt;&gt;0,DATE(YEAR('Change in Employment'!B279), MONTH('Change in Employment'!B279), 1), ""), "mm/dd/yyyy")</f>
        <v/>
      </c>
      <c r="B272" s="23" t="str">
        <f>IF(ISNUMBER('Change in Employment'!L279),'Change in Employment'!L279, "")</f>
        <v/>
      </c>
      <c r="C272" s="23" t="str">
        <f>IFERROR(IF(ISNUMBER('Change in Employment'!M279),TEXT('Change in Employment'!M279, "0"), ""), "")</f>
        <v/>
      </c>
    </row>
    <row r="273" spans="1:3">
      <c r="A273" s="23" t="str">
        <f>TEXT(IF('Change in Employment'!B280&lt;&gt;0,DATE(YEAR('Change in Employment'!B280), MONTH('Change in Employment'!B280), 1), ""), "mm/dd/yyyy")</f>
        <v/>
      </c>
      <c r="B273" s="23" t="str">
        <f>IF(ISNUMBER('Change in Employment'!L280),'Change in Employment'!L280, "")</f>
        <v/>
      </c>
      <c r="C273" s="23" t="str">
        <f>IFERROR(IF(ISNUMBER('Change in Employment'!M280),TEXT('Change in Employment'!M280, "0"), ""), "")</f>
        <v/>
      </c>
    </row>
    <row r="274" spans="1:3">
      <c r="A274" s="23" t="str">
        <f>TEXT(IF('Change in Employment'!B281&lt;&gt;0,DATE(YEAR('Change in Employment'!B281), MONTH('Change in Employment'!B281), 1), ""), "mm/dd/yyyy")</f>
        <v/>
      </c>
      <c r="B274" s="23" t="str">
        <f>IF(ISNUMBER('Change in Employment'!L281),'Change in Employment'!L281, "")</f>
        <v/>
      </c>
      <c r="C274" s="23" t="str">
        <f>IFERROR(IF(ISNUMBER('Change in Employment'!M281),TEXT('Change in Employment'!M281, "0"), ""), "")</f>
        <v/>
      </c>
    </row>
    <row r="275" spans="1:3">
      <c r="A275" s="23" t="str">
        <f>TEXT(IF('Change in Employment'!B282&lt;&gt;0,DATE(YEAR('Change in Employment'!B282), MONTH('Change in Employment'!B282), 1), ""), "mm/dd/yyyy")</f>
        <v/>
      </c>
      <c r="B275" s="23" t="str">
        <f>IF(ISNUMBER('Change in Employment'!L282),'Change in Employment'!L282, "")</f>
        <v/>
      </c>
      <c r="C275" s="23" t="str">
        <f>IFERROR(IF(ISNUMBER('Change in Employment'!M282),TEXT('Change in Employment'!M282, "0"), ""), "")</f>
        <v/>
      </c>
    </row>
    <row r="276" spans="1:3">
      <c r="A276" s="23" t="str">
        <f>TEXT(IF('Change in Employment'!B283&lt;&gt;0,DATE(YEAR('Change in Employment'!B283), MONTH('Change in Employment'!B283), 1), ""), "mm/dd/yyyy")</f>
        <v/>
      </c>
      <c r="B276" s="23" t="str">
        <f>IF(ISNUMBER('Change in Employment'!L283),'Change in Employment'!L283, "")</f>
        <v/>
      </c>
      <c r="C276" s="23" t="str">
        <f>IFERROR(IF(ISNUMBER('Change in Employment'!M283),TEXT('Change in Employment'!M283, "0"), ""), "")</f>
        <v/>
      </c>
    </row>
    <row r="277" spans="1:3">
      <c r="A277" s="23" t="str">
        <f>TEXT(IF('Change in Employment'!B284&lt;&gt;0,DATE(YEAR('Change in Employment'!B284), MONTH('Change in Employment'!B284), 1), ""), "mm/dd/yyyy")</f>
        <v/>
      </c>
      <c r="B277" s="23" t="str">
        <f>IF(ISNUMBER('Change in Employment'!L284),'Change in Employment'!L284, "")</f>
        <v/>
      </c>
      <c r="C277" s="23" t="str">
        <f>IFERROR(IF(ISNUMBER('Change in Employment'!M284),TEXT('Change in Employment'!M284, "0"), ""), "")</f>
        <v/>
      </c>
    </row>
    <row r="278" spans="1:3">
      <c r="A278" s="23" t="str">
        <f>TEXT(IF('Change in Employment'!B285&lt;&gt;0,DATE(YEAR('Change in Employment'!B285), MONTH('Change in Employment'!B285), 1), ""), "mm/dd/yyyy")</f>
        <v/>
      </c>
      <c r="B278" s="23" t="str">
        <f>IF(ISNUMBER('Change in Employment'!L285),'Change in Employment'!L285, "")</f>
        <v/>
      </c>
      <c r="C278" s="23" t="str">
        <f>IFERROR(IF(ISNUMBER('Change in Employment'!M285),TEXT('Change in Employment'!M285, "0"), ""), "")</f>
        <v/>
      </c>
    </row>
    <row r="279" spans="1:3">
      <c r="A279" s="23" t="str">
        <f>TEXT(IF('Change in Employment'!B286&lt;&gt;0,DATE(YEAR('Change in Employment'!B286), MONTH('Change in Employment'!B286), 1), ""), "mm/dd/yyyy")</f>
        <v/>
      </c>
      <c r="B279" s="23" t="str">
        <f>IF(ISNUMBER('Change in Employment'!L286),'Change in Employment'!L286, "")</f>
        <v/>
      </c>
      <c r="C279" s="23" t="str">
        <f>IFERROR(IF(ISNUMBER('Change in Employment'!M286),TEXT('Change in Employment'!M286, "0"), ""), "")</f>
        <v/>
      </c>
    </row>
    <row r="280" spans="1:3">
      <c r="A280" s="23" t="str">
        <f>TEXT(IF('Change in Employment'!B287&lt;&gt;0,DATE(YEAR('Change in Employment'!B287), MONTH('Change in Employment'!B287), 1), ""), "mm/dd/yyyy")</f>
        <v/>
      </c>
      <c r="B280" s="23" t="str">
        <f>IF(ISNUMBER('Change in Employment'!L287),'Change in Employment'!L287, "")</f>
        <v/>
      </c>
      <c r="C280" s="23" t="str">
        <f>IFERROR(IF(ISNUMBER('Change in Employment'!M287),TEXT('Change in Employment'!M287, "0"), ""), "")</f>
        <v/>
      </c>
    </row>
    <row r="281" spans="1:3">
      <c r="A281" s="23" t="str">
        <f>TEXT(IF('Change in Employment'!B288&lt;&gt;0,DATE(YEAR('Change in Employment'!B288), MONTH('Change in Employment'!B288), 1), ""), "mm/dd/yyyy")</f>
        <v/>
      </c>
      <c r="B281" s="23" t="str">
        <f>IF(ISNUMBER('Change in Employment'!L288),'Change in Employment'!L288, "")</f>
        <v/>
      </c>
      <c r="C281" s="23" t="str">
        <f>IFERROR(IF(ISNUMBER('Change in Employment'!M288),TEXT('Change in Employment'!M288, "0"), ""), "")</f>
        <v/>
      </c>
    </row>
    <row r="282" spans="1:3">
      <c r="A282" s="23" t="str">
        <f>TEXT(IF('Change in Employment'!B289&lt;&gt;0,DATE(YEAR('Change in Employment'!B289), MONTH('Change in Employment'!B289), 1), ""), "mm/dd/yyyy")</f>
        <v/>
      </c>
      <c r="B282" s="23" t="str">
        <f>IF(ISNUMBER('Change in Employment'!L289),'Change in Employment'!L289, "")</f>
        <v/>
      </c>
      <c r="C282" s="23" t="str">
        <f>IFERROR(IF(ISNUMBER('Change in Employment'!M289),TEXT('Change in Employment'!M289, "0"), ""), "")</f>
        <v/>
      </c>
    </row>
    <row r="283" spans="1:3">
      <c r="A283" s="23" t="str">
        <f>TEXT(IF('Change in Employment'!B290&lt;&gt;0,DATE(YEAR('Change in Employment'!B290), MONTH('Change in Employment'!B290), 1), ""), "mm/dd/yyyy")</f>
        <v/>
      </c>
      <c r="B283" s="23" t="str">
        <f>IF(ISNUMBER('Change in Employment'!L290),'Change in Employment'!L290, "")</f>
        <v/>
      </c>
      <c r="C283" s="23" t="str">
        <f>IFERROR(IF(ISNUMBER('Change in Employment'!M290),TEXT('Change in Employment'!M290, "0"), ""), "")</f>
        <v/>
      </c>
    </row>
    <row r="284" spans="1:3">
      <c r="A284" s="23" t="str">
        <f>TEXT(IF('Change in Employment'!B291&lt;&gt;0,DATE(YEAR('Change in Employment'!B291), MONTH('Change in Employment'!B291), 1), ""), "mm/dd/yyyy")</f>
        <v/>
      </c>
      <c r="B284" s="23" t="str">
        <f>IF(ISNUMBER('Change in Employment'!L291),'Change in Employment'!L291, "")</f>
        <v/>
      </c>
      <c r="C284" s="23" t="str">
        <f>IFERROR(IF(ISNUMBER('Change in Employment'!M291),TEXT('Change in Employment'!M291, "0"), ""), "")</f>
        <v/>
      </c>
    </row>
    <row r="285" spans="1:3">
      <c r="A285" s="23" t="str">
        <f>TEXT(IF('Change in Employment'!B292&lt;&gt;0,DATE(YEAR('Change in Employment'!B292), MONTH('Change in Employment'!B292), 1), ""), "mm/dd/yyyy")</f>
        <v/>
      </c>
      <c r="B285" s="23" t="str">
        <f>IF(ISNUMBER('Change in Employment'!L292),'Change in Employment'!L292, "")</f>
        <v/>
      </c>
      <c r="C285" s="23" t="str">
        <f>IFERROR(IF(ISNUMBER('Change in Employment'!M292),TEXT('Change in Employment'!M292, "0"), ""), "")</f>
        <v/>
      </c>
    </row>
    <row r="286" spans="1:3">
      <c r="A286" s="23" t="str">
        <f>TEXT(IF('Change in Employment'!B293&lt;&gt;0,DATE(YEAR('Change in Employment'!B293), MONTH('Change in Employment'!B293), 1), ""), "mm/dd/yyyy")</f>
        <v/>
      </c>
      <c r="B286" s="23" t="str">
        <f>IF(ISNUMBER('Change in Employment'!L293),'Change in Employment'!L293, "")</f>
        <v/>
      </c>
      <c r="C286" s="23" t="str">
        <f>IFERROR(IF(ISNUMBER('Change in Employment'!M293),TEXT('Change in Employment'!M293, "0"), ""), "")</f>
        <v/>
      </c>
    </row>
    <row r="287" spans="1:3">
      <c r="A287" s="23" t="str">
        <f>TEXT(IF('Change in Employment'!B294&lt;&gt;0,DATE(YEAR('Change in Employment'!B294), MONTH('Change in Employment'!B294), 1), ""), "mm/dd/yyyy")</f>
        <v/>
      </c>
      <c r="B287" s="23" t="str">
        <f>IF(ISNUMBER('Change in Employment'!L294),'Change in Employment'!L294, "")</f>
        <v/>
      </c>
      <c r="C287" s="23" t="str">
        <f>IFERROR(IF(ISNUMBER('Change in Employment'!M294),TEXT('Change in Employment'!M294, "0"), ""), "")</f>
        <v/>
      </c>
    </row>
    <row r="288" spans="1:3">
      <c r="A288" s="23" t="str">
        <f>TEXT(IF('Change in Employment'!B295&lt;&gt;0,DATE(YEAR('Change in Employment'!B295), MONTH('Change in Employment'!B295), 1), ""), "mm/dd/yyyy")</f>
        <v/>
      </c>
      <c r="B288" s="23" t="str">
        <f>IF(ISNUMBER('Change in Employment'!L295),'Change in Employment'!L295, "")</f>
        <v/>
      </c>
      <c r="C288" s="23" t="str">
        <f>IFERROR(IF(ISNUMBER('Change in Employment'!M295),TEXT('Change in Employment'!M295, "0"), ""), "")</f>
        <v/>
      </c>
    </row>
    <row r="289" spans="1:3">
      <c r="A289" s="23" t="str">
        <f>TEXT(IF('Change in Employment'!B296&lt;&gt;0,DATE(YEAR('Change in Employment'!B296), MONTH('Change in Employment'!B296), 1), ""), "mm/dd/yyyy")</f>
        <v/>
      </c>
      <c r="B289" s="23" t="str">
        <f>IF(ISNUMBER('Change in Employment'!L296),'Change in Employment'!L296, "")</f>
        <v/>
      </c>
      <c r="C289" s="23" t="str">
        <f>IFERROR(IF(ISNUMBER('Change in Employment'!M296),TEXT('Change in Employment'!M296, "0"), ""), "")</f>
        <v/>
      </c>
    </row>
    <row r="290" spans="1:3">
      <c r="A290" s="23" t="str">
        <f>TEXT(IF('Change in Employment'!B297&lt;&gt;0,DATE(YEAR('Change in Employment'!B297), MONTH('Change in Employment'!B297), 1), ""), "mm/dd/yyyy")</f>
        <v/>
      </c>
      <c r="B290" s="23" t="str">
        <f>IF(ISNUMBER('Change in Employment'!L297),'Change in Employment'!L297, "")</f>
        <v/>
      </c>
      <c r="C290" s="23" t="str">
        <f>IFERROR(IF(ISNUMBER('Change in Employment'!M297),TEXT('Change in Employment'!M297, "0"), ""), "")</f>
        <v/>
      </c>
    </row>
    <row r="291" spans="1:3">
      <c r="A291" s="23" t="str">
        <f>TEXT(IF('Change in Employment'!B298&lt;&gt;0,DATE(YEAR('Change in Employment'!B298), MONTH('Change in Employment'!B298), 1), ""), "mm/dd/yyyy")</f>
        <v/>
      </c>
      <c r="B291" s="23" t="str">
        <f>IF(ISNUMBER('Change in Employment'!L298),'Change in Employment'!L298, "")</f>
        <v/>
      </c>
      <c r="C291" s="23" t="str">
        <f>IFERROR(IF(ISNUMBER('Change in Employment'!M298),TEXT('Change in Employment'!M298, "0"), ""), "")</f>
        <v/>
      </c>
    </row>
    <row r="292" spans="1:3">
      <c r="A292" s="23" t="str">
        <f>TEXT(IF('Change in Employment'!B299&lt;&gt;0,DATE(YEAR('Change in Employment'!B299), MONTH('Change in Employment'!B299), 1), ""), "mm/dd/yyyy")</f>
        <v/>
      </c>
      <c r="B292" s="23" t="str">
        <f>IF(ISNUMBER('Change in Employment'!L299),'Change in Employment'!L299, "")</f>
        <v/>
      </c>
      <c r="C292" s="23" t="str">
        <f>IFERROR(IF(ISNUMBER('Change in Employment'!M299),TEXT('Change in Employment'!M299, "0"), ""), "")</f>
        <v/>
      </c>
    </row>
    <row r="293" spans="1:3">
      <c r="A293" s="23" t="str">
        <f>TEXT(IF('Change in Employment'!B300&lt;&gt;0,DATE(YEAR('Change in Employment'!B300), MONTH('Change in Employment'!B300), 1), ""), "mm/dd/yyyy")</f>
        <v/>
      </c>
      <c r="B293" s="23" t="str">
        <f>IF(ISNUMBER('Change in Employment'!L300),'Change in Employment'!L300, "")</f>
        <v/>
      </c>
      <c r="C293" s="23" t="str">
        <f>IFERROR(IF(ISNUMBER('Change in Employment'!M300),TEXT('Change in Employment'!M300, "0"), ""), "")</f>
        <v/>
      </c>
    </row>
    <row r="294" spans="1:3">
      <c r="A294" s="23" t="str">
        <f>TEXT(IF('Change in Employment'!B301&lt;&gt;0,DATE(YEAR('Change in Employment'!B301), MONTH('Change in Employment'!B301), 1), ""), "mm/dd/yyyy")</f>
        <v/>
      </c>
      <c r="B294" s="23" t="str">
        <f>IF(ISNUMBER('Change in Employment'!L301),'Change in Employment'!L301, "")</f>
        <v/>
      </c>
      <c r="C294" s="23" t="str">
        <f>IFERROR(IF(ISNUMBER('Change in Employment'!M301),TEXT('Change in Employment'!M301, "0"), ""), "")</f>
        <v/>
      </c>
    </row>
    <row r="295" spans="1:3">
      <c r="A295" s="23" t="str">
        <f>TEXT(IF('Change in Employment'!B302&lt;&gt;0,DATE(YEAR('Change in Employment'!B302), MONTH('Change in Employment'!B302), 1), ""), "mm/dd/yyyy")</f>
        <v/>
      </c>
      <c r="B295" s="23" t="str">
        <f>IF(ISNUMBER('Change in Employment'!L302),'Change in Employment'!L302, "")</f>
        <v/>
      </c>
      <c r="C295" s="23" t="str">
        <f>IFERROR(IF(ISNUMBER('Change in Employment'!M302),TEXT('Change in Employment'!M302, "0"), ""), "")</f>
        <v/>
      </c>
    </row>
    <row r="296" spans="1:3">
      <c r="A296" s="23" t="str">
        <f>TEXT(IF('Change in Employment'!B303&lt;&gt;0,DATE(YEAR('Change in Employment'!B303), MONTH('Change in Employment'!B303), 1), ""), "mm/dd/yyyy")</f>
        <v/>
      </c>
      <c r="B296" s="23" t="str">
        <f>IF(ISNUMBER('Change in Employment'!L303),'Change in Employment'!L303, "")</f>
        <v/>
      </c>
      <c r="C296" s="23" t="str">
        <f>IFERROR(IF(ISNUMBER('Change in Employment'!M303),TEXT('Change in Employment'!M303, "0"), ""), "")</f>
        <v/>
      </c>
    </row>
    <row r="297" spans="1:3">
      <c r="A297" s="23" t="str">
        <f>TEXT(IF('Change in Employment'!B304&lt;&gt;0,DATE(YEAR('Change in Employment'!B304), MONTH('Change in Employment'!B304), 1), ""), "mm/dd/yyyy")</f>
        <v/>
      </c>
      <c r="B297" s="23" t="str">
        <f>IF(ISNUMBER('Change in Employment'!L304),'Change in Employment'!L304, "")</f>
        <v/>
      </c>
      <c r="C297" s="23" t="str">
        <f>IFERROR(IF(ISNUMBER('Change in Employment'!M304),TEXT('Change in Employment'!M304, "0"), ""), "")</f>
        <v/>
      </c>
    </row>
    <row r="298" spans="1:3">
      <c r="A298" s="23" t="str">
        <f>TEXT(IF('Change in Employment'!B305&lt;&gt;0,DATE(YEAR('Change in Employment'!B305), MONTH('Change in Employment'!B305), 1), ""), "mm/dd/yyyy")</f>
        <v/>
      </c>
      <c r="B298" s="23" t="str">
        <f>IF(ISNUMBER('Change in Employment'!L305),'Change in Employment'!L305, "")</f>
        <v/>
      </c>
      <c r="C298" s="23" t="str">
        <f>IFERROR(IF(ISNUMBER('Change in Employment'!M305),TEXT('Change in Employment'!M305, "0"), ""), "")</f>
        <v/>
      </c>
    </row>
    <row r="299" spans="1:3">
      <c r="A299" s="23" t="str">
        <f>TEXT(IF('Change in Employment'!B306&lt;&gt;0,DATE(YEAR('Change in Employment'!B306), MONTH('Change in Employment'!B306), 1), ""), "mm/dd/yyyy")</f>
        <v/>
      </c>
      <c r="B299" s="23" t="str">
        <f>IF(ISNUMBER('Change in Employment'!L306),'Change in Employment'!L306, "")</f>
        <v/>
      </c>
      <c r="C299" s="23" t="str">
        <f>IFERROR(IF(ISNUMBER('Change in Employment'!M306),TEXT('Change in Employment'!M306, "0"), ""), "")</f>
        <v/>
      </c>
    </row>
    <row r="300" spans="1:3">
      <c r="A300" s="23" t="str">
        <f>TEXT(IF('Change in Employment'!B307&lt;&gt;0,DATE(YEAR('Change in Employment'!B307), MONTH('Change in Employment'!B307), 1), ""), "mm/dd/yyyy")</f>
        <v/>
      </c>
      <c r="B300" s="23" t="str">
        <f>IF(ISNUMBER('Change in Employment'!L307),'Change in Employment'!L307, "")</f>
        <v/>
      </c>
      <c r="C300" s="23" t="str">
        <f>IFERROR(IF(ISNUMBER('Change in Employment'!M307),TEXT('Change in Employment'!M307, "0"), ""), "")</f>
        <v/>
      </c>
    </row>
    <row r="301" spans="1:3">
      <c r="A301" s="23" t="str">
        <f>TEXT(IF('Change in Employment'!B308&lt;&gt;0,DATE(YEAR('Change in Employment'!B308), MONTH('Change in Employment'!B308), 1), ""), "mm/dd/yyyy")</f>
        <v/>
      </c>
      <c r="B301" s="23" t="str">
        <f>IF(ISNUMBER('Change in Employment'!L308),'Change in Employment'!L308, "")</f>
        <v/>
      </c>
      <c r="C301" s="23" t="str">
        <f>IFERROR(IF(ISNUMBER('Change in Employment'!M308),TEXT('Change in Employment'!M308, "0"), ""), "")</f>
        <v/>
      </c>
    </row>
    <row r="302" spans="1:3">
      <c r="A302" s="23" t="str">
        <f>TEXT(IF('Change in Employment'!B309&lt;&gt;0,DATE(YEAR('Change in Employment'!B309), MONTH('Change in Employment'!B309), 1), ""), "mm/dd/yyyy")</f>
        <v/>
      </c>
      <c r="B302" s="23" t="str">
        <f>IF(ISNUMBER('Change in Employment'!L309),'Change in Employment'!L309, "")</f>
        <v/>
      </c>
      <c r="C302" s="23" t="str">
        <f>IFERROR(IF(ISNUMBER('Change in Employment'!M309),TEXT('Change in Employment'!M309, "0"), ""), "")</f>
        <v/>
      </c>
    </row>
    <row r="303" spans="1:3">
      <c r="A303" s="23" t="str">
        <f>TEXT(IF('Change in Employment'!B310&lt;&gt;0,DATE(YEAR('Change in Employment'!B310), MONTH('Change in Employment'!B310), 1), ""), "mm/dd/yyyy")</f>
        <v/>
      </c>
      <c r="B303" s="23" t="str">
        <f>IF(ISNUMBER('Change in Employment'!L310),'Change in Employment'!L310, "")</f>
        <v/>
      </c>
      <c r="C303" s="23" t="str">
        <f>IFERROR(IF(ISNUMBER('Change in Employment'!M310),TEXT('Change in Employment'!M310, "0"), ""), "")</f>
        <v/>
      </c>
    </row>
    <row r="304" spans="1:3">
      <c r="A304" s="23" t="str">
        <f>TEXT(IF('Change in Employment'!B311&lt;&gt;0,DATE(YEAR('Change in Employment'!B311), MONTH('Change in Employment'!B311), 1), ""), "mm/dd/yyyy")</f>
        <v/>
      </c>
      <c r="B304" s="23" t="str">
        <f>IF(ISNUMBER('Change in Employment'!L311),'Change in Employment'!L311, "")</f>
        <v/>
      </c>
      <c r="C304" s="23" t="str">
        <f>IFERROR(IF(ISNUMBER('Change in Employment'!M311),TEXT('Change in Employment'!M311, "0"), ""), "")</f>
        <v/>
      </c>
    </row>
    <row r="305" spans="1:3">
      <c r="A305" s="23" t="str">
        <f>TEXT(IF('Change in Employment'!B312&lt;&gt;0,DATE(YEAR('Change in Employment'!B312), MONTH('Change in Employment'!B312), 1), ""), "mm/dd/yyyy")</f>
        <v/>
      </c>
      <c r="B305" s="23" t="str">
        <f>IF(ISNUMBER('Change in Employment'!L312),'Change in Employment'!L312, "")</f>
        <v/>
      </c>
      <c r="C305" s="23" t="str">
        <f>IFERROR(IF(ISNUMBER('Change in Employment'!M312),TEXT('Change in Employment'!M312, "0"), ""), "")</f>
        <v/>
      </c>
    </row>
    <row r="306" spans="1:3">
      <c r="A306" s="23" t="str">
        <f>TEXT(IF('Change in Employment'!B313&lt;&gt;0,DATE(YEAR('Change in Employment'!B313), MONTH('Change in Employment'!B313), 1), ""), "mm/dd/yyyy")</f>
        <v/>
      </c>
      <c r="B306" s="23" t="str">
        <f>IF(ISNUMBER('Change in Employment'!L313),'Change in Employment'!L313, "")</f>
        <v/>
      </c>
      <c r="C306" s="23" t="str">
        <f>IFERROR(IF(ISNUMBER('Change in Employment'!M313),TEXT('Change in Employment'!M313, "0"), ""), "")</f>
        <v/>
      </c>
    </row>
    <row r="307" spans="1:3">
      <c r="A307" s="23" t="str">
        <f>TEXT(IF('Change in Employment'!B314&lt;&gt;0,DATE(YEAR('Change in Employment'!B314), MONTH('Change in Employment'!B314), 1), ""), "mm/dd/yyyy")</f>
        <v/>
      </c>
      <c r="B307" s="23" t="str">
        <f>IF(ISNUMBER('Change in Employment'!L314),'Change in Employment'!L314, "")</f>
        <v/>
      </c>
      <c r="C307" s="23" t="str">
        <f>IFERROR(IF(ISNUMBER('Change in Employment'!M314),TEXT('Change in Employment'!M314, "0"), ""), "")</f>
        <v/>
      </c>
    </row>
    <row r="308" spans="1:3">
      <c r="A308" s="23" t="str">
        <f>TEXT(IF('Change in Employment'!B315&lt;&gt;0,DATE(YEAR('Change in Employment'!B315), MONTH('Change in Employment'!B315), 1), ""), "mm/dd/yyyy")</f>
        <v/>
      </c>
      <c r="B308" s="23" t="str">
        <f>IF(ISNUMBER('Change in Employment'!L315),'Change in Employment'!L315, "")</f>
        <v/>
      </c>
      <c r="C308" s="23" t="str">
        <f>IFERROR(IF(ISNUMBER('Change in Employment'!M315),TEXT('Change in Employment'!M315, "0"), ""), "")</f>
        <v/>
      </c>
    </row>
    <row r="309" spans="1:3">
      <c r="A309" s="23" t="str">
        <f>TEXT(IF('Change in Employment'!B316&lt;&gt;0,DATE(YEAR('Change in Employment'!B316), MONTH('Change in Employment'!B316), 1), ""), "mm/dd/yyyy")</f>
        <v/>
      </c>
      <c r="B309" s="23" t="str">
        <f>IF(ISNUMBER('Change in Employment'!L316),'Change in Employment'!L316, "")</f>
        <v/>
      </c>
      <c r="C309" s="23" t="str">
        <f>IFERROR(IF(ISNUMBER('Change in Employment'!M316),TEXT('Change in Employment'!M316, "0"), ""), "")</f>
        <v/>
      </c>
    </row>
    <row r="310" spans="1:3">
      <c r="A310" s="23" t="str">
        <f>TEXT(IF('Change in Employment'!B317&lt;&gt;0,DATE(YEAR('Change in Employment'!B317), MONTH('Change in Employment'!B317), 1), ""), "mm/dd/yyyy")</f>
        <v/>
      </c>
      <c r="B310" s="23" t="str">
        <f>IF(ISNUMBER('Change in Employment'!L317),'Change in Employment'!L317, "")</f>
        <v/>
      </c>
      <c r="C310" s="23" t="str">
        <f>IFERROR(IF(ISNUMBER('Change in Employment'!M317),TEXT('Change in Employment'!M317, "0"), ""), "")</f>
        <v/>
      </c>
    </row>
    <row r="311" spans="1:3">
      <c r="A311" s="23" t="str">
        <f>TEXT(IF('Change in Employment'!B318&lt;&gt;0,DATE(YEAR('Change in Employment'!B318), MONTH('Change in Employment'!B318), 1), ""), "mm/dd/yyyy")</f>
        <v/>
      </c>
      <c r="B311" s="23" t="str">
        <f>IF(ISNUMBER('Change in Employment'!L318),'Change in Employment'!L318, "")</f>
        <v/>
      </c>
      <c r="C311" s="23" t="str">
        <f>IFERROR(IF(ISNUMBER('Change in Employment'!M318),TEXT('Change in Employment'!M318, "0"), ""), "")</f>
        <v/>
      </c>
    </row>
    <row r="312" spans="1:3">
      <c r="A312" s="23" t="str">
        <f>TEXT(IF('Change in Employment'!B319&lt;&gt;0,DATE(YEAR('Change in Employment'!B319), MONTH('Change in Employment'!B319), 1), ""), "mm/dd/yyyy")</f>
        <v/>
      </c>
      <c r="B312" s="23" t="str">
        <f>IF(ISNUMBER('Change in Employment'!L319),'Change in Employment'!L319, "")</f>
        <v/>
      </c>
      <c r="C312" s="23" t="str">
        <f>IFERROR(IF(ISNUMBER('Change in Employment'!M319),TEXT('Change in Employment'!M319, "0"), ""), "")</f>
        <v/>
      </c>
    </row>
    <row r="313" spans="1:3">
      <c r="A313" s="23" t="str">
        <f>TEXT(IF('Change in Employment'!B320&lt;&gt;0,DATE(YEAR('Change in Employment'!B320), MONTH('Change in Employment'!B320), 1), ""), "mm/dd/yyyy")</f>
        <v/>
      </c>
      <c r="B313" s="23" t="str">
        <f>IF(ISNUMBER('Change in Employment'!L320),'Change in Employment'!L320, "")</f>
        <v/>
      </c>
      <c r="C313" s="23" t="str">
        <f>IFERROR(IF(ISNUMBER('Change in Employment'!M320),TEXT('Change in Employment'!M320, "0"), ""), "")</f>
        <v/>
      </c>
    </row>
    <row r="314" spans="1:3">
      <c r="A314" s="23" t="str">
        <f>TEXT(IF('Change in Employment'!B321&lt;&gt;0,DATE(YEAR('Change in Employment'!B321), MONTH('Change in Employment'!B321), 1), ""), "mm/dd/yyyy")</f>
        <v/>
      </c>
      <c r="B314" s="23" t="str">
        <f>IF(ISNUMBER('Change in Employment'!L321),'Change in Employment'!L321, "")</f>
        <v/>
      </c>
      <c r="C314" s="23" t="str">
        <f>IFERROR(IF(ISNUMBER('Change in Employment'!M321),TEXT('Change in Employment'!M321, "0"), ""), "")</f>
        <v/>
      </c>
    </row>
    <row r="315" spans="1:3">
      <c r="A315" s="23" t="str">
        <f>TEXT(IF('Change in Employment'!B322&lt;&gt;0,DATE(YEAR('Change in Employment'!B322), MONTH('Change in Employment'!B322), 1), ""), "mm/dd/yyyy")</f>
        <v/>
      </c>
      <c r="B315" s="23" t="str">
        <f>IF(ISNUMBER('Change in Employment'!L322),'Change in Employment'!L322, "")</f>
        <v/>
      </c>
      <c r="C315" s="23" t="str">
        <f>IFERROR(IF(ISNUMBER('Change in Employment'!M322),TEXT('Change in Employment'!M322, "0"), ""), "")</f>
        <v/>
      </c>
    </row>
    <row r="316" spans="1:3">
      <c r="A316" s="23" t="str">
        <f>TEXT(IF('Change in Employment'!B323&lt;&gt;0,DATE(YEAR('Change in Employment'!B323), MONTH('Change in Employment'!B323), 1), ""), "mm/dd/yyyy")</f>
        <v/>
      </c>
      <c r="B316" s="23" t="str">
        <f>IF(ISNUMBER('Change in Employment'!L323),'Change in Employment'!L323, "")</f>
        <v/>
      </c>
      <c r="C316" s="23" t="str">
        <f>IFERROR(IF(ISNUMBER('Change in Employment'!M323),TEXT('Change in Employment'!M323, "0"), ""), "")</f>
        <v/>
      </c>
    </row>
    <row r="317" spans="1:3">
      <c r="A317" s="23" t="str">
        <f>TEXT(IF('Change in Employment'!B324&lt;&gt;0,DATE(YEAR('Change in Employment'!B324), MONTH('Change in Employment'!B324), 1), ""), "mm/dd/yyyy")</f>
        <v/>
      </c>
      <c r="B317" s="23" t="str">
        <f>IF(ISNUMBER('Change in Employment'!L324),'Change in Employment'!L324, "")</f>
        <v/>
      </c>
      <c r="C317" s="23" t="str">
        <f>IFERROR(IF(ISNUMBER('Change in Employment'!M324),TEXT('Change in Employment'!M324, "0"), ""), "")</f>
        <v/>
      </c>
    </row>
    <row r="318" spans="1:3">
      <c r="A318" s="23" t="str">
        <f>TEXT(IF('Change in Employment'!B325&lt;&gt;0,DATE(YEAR('Change in Employment'!B325), MONTH('Change in Employment'!B325), 1), ""), "mm/dd/yyyy")</f>
        <v/>
      </c>
      <c r="B318" s="23" t="str">
        <f>IF(ISNUMBER('Change in Employment'!L325),'Change in Employment'!L325, "")</f>
        <v/>
      </c>
      <c r="C318" s="23" t="str">
        <f>IFERROR(IF(ISNUMBER('Change in Employment'!M325),TEXT('Change in Employment'!M325, "0"), ""), "")</f>
        <v/>
      </c>
    </row>
    <row r="319" spans="1:3">
      <c r="A319" s="23" t="str">
        <f>TEXT(IF('Change in Employment'!B326&lt;&gt;0,DATE(YEAR('Change in Employment'!B326), MONTH('Change in Employment'!B326), 1), ""), "mm/dd/yyyy")</f>
        <v/>
      </c>
      <c r="B319" s="23" t="str">
        <f>IF(ISNUMBER('Change in Employment'!L326),'Change in Employment'!L326, "")</f>
        <v/>
      </c>
      <c r="C319" s="23" t="str">
        <f>IFERROR(IF(ISNUMBER('Change in Employment'!M326),TEXT('Change in Employment'!M326, "0"), ""), "")</f>
        <v/>
      </c>
    </row>
    <row r="320" spans="1:3">
      <c r="A320" s="23" t="str">
        <f>TEXT(IF('Change in Employment'!B327&lt;&gt;0,DATE(YEAR('Change in Employment'!B327), MONTH('Change in Employment'!B327), 1), ""), "mm/dd/yyyy")</f>
        <v/>
      </c>
      <c r="B320" s="23" t="str">
        <f>IF(ISNUMBER('Change in Employment'!L327),'Change in Employment'!L327, "")</f>
        <v/>
      </c>
      <c r="C320" s="23" t="str">
        <f>IFERROR(IF(ISNUMBER('Change in Employment'!M327),TEXT('Change in Employment'!M327, "0"), ""), "")</f>
        <v/>
      </c>
    </row>
    <row r="321" spans="1:3">
      <c r="A321" s="23" t="str">
        <f>TEXT(IF('Change in Employment'!B328&lt;&gt;0,DATE(YEAR('Change in Employment'!B328), MONTH('Change in Employment'!B328), 1), ""), "mm/dd/yyyy")</f>
        <v/>
      </c>
      <c r="B321" s="23" t="str">
        <f>IF(ISNUMBER('Change in Employment'!L328),'Change in Employment'!L328, "")</f>
        <v/>
      </c>
      <c r="C321" s="23" t="str">
        <f>IFERROR(IF(ISNUMBER('Change in Employment'!M328),TEXT('Change in Employment'!M328, "0"), ""), "")</f>
        <v/>
      </c>
    </row>
    <row r="322" spans="1:3">
      <c r="A322" s="23" t="str">
        <f>TEXT(IF('Change in Employment'!B329&lt;&gt;0,DATE(YEAR('Change in Employment'!B329), MONTH('Change in Employment'!B329), 1), ""), "mm/dd/yyyy")</f>
        <v/>
      </c>
      <c r="B322" s="23" t="str">
        <f>IF(ISNUMBER('Change in Employment'!L329),'Change in Employment'!L329, "")</f>
        <v/>
      </c>
      <c r="C322" s="23" t="str">
        <f>IFERROR(IF(ISNUMBER('Change in Employment'!M329),TEXT('Change in Employment'!M329, "0"), ""), "")</f>
        <v/>
      </c>
    </row>
    <row r="323" spans="1:3">
      <c r="A323" s="23" t="str">
        <f>TEXT(IF('Change in Employment'!B330&lt;&gt;0,DATE(YEAR('Change in Employment'!B330), MONTH('Change in Employment'!B330), 1), ""), "mm/dd/yyyy")</f>
        <v/>
      </c>
      <c r="B323" s="23" t="str">
        <f>IF(ISNUMBER('Change in Employment'!L330),'Change in Employment'!L330, "")</f>
        <v/>
      </c>
      <c r="C323" s="23" t="str">
        <f>IFERROR(IF(ISNUMBER('Change in Employment'!M330),TEXT('Change in Employment'!M330, "0"), ""), "")</f>
        <v/>
      </c>
    </row>
    <row r="324" spans="1:3">
      <c r="A324" s="23" t="str">
        <f>TEXT(IF('Change in Employment'!B331&lt;&gt;0,DATE(YEAR('Change in Employment'!B331), MONTH('Change in Employment'!B331), 1), ""), "mm/dd/yyyy")</f>
        <v/>
      </c>
      <c r="B324" s="23" t="str">
        <f>IF(ISNUMBER('Change in Employment'!L331),'Change in Employment'!L331, "")</f>
        <v/>
      </c>
      <c r="C324" s="23" t="str">
        <f>IFERROR(IF(ISNUMBER('Change in Employment'!M331),TEXT('Change in Employment'!M331, "0"), ""), "")</f>
        <v/>
      </c>
    </row>
    <row r="325" spans="1:3">
      <c r="A325" s="23" t="str">
        <f>TEXT(IF('Change in Employment'!B332&lt;&gt;0,DATE(YEAR('Change in Employment'!B332), MONTH('Change in Employment'!B332), 1), ""), "mm/dd/yyyy")</f>
        <v/>
      </c>
      <c r="B325" s="23" t="str">
        <f>IF(ISNUMBER('Change in Employment'!L332),'Change in Employment'!L332, "")</f>
        <v/>
      </c>
      <c r="C325" s="23" t="str">
        <f>IFERROR(IF(ISNUMBER('Change in Employment'!M332),TEXT('Change in Employment'!M332, "0"), ""), "")</f>
        <v/>
      </c>
    </row>
    <row r="326" spans="1:3">
      <c r="A326" s="23" t="str">
        <f>TEXT(IF('Change in Employment'!B333&lt;&gt;0,DATE(YEAR('Change in Employment'!B333), MONTH('Change in Employment'!B333), 1), ""), "mm/dd/yyyy")</f>
        <v/>
      </c>
      <c r="B326" s="23" t="str">
        <f>IF(ISNUMBER('Change in Employment'!L333),'Change in Employment'!L333, "")</f>
        <v/>
      </c>
      <c r="C326" s="23" t="str">
        <f>IFERROR(IF(ISNUMBER('Change in Employment'!M333),TEXT('Change in Employment'!M333, "0"), ""), "")</f>
        <v/>
      </c>
    </row>
    <row r="327" spans="1:3">
      <c r="A327" s="23" t="str">
        <f>TEXT(IF('Change in Employment'!B334&lt;&gt;0,DATE(YEAR('Change in Employment'!B334), MONTH('Change in Employment'!B334), 1), ""), "mm/dd/yyyy")</f>
        <v/>
      </c>
      <c r="B327" s="23" t="str">
        <f>IF(ISNUMBER('Change in Employment'!L334),'Change in Employment'!L334, "")</f>
        <v/>
      </c>
      <c r="C327" s="23" t="str">
        <f>IFERROR(IF(ISNUMBER('Change in Employment'!M334),TEXT('Change in Employment'!M334, "0"), ""), "")</f>
        <v/>
      </c>
    </row>
    <row r="328" spans="1:3">
      <c r="A328" s="23" t="str">
        <f>TEXT(IF('Change in Employment'!B335&lt;&gt;0,DATE(YEAR('Change in Employment'!B335), MONTH('Change in Employment'!B335), 1), ""), "mm/dd/yyyy")</f>
        <v/>
      </c>
      <c r="B328" s="23" t="str">
        <f>IF(ISNUMBER('Change in Employment'!L335),'Change in Employment'!L335, "")</f>
        <v/>
      </c>
      <c r="C328" s="23" t="str">
        <f>IFERROR(IF(ISNUMBER('Change in Employment'!M335),TEXT('Change in Employment'!M335, "0"), ""), "")</f>
        <v/>
      </c>
    </row>
    <row r="329" spans="1:3">
      <c r="A329" s="23" t="str">
        <f>TEXT(IF('Change in Employment'!B336&lt;&gt;0,DATE(YEAR('Change in Employment'!B336), MONTH('Change in Employment'!B336), 1), ""), "mm/dd/yyyy")</f>
        <v/>
      </c>
      <c r="B329" s="23" t="str">
        <f>IF(ISNUMBER('Change in Employment'!L336),'Change in Employment'!L336, "")</f>
        <v/>
      </c>
      <c r="C329" s="23" t="str">
        <f>IFERROR(IF(ISNUMBER('Change in Employment'!M336),TEXT('Change in Employment'!M336, "0"), ""), "")</f>
        <v/>
      </c>
    </row>
    <row r="330" spans="1:3">
      <c r="A330" s="23" t="str">
        <f>TEXT(IF('Change in Employment'!B337&lt;&gt;0,DATE(YEAR('Change in Employment'!B337), MONTH('Change in Employment'!B337), 1), ""), "mm/dd/yyyy")</f>
        <v/>
      </c>
      <c r="B330" s="23" t="str">
        <f>IF(ISNUMBER('Change in Employment'!L337),'Change in Employment'!L337, "")</f>
        <v/>
      </c>
      <c r="C330" s="23" t="str">
        <f>IFERROR(IF(ISNUMBER('Change in Employment'!M337),TEXT('Change in Employment'!M337, "0"), ""), "")</f>
        <v/>
      </c>
    </row>
    <row r="331" spans="1:3">
      <c r="A331" s="23" t="str">
        <f>TEXT(IF('Change in Employment'!B338&lt;&gt;0,DATE(YEAR('Change in Employment'!B338), MONTH('Change in Employment'!B338), 1), ""), "mm/dd/yyyy")</f>
        <v/>
      </c>
      <c r="B331" s="23" t="str">
        <f>IF(ISNUMBER('Change in Employment'!L338),'Change in Employment'!L338, "")</f>
        <v/>
      </c>
      <c r="C331" s="23" t="str">
        <f>IFERROR(IF(ISNUMBER('Change in Employment'!M338),TEXT('Change in Employment'!M338, "0"), ""), "")</f>
        <v/>
      </c>
    </row>
    <row r="332" spans="1:3">
      <c r="A332" s="23" t="str">
        <f>TEXT(IF('Change in Employment'!B339&lt;&gt;0,DATE(YEAR('Change in Employment'!B339), MONTH('Change in Employment'!B339), 1), ""), "mm/dd/yyyy")</f>
        <v/>
      </c>
      <c r="B332" s="23" t="str">
        <f>IF(ISNUMBER('Change in Employment'!L339),'Change in Employment'!L339, "")</f>
        <v/>
      </c>
      <c r="C332" s="23" t="str">
        <f>IFERROR(IF(ISNUMBER('Change in Employment'!M339),TEXT('Change in Employment'!M339, "0"), ""), "")</f>
        <v/>
      </c>
    </row>
    <row r="333" spans="1:3">
      <c r="A333" s="23" t="str">
        <f>TEXT(IF('Change in Employment'!B340&lt;&gt;0,DATE(YEAR('Change in Employment'!B340), MONTH('Change in Employment'!B340), 1), ""), "mm/dd/yyyy")</f>
        <v/>
      </c>
      <c r="B333" s="23" t="str">
        <f>IF(ISNUMBER('Change in Employment'!L340),'Change in Employment'!L340, "")</f>
        <v/>
      </c>
      <c r="C333" s="23" t="str">
        <f>IFERROR(IF(ISNUMBER('Change in Employment'!M340),TEXT('Change in Employment'!M340, "0"), ""), "")</f>
        <v/>
      </c>
    </row>
    <row r="334" spans="1:3">
      <c r="A334" s="23" t="str">
        <f>TEXT(IF('Change in Employment'!B341&lt;&gt;0,DATE(YEAR('Change in Employment'!B341), MONTH('Change in Employment'!B341), 1), ""), "mm/dd/yyyy")</f>
        <v/>
      </c>
      <c r="B334" s="23" t="str">
        <f>IF(ISNUMBER('Change in Employment'!L341),'Change in Employment'!L341, "")</f>
        <v/>
      </c>
      <c r="C334" s="23" t="str">
        <f>IFERROR(IF(ISNUMBER('Change in Employment'!M341),TEXT('Change in Employment'!M341, "0"), ""), "")</f>
        <v/>
      </c>
    </row>
    <row r="335" spans="1:3">
      <c r="A335" s="23" t="str">
        <f>TEXT(IF('Change in Employment'!B342&lt;&gt;0,DATE(YEAR('Change in Employment'!B342), MONTH('Change in Employment'!B342), 1), ""), "mm/dd/yyyy")</f>
        <v/>
      </c>
      <c r="B335" s="23" t="str">
        <f>IF(ISNUMBER('Change in Employment'!L342),'Change in Employment'!L342, "")</f>
        <v/>
      </c>
      <c r="C335" s="23" t="str">
        <f>IFERROR(IF(ISNUMBER('Change in Employment'!M342),TEXT('Change in Employment'!M342, "0"), ""), "")</f>
        <v/>
      </c>
    </row>
    <row r="336" spans="1:3">
      <c r="A336" s="23" t="str">
        <f>TEXT(IF('Change in Employment'!B343&lt;&gt;0,DATE(YEAR('Change in Employment'!B343), MONTH('Change in Employment'!B343), 1), ""), "mm/dd/yyyy")</f>
        <v/>
      </c>
      <c r="B336" s="23" t="str">
        <f>IF(ISNUMBER('Change in Employment'!L343),'Change in Employment'!L343, "")</f>
        <v/>
      </c>
      <c r="C336" s="23" t="str">
        <f>IFERROR(IF(ISNUMBER('Change in Employment'!M343),TEXT('Change in Employment'!M343, "0"), ""), "")</f>
        <v/>
      </c>
    </row>
    <row r="337" spans="1:3">
      <c r="A337" s="23" t="str">
        <f>TEXT(IF('Change in Employment'!B344&lt;&gt;0,DATE(YEAR('Change in Employment'!B344), MONTH('Change in Employment'!B344), 1), ""), "mm/dd/yyyy")</f>
        <v/>
      </c>
      <c r="B337" s="23" t="str">
        <f>IF(ISNUMBER('Change in Employment'!L344),'Change in Employment'!L344, "")</f>
        <v/>
      </c>
      <c r="C337" s="23" t="str">
        <f>IFERROR(IF(ISNUMBER('Change in Employment'!M344),TEXT('Change in Employment'!M344, "0"), ""), "")</f>
        <v/>
      </c>
    </row>
    <row r="338" spans="1:3">
      <c r="A338" s="23" t="str">
        <f>TEXT(IF('Change in Employment'!B345&lt;&gt;0,DATE(YEAR('Change in Employment'!B345), MONTH('Change in Employment'!B345), 1), ""), "mm/dd/yyyy")</f>
        <v/>
      </c>
      <c r="B338" s="23" t="str">
        <f>IF(ISNUMBER('Change in Employment'!L345),'Change in Employment'!L345, "")</f>
        <v/>
      </c>
      <c r="C338" s="23" t="str">
        <f>IFERROR(IF(ISNUMBER('Change in Employment'!M345),TEXT('Change in Employment'!M345, "0"), ""), "")</f>
        <v/>
      </c>
    </row>
    <row r="339" spans="1:3">
      <c r="A339" s="23" t="str">
        <f>TEXT(IF('Change in Employment'!B346&lt;&gt;0,DATE(YEAR('Change in Employment'!B346), MONTH('Change in Employment'!B346), 1), ""), "mm/dd/yyyy")</f>
        <v/>
      </c>
      <c r="B339" s="23" t="str">
        <f>IF(ISNUMBER('Change in Employment'!L346),'Change in Employment'!L346, "")</f>
        <v/>
      </c>
      <c r="C339" s="23" t="str">
        <f>IFERROR(IF(ISNUMBER('Change in Employment'!M346),TEXT('Change in Employment'!M346, "0"), ""), "")</f>
        <v/>
      </c>
    </row>
    <row r="340" spans="1:3">
      <c r="A340" s="23" t="str">
        <f>TEXT(IF('Change in Employment'!B347&lt;&gt;0,DATE(YEAR('Change in Employment'!B347), MONTH('Change in Employment'!B347), 1), ""), "mm/dd/yyyy")</f>
        <v/>
      </c>
      <c r="B340" s="23" t="str">
        <f>IF(ISNUMBER('Change in Employment'!L347),'Change in Employment'!L347, "")</f>
        <v/>
      </c>
      <c r="C340" s="23" t="str">
        <f>IFERROR(IF(ISNUMBER('Change in Employment'!M347),TEXT('Change in Employment'!M347, "0"), ""), "")</f>
        <v/>
      </c>
    </row>
    <row r="341" spans="1:3">
      <c r="A341" s="23" t="str">
        <f>TEXT(IF('Change in Employment'!B348&lt;&gt;0,DATE(YEAR('Change in Employment'!B348), MONTH('Change in Employment'!B348), 1), ""), "mm/dd/yyyy")</f>
        <v/>
      </c>
      <c r="B341" s="23" t="str">
        <f>IF(ISNUMBER('Change in Employment'!L348),'Change in Employment'!L348, "")</f>
        <v/>
      </c>
      <c r="C341" s="23" t="str">
        <f>IFERROR(IF(ISNUMBER('Change in Employment'!M348),TEXT('Change in Employment'!M348, "0"), ""), "")</f>
        <v/>
      </c>
    </row>
    <row r="342" spans="1:3">
      <c r="A342" s="23" t="str">
        <f>TEXT(IF('Change in Employment'!B349&lt;&gt;0,DATE(YEAR('Change in Employment'!B349), MONTH('Change in Employment'!B349), 1), ""), "mm/dd/yyyy")</f>
        <v/>
      </c>
      <c r="B342" s="23" t="str">
        <f>IF(ISNUMBER('Change in Employment'!L349),'Change in Employment'!L349, "")</f>
        <v/>
      </c>
      <c r="C342" s="23" t="str">
        <f>IFERROR(IF(ISNUMBER('Change in Employment'!M349),TEXT('Change in Employment'!M349, "0"), ""), "")</f>
        <v/>
      </c>
    </row>
    <row r="343" spans="1:3">
      <c r="A343" s="23" t="str">
        <f>TEXT(IF('Change in Employment'!B350&lt;&gt;0,DATE(YEAR('Change in Employment'!B350), MONTH('Change in Employment'!B350), 1), ""), "mm/dd/yyyy")</f>
        <v/>
      </c>
      <c r="B343" s="23" t="str">
        <f>IF(ISNUMBER('Change in Employment'!L350),'Change in Employment'!L350, "")</f>
        <v/>
      </c>
      <c r="C343" s="23" t="str">
        <f>IFERROR(IF(ISNUMBER('Change in Employment'!M350),TEXT('Change in Employment'!M350, "0"), ""), "")</f>
        <v/>
      </c>
    </row>
    <row r="344" spans="1:3">
      <c r="A344" s="23" t="str">
        <f>TEXT(IF('Change in Employment'!B351&lt;&gt;0,DATE(YEAR('Change in Employment'!B351), MONTH('Change in Employment'!B351), 1), ""), "mm/dd/yyyy")</f>
        <v/>
      </c>
      <c r="B344" s="23" t="str">
        <f>IF(ISNUMBER('Change in Employment'!L351),'Change in Employment'!L351, "")</f>
        <v/>
      </c>
      <c r="C344" s="23" t="str">
        <f>IFERROR(IF(ISNUMBER('Change in Employment'!M351),TEXT('Change in Employment'!M351, "0"), ""), "")</f>
        <v/>
      </c>
    </row>
    <row r="345" spans="1:3">
      <c r="A345" s="23" t="str">
        <f>TEXT(IF('Change in Employment'!B352&lt;&gt;0,DATE(YEAR('Change in Employment'!B352), MONTH('Change in Employment'!B352), 1), ""), "mm/dd/yyyy")</f>
        <v/>
      </c>
      <c r="B345" s="23" t="str">
        <f>IF(ISNUMBER('Change in Employment'!L352),'Change in Employment'!L352, "")</f>
        <v/>
      </c>
      <c r="C345" s="23" t="str">
        <f>IFERROR(IF(ISNUMBER('Change in Employment'!M352),TEXT('Change in Employment'!M352, "0"), ""), "")</f>
        <v/>
      </c>
    </row>
    <row r="346" spans="1:3">
      <c r="A346" s="23" t="str">
        <f>TEXT(IF('Change in Employment'!B353&lt;&gt;0,DATE(YEAR('Change in Employment'!B353), MONTH('Change in Employment'!B353), 1), ""), "mm/dd/yyyy")</f>
        <v/>
      </c>
      <c r="B346" s="23" t="str">
        <f>IF(ISNUMBER('Change in Employment'!L353),'Change in Employment'!L353, "")</f>
        <v/>
      </c>
      <c r="C346" s="23" t="str">
        <f>IFERROR(IF(ISNUMBER('Change in Employment'!M353),TEXT('Change in Employment'!M353, "0"), ""), "")</f>
        <v/>
      </c>
    </row>
    <row r="347" spans="1:3">
      <c r="A347" s="23" t="str">
        <f>TEXT(IF('Change in Employment'!B354&lt;&gt;0,DATE(YEAR('Change in Employment'!B354), MONTH('Change in Employment'!B354), 1), ""), "mm/dd/yyyy")</f>
        <v/>
      </c>
      <c r="B347" s="23" t="str">
        <f>IF(ISNUMBER('Change in Employment'!L354),'Change in Employment'!L354, "")</f>
        <v/>
      </c>
      <c r="C347" s="23" t="str">
        <f>IFERROR(IF(ISNUMBER('Change in Employment'!M354),TEXT('Change in Employment'!M354, "0"), ""), "")</f>
        <v/>
      </c>
    </row>
    <row r="348" spans="1:3">
      <c r="A348" s="23" t="str">
        <f>TEXT(IF('Change in Employment'!B355&lt;&gt;0,DATE(YEAR('Change in Employment'!B355), MONTH('Change in Employment'!B355), 1), ""), "mm/dd/yyyy")</f>
        <v/>
      </c>
      <c r="B348" s="23" t="str">
        <f>IF(ISNUMBER('Change in Employment'!L355),'Change in Employment'!L355, "")</f>
        <v/>
      </c>
      <c r="C348" s="23" t="str">
        <f>IFERROR(IF(ISNUMBER('Change in Employment'!M355),TEXT('Change in Employment'!M355, "0"), ""), "")</f>
        <v/>
      </c>
    </row>
    <row r="349" spans="1:3">
      <c r="A349" s="23" t="str">
        <f>TEXT(IF('Change in Employment'!B356&lt;&gt;0,DATE(YEAR('Change in Employment'!B356), MONTH('Change in Employment'!B356), 1), ""), "mm/dd/yyyy")</f>
        <v/>
      </c>
      <c r="B349" s="23" t="str">
        <f>IF(ISNUMBER('Change in Employment'!L356),'Change in Employment'!L356, "")</f>
        <v/>
      </c>
      <c r="C349" s="23" t="str">
        <f>IFERROR(IF(ISNUMBER('Change in Employment'!M356),TEXT('Change in Employment'!M356, "0"), ""), "")</f>
        <v/>
      </c>
    </row>
    <row r="350" spans="1:3">
      <c r="A350" s="23" t="str">
        <f>TEXT(IF('Change in Employment'!B357&lt;&gt;0,DATE(YEAR('Change in Employment'!B357), MONTH('Change in Employment'!B357), 1), ""), "mm/dd/yyyy")</f>
        <v/>
      </c>
      <c r="B350" s="23" t="str">
        <f>IF(ISNUMBER('Change in Employment'!L357),'Change in Employment'!L357, "")</f>
        <v/>
      </c>
      <c r="C350" s="23" t="str">
        <f>IFERROR(IF(ISNUMBER('Change in Employment'!M357),TEXT('Change in Employment'!M357, "0"), ""), "")</f>
        <v/>
      </c>
    </row>
    <row r="351" spans="1:3">
      <c r="A351" s="23" t="str">
        <f>TEXT(IF('Change in Employment'!B358&lt;&gt;0,DATE(YEAR('Change in Employment'!B358), MONTH('Change in Employment'!B358), 1), ""), "mm/dd/yyyy")</f>
        <v/>
      </c>
      <c r="B351" s="23" t="str">
        <f>IF(ISNUMBER('Change in Employment'!L358),'Change in Employment'!L358, "")</f>
        <v/>
      </c>
      <c r="C351" s="23" t="str">
        <f>IFERROR(IF(ISNUMBER('Change in Employment'!M358),TEXT('Change in Employment'!M358, "0"), ""), "")</f>
        <v/>
      </c>
    </row>
    <row r="352" spans="1:3">
      <c r="A352" s="23" t="str">
        <f>TEXT(IF('Change in Employment'!B359&lt;&gt;0,DATE(YEAR('Change in Employment'!B359), MONTH('Change in Employment'!B359), 1), ""), "mm/dd/yyyy")</f>
        <v/>
      </c>
      <c r="B352" s="23" t="str">
        <f>IF(ISNUMBER('Change in Employment'!L359),'Change in Employment'!L359, "")</f>
        <v/>
      </c>
      <c r="C352" s="23" t="str">
        <f>IFERROR(IF(ISNUMBER('Change in Employment'!M359),TEXT('Change in Employment'!M359, "0"), ""), "")</f>
        <v/>
      </c>
    </row>
    <row r="353" spans="1:3">
      <c r="A353" s="23" t="str">
        <f>TEXT(IF('Change in Employment'!B360&lt;&gt;0,DATE(YEAR('Change in Employment'!B360), MONTH('Change in Employment'!B360), 1), ""), "mm/dd/yyyy")</f>
        <v/>
      </c>
      <c r="B353" s="23" t="str">
        <f>IF(ISNUMBER('Change in Employment'!L360),'Change in Employment'!L360, "")</f>
        <v/>
      </c>
      <c r="C353" s="23" t="str">
        <f>IFERROR(IF(ISNUMBER('Change in Employment'!M360),TEXT('Change in Employment'!M360, "0"), ""), "")</f>
        <v/>
      </c>
    </row>
    <row r="354" spans="1:3">
      <c r="A354" s="23" t="str">
        <f>TEXT(IF('Change in Employment'!B361&lt;&gt;0,DATE(YEAR('Change in Employment'!B361), MONTH('Change in Employment'!B361), 1), ""), "mm/dd/yyyy")</f>
        <v/>
      </c>
      <c r="B354" s="23" t="str">
        <f>IF(ISNUMBER('Change in Employment'!L361),'Change in Employment'!L361, "")</f>
        <v/>
      </c>
      <c r="C354" s="23" t="str">
        <f>IFERROR(IF(ISNUMBER('Change in Employment'!M361),TEXT('Change in Employment'!M361, "0"), ""), "")</f>
        <v/>
      </c>
    </row>
    <row r="355" spans="1:3">
      <c r="A355" s="23" t="str">
        <f>TEXT(IF('Change in Employment'!B362&lt;&gt;0,DATE(YEAR('Change in Employment'!B362), MONTH('Change in Employment'!B362), 1), ""), "mm/dd/yyyy")</f>
        <v/>
      </c>
      <c r="B355" s="23" t="str">
        <f>IF(ISNUMBER('Change in Employment'!L362),'Change in Employment'!L362, "")</f>
        <v/>
      </c>
      <c r="C355" s="23" t="str">
        <f>IFERROR(IF(ISNUMBER('Change in Employment'!M362),TEXT('Change in Employment'!M362, "0"), ""), "")</f>
        <v/>
      </c>
    </row>
    <row r="356" spans="1:3">
      <c r="A356" s="23" t="str">
        <f>TEXT(IF('Change in Employment'!B363&lt;&gt;0,DATE(YEAR('Change in Employment'!B363), MONTH('Change in Employment'!B363), 1), ""), "mm/dd/yyyy")</f>
        <v/>
      </c>
      <c r="B356" s="23" t="str">
        <f>IF(ISNUMBER('Change in Employment'!L363),'Change in Employment'!L363, "")</f>
        <v/>
      </c>
      <c r="C356" s="23" t="str">
        <f>IFERROR(IF(ISNUMBER('Change in Employment'!M363),TEXT('Change in Employment'!M363, "0"), ""), "")</f>
        <v/>
      </c>
    </row>
    <row r="357" spans="1:3">
      <c r="A357" s="23" t="str">
        <f>TEXT(IF('Change in Employment'!B364&lt;&gt;0,DATE(YEAR('Change in Employment'!B364), MONTH('Change in Employment'!B364), 1), ""), "mm/dd/yyyy")</f>
        <v/>
      </c>
      <c r="B357" s="23" t="str">
        <f>IF(ISNUMBER('Change in Employment'!L364),'Change in Employment'!L364, "")</f>
        <v/>
      </c>
      <c r="C357" s="23" t="str">
        <f>IFERROR(IF(ISNUMBER('Change in Employment'!M364),TEXT('Change in Employment'!M364, "0"), ""), "")</f>
        <v/>
      </c>
    </row>
    <row r="358" spans="1:3">
      <c r="A358" s="23" t="str">
        <f>TEXT(IF('Change in Employment'!B365&lt;&gt;0,DATE(YEAR('Change in Employment'!B365), MONTH('Change in Employment'!B365), 1), ""), "mm/dd/yyyy")</f>
        <v/>
      </c>
      <c r="B358" s="23" t="str">
        <f>IF(ISNUMBER('Change in Employment'!L365),'Change in Employment'!L365, "")</f>
        <v/>
      </c>
      <c r="C358" s="23" t="str">
        <f>IFERROR(IF(ISNUMBER('Change in Employment'!M365),TEXT('Change in Employment'!M365, "0"), ""), "")</f>
        <v/>
      </c>
    </row>
    <row r="359" spans="1:3">
      <c r="A359" s="23" t="str">
        <f>TEXT(IF('Change in Employment'!B366&lt;&gt;0,DATE(YEAR('Change in Employment'!B366), MONTH('Change in Employment'!B366), 1), ""), "mm/dd/yyyy")</f>
        <v/>
      </c>
      <c r="B359" s="23" t="str">
        <f>IF(ISNUMBER('Change in Employment'!L366),'Change in Employment'!L366, "")</f>
        <v/>
      </c>
      <c r="C359" s="23" t="str">
        <f>IFERROR(IF(ISNUMBER('Change in Employment'!M366),TEXT('Change in Employment'!M366, "0"), ""), "")</f>
        <v/>
      </c>
    </row>
    <row r="360" spans="1:3">
      <c r="A360" s="23" t="str">
        <f>TEXT(IF('Change in Employment'!B367&lt;&gt;0,DATE(YEAR('Change in Employment'!B367), MONTH('Change in Employment'!B367), 1), ""), "mm/dd/yyyy")</f>
        <v/>
      </c>
      <c r="B360" s="23" t="str">
        <f>IF(ISNUMBER('Change in Employment'!L367),'Change in Employment'!L367, "")</f>
        <v/>
      </c>
      <c r="C360" s="23" t="str">
        <f>IFERROR(IF(ISNUMBER('Change in Employment'!M367),TEXT('Change in Employment'!M367, "0"), ""), "")</f>
        <v/>
      </c>
    </row>
    <row r="361" spans="1:3">
      <c r="A361" s="23" t="str">
        <f>TEXT(IF('Change in Employment'!B368&lt;&gt;0,DATE(YEAR('Change in Employment'!B368), MONTH('Change in Employment'!B368), 1), ""), "mm/dd/yyyy")</f>
        <v/>
      </c>
      <c r="B361" s="23" t="str">
        <f>IF(ISNUMBER('Change in Employment'!L368),'Change in Employment'!L368, "")</f>
        <v/>
      </c>
      <c r="C361" s="23" t="str">
        <f>IFERROR(IF(ISNUMBER('Change in Employment'!M368),TEXT('Change in Employment'!M368, "0"), ""), "")</f>
        <v/>
      </c>
    </row>
    <row r="362" spans="1:3">
      <c r="A362" s="23" t="str">
        <f>TEXT(IF('Change in Employment'!B369&lt;&gt;0,DATE(YEAR('Change in Employment'!B369), MONTH('Change in Employment'!B369), 1), ""), "mm/dd/yyyy")</f>
        <v/>
      </c>
      <c r="B362" s="23" t="str">
        <f>IF(ISNUMBER('Change in Employment'!L369),'Change in Employment'!L369, "")</f>
        <v/>
      </c>
      <c r="C362" s="23" t="str">
        <f>IFERROR(IF(ISNUMBER('Change in Employment'!M369),TEXT('Change in Employment'!M369, "0"), ""), "")</f>
        <v/>
      </c>
    </row>
    <row r="363" spans="1:3">
      <c r="A363" s="23" t="str">
        <f>TEXT(IF('Change in Employment'!B370&lt;&gt;0,DATE(YEAR('Change in Employment'!B370), MONTH('Change in Employment'!B370), 1), ""), "mm/dd/yyyy")</f>
        <v/>
      </c>
      <c r="B363" s="23" t="str">
        <f>IF(ISNUMBER('Change in Employment'!L370),'Change in Employment'!L370, "")</f>
        <v/>
      </c>
      <c r="C363" s="23" t="str">
        <f>IFERROR(IF(ISNUMBER('Change in Employment'!M370),TEXT('Change in Employment'!M370, "0"), ""), "")</f>
        <v/>
      </c>
    </row>
    <row r="364" spans="1:3">
      <c r="A364" s="23" t="str">
        <f>TEXT(IF('Change in Employment'!B371&lt;&gt;0,DATE(YEAR('Change in Employment'!B371), MONTH('Change in Employment'!B371), 1), ""), "mm/dd/yyyy")</f>
        <v/>
      </c>
      <c r="B364" s="23" t="str">
        <f>IF(ISNUMBER('Change in Employment'!L371),'Change in Employment'!L371, "")</f>
        <v/>
      </c>
      <c r="C364" s="23" t="str">
        <f>IFERROR(IF(ISNUMBER('Change in Employment'!M371),TEXT('Change in Employment'!M371, "0"), ""), "")</f>
        <v/>
      </c>
    </row>
    <row r="365" spans="1:3">
      <c r="A365" s="23" t="str">
        <f>TEXT(IF('Change in Employment'!B372&lt;&gt;0,DATE(YEAR('Change in Employment'!B372), MONTH('Change in Employment'!B372), 1), ""), "mm/dd/yyyy")</f>
        <v/>
      </c>
      <c r="B365" s="23" t="str">
        <f>IF(ISNUMBER('Change in Employment'!L372),'Change in Employment'!L372, "")</f>
        <v/>
      </c>
      <c r="C365" s="23" t="str">
        <f>IFERROR(IF(ISNUMBER('Change in Employment'!M372),TEXT('Change in Employment'!M372, "0"), ""), "")</f>
        <v/>
      </c>
    </row>
    <row r="366" spans="1:3">
      <c r="A366" s="23" t="str">
        <f>TEXT(IF('Change in Employment'!B373&lt;&gt;0,DATE(YEAR('Change in Employment'!B373), MONTH('Change in Employment'!B373), 1), ""), "mm/dd/yyyy")</f>
        <v/>
      </c>
      <c r="B366" s="23" t="str">
        <f>IF(ISNUMBER('Change in Employment'!L373),'Change in Employment'!L373, "")</f>
        <v/>
      </c>
      <c r="C366" s="23" t="str">
        <f>IFERROR(IF(ISNUMBER('Change in Employment'!M373),TEXT('Change in Employment'!M373, "0"), ""), "")</f>
        <v/>
      </c>
    </row>
    <row r="367" spans="1:3">
      <c r="A367" s="23" t="str">
        <f>TEXT(IF('Change in Employment'!B374&lt;&gt;0,DATE(YEAR('Change in Employment'!B374), MONTH('Change in Employment'!B374), 1), ""), "mm/dd/yyyy")</f>
        <v/>
      </c>
      <c r="B367" s="23" t="str">
        <f>IF(ISNUMBER('Change in Employment'!L374),'Change in Employment'!L374, "")</f>
        <v/>
      </c>
      <c r="C367" s="23" t="str">
        <f>IFERROR(IF(ISNUMBER('Change in Employment'!M374),TEXT('Change in Employment'!M374, "0"), ""), "")</f>
        <v/>
      </c>
    </row>
    <row r="368" spans="1:3">
      <c r="A368" s="23" t="str">
        <f>TEXT(IF('Change in Employment'!B375&lt;&gt;0,DATE(YEAR('Change in Employment'!B375), MONTH('Change in Employment'!B375), 1), ""), "mm/dd/yyyy")</f>
        <v/>
      </c>
      <c r="B368" s="23" t="str">
        <f>IF(ISNUMBER('Change in Employment'!L375),'Change in Employment'!L375, "")</f>
        <v/>
      </c>
      <c r="C368" s="23" t="str">
        <f>IFERROR(IF(ISNUMBER('Change in Employment'!M375),TEXT('Change in Employment'!M375, "0"), ""), "")</f>
        <v/>
      </c>
    </row>
    <row r="369" spans="1:3">
      <c r="A369" s="23" t="str">
        <f>TEXT(IF('Change in Employment'!B376&lt;&gt;0,DATE(YEAR('Change in Employment'!B376), MONTH('Change in Employment'!B376), 1), ""), "mm/dd/yyyy")</f>
        <v/>
      </c>
      <c r="B369" s="23" t="str">
        <f>IF(ISNUMBER('Change in Employment'!L376),'Change in Employment'!L376, "")</f>
        <v/>
      </c>
      <c r="C369" s="23" t="str">
        <f>IFERROR(IF(ISNUMBER('Change in Employment'!M376),TEXT('Change in Employment'!M376, "0"), ""), "")</f>
        <v/>
      </c>
    </row>
    <row r="370" spans="1:3">
      <c r="A370" s="23" t="str">
        <f>TEXT(IF('Change in Employment'!B377&lt;&gt;0,DATE(YEAR('Change in Employment'!B377), MONTH('Change in Employment'!B377), 1), ""), "mm/dd/yyyy")</f>
        <v/>
      </c>
      <c r="B370" s="23" t="str">
        <f>IF(ISNUMBER('Change in Employment'!L377),'Change in Employment'!L377, "")</f>
        <v/>
      </c>
      <c r="C370" s="23" t="str">
        <f>IFERROR(IF(ISNUMBER('Change in Employment'!M377),TEXT('Change in Employment'!M377, "0"), ""), "")</f>
        <v/>
      </c>
    </row>
    <row r="371" spans="1:3">
      <c r="A371" s="23" t="str">
        <f>TEXT(IF('Change in Employment'!B378&lt;&gt;0,DATE(YEAR('Change in Employment'!B378), MONTH('Change in Employment'!B378), 1), ""), "mm/dd/yyyy")</f>
        <v/>
      </c>
      <c r="B371" s="23" t="str">
        <f>IF(ISNUMBER('Change in Employment'!L378),'Change in Employment'!L378, "")</f>
        <v/>
      </c>
      <c r="C371" s="23" t="str">
        <f>IFERROR(IF(ISNUMBER('Change in Employment'!M378),TEXT('Change in Employment'!M378, "0"), ""), "")</f>
        <v/>
      </c>
    </row>
    <row r="372" spans="1:3">
      <c r="A372" s="23" t="str">
        <f>TEXT(IF('Change in Employment'!B379&lt;&gt;0,DATE(YEAR('Change in Employment'!B379), MONTH('Change in Employment'!B379), 1), ""), "mm/dd/yyyy")</f>
        <v/>
      </c>
      <c r="B372" s="23" t="str">
        <f>IF(ISNUMBER('Change in Employment'!L379),'Change in Employment'!L379, "")</f>
        <v/>
      </c>
      <c r="C372" s="23" t="str">
        <f>IFERROR(IF(ISNUMBER('Change in Employment'!M379),TEXT('Change in Employment'!M379, "0"), ""), "")</f>
        <v/>
      </c>
    </row>
    <row r="373" spans="1:3">
      <c r="A373" s="23" t="str">
        <f>TEXT(IF('Change in Employment'!B380&lt;&gt;0,DATE(YEAR('Change in Employment'!B380), MONTH('Change in Employment'!B380), 1), ""), "mm/dd/yyyy")</f>
        <v/>
      </c>
      <c r="B373" s="23" t="str">
        <f>IF(ISNUMBER('Change in Employment'!L380),'Change in Employment'!L380, "")</f>
        <v/>
      </c>
      <c r="C373" s="23" t="str">
        <f>IFERROR(IF(ISNUMBER('Change in Employment'!M380),TEXT('Change in Employment'!M380, "0"), ""), "")</f>
        <v/>
      </c>
    </row>
    <row r="374" spans="1:3">
      <c r="A374" s="23" t="str">
        <f>TEXT(IF('Change in Employment'!B381&lt;&gt;0,DATE(YEAR('Change in Employment'!B381), MONTH('Change in Employment'!B381), 1), ""), "mm/dd/yyyy")</f>
        <v/>
      </c>
      <c r="B374" s="23" t="str">
        <f>IF(ISNUMBER('Change in Employment'!L381),'Change in Employment'!L381, "")</f>
        <v/>
      </c>
      <c r="C374" s="23" t="str">
        <f>IFERROR(IF(ISNUMBER('Change in Employment'!M381),TEXT('Change in Employment'!M381, "0"), ""), "")</f>
        <v/>
      </c>
    </row>
    <row r="375" spans="1:3">
      <c r="A375" s="23" t="str">
        <f>TEXT(IF('Change in Employment'!B382&lt;&gt;0,DATE(YEAR('Change in Employment'!B382), MONTH('Change in Employment'!B382), 1), ""), "mm/dd/yyyy")</f>
        <v/>
      </c>
      <c r="B375" s="23" t="str">
        <f>IF(ISNUMBER('Change in Employment'!L382),'Change in Employment'!L382, "")</f>
        <v/>
      </c>
      <c r="C375" s="23" t="str">
        <f>IFERROR(IF(ISNUMBER('Change in Employment'!M382),TEXT('Change in Employment'!M382, "0"), ""), "")</f>
        <v/>
      </c>
    </row>
    <row r="376" spans="1:3">
      <c r="A376" s="23" t="str">
        <f>TEXT(IF('Change in Employment'!B383&lt;&gt;0,DATE(YEAR('Change in Employment'!B383), MONTH('Change in Employment'!B383), 1), ""), "mm/dd/yyyy")</f>
        <v/>
      </c>
      <c r="B376" s="23" t="str">
        <f>IF(ISNUMBER('Change in Employment'!L383),'Change in Employment'!L383, "")</f>
        <v/>
      </c>
      <c r="C376" s="23" t="str">
        <f>IFERROR(IF(ISNUMBER('Change in Employment'!M383),TEXT('Change in Employment'!M383, "0"), ""), "")</f>
        <v/>
      </c>
    </row>
    <row r="377" spans="1:3">
      <c r="A377" s="23" t="str">
        <f>TEXT(IF('Change in Employment'!B384&lt;&gt;0,DATE(YEAR('Change in Employment'!B384), MONTH('Change in Employment'!B384), 1), ""), "mm/dd/yyyy")</f>
        <v/>
      </c>
      <c r="B377" s="23" t="str">
        <f>IF(ISNUMBER('Change in Employment'!L384),'Change in Employment'!L384, "")</f>
        <v/>
      </c>
      <c r="C377" s="23" t="str">
        <f>IFERROR(IF(ISNUMBER('Change in Employment'!M384),TEXT('Change in Employment'!M384, "0"), ""), "")</f>
        <v/>
      </c>
    </row>
    <row r="378" spans="1:3">
      <c r="A378" s="23" t="str">
        <f>TEXT(IF('Change in Employment'!B385&lt;&gt;0,DATE(YEAR('Change in Employment'!B385), MONTH('Change in Employment'!B385), 1), ""), "mm/dd/yyyy")</f>
        <v/>
      </c>
      <c r="B378" s="23" t="str">
        <f>IF(ISNUMBER('Change in Employment'!L385),'Change in Employment'!L385, "")</f>
        <v/>
      </c>
      <c r="C378" s="23" t="str">
        <f>IFERROR(IF(ISNUMBER('Change in Employment'!M385),TEXT('Change in Employment'!M385, "0"), ""), "")</f>
        <v/>
      </c>
    </row>
    <row r="379" spans="1:3">
      <c r="A379" s="23" t="str">
        <f>TEXT(IF('Change in Employment'!B386&lt;&gt;0,DATE(YEAR('Change in Employment'!B386), MONTH('Change in Employment'!B386), 1), ""), "mm/dd/yyyy")</f>
        <v/>
      </c>
      <c r="B379" s="23" t="str">
        <f>IF(ISNUMBER('Change in Employment'!L386),'Change in Employment'!L386, "")</f>
        <v/>
      </c>
      <c r="C379" s="23" t="str">
        <f>IFERROR(IF(ISNUMBER('Change in Employment'!M386),TEXT('Change in Employment'!M386, "0"), ""), "")</f>
        <v/>
      </c>
    </row>
    <row r="380" spans="1:3">
      <c r="A380" s="23" t="str">
        <f>TEXT(IF('Change in Employment'!B387&lt;&gt;0,DATE(YEAR('Change in Employment'!B387), MONTH('Change in Employment'!B387), 1), ""), "mm/dd/yyyy")</f>
        <v/>
      </c>
      <c r="B380" s="23" t="str">
        <f>IF(ISNUMBER('Change in Employment'!L387),'Change in Employment'!L387, "")</f>
        <v/>
      </c>
      <c r="C380" s="23" t="str">
        <f>IFERROR(IF(ISNUMBER('Change in Employment'!M387),TEXT('Change in Employment'!M387, "0"), ""), "")</f>
        <v/>
      </c>
    </row>
    <row r="381" spans="1:3">
      <c r="A381" s="23" t="str">
        <f>TEXT(IF('Change in Employment'!B388&lt;&gt;0,DATE(YEAR('Change in Employment'!B388), MONTH('Change in Employment'!B388), 1), ""), "mm/dd/yyyy")</f>
        <v/>
      </c>
      <c r="B381" s="23" t="str">
        <f>IF(ISNUMBER('Change in Employment'!L388),'Change in Employment'!L388, "")</f>
        <v/>
      </c>
      <c r="C381" s="23" t="str">
        <f>IFERROR(IF(ISNUMBER('Change in Employment'!M388),TEXT('Change in Employment'!M388, "0"), ""), "")</f>
        <v/>
      </c>
    </row>
    <row r="382" spans="1:3">
      <c r="A382" s="23" t="str">
        <f>TEXT(IF('Change in Employment'!B389&lt;&gt;0,DATE(YEAR('Change in Employment'!B389), MONTH('Change in Employment'!B389), 1), ""), "mm/dd/yyyy")</f>
        <v/>
      </c>
      <c r="B382" s="23" t="str">
        <f>IF(ISNUMBER('Change in Employment'!L389),'Change in Employment'!L389, "")</f>
        <v/>
      </c>
      <c r="C382" s="23" t="str">
        <f>IFERROR(IF(ISNUMBER('Change in Employment'!M389),TEXT('Change in Employment'!M389, "0"), ""), "")</f>
        <v/>
      </c>
    </row>
    <row r="383" spans="1:3">
      <c r="A383" s="23" t="str">
        <f>TEXT(IF('Change in Employment'!B390&lt;&gt;0,DATE(YEAR('Change in Employment'!B390), MONTH('Change in Employment'!B390), 1), ""), "mm/dd/yyyy")</f>
        <v/>
      </c>
      <c r="B383" s="23" t="str">
        <f>IF(ISNUMBER('Change in Employment'!L390),'Change in Employment'!L390, "")</f>
        <v/>
      </c>
      <c r="C383" s="23" t="str">
        <f>IFERROR(IF(ISNUMBER('Change in Employment'!M390),TEXT('Change in Employment'!M390, "0"), ""), "")</f>
        <v/>
      </c>
    </row>
    <row r="384" spans="1:3">
      <c r="A384" s="23" t="str">
        <f>TEXT(IF('Change in Employment'!B391&lt;&gt;0,DATE(YEAR('Change in Employment'!B391), MONTH('Change in Employment'!B391), 1), ""), "mm/dd/yyyy")</f>
        <v/>
      </c>
      <c r="B384" s="23" t="str">
        <f>IF(ISNUMBER('Change in Employment'!L391),'Change in Employment'!L391, "")</f>
        <v/>
      </c>
      <c r="C384" s="23" t="str">
        <f>IFERROR(IF(ISNUMBER('Change in Employment'!M391),TEXT('Change in Employment'!M391, "0"), ""), "")</f>
        <v/>
      </c>
    </row>
    <row r="385" spans="1:3">
      <c r="A385" s="23" t="str">
        <f>TEXT(IF('Change in Employment'!B392&lt;&gt;0,DATE(YEAR('Change in Employment'!B392), MONTH('Change in Employment'!B392), 1), ""), "mm/dd/yyyy")</f>
        <v/>
      </c>
      <c r="B385" s="23" t="str">
        <f>IF(ISNUMBER('Change in Employment'!L392),'Change in Employment'!L392, "")</f>
        <v/>
      </c>
      <c r="C385" s="23" t="str">
        <f>IFERROR(IF(ISNUMBER('Change in Employment'!M392),TEXT('Change in Employment'!M392, "0"), ""), "")</f>
        <v/>
      </c>
    </row>
    <row r="386" spans="1:3">
      <c r="A386" s="23" t="str">
        <f>TEXT(IF('Change in Employment'!B393&lt;&gt;0,DATE(YEAR('Change in Employment'!B393), MONTH('Change in Employment'!B393), 1), ""), "mm/dd/yyyy")</f>
        <v/>
      </c>
      <c r="B386" s="23" t="str">
        <f>IF(ISNUMBER('Change in Employment'!L393),'Change in Employment'!L393, "")</f>
        <v/>
      </c>
      <c r="C386" s="23" t="str">
        <f>IFERROR(IF(ISNUMBER('Change in Employment'!M393),TEXT('Change in Employment'!M393, "0"), ""), "")</f>
        <v/>
      </c>
    </row>
    <row r="387" spans="1:3">
      <c r="A387" s="23" t="str">
        <f>TEXT(IF('Change in Employment'!B394&lt;&gt;0,DATE(YEAR('Change in Employment'!B394), MONTH('Change in Employment'!B394), 1), ""), "mm/dd/yyyy")</f>
        <v/>
      </c>
      <c r="B387" s="23" t="str">
        <f>IF(ISNUMBER('Change in Employment'!L394),'Change in Employment'!L394, "")</f>
        <v/>
      </c>
      <c r="C387" s="23" t="str">
        <f>IFERROR(IF(ISNUMBER('Change in Employment'!M394),TEXT('Change in Employment'!M394, "0"), ""), "")</f>
        <v/>
      </c>
    </row>
    <row r="388" spans="1:3">
      <c r="A388" s="23" t="str">
        <f>TEXT(IF('Change in Employment'!B395&lt;&gt;0,DATE(YEAR('Change in Employment'!B395), MONTH('Change in Employment'!B395), 1), ""), "mm/dd/yyyy")</f>
        <v/>
      </c>
      <c r="B388" s="23" t="str">
        <f>IF(ISNUMBER('Change in Employment'!L395),'Change in Employment'!L395, "")</f>
        <v/>
      </c>
      <c r="C388" s="23" t="str">
        <f>IFERROR(IF(ISNUMBER('Change in Employment'!M395),TEXT('Change in Employment'!M395, "0"), ""), "")</f>
        <v/>
      </c>
    </row>
    <row r="389" spans="1:3">
      <c r="A389" s="23" t="str">
        <f>TEXT(IF('Change in Employment'!B396&lt;&gt;0,DATE(YEAR('Change in Employment'!B396), MONTH('Change in Employment'!B396), 1), ""), "mm/dd/yyyy")</f>
        <v/>
      </c>
      <c r="B389" s="23" t="str">
        <f>IF(ISNUMBER('Change in Employment'!L396),'Change in Employment'!L396, "")</f>
        <v/>
      </c>
      <c r="C389" s="23" t="str">
        <f>IFERROR(IF(ISNUMBER('Change in Employment'!M396),TEXT('Change in Employment'!M396, "0"), ""), "")</f>
        <v/>
      </c>
    </row>
    <row r="390" spans="1:3">
      <c r="A390" s="23" t="str">
        <f>TEXT(IF('Change in Employment'!B397&lt;&gt;0,DATE(YEAR('Change in Employment'!B397), MONTH('Change in Employment'!B397), 1), ""), "mm/dd/yyyy")</f>
        <v/>
      </c>
      <c r="B390" s="23" t="str">
        <f>IF(ISNUMBER('Change in Employment'!L397),'Change in Employment'!L397, "")</f>
        <v/>
      </c>
      <c r="C390" s="23" t="str">
        <f>IFERROR(IF(ISNUMBER('Change in Employment'!M397),TEXT('Change in Employment'!M397, "0"), ""), "")</f>
        <v/>
      </c>
    </row>
    <row r="391" spans="1:3">
      <c r="A391" s="23" t="str">
        <f>TEXT(IF('Change in Employment'!B398&lt;&gt;0,DATE(YEAR('Change in Employment'!B398), MONTH('Change in Employment'!B398), 1), ""), "mm/dd/yyyy")</f>
        <v/>
      </c>
      <c r="B391" s="23" t="str">
        <f>IF(ISNUMBER('Change in Employment'!L398),'Change in Employment'!L398, "")</f>
        <v/>
      </c>
      <c r="C391" s="23" t="str">
        <f>IFERROR(IF(ISNUMBER('Change in Employment'!M398),TEXT('Change in Employment'!M398, "0"), ""), "")</f>
        <v/>
      </c>
    </row>
    <row r="392" spans="1:3">
      <c r="A392" s="23" t="str">
        <f>TEXT(IF('Change in Employment'!B399&lt;&gt;0,DATE(YEAR('Change in Employment'!B399), MONTH('Change in Employment'!B399), 1), ""), "mm/dd/yyyy")</f>
        <v/>
      </c>
      <c r="B392" s="23" t="str">
        <f>IF(ISNUMBER('Change in Employment'!L399),'Change in Employment'!L399, "")</f>
        <v/>
      </c>
      <c r="C392" s="23" t="str">
        <f>IFERROR(IF(ISNUMBER('Change in Employment'!M399),TEXT('Change in Employment'!M399, "0"), ""), "")</f>
        <v/>
      </c>
    </row>
    <row r="393" spans="1:3">
      <c r="A393" s="23" t="str">
        <f>TEXT(IF('Change in Employment'!B400&lt;&gt;0,DATE(YEAR('Change in Employment'!B400), MONTH('Change in Employment'!B400), 1), ""), "mm/dd/yyyy")</f>
        <v/>
      </c>
      <c r="B393" s="23" t="str">
        <f>IF(ISNUMBER('Change in Employment'!L400),'Change in Employment'!L400, "")</f>
        <v/>
      </c>
      <c r="C393" s="23" t="str">
        <f>IFERROR(IF(ISNUMBER('Change in Employment'!M400),TEXT('Change in Employment'!M400, "0"), ""), "")</f>
        <v/>
      </c>
    </row>
    <row r="394" spans="1:3">
      <c r="A394" s="23" t="str">
        <f>TEXT(IF('Change in Employment'!B401&lt;&gt;0,DATE(YEAR('Change in Employment'!B401), MONTH('Change in Employment'!B401), 1), ""), "mm/dd/yyyy")</f>
        <v/>
      </c>
      <c r="B394" s="23" t="str">
        <f>IF(ISNUMBER('Change in Employment'!L401),'Change in Employment'!L401, "")</f>
        <v/>
      </c>
      <c r="C394" s="23" t="str">
        <f>IFERROR(IF(ISNUMBER('Change in Employment'!M401),TEXT('Change in Employment'!M401, "0"), ""), "")</f>
        <v/>
      </c>
    </row>
    <row r="395" spans="1:3">
      <c r="A395" s="23" t="str">
        <f>TEXT(IF('Change in Employment'!B402&lt;&gt;0,DATE(YEAR('Change in Employment'!B402), MONTH('Change in Employment'!B402), 1), ""), "mm/dd/yyyy")</f>
        <v/>
      </c>
      <c r="B395" s="23" t="str">
        <f>IF(ISNUMBER('Change in Employment'!L402),'Change in Employment'!L402, "")</f>
        <v/>
      </c>
      <c r="C395" s="23" t="str">
        <f>IFERROR(IF(ISNUMBER('Change in Employment'!M402),TEXT('Change in Employment'!M402, "0"), ""), "")</f>
        <v/>
      </c>
    </row>
    <row r="396" spans="1:3">
      <c r="A396" s="23" t="str">
        <f>TEXT(IF('Change in Employment'!B403&lt;&gt;0,DATE(YEAR('Change in Employment'!B403), MONTH('Change in Employment'!B403), 1), ""), "mm/dd/yyyy")</f>
        <v/>
      </c>
      <c r="B396" s="23" t="str">
        <f>IF(ISNUMBER('Change in Employment'!L403),'Change in Employment'!L403, "")</f>
        <v/>
      </c>
      <c r="C396" s="23" t="str">
        <f>IFERROR(IF(ISNUMBER('Change in Employment'!M403),TEXT('Change in Employment'!M403, "0"), ""), "")</f>
        <v/>
      </c>
    </row>
    <row r="397" spans="1:3">
      <c r="A397" s="23" t="str">
        <f>TEXT(IF('Change in Employment'!B404&lt;&gt;0,DATE(YEAR('Change in Employment'!B404), MONTH('Change in Employment'!B404), 1), ""), "mm/dd/yyyy")</f>
        <v/>
      </c>
      <c r="B397" s="23" t="str">
        <f>IF(ISNUMBER('Change in Employment'!L404),'Change in Employment'!L404, "")</f>
        <v/>
      </c>
      <c r="C397" s="23" t="str">
        <f>IFERROR(IF(ISNUMBER('Change in Employment'!M404),TEXT('Change in Employment'!M404, "0"), ""), "")</f>
        <v/>
      </c>
    </row>
    <row r="398" spans="1:3">
      <c r="A398" s="23" t="str">
        <f>TEXT(IF('Change in Employment'!B405&lt;&gt;0,DATE(YEAR('Change in Employment'!B405), MONTH('Change in Employment'!B405), 1), ""), "mm/dd/yyyy")</f>
        <v/>
      </c>
      <c r="B398" s="23" t="str">
        <f>IF(ISNUMBER('Change in Employment'!L405),'Change in Employment'!L405, "")</f>
        <v/>
      </c>
      <c r="C398" s="23" t="str">
        <f>IFERROR(IF(ISNUMBER('Change in Employment'!M405),TEXT('Change in Employment'!M405, "0"), ""), "")</f>
        <v/>
      </c>
    </row>
    <row r="399" spans="1:3">
      <c r="A399" s="23" t="str">
        <f>TEXT(IF('Change in Employment'!B406&lt;&gt;0,DATE(YEAR('Change in Employment'!B406), MONTH('Change in Employment'!B406), 1), ""), "mm/dd/yyyy")</f>
        <v/>
      </c>
      <c r="B399" s="23" t="str">
        <f>IF(ISNUMBER('Change in Employment'!L406),'Change in Employment'!L406, "")</f>
        <v/>
      </c>
      <c r="C399" s="23" t="str">
        <f>IFERROR(IF(ISNUMBER('Change in Employment'!M406),TEXT('Change in Employment'!M406, "0"), ""), "")</f>
        <v/>
      </c>
    </row>
    <row r="400" spans="1:3">
      <c r="A400" s="23" t="str">
        <f>TEXT(IF('Change in Employment'!B407&lt;&gt;0,DATE(YEAR('Change in Employment'!B407), MONTH('Change in Employment'!B407), 1), ""), "mm/dd/yyyy")</f>
        <v/>
      </c>
      <c r="B400" s="23" t="str">
        <f>IF(ISNUMBER('Change in Employment'!L407),'Change in Employment'!L407, "")</f>
        <v/>
      </c>
      <c r="C400" s="23" t="str">
        <f>IFERROR(IF(ISNUMBER('Change in Employment'!M407),TEXT('Change in Employment'!M407, "0"), ""), "")</f>
        <v/>
      </c>
    </row>
    <row r="401" spans="1:3">
      <c r="A401" s="23" t="str">
        <f>TEXT(IF('Change in Employment'!B408&lt;&gt;0,DATE(YEAR('Change in Employment'!B408), MONTH('Change in Employment'!B408), 1), ""), "mm/dd/yyyy")</f>
        <v/>
      </c>
      <c r="B401" s="23" t="str">
        <f>IF(ISNUMBER('Change in Employment'!L408),'Change in Employment'!L408, "")</f>
        <v/>
      </c>
      <c r="C401" s="23" t="str">
        <f>IFERROR(IF(ISNUMBER('Change in Employment'!M408),TEXT('Change in Employment'!M408, "0"), ""), "")</f>
        <v/>
      </c>
    </row>
    <row r="402" spans="1:3">
      <c r="A402" s="23" t="str">
        <f>TEXT(IF('Change in Employment'!B409&lt;&gt;0,DATE(YEAR('Change in Employment'!B409), MONTH('Change in Employment'!B409), 1), ""), "mm/dd/yyyy")</f>
        <v/>
      </c>
      <c r="B402" s="23" t="str">
        <f>IF(ISNUMBER('Change in Employment'!L409),'Change in Employment'!L409, "")</f>
        <v/>
      </c>
      <c r="C402" s="23" t="str">
        <f>IFERROR(IF(ISNUMBER('Change in Employment'!M409),TEXT('Change in Employment'!M409, "0"), ""), "")</f>
        <v/>
      </c>
    </row>
    <row r="403" spans="1:3">
      <c r="A403" s="23" t="str">
        <f>TEXT(IF('Change in Employment'!B410&lt;&gt;0,DATE(YEAR('Change in Employment'!B410), MONTH('Change in Employment'!B410), 1), ""), "mm/dd/yyyy")</f>
        <v/>
      </c>
      <c r="B403" s="23" t="str">
        <f>IF(ISNUMBER('Change in Employment'!L410),'Change in Employment'!L410, "")</f>
        <v/>
      </c>
      <c r="C403" s="23" t="str">
        <f>IFERROR(IF(ISNUMBER('Change in Employment'!M410),TEXT('Change in Employment'!M410, "0"), ""), "")</f>
        <v/>
      </c>
    </row>
    <row r="404" spans="1:3">
      <c r="A404" s="23" t="str">
        <f>TEXT(IF('Change in Employment'!B411&lt;&gt;0,DATE(YEAR('Change in Employment'!B411), MONTH('Change in Employment'!B411), 1), ""), "mm/dd/yyyy")</f>
        <v/>
      </c>
      <c r="B404" s="23" t="str">
        <f>IF(ISNUMBER('Change in Employment'!L411),'Change in Employment'!L411, "")</f>
        <v/>
      </c>
      <c r="C404" s="23" t="str">
        <f>IFERROR(IF(ISNUMBER('Change in Employment'!M411),TEXT('Change in Employment'!M411, "0"), ""), "")</f>
        <v/>
      </c>
    </row>
    <row r="405" spans="1:3">
      <c r="A405" s="23" t="str">
        <f>TEXT(IF('Change in Employment'!B412&lt;&gt;0,DATE(YEAR('Change in Employment'!B412), MONTH('Change in Employment'!B412), 1), ""), "mm/dd/yyyy")</f>
        <v/>
      </c>
      <c r="B405" s="23" t="str">
        <f>IF(ISNUMBER('Change in Employment'!L412),'Change in Employment'!L412, "")</f>
        <v/>
      </c>
      <c r="C405" s="23" t="str">
        <f>IFERROR(IF(ISNUMBER('Change in Employment'!M412),TEXT('Change in Employment'!M412, "0"), ""), "")</f>
        <v/>
      </c>
    </row>
    <row r="406" spans="1:3">
      <c r="A406" s="23" t="str">
        <f>TEXT(IF('Change in Employment'!B413&lt;&gt;0,DATE(YEAR('Change in Employment'!B413), MONTH('Change in Employment'!B413), 1), ""), "mm/dd/yyyy")</f>
        <v/>
      </c>
      <c r="B406" s="23" t="str">
        <f>IF(ISNUMBER('Change in Employment'!L413),'Change in Employment'!L413, "")</f>
        <v/>
      </c>
      <c r="C406" s="23" t="str">
        <f>IFERROR(IF(ISNUMBER('Change in Employment'!M413),TEXT('Change in Employment'!M413, "0"), ""), "")</f>
        <v/>
      </c>
    </row>
    <row r="407" spans="1:3">
      <c r="A407" s="23" t="str">
        <f>TEXT(IF('Change in Employment'!B414&lt;&gt;0,DATE(YEAR('Change in Employment'!B414), MONTH('Change in Employment'!B414), 1), ""), "mm/dd/yyyy")</f>
        <v/>
      </c>
      <c r="B407" s="23" t="str">
        <f>IF(ISNUMBER('Change in Employment'!L414),'Change in Employment'!L414, "")</f>
        <v/>
      </c>
      <c r="C407" s="23" t="str">
        <f>IFERROR(IF(ISNUMBER('Change in Employment'!M414),TEXT('Change in Employment'!M414, "0"), ""), "")</f>
        <v/>
      </c>
    </row>
    <row r="408" spans="1:3">
      <c r="A408" s="23" t="str">
        <f>TEXT(IF('Change in Employment'!B415&lt;&gt;0,DATE(YEAR('Change in Employment'!B415), MONTH('Change in Employment'!B415), 1), ""), "mm/dd/yyyy")</f>
        <v/>
      </c>
      <c r="B408" s="23" t="str">
        <f>IF(ISNUMBER('Change in Employment'!L415),'Change in Employment'!L415, "")</f>
        <v/>
      </c>
      <c r="C408" s="23" t="str">
        <f>IFERROR(IF(ISNUMBER('Change in Employment'!M415),TEXT('Change in Employment'!M415, "0"), ""), "")</f>
        <v/>
      </c>
    </row>
    <row r="409" spans="1:3">
      <c r="A409" s="23" t="str">
        <f>TEXT(IF('Change in Employment'!B416&lt;&gt;0,DATE(YEAR('Change in Employment'!B416), MONTH('Change in Employment'!B416), 1), ""), "mm/dd/yyyy")</f>
        <v/>
      </c>
      <c r="B409" s="23" t="str">
        <f>IF(ISNUMBER('Change in Employment'!L416),'Change in Employment'!L416, "")</f>
        <v/>
      </c>
      <c r="C409" s="23" t="str">
        <f>IFERROR(IF(ISNUMBER('Change in Employment'!M416),TEXT('Change in Employment'!M416, "0"), ""), "")</f>
        <v/>
      </c>
    </row>
    <row r="410" spans="1:3">
      <c r="A410" s="23" t="str">
        <f>TEXT(IF('Change in Employment'!B417&lt;&gt;0,DATE(YEAR('Change in Employment'!B417), MONTH('Change in Employment'!B417), 1), ""), "mm/dd/yyyy")</f>
        <v/>
      </c>
      <c r="B410" s="23" t="str">
        <f>IF(ISNUMBER('Change in Employment'!L417),'Change in Employment'!L417, "")</f>
        <v/>
      </c>
      <c r="C410" s="23" t="str">
        <f>IFERROR(IF(ISNUMBER('Change in Employment'!M417),TEXT('Change in Employment'!M417, "0"), ""), "")</f>
        <v/>
      </c>
    </row>
    <row r="411" spans="1:3">
      <c r="A411" s="23" t="str">
        <f>TEXT(IF('Change in Employment'!B418&lt;&gt;0,DATE(YEAR('Change in Employment'!B418), MONTH('Change in Employment'!B418), 1), ""), "mm/dd/yyyy")</f>
        <v/>
      </c>
      <c r="B411" s="23" t="str">
        <f>IF(ISNUMBER('Change in Employment'!L418),'Change in Employment'!L418, "")</f>
        <v/>
      </c>
      <c r="C411" s="23" t="str">
        <f>IFERROR(IF(ISNUMBER('Change in Employment'!M418),TEXT('Change in Employment'!M418, "0"), ""), "")</f>
        <v/>
      </c>
    </row>
    <row r="412" spans="1:3">
      <c r="A412" s="23" t="str">
        <f>TEXT(IF('Change in Employment'!B419&lt;&gt;0,DATE(YEAR('Change in Employment'!B419), MONTH('Change in Employment'!B419), 1), ""), "mm/dd/yyyy")</f>
        <v/>
      </c>
      <c r="B412" s="23" t="str">
        <f>IF(ISNUMBER('Change in Employment'!L419),'Change in Employment'!L419, "")</f>
        <v/>
      </c>
      <c r="C412" s="23" t="str">
        <f>IFERROR(IF(ISNUMBER('Change in Employment'!M419),TEXT('Change in Employment'!M419, "0"), ""), "")</f>
        <v/>
      </c>
    </row>
    <row r="413" spans="1:3">
      <c r="A413" s="23" t="str">
        <f>TEXT(IF('Change in Employment'!B420&lt;&gt;0,DATE(YEAR('Change in Employment'!B420), MONTH('Change in Employment'!B420), 1), ""), "mm/dd/yyyy")</f>
        <v/>
      </c>
      <c r="B413" s="23" t="str">
        <f>IF(ISNUMBER('Change in Employment'!L420),'Change in Employment'!L420, "")</f>
        <v/>
      </c>
      <c r="C413" s="23" t="str">
        <f>IFERROR(IF(ISNUMBER('Change in Employment'!M420),TEXT('Change in Employment'!M420, "0"), ""), "")</f>
        <v/>
      </c>
    </row>
    <row r="414" spans="1:3">
      <c r="A414" s="23" t="str">
        <f>TEXT(IF('Change in Employment'!B421&lt;&gt;0,DATE(YEAR('Change in Employment'!B421), MONTH('Change in Employment'!B421), 1), ""), "mm/dd/yyyy")</f>
        <v/>
      </c>
      <c r="B414" s="23" t="str">
        <f>IF(ISNUMBER('Change in Employment'!L421),'Change in Employment'!L421, "")</f>
        <v/>
      </c>
      <c r="C414" s="23" t="str">
        <f>IFERROR(IF(ISNUMBER('Change in Employment'!M421),TEXT('Change in Employment'!M421, "0"), ""), "")</f>
        <v/>
      </c>
    </row>
    <row r="415" spans="1:3">
      <c r="A415" s="23" t="str">
        <f>TEXT(IF('Change in Employment'!B422&lt;&gt;0,DATE(YEAR('Change in Employment'!B422), MONTH('Change in Employment'!B422), 1), ""), "mm/dd/yyyy")</f>
        <v/>
      </c>
      <c r="B415" s="23" t="str">
        <f>IF(ISNUMBER('Change in Employment'!L422),'Change in Employment'!L422, "")</f>
        <v/>
      </c>
      <c r="C415" s="23" t="str">
        <f>IFERROR(IF(ISNUMBER('Change in Employment'!M422),TEXT('Change in Employment'!M422, "0"), ""), "")</f>
        <v/>
      </c>
    </row>
    <row r="416" spans="1:3">
      <c r="A416" s="23" t="str">
        <f>TEXT(IF('Change in Employment'!B423&lt;&gt;0,DATE(YEAR('Change in Employment'!B423), MONTH('Change in Employment'!B423), 1), ""), "mm/dd/yyyy")</f>
        <v/>
      </c>
      <c r="B416" s="23" t="str">
        <f>IF(ISNUMBER('Change in Employment'!L423),'Change in Employment'!L423, "")</f>
        <v/>
      </c>
      <c r="C416" s="23" t="str">
        <f>IFERROR(IF(ISNUMBER('Change in Employment'!M423),TEXT('Change in Employment'!M423, "0"), ""), "")</f>
        <v/>
      </c>
    </row>
    <row r="417" spans="1:3">
      <c r="A417" s="23" t="str">
        <f>TEXT(IF('Change in Employment'!B424&lt;&gt;0,DATE(YEAR('Change in Employment'!B424), MONTH('Change in Employment'!B424), 1), ""), "mm/dd/yyyy")</f>
        <v/>
      </c>
      <c r="B417" s="23" t="str">
        <f>IF(ISNUMBER('Change in Employment'!L424),'Change in Employment'!L424, "")</f>
        <v/>
      </c>
      <c r="C417" s="23" t="str">
        <f>IFERROR(IF(ISNUMBER('Change in Employment'!M424),TEXT('Change in Employment'!M424, "0"), ""), "")</f>
        <v/>
      </c>
    </row>
    <row r="418" spans="1:3">
      <c r="A418" s="23" t="str">
        <f>TEXT(IF('Change in Employment'!B425&lt;&gt;0,DATE(YEAR('Change in Employment'!B425), MONTH('Change in Employment'!B425), 1), ""), "mm/dd/yyyy")</f>
        <v/>
      </c>
      <c r="B418" s="23" t="str">
        <f>IF(ISNUMBER('Change in Employment'!L425),'Change in Employment'!L425, "")</f>
        <v/>
      </c>
      <c r="C418" s="23" t="str">
        <f>IFERROR(IF(ISNUMBER('Change in Employment'!M425),TEXT('Change in Employment'!M425, "0"), ""), "")</f>
        <v/>
      </c>
    </row>
    <row r="419" spans="1:3">
      <c r="A419" s="23" t="str">
        <f>TEXT(IF('Change in Employment'!B426&lt;&gt;0,DATE(YEAR('Change in Employment'!B426), MONTH('Change in Employment'!B426), 1), ""), "mm/dd/yyyy")</f>
        <v/>
      </c>
      <c r="B419" s="23" t="str">
        <f>IF(ISNUMBER('Change in Employment'!L426),'Change in Employment'!L426, "")</f>
        <v/>
      </c>
      <c r="C419" s="23" t="str">
        <f>IFERROR(IF(ISNUMBER('Change in Employment'!M426),TEXT('Change in Employment'!M426, "0"), ""), "")</f>
        <v/>
      </c>
    </row>
    <row r="420" spans="1:3">
      <c r="A420" s="23" t="str">
        <f>TEXT(IF('Change in Employment'!B427&lt;&gt;0,DATE(YEAR('Change in Employment'!B427), MONTH('Change in Employment'!B427), 1), ""), "mm/dd/yyyy")</f>
        <v/>
      </c>
      <c r="B420" s="23" t="str">
        <f>IF(ISNUMBER('Change in Employment'!L427),'Change in Employment'!L427, "")</f>
        <v/>
      </c>
      <c r="C420" s="23" t="str">
        <f>IFERROR(IF(ISNUMBER('Change in Employment'!M427),TEXT('Change in Employment'!M427, "0"), ""), "")</f>
        <v/>
      </c>
    </row>
    <row r="421" spans="1:3">
      <c r="A421" s="23" t="str">
        <f>TEXT(IF('Change in Employment'!B428&lt;&gt;0,DATE(YEAR('Change in Employment'!B428), MONTH('Change in Employment'!B428), 1), ""), "mm/dd/yyyy")</f>
        <v/>
      </c>
      <c r="B421" s="23" t="str">
        <f>IF(ISNUMBER('Change in Employment'!L428),'Change in Employment'!L428, "")</f>
        <v/>
      </c>
      <c r="C421" s="23" t="str">
        <f>IFERROR(IF(ISNUMBER('Change in Employment'!M428),TEXT('Change in Employment'!M428, "0"), ""), "")</f>
        <v/>
      </c>
    </row>
    <row r="422" spans="1:3">
      <c r="A422" s="23" t="str">
        <f>TEXT(IF('Change in Employment'!B429&lt;&gt;0,DATE(YEAR('Change in Employment'!B429), MONTH('Change in Employment'!B429), 1), ""), "mm/dd/yyyy")</f>
        <v/>
      </c>
      <c r="B422" s="23" t="str">
        <f>IF(ISNUMBER('Change in Employment'!L429),'Change in Employment'!L429, "")</f>
        <v/>
      </c>
      <c r="C422" s="23" t="str">
        <f>IFERROR(IF(ISNUMBER('Change in Employment'!M429),TEXT('Change in Employment'!M429, "0"), ""), "")</f>
        <v/>
      </c>
    </row>
    <row r="423" spans="1:3">
      <c r="A423" s="23" t="str">
        <f>TEXT(IF('Change in Employment'!B430&lt;&gt;0,DATE(YEAR('Change in Employment'!B430), MONTH('Change in Employment'!B430), 1), ""), "mm/dd/yyyy")</f>
        <v/>
      </c>
      <c r="B423" s="23" t="str">
        <f>IF(ISNUMBER('Change in Employment'!L430),'Change in Employment'!L430, "")</f>
        <v/>
      </c>
      <c r="C423" s="23" t="str">
        <f>IFERROR(IF(ISNUMBER('Change in Employment'!M430),TEXT('Change in Employment'!M430, "0"), ""), "")</f>
        <v/>
      </c>
    </row>
    <row r="424" spans="1:3">
      <c r="A424" s="23" t="str">
        <f>TEXT(IF('Change in Employment'!B431&lt;&gt;0,DATE(YEAR('Change in Employment'!B431), MONTH('Change in Employment'!B431), 1), ""), "mm/dd/yyyy")</f>
        <v/>
      </c>
      <c r="B424" s="23" t="str">
        <f>IF(ISNUMBER('Change in Employment'!L431),'Change in Employment'!L431, "")</f>
        <v/>
      </c>
      <c r="C424" s="23" t="str">
        <f>IFERROR(IF(ISNUMBER('Change in Employment'!M431),TEXT('Change in Employment'!M431, "0"), ""), "")</f>
        <v/>
      </c>
    </row>
    <row r="425" spans="1:3">
      <c r="A425" s="23" t="str">
        <f>TEXT(IF('Change in Employment'!B432&lt;&gt;0,DATE(YEAR('Change in Employment'!B432), MONTH('Change in Employment'!B432), 1), ""), "mm/dd/yyyy")</f>
        <v/>
      </c>
      <c r="B425" s="23" t="str">
        <f>IF(ISNUMBER('Change in Employment'!L432),'Change in Employment'!L432, "")</f>
        <v/>
      </c>
      <c r="C425" s="23" t="str">
        <f>IFERROR(IF(ISNUMBER('Change in Employment'!M432),TEXT('Change in Employment'!M432, "0"), ""), "")</f>
        <v/>
      </c>
    </row>
    <row r="426" spans="1:3">
      <c r="A426" s="23" t="str">
        <f>TEXT(IF('Change in Employment'!B433&lt;&gt;0,DATE(YEAR('Change in Employment'!B433), MONTH('Change in Employment'!B433), 1), ""), "mm/dd/yyyy")</f>
        <v/>
      </c>
      <c r="B426" s="23" t="str">
        <f>IF(ISNUMBER('Change in Employment'!L433),'Change in Employment'!L433, "")</f>
        <v/>
      </c>
      <c r="C426" s="23" t="str">
        <f>IFERROR(IF(ISNUMBER('Change in Employment'!M433),TEXT('Change in Employment'!M433, "0"), ""), "")</f>
        <v/>
      </c>
    </row>
    <row r="427" spans="1:3">
      <c r="A427" s="23" t="str">
        <f>TEXT(IF('Change in Employment'!B434&lt;&gt;0,DATE(YEAR('Change in Employment'!B434), MONTH('Change in Employment'!B434), 1), ""), "mm/dd/yyyy")</f>
        <v/>
      </c>
      <c r="B427" s="23" t="str">
        <f>IF(ISNUMBER('Change in Employment'!L434),'Change in Employment'!L434, "")</f>
        <v/>
      </c>
      <c r="C427" s="23" t="str">
        <f>IFERROR(IF(ISNUMBER('Change in Employment'!M434),TEXT('Change in Employment'!M434, "0"), ""), "")</f>
        <v/>
      </c>
    </row>
    <row r="428" spans="1:3">
      <c r="A428" s="23" t="str">
        <f>TEXT(IF('Change in Employment'!B435&lt;&gt;0,DATE(YEAR('Change in Employment'!B435), MONTH('Change in Employment'!B435), 1), ""), "mm/dd/yyyy")</f>
        <v/>
      </c>
      <c r="B428" s="23" t="str">
        <f>IF(ISNUMBER('Change in Employment'!L435),'Change in Employment'!L435, "")</f>
        <v/>
      </c>
      <c r="C428" s="23" t="str">
        <f>IFERROR(IF(ISNUMBER('Change in Employment'!M435),TEXT('Change in Employment'!M435, "0"), ""), "")</f>
        <v/>
      </c>
    </row>
    <row r="429" spans="1:3">
      <c r="A429" s="23" t="str">
        <f>TEXT(IF('Change in Employment'!B436&lt;&gt;0,DATE(YEAR('Change in Employment'!B436), MONTH('Change in Employment'!B436), 1), ""), "mm/dd/yyyy")</f>
        <v/>
      </c>
      <c r="B429" s="23" t="str">
        <f>IF(ISNUMBER('Change in Employment'!L436),'Change in Employment'!L436, "")</f>
        <v/>
      </c>
      <c r="C429" s="23" t="str">
        <f>IFERROR(IF(ISNUMBER('Change in Employment'!M436),TEXT('Change in Employment'!M436, "0"), ""), "")</f>
        <v/>
      </c>
    </row>
    <row r="430" spans="1:3">
      <c r="A430" s="23" t="str">
        <f>TEXT(IF('Change in Employment'!B437&lt;&gt;0,DATE(YEAR('Change in Employment'!B437), MONTH('Change in Employment'!B437), 1), ""), "mm/dd/yyyy")</f>
        <v/>
      </c>
      <c r="B430" s="23" t="str">
        <f>IF(ISNUMBER('Change in Employment'!L437),'Change in Employment'!L437, "")</f>
        <v/>
      </c>
      <c r="C430" s="23" t="str">
        <f>IFERROR(IF(ISNUMBER('Change in Employment'!M437),TEXT('Change in Employment'!M437, "0"), ""), "")</f>
        <v/>
      </c>
    </row>
    <row r="431" spans="1:3">
      <c r="A431" s="23" t="str">
        <f>TEXT(IF('Change in Employment'!B438&lt;&gt;0,DATE(YEAR('Change in Employment'!B438), MONTH('Change in Employment'!B438), 1), ""), "mm/dd/yyyy")</f>
        <v/>
      </c>
      <c r="B431" s="23" t="str">
        <f>IF(ISNUMBER('Change in Employment'!L438),'Change in Employment'!L438, "")</f>
        <v/>
      </c>
      <c r="C431" s="23" t="str">
        <f>IFERROR(IF(ISNUMBER('Change in Employment'!M438),TEXT('Change in Employment'!M438, "0"), ""), "")</f>
        <v/>
      </c>
    </row>
    <row r="432" spans="1:3">
      <c r="A432" s="23" t="str">
        <f>TEXT(IF('Change in Employment'!B439&lt;&gt;0,DATE(YEAR('Change in Employment'!B439), MONTH('Change in Employment'!B439), 1), ""), "mm/dd/yyyy")</f>
        <v/>
      </c>
      <c r="B432" s="23" t="str">
        <f>IF(ISNUMBER('Change in Employment'!L439),'Change in Employment'!L439, "")</f>
        <v/>
      </c>
      <c r="C432" s="23" t="str">
        <f>IFERROR(IF(ISNUMBER('Change in Employment'!M439),TEXT('Change in Employment'!M439, "0"), ""), "")</f>
        <v/>
      </c>
    </row>
    <row r="433" spans="1:3">
      <c r="A433" s="23" t="str">
        <f>TEXT(IF('Change in Employment'!B440&lt;&gt;0,DATE(YEAR('Change in Employment'!B440), MONTH('Change in Employment'!B440), 1), ""), "mm/dd/yyyy")</f>
        <v/>
      </c>
      <c r="B433" s="23" t="str">
        <f>IF(ISNUMBER('Change in Employment'!L440),'Change in Employment'!L440, "")</f>
        <v/>
      </c>
      <c r="C433" s="23" t="str">
        <f>IFERROR(IF(ISNUMBER('Change in Employment'!M440),TEXT('Change in Employment'!M440, "0"), ""), "")</f>
        <v/>
      </c>
    </row>
    <row r="434" spans="1:3">
      <c r="A434" s="23" t="str">
        <f>TEXT(IF('Change in Employment'!B441&lt;&gt;0,DATE(YEAR('Change in Employment'!B441), MONTH('Change in Employment'!B441), 1), ""), "mm/dd/yyyy")</f>
        <v/>
      </c>
      <c r="B434" s="23" t="str">
        <f>IF(ISNUMBER('Change in Employment'!L441),'Change in Employment'!L441, "")</f>
        <v/>
      </c>
      <c r="C434" s="23" t="str">
        <f>IFERROR(IF(ISNUMBER('Change in Employment'!M441),TEXT('Change in Employment'!M441, "0"), ""), "")</f>
        <v/>
      </c>
    </row>
    <row r="435" spans="1:3">
      <c r="A435" s="23" t="str">
        <f>TEXT(IF('Change in Employment'!B442&lt;&gt;0,DATE(YEAR('Change in Employment'!B442), MONTH('Change in Employment'!B442), 1), ""), "mm/dd/yyyy")</f>
        <v/>
      </c>
      <c r="B435" s="23" t="str">
        <f>IF(ISNUMBER('Change in Employment'!L442),'Change in Employment'!L442, "")</f>
        <v/>
      </c>
      <c r="C435" s="23" t="str">
        <f>IFERROR(IF(ISNUMBER('Change in Employment'!M442),TEXT('Change in Employment'!M442, "0"), ""), "")</f>
        <v/>
      </c>
    </row>
    <row r="436" spans="1:3">
      <c r="A436" s="23" t="str">
        <f>TEXT(IF('Change in Employment'!B443&lt;&gt;0,DATE(YEAR('Change in Employment'!B443), MONTH('Change in Employment'!B443), 1), ""), "mm/dd/yyyy")</f>
        <v/>
      </c>
      <c r="B436" s="23" t="str">
        <f>IF(ISNUMBER('Change in Employment'!L443),'Change in Employment'!L443, "")</f>
        <v/>
      </c>
      <c r="C436" s="23" t="str">
        <f>IFERROR(IF(ISNUMBER('Change in Employment'!M443),TEXT('Change in Employment'!M443, "0"), ""), "")</f>
        <v/>
      </c>
    </row>
    <row r="437" spans="1:3">
      <c r="A437" s="23" t="str">
        <f>TEXT(IF('Change in Employment'!B444&lt;&gt;0,DATE(YEAR('Change in Employment'!B444), MONTH('Change in Employment'!B444), 1), ""), "mm/dd/yyyy")</f>
        <v/>
      </c>
      <c r="B437" s="23" t="str">
        <f>IF(ISNUMBER('Change in Employment'!L444),'Change in Employment'!L444, "")</f>
        <v/>
      </c>
      <c r="C437" s="23" t="str">
        <f>IFERROR(IF(ISNUMBER('Change in Employment'!M444),TEXT('Change in Employment'!M444, "0"), ""), "")</f>
        <v/>
      </c>
    </row>
    <row r="438" spans="1:3">
      <c r="A438" s="23" t="str">
        <f>TEXT(IF('Change in Employment'!B445&lt;&gt;0,DATE(YEAR('Change in Employment'!B445), MONTH('Change in Employment'!B445), 1), ""), "mm/dd/yyyy")</f>
        <v/>
      </c>
      <c r="B438" s="23" t="str">
        <f>IF(ISNUMBER('Change in Employment'!L445),'Change in Employment'!L445, "")</f>
        <v/>
      </c>
      <c r="C438" s="23" t="str">
        <f>IFERROR(IF(ISNUMBER('Change in Employment'!M445),TEXT('Change in Employment'!M445, "0"), ""), "")</f>
        <v/>
      </c>
    </row>
    <row r="439" spans="1:3">
      <c r="A439" s="23" t="str">
        <f>TEXT(IF('Change in Employment'!B446&lt;&gt;0,DATE(YEAR('Change in Employment'!B446), MONTH('Change in Employment'!B446), 1), ""), "mm/dd/yyyy")</f>
        <v/>
      </c>
      <c r="B439" s="23" t="str">
        <f>IF(ISNUMBER('Change in Employment'!L446),'Change in Employment'!L446, "")</f>
        <v/>
      </c>
      <c r="C439" s="23" t="str">
        <f>IFERROR(IF(ISNUMBER('Change in Employment'!M446),TEXT('Change in Employment'!M446, "0"), ""), "")</f>
        <v/>
      </c>
    </row>
    <row r="440" spans="1:3">
      <c r="A440" s="23" t="str">
        <f>TEXT(IF('Change in Employment'!B447&lt;&gt;0,DATE(YEAR('Change in Employment'!B447), MONTH('Change in Employment'!B447), 1), ""), "mm/dd/yyyy")</f>
        <v/>
      </c>
      <c r="B440" s="23" t="str">
        <f>IF(ISNUMBER('Change in Employment'!L447),'Change in Employment'!L447, "")</f>
        <v/>
      </c>
      <c r="C440" s="23" t="str">
        <f>IFERROR(IF(ISNUMBER('Change in Employment'!M447),TEXT('Change in Employment'!M447, "0"), ""), "")</f>
        <v/>
      </c>
    </row>
    <row r="441" spans="1:3">
      <c r="A441" s="23" t="str">
        <f>TEXT(IF('Change in Employment'!B448&lt;&gt;0,DATE(YEAR('Change in Employment'!B448), MONTH('Change in Employment'!B448), 1), ""), "mm/dd/yyyy")</f>
        <v/>
      </c>
      <c r="B441" s="23" t="str">
        <f>IF(ISNUMBER('Change in Employment'!L448),'Change in Employment'!L448, "")</f>
        <v/>
      </c>
      <c r="C441" s="23" t="str">
        <f>IFERROR(IF(ISNUMBER('Change in Employment'!M448),TEXT('Change in Employment'!M448, "0"), ""), "")</f>
        <v/>
      </c>
    </row>
    <row r="442" spans="1:3">
      <c r="A442" s="23" t="str">
        <f>TEXT(IF('Change in Employment'!B449&lt;&gt;0,DATE(YEAR('Change in Employment'!B449), MONTH('Change in Employment'!B449), 1), ""), "mm/dd/yyyy")</f>
        <v/>
      </c>
      <c r="B442" s="23" t="str">
        <f>IF(ISNUMBER('Change in Employment'!L449),'Change in Employment'!L449, "")</f>
        <v/>
      </c>
      <c r="C442" s="23" t="str">
        <f>IFERROR(IF(ISNUMBER('Change in Employment'!M449),TEXT('Change in Employment'!M449, "0"), ""), "")</f>
        <v/>
      </c>
    </row>
    <row r="443" spans="1:3">
      <c r="A443" s="23" t="str">
        <f>TEXT(IF('Change in Employment'!B450&lt;&gt;0,DATE(YEAR('Change in Employment'!B450), MONTH('Change in Employment'!B450), 1), ""), "mm/dd/yyyy")</f>
        <v/>
      </c>
      <c r="B443" s="23" t="str">
        <f>IF(ISNUMBER('Change in Employment'!L450),'Change in Employment'!L450, "")</f>
        <v/>
      </c>
      <c r="C443" s="23" t="str">
        <f>IFERROR(IF(ISNUMBER('Change in Employment'!M450),TEXT('Change in Employment'!M450, "0"), ""), "")</f>
        <v/>
      </c>
    </row>
    <row r="444" spans="1:3">
      <c r="A444" s="23" t="str">
        <f>TEXT(IF('Change in Employment'!B451&lt;&gt;0,DATE(YEAR('Change in Employment'!B451), MONTH('Change in Employment'!B451), 1), ""), "mm/dd/yyyy")</f>
        <v/>
      </c>
      <c r="B444" s="23" t="str">
        <f>IF(ISNUMBER('Change in Employment'!L451),'Change in Employment'!L451, "")</f>
        <v/>
      </c>
      <c r="C444" s="23" t="str">
        <f>IFERROR(IF(ISNUMBER('Change in Employment'!M451),TEXT('Change in Employment'!M451, "0"), ""), "")</f>
        <v/>
      </c>
    </row>
    <row r="445" spans="1:3">
      <c r="A445" s="23" t="str">
        <f>TEXT(IF('Change in Employment'!B452&lt;&gt;0,DATE(YEAR('Change in Employment'!B452), MONTH('Change in Employment'!B452), 1), ""), "mm/dd/yyyy")</f>
        <v/>
      </c>
      <c r="B445" s="23" t="str">
        <f>IF(ISNUMBER('Change in Employment'!L452),'Change in Employment'!L452, "")</f>
        <v/>
      </c>
      <c r="C445" s="23" t="str">
        <f>IFERROR(IF(ISNUMBER('Change in Employment'!M452),TEXT('Change in Employment'!M452, "0"), ""), "")</f>
        <v/>
      </c>
    </row>
    <row r="446" spans="1:3">
      <c r="A446" s="23" t="str">
        <f>TEXT(IF('Change in Employment'!B453&lt;&gt;0,DATE(YEAR('Change in Employment'!B453), MONTH('Change in Employment'!B453), 1), ""), "mm/dd/yyyy")</f>
        <v/>
      </c>
      <c r="B446" s="23" t="str">
        <f>IF(ISNUMBER('Change in Employment'!L453),'Change in Employment'!L453, "")</f>
        <v/>
      </c>
      <c r="C446" s="23" t="str">
        <f>IFERROR(IF(ISNUMBER('Change in Employment'!M453),TEXT('Change in Employment'!M453, "0"), ""), "")</f>
        <v/>
      </c>
    </row>
    <row r="447" spans="1:3">
      <c r="A447" s="23" t="str">
        <f>TEXT(IF('Change in Employment'!B454&lt;&gt;0,DATE(YEAR('Change in Employment'!B454), MONTH('Change in Employment'!B454), 1), ""), "mm/dd/yyyy")</f>
        <v/>
      </c>
      <c r="B447" s="23" t="str">
        <f>IF(ISNUMBER('Change in Employment'!L454),'Change in Employment'!L454, "")</f>
        <v/>
      </c>
      <c r="C447" s="23" t="str">
        <f>IFERROR(IF(ISNUMBER('Change in Employment'!M454),TEXT('Change in Employment'!M454, "0"), ""), "")</f>
        <v/>
      </c>
    </row>
    <row r="448" spans="1:3">
      <c r="A448" s="23" t="str">
        <f>TEXT(IF('Change in Employment'!B455&lt;&gt;0,DATE(YEAR('Change in Employment'!B455), MONTH('Change in Employment'!B455), 1), ""), "mm/dd/yyyy")</f>
        <v/>
      </c>
      <c r="B448" s="23" t="str">
        <f>IF(ISNUMBER('Change in Employment'!L455),'Change in Employment'!L455, "")</f>
        <v/>
      </c>
      <c r="C448" s="23" t="str">
        <f>IFERROR(IF(ISNUMBER('Change in Employment'!M455),TEXT('Change in Employment'!M455, "0"), ""), "")</f>
        <v/>
      </c>
    </row>
    <row r="449" spans="1:3">
      <c r="A449" s="23" t="str">
        <f>TEXT(IF('Change in Employment'!B456&lt;&gt;0,DATE(YEAR('Change in Employment'!B456), MONTH('Change in Employment'!B456), 1), ""), "mm/dd/yyyy")</f>
        <v/>
      </c>
      <c r="B449" s="23" t="str">
        <f>IF(ISNUMBER('Change in Employment'!L456),'Change in Employment'!L456, "")</f>
        <v/>
      </c>
      <c r="C449" s="23" t="str">
        <f>IFERROR(IF(ISNUMBER('Change in Employment'!M456),TEXT('Change in Employment'!M456, "0"), ""), "")</f>
        <v/>
      </c>
    </row>
    <row r="450" spans="1:3">
      <c r="A450" s="23" t="str">
        <f>TEXT(IF('Change in Employment'!B457&lt;&gt;0,DATE(YEAR('Change in Employment'!B457), MONTH('Change in Employment'!B457), 1), ""), "mm/dd/yyyy")</f>
        <v/>
      </c>
      <c r="B450" s="23" t="str">
        <f>IF(ISNUMBER('Change in Employment'!L457),'Change in Employment'!L457, "")</f>
        <v/>
      </c>
      <c r="C450" s="23" t="str">
        <f>IFERROR(IF(ISNUMBER('Change in Employment'!M457),TEXT('Change in Employment'!M457, "0"), ""), "")</f>
        <v/>
      </c>
    </row>
    <row r="451" spans="1:3">
      <c r="A451" s="23" t="str">
        <f>TEXT(IF('Change in Employment'!B458&lt;&gt;0,DATE(YEAR('Change in Employment'!B458), MONTH('Change in Employment'!B458), 1), ""), "mm/dd/yyyy")</f>
        <v/>
      </c>
      <c r="B451" s="23" t="str">
        <f>IF(ISNUMBER('Change in Employment'!L458),'Change in Employment'!L458, "")</f>
        <v/>
      </c>
      <c r="C451" s="23" t="str">
        <f>IFERROR(IF(ISNUMBER('Change in Employment'!M458),TEXT('Change in Employment'!M458, "0"), ""), "")</f>
        <v/>
      </c>
    </row>
    <row r="452" spans="1:3">
      <c r="A452" s="23" t="str">
        <f>TEXT(IF('Change in Employment'!B459&lt;&gt;0,DATE(YEAR('Change in Employment'!B459), MONTH('Change in Employment'!B459), 1), ""), "mm/dd/yyyy")</f>
        <v/>
      </c>
      <c r="B452" s="23" t="str">
        <f>IF(ISNUMBER('Change in Employment'!L459),'Change in Employment'!L459, "")</f>
        <v/>
      </c>
      <c r="C452" s="23" t="str">
        <f>IFERROR(IF(ISNUMBER('Change in Employment'!M459),TEXT('Change in Employment'!M459, "0"), ""), "")</f>
        <v/>
      </c>
    </row>
    <row r="453" spans="1:3">
      <c r="A453" s="23" t="str">
        <f>TEXT(IF('Change in Employment'!B460&lt;&gt;0,DATE(YEAR('Change in Employment'!B460), MONTH('Change in Employment'!B460), 1), ""), "mm/dd/yyyy")</f>
        <v/>
      </c>
      <c r="B453" s="23" t="str">
        <f>IF(ISNUMBER('Change in Employment'!L460),'Change in Employment'!L460, "")</f>
        <v/>
      </c>
      <c r="C453" s="23" t="str">
        <f>IFERROR(IF(ISNUMBER('Change in Employment'!M460),TEXT('Change in Employment'!M460, "0"), ""), "")</f>
        <v/>
      </c>
    </row>
    <row r="454" spans="1:3">
      <c r="A454" s="23" t="str">
        <f>TEXT(IF('Change in Employment'!B461&lt;&gt;0,DATE(YEAR('Change in Employment'!B461), MONTH('Change in Employment'!B461), 1), ""), "mm/dd/yyyy")</f>
        <v/>
      </c>
      <c r="B454" s="23" t="str">
        <f>IF(ISNUMBER('Change in Employment'!L461),'Change in Employment'!L461, "")</f>
        <v/>
      </c>
      <c r="C454" s="23" t="str">
        <f>IFERROR(IF(ISNUMBER('Change in Employment'!M461),TEXT('Change in Employment'!M461, "0"), ""), "")</f>
        <v/>
      </c>
    </row>
    <row r="455" spans="1:3">
      <c r="A455" s="23" t="str">
        <f>TEXT(IF('Change in Employment'!B462&lt;&gt;0,DATE(YEAR('Change in Employment'!B462), MONTH('Change in Employment'!B462), 1), ""), "mm/dd/yyyy")</f>
        <v/>
      </c>
      <c r="B455" s="23" t="str">
        <f>IF(ISNUMBER('Change in Employment'!L462),'Change in Employment'!L462, "")</f>
        <v/>
      </c>
      <c r="C455" s="23" t="str">
        <f>IFERROR(IF(ISNUMBER('Change in Employment'!M462),TEXT('Change in Employment'!M462, "0"), ""), "")</f>
        <v/>
      </c>
    </row>
    <row r="456" spans="1:3">
      <c r="A456" s="23" t="str">
        <f>TEXT(IF('Change in Employment'!B463&lt;&gt;0,DATE(YEAR('Change in Employment'!B463), MONTH('Change in Employment'!B463), 1), ""), "mm/dd/yyyy")</f>
        <v/>
      </c>
      <c r="B456" s="23" t="str">
        <f>IF(ISNUMBER('Change in Employment'!L463),'Change in Employment'!L463, "")</f>
        <v/>
      </c>
      <c r="C456" s="23" t="str">
        <f>IFERROR(IF(ISNUMBER('Change in Employment'!M463),TEXT('Change in Employment'!M463, "0"), ""), "")</f>
        <v/>
      </c>
    </row>
    <row r="457" spans="1:3">
      <c r="A457" s="23" t="str">
        <f>TEXT(IF('Change in Employment'!B464&lt;&gt;0,DATE(YEAR('Change in Employment'!B464), MONTH('Change in Employment'!B464), 1), ""), "mm/dd/yyyy")</f>
        <v/>
      </c>
      <c r="B457" s="23" t="str">
        <f>IF(ISNUMBER('Change in Employment'!L464),'Change in Employment'!L464, "")</f>
        <v/>
      </c>
      <c r="C457" s="23" t="str">
        <f>IFERROR(IF(ISNUMBER('Change in Employment'!M464),TEXT('Change in Employment'!M464, "0"), ""), "")</f>
        <v/>
      </c>
    </row>
    <row r="458" spans="1:3">
      <c r="A458" s="23" t="str">
        <f>TEXT(IF('Change in Employment'!B465&lt;&gt;0,DATE(YEAR('Change in Employment'!B465), MONTH('Change in Employment'!B465), 1), ""), "mm/dd/yyyy")</f>
        <v/>
      </c>
      <c r="B458" s="23" t="str">
        <f>IF(ISNUMBER('Change in Employment'!L465),'Change in Employment'!L465, "")</f>
        <v/>
      </c>
      <c r="C458" s="23" t="str">
        <f>IFERROR(IF(ISNUMBER('Change in Employment'!M465),TEXT('Change in Employment'!M465, "0"), ""), "")</f>
        <v/>
      </c>
    </row>
    <row r="459" spans="1:3">
      <c r="A459" s="23" t="str">
        <f>TEXT(IF('Change in Employment'!B466&lt;&gt;0,DATE(YEAR('Change in Employment'!B466), MONTH('Change in Employment'!B466), 1), ""), "mm/dd/yyyy")</f>
        <v/>
      </c>
      <c r="B459" s="23" t="str">
        <f>IF(ISNUMBER('Change in Employment'!L466),'Change in Employment'!L466, "")</f>
        <v/>
      </c>
      <c r="C459" s="23" t="str">
        <f>IFERROR(IF(ISNUMBER('Change in Employment'!M466),TEXT('Change in Employment'!M466, "0"), ""), "")</f>
        <v/>
      </c>
    </row>
    <row r="460" spans="1:3">
      <c r="A460" s="23" t="str">
        <f>TEXT(IF('Change in Employment'!B467&lt;&gt;0,DATE(YEAR('Change in Employment'!B467), MONTH('Change in Employment'!B467), 1), ""), "mm/dd/yyyy")</f>
        <v/>
      </c>
      <c r="B460" s="23" t="str">
        <f>IF(ISNUMBER('Change in Employment'!L467),'Change in Employment'!L467, "")</f>
        <v/>
      </c>
      <c r="C460" s="23" t="str">
        <f>IFERROR(IF(ISNUMBER('Change in Employment'!M467),TEXT('Change in Employment'!M467, "0"), ""), "")</f>
        <v/>
      </c>
    </row>
    <row r="461" spans="1:3">
      <c r="A461" s="23" t="str">
        <f>TEXT(IF('Change in Employment'!B468&lt;&gt;0,DATE(YEAR('Change in Employment'!B468), MONTH('Change in Employment'!B468), 1), ""), "mm/dd/yyyy")</f>
        <v/>
      </c>
      <c r="B461" s="23" t="str">
        <f>IF(ISNUMBER('Change in Employment'!L468),'Change in Employment'!L468, "")</f>
        <v/>
      </c>
      <c r="C461" s="23" t="str">
        <f>IFERROR(IF(ISNUMBER('Change in Employment'!M468),TEXT('Change in Employment'!M468, "0"), ""), "")</f>
        <v/>
      </c>
    </row>
    <row r="462" spans="1:3">
      <c r="A462" s="23" t="str">
        <f>TEXT(IF('Change in Employment'!B469&lt;&gt;0,DATE(YEAR('Change in Employment'!B469), MONTH('Change in Employment'!B469), 1), ""), "mm/dd/yyyy")</f>
        <v/>
      </c>
      <c r="B462" s="23" t="str">
        <f>IF(ISNUMBER('Change in Employment'!L469),'Change in Employment'!L469, "")</f>
        <v/>
      </c>
      <c r="C462" s="23" t="str">
        <f>IFERROR(IF(ISNUMBER('Change in Employment'!M469),TEXT('Change in Employment'!M469, "0"), ""), "")</f>
        <v/>
      </c>
    </row>
    <row r="463" spans="1:3">
      <c r="A463" s="23" t="str">
        <f>TEXT(IF('Change in Employment'!B470&lt;&gt;0,DATE(YEAR('Change in Employment'!B470), MONTH('Change in Employment'!B470), 1), ""), "mm/dd/yyyy")</f>
        <v/>
      </c>
      <c r="B463" s="23" t="str">
        <f>IF(ISNUMBER('Change in Employment'!L470),'Change in Employment'!L470, "")</f>
        <v/>
      </c>
      <c r="C463" s="23" t="str">
        <f>IFERROR(IF(ISNUMBER('Change in Employment'!M470),TEXT('Change in Employment'!M470, "0"), ""), "")</f>
        <v/>
      </c>
    </row>
    <row r="464" spans="1:3">
      <c r="A464" s="23" t="str">
        <f>TEXT(IF('Change in Employment'!B471&lt;&gt;0,DATE(YEAR('Change in Employment'!B471), MONTH('Change in Employment'!B471), 1), ""), "mm/dd/yyyy")</f>
        <v/>
      </c>
      <c r="B464" s="23" t="str">
        <f>IF(ISNUMBER('Change in Employment'!L471),'Change in Employment'!L471, "")</f>
        <v/>
      </c>
      <c r="C464" s="23" t="str">
        <f>IFERROR(IF(ISNUMBER('Change in Employment'!M471),TEXT('Change in Employment'!M471, "0"), ""), "")</f>
        <v/>
      </c>
    </row>
    <row r="465" spans="1:3">
      <c r="A465" s="23" t="str">
        <f>TEXT(IF('Change in Employment'!B472&lt;&gt;0,DATE(YEAR('Change in Employment'!B472), MONTH('Change in Employment'!B472), 1), ""), "mm/dd/yyyy")</f>
        <v/>
      </c>
      <c r="B465" s="23" t="str">
        <f>IF(ISNUMBER('Change in Employment'!L472),'Change in Employment'!L472, "")</f>
        <v/>
      </c>
      <c r="C465" s="23" t="str">
        <f>IFERROR(IF(ISNUMBER('Change in Employment'!M472),TEXT('Change in Employment'!M472, "0"), ""), "")</f>
        <v/>
      </c>
    </row>
    <row r="466" spans="1:3">
      <c r="A466" s="23" t="str">
        <f>TEXT(IF('Change in Employment'!B473&lt;&gt;0,DATE(YEAR('Change in Employment'!B473), MONTH('Change in Employment'!B473), 1), ""), "mm/dd/yyyy")</f>
        <v/>
      </c>
      <c r="B466" s="23" t="str">
        <f>IF(ISNUMBER('Change in Employment'!L473),'Change in Employment'!L473, "")</f>
        <v/>
      </c>
      <c r="C466" s="23" t="str">
        <f>IFERROR(IF(ISNUMBER('Change in Employment'!M473),TEXT('Change in Employment'!M473, "0"), ""), "")</f>
        <v/>
      </c>
    </row>
    <row r="467" spans="1:3">
      <c r="A467" s="23" t="str">
        <f>TEXT(IF('Change in Employment'!B474&lt;&gt;0,DATE(YEAR('Change in Employment'!B474), MONTH('Change in Employment'!B474), 1), ""), "mm/dd/yyyy")</f>
        <v/>
      </c>
      <c r="B467" s="23" t="str">
        <f>IF(ISNUMBER('Change in Employment'!L474),'Change in Employment'!L474, "")</f>
        <v/>
      </c>
      <c r="C467" s="23" t="str">
        <f>IFERROR(IF(ISNUMBER('Change in Employment'!M474),TEXT('Change in Employment'!M474, "0"), ""), "")</f>
        <v/>
      </c>
    </row>
    <row r="468" spans="1:3">
      <c r="A468" s="23" t="str">
        <f>TEXT(IF('Change in Employment'!B475&lt;&gt;0,DATE(YEAR('Change in Employment'!B475), MONTH('Change in Employment'!B475), 1), ""), "mm/dd/yyyy")</f>
        <v/>
      </c>
      <c r="B468" s="23" t="str">
        <f>IF(ISNUMBER('Change in Employment'!L475),'Change in Employment'!L475, "")</f>
        <v/>
      </c>
      <c r="C468" s="23" t="str">
        <f>IFERROR(IF(ISNUMBER('Change in Employment'!M475),TEXT('Change in Employment'!M475, "0"), ""), "")</f>
        <v/>
      </c>
    </row>
    <row r="469" spans="1:3">
      <c r="A469" s="23" t="str">
        <f>TEXT(IF('Change in Employment'!B476&lt;&gt;0,DATE(YEAR('Change in Employment'!B476), MONTH('Change in Employment'!B476), 1), ""), "mm/dd/yyyy")</f>
        <v/>
      </c>
      <c r="B469" s="23" t="str">
        <f>IF(ISNUMBER('Change in Employment'!L476),'Change in Employment'!L476, "")</f>
        <v/>
      </c>
      <c r="C469" s="23" t="str">
        <f>IFERROR(IF(ISNUMBER('Change in Employment'!M476),TEXT('Change in Employment'!M476, "0"), ""), "")</f>
        <v/>
      </c>
    </row>
    <row r="470" spans="1:3">
      <c r="A470" s="23" t="str">
        <f>TEXT(IF('Change in Employment'!B477&lt;&gt;0,DATE(YEAR('Change in Employment'!B477), MONTH('Change in Employment'!B477), 1), ""), "mm/dd/yyyy")</f>
        <v/>
      </c>
      <c r="B470" s="23" t="str">
        <f>IF(ISNUMBER('Change in Employment'!L477),'Change in Employment'!L477, "")</f>
        <v/>
      </c>
      <c r="C470" s="23" t="str">
        <f>IFERROR(IF(ISNUMBER('Change in Employment'!M477),TEXT('Change in Employment'!M477, "0"), ""), "")</f>
        <v/>
      </c>
    </row>
    <row r="471" spans="1:3">
      <c r="A471" s="23" t="str">
        <f>TEXT(IF('Change in Employment'!B478&lt;&gt;0,DATE(YEAR('Change in Employment'!B478), MONTH('Change in Employment'!B478), 1), ""), "mm/dd/yyyy")</f>
        <v/>
      </c>
      <c r="B471" s="23" t="str">
        <f>IF(ISNUMBER('Change in Employment'!L478),'Change in Employment'!L478, "")</f>
        <v/>
      </c>
      <c r="C471" s="23" t="str">
        <f>IFERROR(IF(ISNUMBER('Change in Employment'!M478),TEXT('Change in Employment'!M478, "0"), ""), "")</f>
        <v/>
      </c>
    </row>
    <row r="472" spans="1:3">
      <c r="A472" s="23" t="str">
        <f>TEXT(IF('Change in Employment'!B479&lt;&gt;0,DATE(YEAR('Change in Employment'!B479), MONTH('Change in Employment'!B479), 1), ""), "mm/dd/yyyy")</f>
        <v/>
      </c>
      <c r="B472" s="23" t="str">
        <f>IF(ISNUMBER('Change in Employment'!L479),'Change in Employment'!L479, "")</f>
        <v/>
      </c>
      <c r="C472" s="23" t="str">
        <f>IFERROR(IF(ISNUMBER('Change in Employment'!M479),TEXT('Change in Employment'!M479, "0"), ""), "")</f>
        <v/>
      </c>
    </row>
    <row r="473" spans="1:3">
      <c r="A473" s="23" t="str">
        <f>TEXT(IF('Change in Employment'!B480&lt;&gt;0,DATE(YEAR('Change in Employment'!B480), MONTH('Change in Employment'!B480), 1), ""), "mm/dd/yyyy")</f>
        <v/>
      </c>
      <c r="B473" s="23" t="str">
        <f>IF(ISNUMBER('Change in Employment'!L480),'Change in Employment'!L480, "")</f>
        <v/>
      </c>
      <c r="C473" s="23" t="str">
        <f>IFERROR(IF(ISNUMBER('Change in Employment'!M480),TEXT('Change in Employment'!M480, "0"), ""), "")</f>
        <v/>
      </c>
    </row>
    <row r="474" spans="1:3">
      <c r="A474" s="23" t="str">
        <f>TEXT(IF('Change in Employment'!B481&lt;&gt;0,DATE(YEAR('Change in Employment'!B481), MONTH('Change in Employment'!B481), 1), ""), "mm/dd/yyyy")</f>
        <v/>
      </c>
      <c r="B474" s="23" t="str">
        <f>IF(ISNUMBER('Change in Employment'!L481),'Change in Employment'!L481, "")</f>
        <v/>
      </c>
      <c r="C474" s="23" t="str">
        <f>IFERROR(IF(ISNUMBER('Change in Employment'!M481),TEXT('Change in Employment'!M481, "0"), ""), "")</f>
        <v/>
      </c>
    </row>
    <row r="475" spans="1:3">
      <c r="A475" s="23" t="str">
        <f>TEXT(IF('Change in Employment'!B482&lt;&gt;0,DATE(YEAR('Change in Employment'!B482), MONTH('Change in Employment'!B482), 1), ""), "mm/dd/yyyy")</f>
        <v/>
      </c>
      <c r="B475" s="23" t="str">
        <f>IF(ISNUMBER('Change in Employment'!L482),'Change in Employment'!L482, "")</f>
        <v/>
      </c>
      <c r="C475" s="23" t="str">
        <f>IFERROR(IF(ISNUMBER('Change in Employment'!M482),TEXT('Change in Employment'!M482, "0"), ""), "")</f>
        <v/>
      </c>
    </row>
    <row r="476" spans="1:3">
      <c r="A476" s="23" t="str">
        <f>TEXT(IF('Change in Employment'!B483&lt;&gt;0,DATE(YEAR('Change in Employment'!B483), MONTH('Change in Employment'!B483), 1), ""), "mm/dd/yyyy")</f>
        <v/>
      </c>
      <c r="B476" s="23" t="str">
        <f>IF(ISNUMBER('Change in Employment'!L483),'Change in Employment'!L483, "")</f>
        <v/>
      </c>
      <c r="C476" s="23" t="str">
        <f>IFERROR(IF(ISNUMBER('Change in Employment'!M483),TEXT('Change in Employment'!M483, "0"), ""), "")</f>
        <v/>
      </c>
    </row>
    <row r="477" spans="1:3">
      <c r="A477" s="23" t="str">
        <f>TEXT(IF('Change in Employment'!B484&lt;&gt;0,DATE(YEAR('Change in Employment'!B484), MONTH('Change in Employment'!B484), 1), ""), "mm/dd/yyyy")</f>
        <v/>
      </c>
      <c r="B477" s="23" t="str">
        <f>IF(ISNUMBER('Change in Employment'!L484),'Change in Employment'!L484, "")</f>
        <v/>
      </c>
      <c r="C477" s="23" t="str">
        <f>IFERROR(IF(ISNUMBER('Change in Employment'!M484),TEXT('Change in Employment'!M484, "0"), ""), "")</f>
        <v/>
      </c>
    </row>
    <row r="478" spans="1:3">
      <c r="A478" s="23" t="str">
        <f>TEXT(IF('Change in Employment'!B485&lt;&gt;0,DATE(YEAR('Change in Employment'!B485), MONTH('Change in Employment'!B485), 1), ""), "mm/dd/yyyy")</f>
        <v/>
      </c>
      <c r="B478" s="23" t="str">
        <f>IF(ISNUMBER('Change in Employment'!L485),'Change in Employment'!L485, "")</f>
        <v/>
      </c>
      <c r="C478" s="23" t="str">
        <f>IFERROR(IF(ISNUMBER('Change in Employment'!M485),TEXT('Change in Employment'!M485, "0"), ""), "")</f>
        <v/>
      </c>
    </row>
    <row r="479" spans="1:3">
      <c r="A479" s="23" t="str">
        <f>TEXT(IF('Change in Employment'!B486&lt;&gt;0,DATE(YEAR('Change in Employment'!B486), MONTH('Change in Employment'!B486), 1), ""), "mm/dd/yyyy")</f>
        <v/>
      </c>
      <c r="B479" s="23" t="str">
        <f>IF(ISNUMBER('Change in Employment'!L486),'Change in Employment'!L486, "")</f>
        <v/>
      </c>
      <c r="C479" s="23" t="str">
        <f>IFERROR(IF(ISNUMBER('Change in Employment'!M486),TEXT('Change in Employment'!M486, "0"), ""), "")</f>
        <v/>
      </c>
    </row>
    <row r="480" spans="1:3">
      <c r="A480" s="23" t="str">
        <f>TEXT(IF('Change in Employment'!B487&lt;&gt;0,DATE(YEAR('Change in Employment'!B487), MONTH('Change in Employment'!B487), 1), ""), "mm/dd/yyyy")</f>
        <v/>
      </c>
      <c r="B480" s="23" t="str">
        <f>IF(ISNUMBER('Change in Employment'!L487),'Change in Employment'!L487, "")</f>
        <v/>
      </c>
      <c r="C480" s="23" t="str">
        <f>IFERROR(IF(ISNUMBER('Change in Employment'!M487),TEXT('Change in Employment'!M487, "0"), ""), "")</f>
        <v/>
      </c>
    </row>
    <row r="481" spans="1:3">
      <c r="A481" s="23" t="str">
        <f>TEXT(IF('Change in Employment'!B488&lt;&gt;0,DATE(YEAR('Change in Employment'!B488), MONTH('Change in Employment'!B488), 1), ""), "mm/dd/yyyy")</f>
        <v/>
      </c>
      <c r="B481" s="23" t="str">
        <f>IF(ISNUMBER('Change in Employment'!L488),'Change in Employment'!L488, "")</f>
        <v/>
      </c>
      <c r="C481" s="23" t="str">
        <f>IFERROR(IF(ISNUMBER('Change in Employment'!M488),TEXT('Change in Employment'!M488, "0"), ""), "")</f>
        <v/>
      </c>
    </row>
    <row r="482" spans="1:3">
      <c r="A482" s="23" t="str">
        <f>TEXT(IF('Change in Employment'!B489&lt;&gt;0,DATE(YEAR('Change in Employment'!B489), MONTH('Change in Employment'!B489), 1), ""), "mm/dd/yyyy")</f>
        <v/>
      </c>
      <c r="B482" s="23" t="str">
        <f>IF(ISNUMBER('Change in Employment'!L489),'Change in Employment'!L489, "")</f>
        <v/>
      </c>
      <c r="C482" s="23" t="str">
        <f>IFERROR(IF(ISNUMBER('Change in Employment'!M489),TEXT('Change in Employment'!M489, "0"), ""), "")</f>
        <v/>
      </c>
    </row>
    <row r="483" spans="1:3">
      <c r="A483" s="23" t="str">
        <f>TEXT(IF('Change in Employment'!B490&lt;&gt;0,DATE(YEAR('Change in Employment'!B490), MONTH('Change in Employment'!B490), 1), ""), "mm/dd/yyyy")</f>
        <v/>
      </c>
      <c r="B483" s="23" t="str">
        <f>IF(ISNUMBER('Change in Employment'!L490),'Change in Employment'!L490, "")</f>
        <v/>
      </c>
      <c r="C483" s="23" t="str">
        <f>IFERROR(IF(ISNUMBER('Change in Employment'!M490),TEXT('Change in Employment'!M490, "0"), ""), "")</f>
        <v/>
      </c>
    </row>
    <row r="484" spans="1:3">
      <c r="A484" s="23" t="str">
        <f>TEXT(IF('Change in Employment'!B491&lt;&gt;0,DATE(YEAR('Change in Employment'!B491), MONTH('Change in Employment'!B491), 1), ""), "mm/dd/yyyy")</f>
        <v/>
      </c>
      <c r="B484" s="23" t="str">
        <f>IF(ISNUMBER('Change in Employment'!L491),'Change in Employment'!L491, "")</f>
        <v/>
      </c>
      <c r="C484" s="23" t="str">
        <f>IFERROR(IF(ISNUMBER('Change in Employment'!M491),TEXT('Change in Employment'!M491, "0"), ""), "")</f>
        <v/>
      </c>
    </row>
    <row r="485" spans="1:3">
      <c r="A485" s="23" t="str">
        <f>TEXT(IF('Change in Employment'!B492&lt;&gt;0,DATE(YEAR('Change in Employment'!B492), MONTH('Change in Employment'!B492), 1), ""), "mm/dd/yyyy")</f>
        <v/>
      </c>
      <c r="B485" s="23" t="str">
        <f>IF(ISNUMBER('Change in Employment'!L492),'Change in Employment'!L492, "")</f>
        <v/>
      </c>
      <c r="C485" s="23" t="str">
        <f>IFERROR(IF(ISNUMBER('Change in Employment'!M492),TEXT('Change in Employment'!M492, "0"), ""), "")</f>
        <v/>
      </c>
    </row>
    <row r="486" spans="1:3">
      <c r="A486" s="23" t="str">
        <f>TEXT(IF('Change in Employment'!B493&lt;&gt;0,DATE(YEAR('Change in Employment'!B493), MONTH('Change in Employment'!B493), 1), ""), "mm/dd/yyyy")</f>
        <v/>
      </c>
      <c r="B486" s="23" t="str">
        <f>IF(ISNUMBER('Change in Employment'!L493),'Change in Employment'!L493, "")</f>
        <v/>
      </c>
      <c r="C486" s="23" t="str">
        <f>IFERROR(IF(ISNUMBER('Change in Employment'!M493),TEXT('Change in Employment'!M493, "0"), ""), "")</f>
        <v/>
      </c>
    </row>
    <row r="487" spans="1:3">
      <c r="A487" s="23" t="str">
        <f>TEXT(IF('Change in Employment'!B494&lt;&gt;0,DATE(YEAR('Change in Employment'!B494), MONTH('Change in Employment'!B494), 1), ""), "mm/dd/yyyy")</f>
        <v/>
      </c>
      <c r="B487" s="23" t="str">
        <f>IF(ISNUMBER('Change in Employment'!L494),'Change in Employment'!L494, "")</f>
        <v/>
      </c>
      <c r="C487" s="23" t="str">
        <f>IFERROR(IF(ISNUMBER('Change in Employment'!M494),TEXT('Change in Employment'!M494, "0"), ""), "")</f>
        <v/>
      </c>
    </row>
    <row r="488" spans="1:3">
      <c r="A488" s="23" t="str">
        <f>TEXT(IF('Change in Employment'!B495&lt;&gt;0,DATE(YEAR('Change in Employment'!B495), MONTH('Change in Employment'!B495), 1), ""), "mm/dd/yyyy")</f>
        <v/>
      </c>
      <c r="B488" s="23" t="str">
        <f>IF(ISNUMBER('Change in Employment'!L495),'Change in Employment'!L495, "")</f>
        <v/>
      </c>
      <c r="C488" s="23" t="str">
        <f>IFERROR(IF(ISNUMBER('Change in Employment'!M495),TEXT('Change in Employment'!M495, "0"), ""), "")</f>
        <v/>
      </c>
    </row>
    <row r="489" spans="1:3">
      <c r="A489" s="23" t="str">
        <f>TEXT(IF('Change in Employment'!B496&lt;&gt;0,DATE(YEAR('Change in Employment'!B496), MONTH('Change in Employment'!B496), 1), ""), "mm/dd/yyyy")</f>
        <v/>
      </c>
      <c r="B489" s="23" t="str">
        <f>IF(ISNUMBER('Change in Employment'!L496),'Change in Employment'!L496, "")</f>
        <v/>
      </c>
      <c r="C489" s="23" t="str">
        <f>IFERROR(IF(ISNUMBER('Change in Employment'!M496),TEXT('Change in Employment'!M496, "0"), ""), "")</f>
        <v/>
      </c>
    </row>
    <row r="490" spans="1:3">
      <c r="A490" s="23" t="str">
        <f>TEXT(IF('Change in Employment'!B497&lt;&gt;0,DATE(YEAR('Change in Employment'!B497), MONTH('Change in Employment'!B497), 1), ""), "mm/dd/yyyy")</f>
        <v/>
      </c>
      <c r="B490" s="23" t="str">
        <f>IF(ISNUMBER('Change in Employment'!L497),'Change in Employment'!L497, "")</f>
        <v/>
      </c>
      <c r="C490" s="23" t="str">
        <f>IFERROR(IF(ISNUMBER('Change in Employment'!M497),TEXT('Change in Employment'!M497, "0"), ""), "")</f>
        <v/>
      </c>
    </row>
    <row r="491" spans="1:3">
      <c r="A491" s="23" t="str">
        <f>TEXT(IF('Change in Employment'!B498&lt;&gt;0,DATE(YEAR('Change in Employment'!B498), MONTH('Change in Employment'!B498), 1), ""), "mm/dd/yyyy")</f>
        <v/>
      </c>
      <c r="B491" s="23" t="str">
        <f>IF(ISNUMBER('Change in Employment'!L498),'Change in Employment'!L498, "")</f>
        <v/>
      </c>
      <c r="C491" s="23" t="str">
        <f>IFERROR(IF(ISNUMBER('Change in Employment'!M498),TEXT('Change in Employment'!M498, "0"), ""), "")</f>
        <v/>
      </c>
    </row>
    <row r="492" spans="1:3">
      <c r="A492" s="23" t="str">
        <f>TEXT(IF('Change in Employment'!B499&lt;&gt;0,DATE(YEAR('Change in Employment'!B499), MONTH('Change in Employment'!B499), 1), ""), "mm/dd/yyyy")</f>
        <v/>
      </c>
      <c r="B492" s="23" t="str">
        <f>IF(ISNUMBER('Change in Employment'!L499),'Change in Employment'!L499, "")</f>
        <v/>
      </c>
      <c r="C492" s="23" t="str">
        <f>IFERROR(IF(ISNUMBER('Change in Employment'!M499),TEXT('Change in Employment'!M499, "0"), ""), "")</f>
        <v/>
      </c>
    </row>
    <row r="493" spans="1:3">
      <c r="A493" s="23" t="str">
        <f>TEXT(IF('Change in Employment'!B500&lt;&gt;0,DATE(YEAR('Change in Employment'!B500), MONTH('Change in Employment'!B500), 1), ""), "mm/dd/yyyy")</f>
        <v/>
      </c>
      <c r="B493" s="23" t="str">
        <f>IF(ISNUMBER('Change in Employment'!L500),'Change in Employment'!L500, "")</f>
        <v/>
      </c>
      <c r="C493" s="23" t="str">
        <f>IFERROR(IF(ISNUMBER('Change in Employment'!M500),TEXT('Change in Employment'!M500, "0"), ""), "")</f>
        <v/>
      </c>
    </row>
    <row r="494" spans="1:3">
      <c r="A494" s="23" t="str">
        <f>TEXT(IF('Change in Employment'!B501&lt;&gt;0,DATE(YEAR('Change in Employment'!B501), MONTH('Change in Employment'!B501), 1), ""), "mm/dd/yyyy")</f>
        <v/>
      </c>
      <c r="B494" s="23" t="str">
        <f>IF(ISNUMBER('Change in Employment'!L501),'Change in Employment'!L501, "")</f>
        <v/>
      </c>
      <c r="C494" s="23" t="str">
        <f>IFERROR(IF(ISNUMBER('Change in Employment'!M501),TEXT('Change in Employment'!M501, "0"), ""), "")</f>
        <v/>
      </c>
    </row>
    <row r="495" spans="1:3">
      <c r="A495" s="23" t="str">
        <f>TEXT(IF('Change in Employment'!B502&lt;&gt;0,DATE(YEAR('Change in Employment'!B502), MONTH('Change in Employment'!B502), 1), ""), "mm/dd/yyyy")</f>
        <v/>
      </c>
      <c r="B495" s="23" t="str">
        <f>IF(ISNUMBER('Change in Employment'!L502),'Change in Employment'!L502, "")</f>
        <v/>
      </c>
      <c r="C495" s="23" t="str">
        <f>IFERROR(IF(ISNUMBER('Change in Employment'!M502),TEXT('Change in Employment'!M502, "0"), ""), "")</f>
        <v/>
      </c>
    </row>
    <row r="496" spans="1:3">
      <c r="A496" s="23" t="str">
        <f>TEXT(IF('Change in Employment'!B503&lt;&gt;0,DATE(YEAR('Change in Employment'!B503), MONTH('Change in Employment'!B503), 1), ""), "mm/dd/yyyy")</f>
        <v/>
      </c>
      <c r="B496" s="23" t="str">
        <f>IF(ISNUMBER('Change in Employment'!L503),'Change in Employment'!L503, "")</f>
        <v/>
      </c>
      <c r="C496" s="23" t="str">
        <f>IFERROR(IF(ISNUMBER('Change in Employment'!M503),TEXT('Change in Employment'!M503, "0"), ""), "")</f>
        <v/>
      </c>
    </row>
    <row r="497" spans="1:3">
      <c r="A497" s="23" t="str">
        <f>TEXT(IF('Change in Employment'!B504&lt;&gt;0,DATE(YEAR('Change in Employment'!B504), MONTH('Change in Employment'!B504), 1), ""), "mm/dd/yyyy")</f>
        <v/>
      </c>
      <c r="B497" s="23" t="str">
        <f>IF(ISNUMBER('Change in Employment'!L504),'Change in Employment'!L504, "")</f>
        <v/>
      </c>
      <c r="C497" s="23" t="str">
        <f>IFERROR(IF(ISNUMBER('Change in Employment'!M504),TEXT('Change in Employment'!M504, "0"), ""), "")</f>
        <v/>
      </c>
    </row>
    <row r="498" spans="1:3">
      <c r="A498" s="23" t="str">
        <f>TEXT(IF('Change in Employment'!B505&lt;&gt;0,DATE(YEAR('Change in Employment'!B505), MONTH('Change in Employment'!B505), 1), ""), "mm/dd/yyyy")</f>
        <v/>
      </c>
      <c r="B498" s="23" t="str">
        <f>IF(ISNUMBER('Change in Employment'!L505),'Change in Employment'!L505, "")</f>
        <v/>
      </c>
      <c r="C498" s="23" t="str">
        <f>IFERROR(IF(ISNUMBER('Change in Employment'!M505),TEXT('Change in Employment'!M505, "0"), ""), "")</f>
        <v/>
      </c>
    </row>
    <row r="499" spans="1:3">
      <c r="A499" s="23" t="str">
        <f>TEXT(IF('Change in Employment'!B506&lt;&gt;0,DATE(YEAR('Change in Employment'!B506), MONTH('Change in Employment'!B506), 1), ""), "mm/dd/yyyy")</f>
        <v/>
      </c>
      <c r="B499" s="23" t="str">
        <f>IF(ISNUMBER('Change in Employment'!L506),'Change in Employment'!L506, "")</f>
        <v/>
      </c>
      <c r="C499" s="23" t="str">
        <f>IFERROR(IF(ISNUMBER('Change in Employment'!M506),TEXT('Change in Employment'!M506, "0"), ""), "")</f>
        <v/>
      </c>
    </row>
    <row r="500" spans="1:3">
      <c r="A500" s="23" t="str">
        <f>TEXT(IF('Change in Employment'!B507&lt;&gt;0,DATE(YEAR('Change in Employment'!B507), MONTH('Change in Employment'!B507), 1), ""), "mm/dd/yyyy")</f>
        <v/>
      </c>
      <c r="B500" s="23" t="str">
        <f>IF(ISNUMBER('Change in Employment'!L507),'Change in Employment'!L507, "")</f>
        <v/>
      </c>
      <c r="C500" s="23" t="str">
        <f>IFERROR(IF(ISNUMBER('Change in Employment'!M507),TEXT('Change in Employment'!M507, "0"), ""), "")</f>
        <v/>
      </c>
    </row>
    <row r="501" spans="1:3">
      <c r="A501" s="23" t="str">
        <f>TEXT(IF('Change in Employment'!B508&lt;&gt;0,DATE(YEAR('Change in Employment'!B508), MONTH('Change in Employment'!B508), 1), ""), "mm/dd/yyyy")</f>
        <v/>
      </c>
      <c r="B501" s="23" t="str">
        <f>IF(ISNUMBER('Change in Employment'!L508),'Change in Employment'!L508, "")</f>
        <v/>
      </c>
      <c r="C501" s="23" t="str">
        <f>IFERROR(IF(ISNUMBER('Change in Employment'!M508),TEXT('Change in Employment'!M508, "0"), ""), "")</f>
        <v/>
      </c>
    </row>
    <row r="502" spans="1:3">
      <c r="A502" s="23" t="str">
        <f>TEXT(IF('Change in Employment'!B509&lt;&gt;0,DATE(YEAR('Change in Employment'!B509), MONTH('Change in Employment'!B509), 1), ""), "mm/dd/yyyy")</f>
        <v/>
      </c>
      <c r="B502" s="23" t="str">
        <f>IF(ISNUMBER('Change in Employment'!L509),'Change in Employment'!L509, "")</f>
        <v/>
      </c>
      <c r="C502" s="23" t="str">
        <f>IFERROR(IF(ISNUMBER('Change in Employment'!M509),TEXT('Change in Employment'!M509, "0"), ""), "")</f>
        <v/>
      </c>
    </row>
    <row r="503" spans="1:3">
      <c r="A503" s="23" t="str">
        <f>TEXT(IF('Change in Employment'!B510&lt;&gt;0,DATE(YEAR('Change in Employment'!B510), MONTH('Change in Employment'!B510), 1), ""), "mm/dd/yyyy")</f>
        <v/>
      </c>
      <c r="B503" s="23" t="str">
        <f>IF(ISNUMBER('Change in Employment'!L510),'Change in Employment'!L510, "")</f>
        <v/>
      </c>
      <c r="C503" s="23" t="str">
        <f>IFERROR(IF(ISNUMBER('Change in Employment'!M510),TEXT('Change in Employment'!M510, "0"), ""), "")</f>
        <v/>
      </c>
    </row>
    <row r="504" spans="1:3">
      <c r="A504" s="23" t="str">
        <f>TEXT(IF('Change in Employment'!B511&lt;&gt;0,DATE(YEAR('Change in Employment'!B511), MONTH('Change in Employment'!B511), 1), ""), "mm/dd/yyyy")</f>
        <v/>
      </c>
      <c r="B504" s="23" t="str">
        <f>IF(ISNUMBER('Change in Employment'!L511),'Change in Employment'!L511, "")</f>
        <v/>
      </c>
      <c r="C504" s="23" t="str">
        <f>IFERROR(IF(ISNUMBER('Change in Employment'!M511),TEXT('Change in Employment'!M511, "0"), ""), "")</f>
        <v/>
      </c>
    </row>
    <row r="505" spans="1:3">
      <c r="A505" s="23" t="str">
        <f>TEXT(IF('Change in Employment'!B512&lt;&gt;0,DATE(YEAR('Change in Employment'!B512), MONTH('Change in Employment'!B512), 1), ""), "mm/dd/yyyy")</f>
        <v/>
      </c>
      <c r="B505" s="23" t="str">
        <f>IF(ISNUMBER('Change in Employment'!L512),'Change in Employment'!L512, "")</f>
        <v/>
      </c>
      <c r="C505" s="23" t="str">
        <f>IFERROR(IF(ISNUMBER('Change in Employment'!M512),TEXT('Change in Employment'!M512, "0"), ""), "")</f>
        <v/>
      </c>
    </row>
    <row r="506" spans="1:3">
      <c r="A506" s="23" t="str">
        <f>TEXT(IF('Change in Employment'!B513&lt;&gt;0,DATE(YEAR('Change in Employment'!B513), MONTH('Change in Employment'!B513), 1), ""), "mm/dd/yyyy")</f>
        <v/>
      </c>
      <c r="B506" s="23" t="str">
        <f>IF(ISNUMBER('Change in Employment'!L513),'Change in Employment'!L513, "")</f>
        <v/>
      </c>
      <c r="C506" s="23" t="str">
        <f>IFERROR(IF(ISNUMBER('Change in Employment'!M513),TEXT('Change in Employment'!M513, "0"), ""), "")</f>
        <v/>
      </c>
    </row>
    <row r="507" spans="1:3">
      <c r="A507" s="23" t="str">
        <f>TEXT(IF('Change in Employment'!B514&lt;&gt;0,DATE(YEAR('Change in Employment'!B514), MONTH('Change in Employment'!B514), 1), ""), "mm/dd/yyyy")</f>
        <v/>
      </c>
      <c r="B507" s="23" t="str">
        <f>IF(ISNUMBER('Change in Employment'!L514),'Change in Employment'!L514, "")</f>
        <v/>
      </c>
      <c r="C507" s="23" t="str">
        <f>IFERROR(IF(ISNUMBER('Change in Employment'!M514),TEXT('Change in Employment'!M514, "0"), ""), "")</f>
        <v/>
      </c>
    </row>
    <row r="508" spans="1:3">
      <c r="A508" s="23" t="str">
        <f>TEXT(IF('Change in Employment'!B515&lt;&gt;0,DATE(YEAR('Change in Employment'!B515), MONTH('Change in Employment'!B515), 1), ""), "mm/dd/yyyy")</f>
        <v/>
      </c>
      <c r="B508" s="23" t="str">
        <f>IF(ISNUMBER('Change in Employment'!L515),'Change in Employment'!L515, "")</f>
        <v/>
      </c>
      <c r="C508" s="23" t="str">
        <f>IFERROR(IF(ISNUMBER('Change in Employment'!M515),TEXT('Change in Employment'!M515, "0"), ""), "")</f>
        <v/>
      </c>
    </row>
    <row r="509" spans="1:3">
      <c r="A509" s="23" t="str">
        <f>TEXT(IF('Change in Employment'!B516&lt;&gt;0,DATE(YEAR('Change in Employment'!B516), MONTH('Change in Employment'!B516), 1), ""), "mm/dd/yyyy")</f>
        <v/>
      </c>
      <c r="B509" s="23" t="str">
        <f>IF(ISNUMBER('Change in Employment'!L516),'Change in Employment'!L516, "")</f>
        <v/>
      </c>
      <c r="C509" s="23" t="str">
        <f>IFERROR(IF(ISNUMBER('Change in Employment'!M516),TEXT('Change in Employment'!M516, "0"), ""), "")</f>
        <v/>
      </c>
    </row>
    <row r="510" spans="1:3">
      <c r="A510" s="23" t="str">
        <f>TEXT(IF('Change in Employment'!B517&lt;&gt;0,DATE(YEAR('Change in Employment'!B517), MONTH('Change in Employment'!B517), 1), ""), "mm/dd/yyyy")</f>
        <v/>
      </c>
      <c r="B510" s="23" t="str">
        <f>IF(ISNUMBER('Change in Employment'!L517),'Change in Employment'!L517, "")</f>
        <v/>
      </c>
      <c r="C510" s="23" t="str">
        <f>IFERROR(IF(ISNUMBER('Change in Employment'!M517),TEXT('Change in Employment'!M517, "0"), ""), "")</f>
        <v/>
      </c>
    </row>
    <row r="511" spans="1:3">
      <c r="A511" s="23" t="str">
        <f>TEXT(IF('Change in Employment'!B518&lt;&gt;0,DATE(YEAR('Change in Employment'!B518), MONTH('Change in Employment'!B518), 1), ""), "mm/dd/yyyy")</f>
        <v/>
      </c>
      <c r="B511" s="23" t="str">
        <f>IF(ISNUMBER('Change in Employment'!L518),'Change in Employment'!L518, "")</f>
        <v/>
      </c>
      <c r="C511" s="23" t="str">
        <f>IFERROR(IF(ISNUMBER('Change in Employment'!M518),TEXT('Change in Employment'!M518, "0"), ""), "")</f>
        <v/>
      </c>
    </row>
    <row r="512" spans="1:3">
      <c r="A512" s="23" t="str">
        <f>TEXT(IF('Change in Employment'!B519&lt;&gt;0,DATE(YEAR('Change in Employment'!B519), MONTH('Change in Employment'!B519), 1), ""), "mm/dd/yyyy")</f>
        <v/>
      </c>
      <c r="B512" s="23" t="str">
        <f>IF(ISNUMBER('Change in Employment'!L519),'Change in Employment'!L519, "")</f>
        <v/>
      </c>
      <c r="C512" s="23" t="str">
        <f>IFERROR(IF(ISNUMBER('Change in Employment'!M519),TEXT('Change in Employment'!M519, "0"), ""), "")</f>
        <v/>
      </c>
    </row>
    <row r="513" spans="1:3">
      <c r="A513" s="23" t="str">
        <f>TEXT(IF('Change in Employment'!B520&lt;&gt;0,DATE(YEAR('Change in Employment'!B520), MONTH('Change in Employment'!B520), 1), ""), "mm/dd/yyyy")</f>
        <v/>
      </c>
      <c r="B513" s="23" t="str">
        <f>IF(ISNUMBER('Change in Employment'!L520),'Change in Employment'!L520, "")</f>
        <v/>
      </c>
      <c r="C513" s="23" t="str">
        <f>IFERROR(IF(ISNUMBER('Change in Employment'!M520),TEXT('Change in Employment'!M520, "0"), ""), "")</f>
        <v/>
      </c>
    </row>
    <row r="514" spans="1:3">
      <c r="A514" s="23" t="str">
        <f>TEXT(IF('Change in Employment'!B521&lt;&gt;0,DATE(YEAR('Change in Employment'!B521), MONTH('Change in Employment'!B521), 1), ""), "mm/dd/yyyy")</f>
        <v/>
      </c>
      <c r="B514" s="23" t="str">
        <f>IF(ISNUMBER('Change in Employment'!L521),'Change in Employment'!L521, "")</f>
        <v/>
      </c>
      <c r="C514" s="23" t="str">
        <f>IFERROR(IF(ISNUMBER('Change in Employment'!M521),TEXT('Change in Employment'!M521, "0"), ""), "")</f>
        <v/>
      </c>
    </row>
    <row r="515" spans="1:3">
      <c r="A515" s="23" t="str">
        <f>TEXT(IF('Change in Employment'!B522&lt;&gt;0,DATE(YEAR('Change in Employment'!B522), MONTH('Change in Employment'!B522), 1), ""), "mm/dd/yyyy")</f>
        <v/>
      </c>
      <c r="B515" s="23" t="str">
        <f>IF(ISNUMBER('Change in Employment'!L522),'Change in Employment'!L522, "")</f>
        <v/>
      </c>
      <c r="C515" s="23" t="str">
        <f>IFERROR(IF(ISNUMBER('Change in Employment'!M522),TEXT('Change in Employment'!M522, "0"), ""), "")</f>
        <v/>
      </c>
    </row>
    <row r="516" spans="1:3">
      <c r="A516" s="23" t="str">
        <f>TEXT(IF('Change in Employment'!B523&lt;&gt;0,DATE(YEAR('Change in Employment'!B523), MONTH('Change in Employment'!B523), 1), ""), "mm/dd/yyyy")</f>
        <v/>
      </c>
      <c r="B516" s="23" t="str">
        <f>IF(ISNUMBER('Change in Employment'!L523),'Change in Employment'!L523, "")</f>
        <v/>
      </c>
      <c r="C516" s="23" t="str">
        <f>IFERROR(IF(ISNUMBER('Change in Employment'!M523),TEXT('Change in Employment'!M523, "0"), ""), "")</f>
        <v/>
      </c>
    </row>
    <row r="517" spans="1:3">
      <c r="A517" s="23" t="str">
        <f>TEXT(IF('Change in Employment'!B524&lt;&gt;0,DATE(YEAR('Change in Employment'!B524), MONTH('Change in Employment'!B524), 1), ""), "mm/dd/yyyy")</f>
        <v/>
      </c>
      <c r="B517" s="23" t="str">
        <f>IF(ISNUMBER('Change in Employment'!L524),'Change in Employment'!L524, "")</f>
        <v/>
      </c>
      <c r="C517" s="23" t="str">
        <f>IFERROR(IF(ISNUMBER('Change in Employment'!M524),TEXT('Change in Employment'!M524, "0"), ""), "")</f>
        <v/>
      </c>
    </row>
    <row r="518" spans="1:3">
      <c r="A518" s="23" t="str">
        <f>TEXT(IF('Change in Employment'!B525&lt;&gt;0,DATE(YEAR('Change in Employment'!B525), MONTH('Change in Employment'!B525), 1), ""), "mm/dd/yyyy")</f>
        <v/>
      </c>
      <c r="B518" s="23" t="str">
        <f>IF(ISNUMBER('Change in Employment'!L525),'Change in Employment'!L525, "")</f>
        <v/>
      </c>
      <c r="C518" s="23" t="str">
        <f>IFERROR(IF(ISNUMBER('Change in Employment'!M525),TEXT('Change in Employment'!M525, "0"), ""), "")</f>
        <v/>
      </c>
    </row>
    <row r="519" spans="1:3">
      <c r="A519" s="23" t="str">
        <f>TEXT(IF('Change in Employment'!B526&lt;&gt;0,DATE(YEAR('Change in Employment'!B526), MONTH('Change in Employment'!B526), 1), ""), "mm/dd/yyyy")</f>
        <v/>
      </c>
      <c r="B519" s="23" t="str">
        <f>IF(ISNUMBER('Change in Employment'!L526),'Change in Employment'!L526, "")</f>
        <v/>
      </c>
      <c r="C519" s="23" t="str">
        <f>IFERROR(IF(ISNUMBER('Change in Employment'!M526),TEXT('Change in Employment'!M526, "0"), ""), "")</f>
        <v/>
      </c>
    </row>
    <row r="520" spans="1:3">
      <c r="A520" s="23" t="str">
        <f>TEXT(IF('Change in Employment'!B527&lt;&gt;0,DATE(YEAR('Change in Employment'!B527), MONTH('Change in Employment'!B527), 1), ""), "mm/dd/yyyy")</f>
        <v/>
      </c>
      <c r="B520" s="23" t="str">
        <f>IF(ISNUMBER('Change in Employment'!L527),'Change in Employment'!L527, "")</f>
        <v/>
      </c>
      <c r="C520" s="23" t="str">
        <f>IFERROR(IF(ISNUMBER('Change in Employment'!M527),TEXT('Change in Employment'!M527, "0"), ""), "")</f>
        <v/>
      </c>
    </row>
    <row r="521" spans="1:3">
      <c r="A521" s="23" t="str">
        <f>TEXT(IF('Change in Employment'!B528&lt;&gt;0,DATE(YEAR('Change in Employment'!B528), MONTH('Change in Employment'!B528), 1), ""), "mm/dd/yyyy")</f>
        <v/>
      </c>
      <c r="B521" s="23" t="str">
        <f>IF(ISNUMBER('Change in Employment'!L528),'Change in Employment'!L528, "")</f>
        <v/>
      </c>
      <c r="C521" s="23" t="str">
        <f>IFERROR(IF(ISNUMBER('Change in Employment'!M528),TEXT('Change in Employment'!M528, "0"), ""), "")</f>
        <v/>
      </c>
    </row>
    <row r="522" spans="1:3">
      <c r="A522" s="23" t="str">
        <f>TEXT(IF('Change in Employment'!B529&lt;&gt;0,DATE(YEAR('Change in Employment'!B529), MONTH('Change in Employment'!B529), 1), ""), "mm/dd/yyyy")</f>
        <v/>
      </c>
      <c r="B522" s="23" t="str">
        <f>IF(ISNUMBER('Change in Employment'!L529),'Change in Employment'!L529, "")</f>
        <v/>
      </c>
      <c r="C522" s="23" t="str">
        <f>IFERROR(IF(ISNUMBER('Change in Employment'!M529),TEXT('Change in Employment'!M529, "0"), ""), "")</f>
        <v/>
      </c>
    </row>
    <row r="523" spans="1:3">
      <c r="A523" s="23" t="str">
        <f>TEXT(IF('Change in Employment'!B530&lt;&gt;0,DATE(YEAR('Change in Employment'!B530), MONTH('Change in Employment'!B530), 1), ""), "mm/dd/yyyy")</f>
        <v/>
      </c>
      <c r="B523" s="23" t="str">
        <f>IF(ISNUMBER('Change in Employment'!L530),'Change in Employment'!L530, "")</f>
        <v/>
      </c>
      <c r="C523" s="23" t="str">
        <f>IFERROR(IF(ISNUMBER('Change in Employment'!M530),TEXT('Change in Employment'!M530, "0"), ""), "")</f>
        <v/>
      </c>
    </row>
    <row r="524" spans="1:3">
      <c r="A524" s="23" t="str">
        <f>TEXT(IF('Change in Employment'!B531&lt;&gt;0,DATE(YEAR('Change in Employment'!B531), MONTH('Change in Employment'!B531), 1), ""), "mm/dd/yyyy")</f>
        <v/>
      </c>
      <c r="B524" s="23" t="str">
        <f>IF(ISNUMBER('Change in Employment'!L531),'Change in Employment'!L531, "")</f>
        <v/>
      </c>
      <c r="C524" s="23" t="str">
        <f>IFERROR(IF(ISNUMBER('Change in Employment'!M531),TEXT('Change in Employment'!M531, "0"), ""), "")</f>
        <v/>
      </c>
    </row>
    <row r="525" spans="1:3">
      <c r="A525" s="23" t="str">
        <f>TEXT(IF('Change in Employment'!B532&lt;&gt;0,DATE(YEAR('Change in Employment'!B532), MONTH('Change in Employment'!B532), 1), ""), "mm/dd/yyyy")</f>
        <v/>
      </c>
      <c r="B525" s="23" t="str">
        <f>IF(ISNUMBER('Change in Employment'!L532),'Change in Employment'!L532, "")</f>
        <v/>
      </c>
      <c r="C525" s="23" t="str">
        <f>IFERROR(IF(ISNUMBER('Change in Employment'!M532),TEXT('Change in Employment'!M532, "0"), ""), "")</f>
        <v/>
      </c>
    </row>
    <row r="526" spans="1:3">
      <c r="A526" s="23" t="str">
        <f>TEXT(IF('Change in Employment'!B533&lt;&gt;0,DATE(YEAR('Change in Employment'!B533), MONTH('Change in Employment'!B533), 1), ""), "mm/dd/yyyy")</f>
        <v/>
      </c>
      <c r="B526" s="23" t="str">
        <f>IF(ISNUMBER('Change in Employment'!L533),'Change in Employment'!L533, "")</f>
        <v/>
      </c>
      <c r="C526" s="23" t="str">
        <f>IFERROR(IF(ISNUMBER('Change in Employment'!M533),TEXT('Change in Employment'!M533, "0"), ""), "")</f>
        <v/>
      </c>
    </row>
    <row r="527" spans="1:3">
      <c r="A527" s="23" t="str">
        <f>TEXT(IF('Change in Employment'!B534&lt;&gt;0,DATE(YEAR('Change in Employment'!B534), MONTH('Change in Employment'!B534), 1), ""), "mm/dd/yyyy")</f>
        <v/>
      </c>
      <c r="B527" s="23" t="str">
        <f>IF(ISNUMBER('Change in Employment'!L534),'Change in Employment'!L534, "")</f>
        <v/>
      </c>
      <c r="C527" s="23" t="str">
        <f>IFERROR(IF(ISNUMBER('Change in Employment'!M534),TEXT('Change in Employment'!M534, "0"), ""), "")</f>
        <v/>
      </c>
    </row>
    <row r="528" spans="1:3">
      <c r="A528" s="23" t="str">
        <f>TEXT(IF('Change in Employment'!B535&lt;&gt;0,DATE(YEAR('Change in Employment'!B535), MONTH('Change in Employment'!B535), 1), ""), "mm/dd/yyyy")</f>
        <v/>
      </c>
      <c r="B528" s="23" t="str">
        <f>IF(ISNUMBER('Change in Employment'!L535),'Change in Employment'!L535, "")</f>
        <v/>
      </c>
      <c r="C528" s="23" t="str">
        <f>IFERROR(IF(ISNUMBER('Change in Employment'!M535),TEXT('Change in Employment'!M535, "0"), ""), "")</f>
        <v/>
      </c>
    </row>
    <row r="529" spans="1:3">
      <c r="A529" s="23" t="str">
        <f>TEXT(IF('Change in Employment'!B536&lt;&gt;0,DATE(YEAR('Change in Employment'!B536), MONTH('Change in Employment'!B536), 1), ""), "mm/dd/yyyy")</f>
        <v/>
      </c>
      <c r="B529" s="23" t="str">
        <f>IF(ISNUMBER('Change in Employment'!L536),'Change in Employment'!L536, "")</f>
        <v/>
      </c>
      <c r="C529" s="23" t="str">
        <f>IFERROR(IF(ISNUMBER('Change in Employment'!M536),TEXT('Change in Employment'!M536, "0"), ""), "")</f>
        <v/>
      </c>
    </row>
    <row r="530" spans="1:3">
      <c r="A530" s="23" t="str">
        <f>TEXT(IF('Change in Employment'!B537&lt;&gt;0,DATE(YEAR('Change in Employment'!B537), MONTH('Change in Employment'!B537), 1), ""), "mm/dd/yyyy")</f>
        <v/>
      </c>
      <c r="B530" s="23" t="str">
        <f>IF(ISNUMBER('Change in Employment'!L537),'Change in Employment'!L537, "")</f>
        <v/>
      </c>
      <c r="C530" s="23" t="str">
        <f>IFERROR(IF(ISNUMBER('Change in Employment'!M537),TEXT('Change in Employment'!M537, "0"), ""), "")</f>
        <v/>
      </c>
    </row>
    <row r="531" spans="1:3">
      <c r="A531" s="23" t="str">
        <f>TEXT(IF('Change in Employment'!B538&lt;&gt;0,DATE(YEAR('Change in Employment'!B538), MONTH('Change in Employment'!B538), 1), ""), "mm/dd/yyyy")</f>
        <v/>
      </c>
      <c r="B531" s="23" t="str">
        <f>IF(ISNUMBER('Change in Employment'!L538),'Change in Employment'!L538, "")</f>
        <v/>
      </c>
      <c r="C531" s="23" t="str">
        <f>IFERROR(IF(ISNUMBER('Change in Employment'!M538),TEXT('Change in Employment'!M538, "0"), ""), "")</f>
        <v/>
      </c>
    </row>
    <row r="532" spans="1:3">
      <c r="A532" s="23" t="str">
        <f>TEXT(IF('Change in Employment'!B539&lt;&gt;0,DATE(YEAR('Change in Employment'!B539), MONTH('Change in Employment'!B539), 1), ""), "mm/dd/yyyy")</f>
        <v/>
      </c>
      <c r="B532" s="23" t="str">
        <f>IF(ISNUMBER('Change in Employment'!L539),'Change in Employment'!L539, "")</f>
        <v/>
      </c>
      <c r="C532" s="23" t="str">
        <f>IFERROR(IF(ISNUMBER('Change in Employment'!M539),TEXT('Change in Employment'!M539, "0"), ""), "")</f>
        <v/>
      </c>
    </row>
    <row r="533" spans="1:3">
      <c r="A533" s="23" t="str">
        <f>TEXT(IF('Change in Employment'!B540&lt;&gt;0,DATE(YEAR('Change in Employment'!B540), MONTH('Change in Employment'!B540), 1), ""), "mm/dd/yyyy")</f>
        <v/>
      </c>
      <c r="B533" s="23" t="str">
        <f>IF(ISNUMBER('Change in Employment'!L540),'Change in Employment'!L540, "")</f>
        <v/>
      </c>
      <c r="C533" s="23" t="str">
        <f>IFERROR(IF(ISNUMBER('Change in Employment'!M540),TEXT('Change in Employment'!M540, "0"), ""), "")</f>
        <v/>
      </c>
    </row>
    <row r="534" spans="1:3">
      <c r="A534" s="23" t="str">
        <f>TEXT(IF('Change in Employment'!B541&lt;&gt;0,DATE(YEAR('Change in Employment'!B541), MONTH('Change in Employment'!B541), 1), ""), "mm/dd/yyyy")</f>
        <v/>
      </c>
      <c r="B534" s="23" t="str">
        <f>IF(ISNUMBER('Change in Employment'!L541),'Change in Employment'!L541, "")</f>
        <v/>
      </c>
      <c r="C534" s="23" t="str">
        <f>IFERROR(IF(ISNUMBER('Change in Employment'!M541),TEXT('Change in Employment'!M541, "0"), ""), "")</f>
        <v/>
      </c>
    </row>
    <row r="535" spans="1:3">
      <c r="A535" s="23" t="str">
        <f>TEXT(IF('Change in Employment'!B542&lt;&gt;0,DATE(YEAR('Change in Employment'!B542), MONTH('Change in Employment'!B542), 1), ""), "mm/dd/yyyy")</f>
        <v/>
      </c>
      <c r="B535" s="23" t="str">
        <f>IF(ISNUMBER('Change in Employment'!L542),'Change in Employment'!L542, "")</f>
        <v/>
      </c>
      <c r="C535" s="23" t="str">
        <f>IFERROR(IF(ISNUMBER('Change in Employment'!M542),TEXT('Change in Employment'!M542, "0"), ""), "")</f>
        <v/>
      </c>
    </row>
    <row r="536" spans="1:3">
      <c r="A536" s="23" t="str">
        <f>TEXT(IF('Change in Employment'!B543&lt;&gt;0,DATE(YEAR('Change in Employment'!B543), MONTH('Change in Employment'!B543), 1), ""), "mm/dd/yyyy")</f>
        <v/>
      </c>
      <c r="B536" s="23" t="str">
        <f>IF(ISNUMBER('Change in Employment'!L543),'Change in Employment'!L543, "")</f>
        <v/>
      </c>
      <c r="C536" s="23" t="str">
        <f>IFERROR(IF(ISNUMBER('Change in Employment'!M543),TEXT('Change in Employment'!M543, "0"), ""), "")</f>
        <v/>
      </c>
    </row>
    <row r="537" spans="1:3">
      <c r="A537" s="23" t="str">
        <f>TEXT(IF('Change in Employment'!B544&lt;&gt;0,DATE(YEAR('Change in Employment'!B544), MONTH('Change in Employment'!B544), 1), ""), "mm/dd/yyyy")</f>
        <v/>
      </c>
      <c r="B537" s="23" t="str">
        <f>IF(ISNUMBER('Change in Employment'!L544),'Change in Employment'!L544, "")</f>
        <v/>
      </c>
      <c r="C537" s="23" t="str">
        <f>IFERROR(IF(ISNUMBER('Change in Employment'!M544),TEXT('Change in Employment'!M544, "0"), ""), "")</f>
        <v/>
      </c>
    </row>
    <row r="538" spans="1:3">
      <c r="A538" s="23" t="str">
        <f>TEXT(IF('Change in Employment'!B545&lt;&gt;0,DATE(YEAR('Change in Employment'!B545), MONTH('Change in Employment'!B545), 1), ""), "mm/dd/yyyy")</f>
        <v/>
      </c>
      <c r="B538" s="23" t="str">
        <f>IF(ISNUMBER('Change in Employment'!L545),'Change in Employment'!L545, "")</f>
        <v/>
      </c>
      <c r="C538" s="23" t="str">
        <f>IFERROR(IF(ISNUMBER('Change in Employment'!M545),TEXT('Change in Employment'!M545, "0"), ""), "")</f>
        <v/>
      </c>
    </row>
    <row r="539" spans="1:3">
      <c r="A539" s="23" t="str">
        <f>TEXT(IF('Change in Employment'!B546&lt;&gt;0,DATE(YEAR('Change in Employment'!B546), MONTH('Change in Employment'!B546), 1), ""), "mm/dd/yyyy")</f>
        <v/>
      </c>
      <c r="B539" s="23" t="str">
        <f>IF(ISNUMBER('Change in Employment'!L546),'Change in Employment'!L546, "")</f>
        <v/>
      </c>
      <c r="C539" s="23" t="str">
        <f>IFERROR(IF(ISNUMBER('Change in Employment'!M546),TEXT('Change in Employment'!M546, "0"), ""), "")</f>
        <v/>
      </c>
    </row>
    <row r="540" spans="1:3">
      <c r="A540" s="23" t="str">
        <f>TEXT(IF('Change in Employment'!B547&lt;&gt;0,DATE(YEAR('Change in Employment'!B547), MONTH('Change in Employment'!B547), 1), ""), "mm/dd/yyyy")</f>
        <v/>
      </c>
      <c r="B540" s="23" t="str">
        <f>IF(ISNUMBER('Change in Employment'!L547),'Change in Employment'!L547, "")</f>
        <v/>
      </c>
      <c r="C540" s="23" t="str">
        <f>IFERROR(IF(ISNUMBER('Change in Employment'!M547),TEXT('Change in Employment'!M547, "0"), ""), "")</f>
        <v/>
      </c>
    </row>
    <row r="541" spans="1:3">
      <c r="A541" s="23" t="str">
        <f>TEXT(IF('Change in Employment'!B548&lt;&gt;0,DATE(YEAR('Change in Employment'!B548), MONTH('Change in Employment'!B548), 1), ""), "mm/dd/yyyy")</f>
        <v/>
      </c>
      <c r="B541" s="23" t="str">
        <f>IF(ISNUMBER('Change in Employment'!L548),'Change in Employment'!L548, "")</f>
        <v/>
      </c>
      <c r="C541" s="23" t="str">
        <f>IFERROR(IF(ISNUMBER('Change in Employment'!M548),TEXT('Change in Employment'!M548, "0"), ""), "")</f>
        <v/>
      </c>
    </row>
    <row r="542" spans="1:3">
      <c r="A542" s="23" t="str">
        <f>TEXT(IF('Change in Employment'!B549&lt;&gt;0,DATE(YEAR('Change in Employment'!B549), MONTH('Change in Employment'!B549), 1), ""), "mm/dd/yyyy")</f>
        <v/>
      </c>
      <c r="B542" s="23" t="str">
        <f>IF(ISNUMBER('Change in Employment'!L549),'Change in Employment'!L549, "")</f>
        <v/>
      </c>
      <c r="C542" s="23" t="str">
        <f>IFERROR(IF(ISNUMBER('Change in Employment'!M549),TEXT('Change in Employment'!M549, "0"), ""), "")</f>
        <v/>
      </c>
    </row>
    <row r="543" spans="1:3">
      <c r="A543" s="23" t="str">
        <f>TEXT(IF('Change in Employment'!B550&lt;&gt;0,DATE(YEAR('Change in Employment'!B550), MONTH('Change in Employment'!B550), 1), ""), "mm/dd/yyyy")</f>
        <v/>
      </c>
      <c r="B543" s="23" t="str">
        <f>IF(ISNUMBER('Change in Employment'!L550),'Change in Employment'!L550, "")</f>
        <v/>
      </c>
      <c r="C543" s="23" t="str">
        <f>IFERROR(IF(ISNUMBER('Change in Employment'!M550),TEXT('Change in Employment'!M550, "0"), ""), "")</f>
        <v/>
      </c>
    </row>
    <row r="544" spans="1:3">
      <c r="A544" s="23" t="str">
        <f>TEXT(IF('Change in Employment'!B551&lt;&gt;0,DATE(YEAR('Change in Employment'!B551), MONTH('Change in Employment'!B551), 1), ""), "mm/dd/yyyy")</f>
        <v/>
      </c>
      <c r="B544" s="23" t="str">
        <f>IF(ISNUMBER('Change in Employment'!L551),'Change in Employment'!L551, "")</f>
        <v/>
      </c>
      <c r="C544" s="23" t="str">
        <f>IFERROR(IF(ISNUMBER('Change in Employment'!M551),TEXT('Change in Employment'!M551, "0"), ""), "")</f>
        <v/>
      </c>
    </row>
    <row r="545" spans="1:3">
      <c r="A545" s="23" t="str">
        <f>TEXT(IF('Change in Employment'!B552&lt;&gt;0,DATE(YEAR('Change in Employment'!B552), MONTH('Change in Employment'!B552), 1), ""), "mm/dd/yyyy")</f>
        <v/>
      </c>
      <c r="B545" s="23" t="str">
        <f>IF(ISNUMBER('Change in Employment'!L552),'Change in Employment'!L552, "")</f>
        <v/>
      </c>
      <c r="C545" s="23" t="str">
        <f>IFERROR(IF(ISNUMBER('Change in Employment'!M552),TEXT('Change in Employment'!M552, "0"), ""), "")</f>
        <v/>
      </c>
    </row>
    <row r="546" spans="1:3">
      <c r="A546" s="23" t="str">
        <f>TEXT(IF('Change in Employment'!B553&lt;&gt;0,DATE(YEAR('Change in Employment'!B553), MONTH('Change in Employment'!B553), 1), ""), "mm/dd/yyyy")</f>
        <v/>
      </c>
      <c r="B546" s="23" t="str">
        <f>IF(ISNUMBER('Change in Employment'!L553),'Change in Employment'!L553, "")</f>
        <v/>
      </c>
      <c r="C546" s="23" t="str">
        <f>IFERROR(IF(ISNUMBER('Change in Employment'!M553),TEXT('Change in Employment'!M553, "0"), ""), "")</f>
        <v/>
      </c>
    </row>
    <row r="547" spans="1:3">
      <c r="A547" s="23" t="str">
        <f>TEXT(IF('Change in Employment'!B554&lt;&gt;0,DATE(YEAR('Change in Employment'!B554), MONTH('Change in Employment'!B554), 1), ""), "mm/dd/yyyy")</f>
        <v/>
      </c>
      <c r="B547" s="23" t="str">
        <f>IF(ISNUMBER('Change in Employment'!L554),'Change in Employment'!L554, "")</f>
        <v/>
      </c>
      <c r="C547" s="23" t="str">
        <f>IFERROR(IF(ISNUMBER('Change in Employment'!M554),TEXT('Change in Employment'!M554, "0"), ""), "")</f>
        <v/>
      </c>
    </row>
    <row r="548" spans="1:3">
      <c r="A548" s="23" t="str">
        <f>TEXT(IF('Change in Employment'!B555&lt;&gt;0,DATE(YEAR('Change in Employment'!B555), MONTH('Change in Employment'!B555), 1), ""), "mm/dd/yyyy")</f>
        <v/>
      </c>
      <c r="B548" s="23" t="str">
        <f>IF(ISNUMBER('Change in Employment'!L555),'Change in Employment'!L555, "")</f>
        <v/>
      </c>
      <c r="C548" s="23" t="str">
        <f>IFERROR(IF(ISNUMBER('Change in Employment'!M555),TEXT('Change in Employment'!M555, "0"), ""), "")</f>
        <v/>
      </c>
    </row>
    <row r="549" spans="1:3">
      <c r="A549" s="23" t="str">
        <f>TEXT(IF('Change in Employment'!B556&lt;&gt;0,DATE(YEAR('Change in Employment'!B556), MONTH('Change in Employment'!B556), 1), ""), "mm/dd/yyyy")</f>
        <v/>
      </c>
      <c r="B549" s="23" t="str">
        <f>IF(ISNUMBER('Change in Employment'!L556),'Change in Employment'!L556, "")</f>
        <v/>
      </c>
      <c r="C549" s="23" t="str">
        <f>IFERROR(IF(ISNUMBER('Change in Employment'!M556),TEXT('Change in Employment'!M556, "0"), ""), "")</f>
        <v/>
      </c>
    </row>
    <row r="550" spans="1:3">
      <c r="A550" s="23" t="str">
        <f>TEXT(IF('Change in Employment'!B557&lt;&gt;0,DATE(YEAR('Change in Employment'!B557), MONTH('Change in Employment'!B557), 1), ""), "mm/dd/yyyy")</f>
        <v/>
      </c>
      <c r="B550" s="23" t="str">
        <f>IF(ISNUMBER('Change in Employment'!L557),'Change in Employment'!L557, "")</f>
        <v/>
      </c>
      <c r="C550" s="23" t="str">
        <f>IFERROR(IF(ISNUMBER('Change in Employment'!M557),TEXT('Change in Employment'!M557, "0"), ""), "")</f>
        <v/>
      </c>
    </row>
    <row r="551" spans="1:3">
      <c r="A551" s="23" t="str">
        <f>TEXT(IF('Change in Employment'!B558&lt;&gt;0,DATE(YEAR('Change in Employment'!B558), MONTH('Change in Employment'!B558), 1), ""), "mm/dd/yyyy")</f>
        <v/>
      </c>
      <c r="B551" s="23" t="str">
        <f>IF(ISNUMBER('Change in Employment'!L558),'Change in Employment'!L558, "")</f>
        <v/>
      </c>
      <c r="C551" s="23" t="str">
        <f>IFERROR(IF(ISNUMBER('Change in Employment'!M558),TEXT('Change in Employment'!M558, "0"), ""), "")</f>
        <v/>
      </c>
    </row>
    <row r="552" spans="1:3">
      <c r="A552" s="23" t="str">
        <f>TEXT(IF('Change in Employment'!B559&lt;&gt;0,DATE(YEAR('Change in Employment'!B559), MONTH('Change in Employment'!B559), 1), ""), "mm/dd/yyyy")</f>
        <v/>
      </c>
      <c r="B552" s="23" t="str">
        <f>IF(ISNUMBER('Change in Employment'!L559),'Change in Employment'!L559, "")</f>
        <v/>
      </c>
      <c r="C552" s="23" t="str">
        <f>IFERROR(IF(ISNUMBER('Change in Employment'!M559),TEXT('Change in Employment'!M559, "0"), ""), "")</f>
        <v/>
      </c>
    </row>
    <row r="553" spans="1:3">
      <c r="A553" s="23" t="str">
        <f>TEXT(IF('Change in Employment'!B560&lt;&gt;0,DATE(YEAR('Change in Employment'!B560), MONTH('Change in Employment'!B560), 1), ""), "mm/dd/yyyy")</f>
        <v/>
      </c>
      <c r="B553" s="23" t="str">
        <f>IF(ISNUMBER('Change in Employment'!L560),'Change in Employment'!L560, "")</f>
        <v/>
      </c>
      <c r="C553" s="23" t="str">
        <f>IFERROR(IF(ISNUMBER('Change in Employment'!M560),TEXT('Change in Employment'!M560, "0"), ""), "")</f>
        <v/>
      </c>
    </row>
    <row r="554" spans="1:3">
      <c r="A554" s="23" t="str">
        <f>TEXT(IF('Change in Employment'!B561&lt;&gt;0,DATE(YEAR('Change in Employment'!B561), MONTH('Change in Employment'!B561), 1), ""), "mm/dd/yyyy")</f>
        <v/>
      </c>
      <c r="B554" s="23" t="str">
        <f>IF(ISNUMBER('Change in Employment'!L561),'Change in Employment'!L561, "")</f>
        <v/>
      </c>
      <c r="C554" s="23" t="str">
        <f>IFERROR(IF(ISNUMBER('Change in Employment'!M561),TEXT('Change in Employment'!M561, "0"), ""), "")</f>
        <v/>
      </c>
    </row>
    <row r="555" spans="1:3">
      <c r="A555" s="23" t="str">
        <f>TEXT(IF('Change in Employment'!B562&lt;&gt;0,DATE(YEAR('Change in Employment'!B562), MONTH('Change in Employment'!B562), 1), ""), "mm/dd/yyyy")</f>
        <v/>
      </c>
      <c r="B555" s="23" t="str">
        <f>IF(ISNUMBER('Change in Employment'!L562),'Change in Employment'!L562, "")</f>
        <v/>
      </c>
      <c r="C555" s="23" t="str">
        <f>IFERROR(IF(ISNUMBER('Change in Employment'!M562),TEXT('Change in Employment'!M562, "0"), ""), "")</f>
        <v/>
      </c>
    </row>
    <row r="556" spans="1:3">
      <c r="A556" s="23" t="str">
        <f>TEXT(IF('Change in Employment'!B563&lt;&gt;0,DATE(YEAR('Change in Employment'!B563), MONTH('Change in Employment'!B563), 1), ""), "mm/dd/yyyy")</f>
        <v/>
      </c>
      <c r="B556" s="23" t="str">
        <f>IF(ISNUMBER('Change in Employment'!L563),'Change in Employment'!L563, "")</f>
        <v/>
      </c>
      <c r="C556" s="23" t="str">
        <f>IFERROR(IF(ISNUMBER('Change in Employment'!M563),TEXT('Change in Employment'!M563, "0"), ""), "")</f>
        <v/>
      </c>
    </row>
    <row r="557" spans="1:3">
      <c r="A557" s="23" t="str">
        <f>TEXT(IF('Change in Employment'!B564&lt;&gt;0,DATE(YEAR('Change in Employment'!B564), MONTH('Change in Employment'!B564), 1), ""), "mm/dd/yyyy")</f>
        <v/>
      </c>
      <c r="B557" s="23" t="str">
        <f>IF(ISNUMBER('Change in Employment'!L564),'Change in Employment'!L564, "")</f>
        <v/>
      </c>
      <c r="C557" s="23" t="str">
        <f>IFERROR(IF(ISNUMBER('Change in Employment'!M564),TEXT('Change in Employment'!M564, "0"), ""), "")</f>
        <v/>
      </c>
    </row>
    <row r="558" spans="1:3">
      <c r="A558" s="23" t="str">
        <f>TEXT(IF('Change in Employment'!B565&lt;&gt;0,DATE(YEAR('Change in Employment'!B565), MONTH('Change in Employment'!B565), 1), ""), "mm/dd/yyyy")</f>
        <v/>
      </c>
      <c r="B558" s="23" t="str">
        <f>IF(ISNUMBER('Change in Employment'!L565),'Change in Employment'!L565, "")</f>
        <v/>
      </c>
      <c r="C558" s="23" t="str">
        <f>IFERROR(IF(ISNUMBER('Change in Employment'!M565),TEXT('Change in Employment'!M565, "0"), ""), "")</f>
        <v/>
      </c>
    </row>
    <row r="559" spans="1:3">
      <c r="A559" s="23" t="str">
        <f>TEXT(IF('Change in Employment'!B566&lt;&gt;0,DATE(YEAR('Change in Employment'!B566), MONTH('Change in Employment'!B566), 1), ""), "mm/dd/yyyy")</f>
        <v/>
      </c>
      <c r="B559" s="23" t="str">
        <f>IF(ISNUMBER('Change in Employment'!L566),'Change in Employment'!L566, "")</f>
        <v/>
      </c>
      <c r="C559" s="23" t="str">
        <f>IFERROR(IF(ISNUMBER('Change in Employment'!M566),TEXT('Change in Employment'!M566, "0"), ""), "")</f>
        <v/>
      </c>
    </row>
    <row r="560" spans="1:3">
      <c r="A560" s="23" t="str">
        <f>TEXT(IF('Change in Employment'!B567&lt;&gt;0,DATE(YEAR('Change in Employment'!B567), MONTH('Change in Employment'!B567), 1), ""), "mm/dd/yyyy")</f>
        <v/>
      </c>
      <c r="B560" s="23" t="str">
        <f>IF(ISNUMBER('Change in Employment'!L567),'Change in Employment'!L567, "")</f>
        <v/>
      </c>
      <c r="C560" s="23" t="str">
        <f>IFERROR(IF(ISNUMBER('Change in Employment'!M567),TEXT('Change in Employment'!M567, "0"), ""), "")</f>
        <v/>
      </c>
    </row>
    <row r="561" spans="1:3">
      <c r="A561" s="23" t="str">
        <f>TEXT(IF('Change in Employment'!B568&lt;&gt;0,DATE(YEAR('Change in Employment'!B568), MONTH('Change in Employment'!B568), 1), ""), "mm/dd/yyyy")</f>
        <v/>
      </c>
      <c r="B561" s="23" t="str">
        <f>IF(ISNUMBER('Change in Employment'!L568),'Change in Employment'!L568, "")</f>
        <v/>
      </c>
      <c r="C561" s="23" t="str">
        <f>IFERROR(IF(ISNUMBER('Change in Employment'!M568),TEXT('Change in Employment'!M568, "0"), ""), "")</f>
        <v/>
      </c>
    </row>
    <row r="562" spans="1:3">
      <c r="A562" s="23" t="str">
        <f>TEXT(IF('Change in Employment'!B569&lt;&gt;0,DATE(YEAR('Change in Employment'!B569), MONTH('Change in Employment'!B569), 1), ""), "mm/dd/yyyy")</f>
        <v/>
      </c>
      <c r="B562" s="23" t="str">
        <f>IF(ISNUMBER('Change in Employment'!L569),'Change in Employment'!L569, "")</f>
        <v/>
      </c>
      <c r="C562" s="23" t="str">
        <f>IFERROR(IF(ISNUMBER('Change in Employment'!M569),TEXT('Change in Employment'!M569, "0"), ""), "")</f>
        <v/>
      </c>
    </row>
    <row r="563" spans="1:3">
      <c r="A563" s="23" t="str">
        <f>TEXT(IF('Change in Employment'!B570&lt;&gt;0,DATE(YEAR('Change in Employment'!B570), MONTH('Change in Employment'!B570), 1), ""), "mm/dd/yyyy")</f>
        <v/>
      </c>
      <c r="B563" s="23" t="str">
        <f>IF(ISNUMBER('Change in Employment'!L570),'Change in Employment'!L570, "")</f>
        <v/>
      </c>
      <c r="C563" s="23" t="str">
        <f>IFERROR(IF(ISNUMBER('Change in Employment'!M570),TEXT('Change in Employment'!M570, "0"), ""), "")</f>
        <v/>
      </c>
    </row>
    <row r="564" spans="1:3">
      <c r="A564" s="23" t="str">
        <f>TEXT(IF('Change in Employment'!B571&lt;&gt;0,DATE(YEAR('Change in Employment'!B571), MONTH('Change in Employment'!B571), 1), ""), "mm/dd/yyyy")</f>
        <v/>
      </c>
      <c r="B564" s="23" t="str">
        <f>IF(ISNUMBER('Change in Employment'!L571),'Change in Employment'!L571, "")</f>
        <v/>
      </c>
      <c r="C564" s="23" t="str">
        <f>IFERROR(IF(ISNUMBER('Change in Employment'!M571),TEXT('Change in Employment'!M571, "0"), ""), "")</f>
        <v/>
      </c>
    </row>
    <row r="565" spans="1:3">
      <c r="A565" s="23" t="str">
        <f>TEXT(IF('Change in Employment'!B572&lt;&gt;0,DATE(YEAR('Change in Employment'!B572), MONTH('Change in Employment'!B572), 1), ""), "mm/dd/yyyy")</f>
        <v/>
      </c>
      <c r="B565" s="23" t="str">
        <f>IF(ISNUMBER('Change in Employment'!L572),'Change in Employment'!L572, "")</f>
        <v/>
      </c>
      <c r="C565" s="23" t="str">
        <f>IFERROR(IF(ISNUMBER('Change in Employment'!M572),TEXT('Change in Employment'!M572, "0"), ""), "")</f>
        <v/>
      </c>
    </row>
    <row r="566" spans="1:3">
      <c r="A566" s="23" t="str">
        <f>TEXT(IF('Change in Employment'!B573&lt;&gt;0,DATE(YEAR('Change in Employment'!B573), MONTH('Change in Employment'!B573), 1), ""), "mm/dd/yyyy")</f>
        <v/>
      </c>
      <c r="B566" s="23" t="str">
        <f>IF(ISNUMBER('Change in Employment'!L573),'Change in Employment'!L573, "")</f>
        <v/>
      </c>
      <c r="C566" s="23" t="str">
        <f>IFERROR(IF(ISNUMBER('Change in Employment'!M573),TEXT('Change in Employment'!M573, "0"), ""), "")</f>
        <v/>
      </c>
    </row>
    <row r="567" spans="1:3">
      <c r="A567" s="23" t="str">
        <f>TEXT(IF('Change in Employment'!B574&lt;&gt;0,DATE(YEAR('Change in Employment'!B574), MONTH('Change in Employment'!B574), 1), ""), "mm/dd/yyyy")</f>
        <v/>
      </c>
      <c r="B567" s="23" t="str">
        <f>IF(ISNUMBER('Change in Employment'!L574),'Change in Employment'!L574, "")</f>
        <v/>
      </c>
      <c r="C567" s="23" t="str">
        <f>IFERROR(IF(ISNUMBER('Change in Employment'!M574),TEXT('Change in Employment'!M574, "0"), ""), "")</f>
        <v/>
      </c>
    </row>
    <row r="568" spans="1:3">
      <c r="A568" s="23" t="str">
        <f>TEXT(IF('Change in Employment'!B575&lt;&gt;0,DATE(YEAR('Change in Employment'!B575), MONTH('Change in Employment'!B575), 1), ""), "mm/dd/yyyy")</f>
        <v/>
      </c>
      <c r="B568" s="23" t="str">
        <f>IF(ISNUMBER('Change in Employment'!L575),'Change in Employment'!L575, "")</f>
        <v/>
      </c>
      <c r="C568" s="23" t="str">
        <f>IFERROR(IF(ISNUMBER('Change in Employment'!M575),TEXT('Change in Employment'!M575, "0"), ""), "")</f>
        <v/>
      </c>
    </row>
    <row r="569" spans="1:3">
      <c r="A569" s="23" t="str">
        <f>TEXT(IF('Change in Employment'!B576&lt;&gt;0,DATE(YEAR('Change in Employment'!B576), MONTH('Change in Employment'!B576), 1), ""), "mm/dd/yyyy")</f>
        <v/>
      </c>
      <c r="B569" s="23" t="str">
        <f>IF(ISNUMBER('Change in Employment'!L576),'Change in Employment'!L576, "")</f>
        <v/>
      </c>
      <c r="C569" s="23" t="str">
        <f>IFERROR(IF(ISNUMBER('Change in Employment'!M576),TEXT('Change in Employment'!M576, "0"), ""), "")</f>
        <v/>
      </c>
    </row>
    <row r="570" spans="1:3">
      <c r="A570" s="23" t="str">
        <f>TEXT(IF('Change in Employment'!B577&lt;&gt;0,DATE(YEAR('Change in Employment'!B577), MONTH('Change in Employment'!B577), 1), ""), "mm/dd/yyyy")</f>
        <v/>
      </c>
      <c r="B570" s="23" t="str">
        <f>IF(ISNUMBER('Change in Employment'!L577),'Change in Employment'!L577, "")</f>
        <v/>
      </c>
      <c r="C570" s="23" t="str">
        <f>IFERROR(IF(ISNUMBER('Change in Employment'!M577),TEXT('Change in Employment'!M577, "0"), ""), "")</f>
        <v/>
      </c>
    </row>
    <row r="571" spans="1:3">
      <c r="A571" s="23" t="str">
        <f>TEXT(IF('Change in Employment'!B578&lt;&gt;0,DATE(YEAR('Change in Employment'!B578), MONTH('Change in Employment'!B578), 1), ""), "mm/dd/yyyy")</f>
        <v/>
      </c>
      <c r="B571" s="23" t="str">
        <f>IF(ISNUMBER('Change in Employment'!L578),'Change in Employment'!L578, "")</f>
        <v/>
      </c>
      <c r="C571" s="23" t="str">
        <f>IFERROR(IF(ISNUMBER('Change in Employment'!M578),TEXT('Change in Employment'!M578, "0"), ""), "")</f>
        <v/>
      </c>
    </row>
    <row r="572" spans="1:3">
      <c r="A572" s="23" t="str">
        <f>TEXT(IF('Change in Employment'!B579&lt;&gt;0,DATE(YEAR('Change in Employment'!B579), MONTH('Change in Employment'!B579), 1), ""), "mm/dd/yyyy")</f>
        <v/>
      </c>
      <c r="B572" s="23" t="str">
        <f>IF(ISNUMBER('Change in Employment'!L579),'Change in Employment'!L579, "")</f>
        <v/>
      </c>
      <c r="C572" s="23" t="str">
        <f>IFERROR(IF(ISNUMBER('Change in Employment'!M579),TEXT('Change in Employment'!M579, "0"), ""), "")</f>
        <v/>
      </c>
    </row>
    <row r="573" spans="1:3">
      <c r="A573" s="23" t="str">
        <f>TEXT(IF('Change in Employment'!B580&lt;&gt;0,DATE(YEAR('Change in Employment'!B580), MONTH('Change in Employment'!B580), 1), ""), "mm/dd/yyyy")</f>
        <v/>
      </c>
      <c r="B573" s="23" t="str">
        <f>IF(ISNUMBER('Change in Employment'!L580),'Change in Employment'!L580, "")</f>
        <v/>
      </c>
      <c r="C573" s="23" t="str">
        <f>IFERROR(IF(ISNUMBER('Change in Employment'!M580),TEXT('Change in Employment'!M580, "0"), ""), "")</f>
        <v/>
      </c>
    </row>
    <row r="574" spans="1:3">
      <c r="A574" s="23" t="str">
        <f>TEXT(IF('Change in Employment'!B581&lt;&gt;0,DATE(YEAR('Change in Employment'!B581), MONTH('Change in Employment'!B581), 1), ""), "mm/dd/yyyy")</f>
        <v/>
      </c>
      <c r="B574" s="23" t="str">
        <f>IF(ISNUMBER('Change in Employment'!L581),'Change in Employment'!L581, "")</f>
        <v/>
      </c>
      <c r="C574" s="23" t="str">
        <f>IFERROR(IF(ISNUMBER('Change in Employment'!M581),TEXT('Change in Employment'!M581, "0"), ""), "")</f>
        <v/>
      </c>
    </row>
    <row r="575" spans="1:3">
      <c r="A575" s="23" t="str">
        <f>TEXT(IF('Change in Employment'!B582&lt;&gt;0,DATE(YEAR('Change in Employment'!B582), MONTH('Change in Employment'!B582), 1), ""), "mm/dd/yyyy")</f>
        <v/>
      </c>
      <c r="B575" s="23" t="str">
        <f>IF(ISNUMBER('Change in Employment'!L582),'Change in Employment'!L582, "")</f>
        <v/>
      </c>
      <c r="C575" s="23" t="str">
        <f>IFERROR(IF(ISNUMBER('Change in Employment'!M582),TEXT('Change in Employment'!M582, "0"), ""), "")</f>
        <v/>
      </c>
    </row>
    <row r="576" spans="1:3">
      <c r="A576" s="23" t="str">
        <f>TEXT(IF('Change in Employment'!B583&lt;&gt;0,DATE(YEAR('Change in Employment'!B583), MONTH('Change in Employment'!B583), 1), ""), "mm/dd/yyyy")</f>
        <v/>
      </c>
      <c r="B576" s="23" t="str">
        <f>IF(ISNUMBER('Change in Employment'!L583),'Change in Employment'!L583, "")</f>
        <v/>
      </c>
      <c r="C576" s="23" t="str">
        <f>IFERROR(IF(ISNUMBER('Change in Employment'!M583),TEXT('Change in Employment'!M583, "0"), ""), "")</f>
        <v/>
      </c>
    </row>
    <row r="577" spans="1:3">
      <c r="A577" s="23" t="str">
        <f>TEXT(IF('Change in Employment'!B584&lt;&gt;0,DATE(YEAR('Change in Employment'!B584), MONTH('Change in Employment'!B584), 1), ""), "mm/dd/yyyy")</f>
        <v/>
      </c>
      <c r="B577" s="23" t="str">
        <f>IF(ISNUMBER('Change in Employment'!L584),'Change in Employment'!L584, "")</f>
        <v/>
      </c>
      <c r="C577" s="23" t="str">
        <f>IFERROR(IF(ISNUMBER('Change in Employment'!M584),TEXT('Change in Employment'!M584, "0"), ""), "")</f>
        <v/>
      </c>
    </row>
    <row r="578" spans="1:3">
      <c r="A578" s="23" t="str">
        <f>TEXT(IF('Change in Employment'!B585&lt;&gt;0,DATE(YEAR('Change in Employment'!B585), MONTH('Change in Employment'!B585), 1), ""), "mm/dd/yyyy")</f>
        <v/>
      </c>
      <c r="B578" s="23" t="str">
        <f>IF(ISNUMBER('Change in Employment'!L585),'Change in Employment'!L585, "")</f>
        <v/>
      </c>
      <c r="C578" s="23" t="str">
        <f>IFERROR(IF(ISNUMBER('Change in Employment'!M585),TEXT('Change in Employment'!M585, "0"), ""), "")</f>
        <v/>
      </c>
    </row>
    <row r="579" spans="1:3">
      <c r="A579" s="23" t="str">
        <f>TEXT(IF('Change in Employment'!B586&lt;&gt;0,DATE(YEAR('Change in Employment'!B586), MONTH('Change in Employment'!B586), 1), ""), "mm/dd/yyyy")</f>
        <v/>
      </c>
      <c r="B579" s="23" t="str">
        <f>IF(ISNUMBER('Change in Employment'!L586),'Change in Employment'!L586, "")</f>
        <v/>
      </c>
      <c r="C579" s="23" t="str">
        <f>IFERROR(IF(ISNUMBER('Change in Employment'!M586),TEXT('Change in Employment'!M586, "0"), ""), "")</f>
        <v/>
      </c>
    </row>
    <row r="580" spans="1:3">
      <c r="A580" s="23" t="str">
        <f>TEXT(IF('Change in Employment'!B587&lt;&gt;0,DATE(YEAR('Change in Employment'!B587), MONTH('Change in Employment'!B587), 1), ""), "mm/dd/yyyy")</f>
        <v/>
      </c>
      <c r="B580" s="23" t="str">
        <f>IF(ISNUMBER('Change in Employment'!L587),'Change in Employment'!L587, "")</f>
        <v/>
      </c>
      <c r="C580" s="23" t="str">
        <f>IFERROR(IF(ISNUMBER('Change in Employment'!M587),TEXT('Change in Employment'!M587, "0"), ""), "")</f>
        <v/>
      </c>
    </row>
    <row r="581" spans="1:3">
      <c r="A581" s="23" t="str">
        <f>TEXT(IF('Change in Employment'!B588&lt;&gt;0,DATE(YEAR('Change in Employment'!B588), MONTH('Change in Employment'!B588), 1), ""), "mm/dd/yyyy")</f>
        <v/>
      </c>
      <c r="B581" s="23" t="str">
        <f>IF(ISNUMBER('Change in Employment'!L588),'Change in Employment'!L588, "")</f>
        <v/>
      </c>
      <c r="C581" s="23" t="str">
        <f>IFERROR(IF(ISNUMBER('Change in Employment'!M588),TEXT('Change in Employment'!M588, "0"), ""), "")</f>
        <v/>
      </c>
    </row>
    <row r="582" spans="1:3">
      <c r="A582" s="23" t="str">
        <f>TEXT(IF('Change in Employment'!B589&lt;&gt;0,DATE(YEAR('Change in Employment'!B589), MONTH('Change in Employment'!B589), 1), ""), "mm/dd/yyyy")</f>
        <v/>
      </c>
      <c r="B582" s="23" t="str">
        <f>IF(ISNUMBER('Change in Employment'!L589),'Change in Employment'!L589, "")</f>
        <v/>
      </c>
      <c r="C582" s="23" t="str">
        <f>IFERROR(IF(ISNUMBER('Change in Employment'!M589),TEXT('Change in Employment'!M589, "0"), ""), "")</f>
        <v/>
      </c>
    </row>
    <row r="583" spans="1:3">
      <c r="A583" s="23" t="str">
        <f>TEXT(IF('Change in Employment'!B590&lt;&gt;0,DATE(YEAR('Change in Employment'!B590), MONTH('Change in Employment'!B590), 1), ""), "mm/dd/yyyy")</f>
        <v/>
      </c>
      <c r="B583" s="23" t="str">
        <f>IF(ISNUMBER('Change in Employment'!L590),'Change in Employment'!L590, "")</f>
        <v/>
      </c>
      <c r="C583" s="23" t="str">
        <f>IFERROR(IF(ISNUMBER('Change in Employment'!M590),TEXT('Change in Employment'!M590, "0"), ""), "")</f>
        <v/>
      </c>
    </row>
    <row r="584" spans="1:3">
      <c r="A584" s="23" t="str">
        <f>TEXT(IF('Change in Employment'!B591&lt;&gt;0,DATE(YEAR('Change in Employment'!B591), MONTH('Change in Employment'!B591), 1), ""), "mm/dd/yyyy")</f>
        <v/>
      </c>
      <c r="B584" s="23" t="str">
        <f>IF(ISNUMBER('Change in Employment'!L591),'Change in Employment'!L591, "")</f>
        <v/>
      </c>
      <c r="C584" s="23" t="str">
        <f>IFERROR(IF(ISNUMBER('Change in Employment'!M591),TEXT('Change in Employment'!M591, "0"), ""), "")</f>
        <v/>
      </c>
    </row>
    <row r="585" spans="1:3">
      <c r="A585" s="23" t="str">
        <f>TEXT(IF('Change in Employment'!B592&lt;&gt;0,DATE(YEAR('Change in Employment'!B592), MONTH('Change in Employment'!B592), 1), ""), "mm/dd/yyyy")</f>
        <v/>
      </c>
      <c r="B585" s="23" t="str">
        <f>IF(ISNUMBER('Change in Employment'!L592),'Change in Employment'!L592, "")</f>
        <v/>
      </c>
      <c r="C585" s="23" t="str">
        <f>IFERROR(IF(ISNUMBER('Change in Employment'!M592),TEXT('Change in Employment'!M592, "0"), ""), "")</f>
        <v/>
      </c>
    </row>
    <row r="586" spans="1:3">
      <c r="A586" s="23" t="str">
        <f>TEXT(IF('Change in Employment'!B593&lt;&gt;0,DATE(YEAR('Change in Employment'!B593), MONTH('Change in Employment'!B593), 1), ""), "mm/dd/yyyy")</f>
        <v/>
      </c>
      <c r="B586" s="23" t="str">
        <f>IF(ISNUMBER('Change in Employment'!L593),'Change in Employment'!L593, "")</f>
        <v/>
      </c>
      <c r="C586" s="23" t="str">
        <f>IFERROR(IF(ISNUMBER('Change in Employment'!M593),TEXT('Change in Employment'!M593, "0"), ""), "")</f>
        <v/>
      </c>
    </row>
    <row r="587" spans="1:3">
      <c r="A587" s="23" t="str">
        <f>TEXT(IF('Change in Employment'!B594&lt;&gt;0,DATE(YEAR('Change in Employment'!B594), MONTH('Change in Employment'!B594), 1), ""), "mm/dd/yyyy")</f>
        <v/>
      </c>
      <c r="B587" s="23" t="str">
        <f>IF(ISNUMBER('Change in Employment'!L594),'Change in Employment'!L594, "")</f>
        <v/>
      </c>
      <c r="C587" s="23" t="str">
        <f>IFERROR(IF(ISNUMBER('Change in Employment'!M594),TEXT('Change in Employment'!M594, "0"), ""), "")</f>
        <v/>
      </c>
    </row>
    <row r="588" spans="1:3">
      <c r="A588" s="23" t="str">
        <f>TEXT(IF('Change in Employment'!B595&lt;&gt;0,DATE(YEAR('Change in Employment'!B595), MONTH('Change in Employment'!B595), 1), ""), "mm/dd/yyyy")</f>
        <v/>
      </c>
      <c r="B588" s="23" t="str">
        <f>IF(ISNUMBER('Change in Employment'!L595),'Change in Employment'!L595, "")</f>
        <v/>
      </c>
      <c r="C588" s="23" t="str">
        <f>IFERROR(IF(ISNUMBER('Change in Employment'!M595),TEXT('Change in Employment'!M595, "0"), ""), "")</f>
        <v/>
      </c>
    </row>
    <row r="589" spans="1:3">
      <c r="A589" s="23" t="str">
        <f>TEXT(IF('Change in Employment'!B596&lt;&gt;0,DATE(YEAR('Change in Employment'!B596), MONTH('Change in Employment'!B596), 1), ""), "mm/dd/yyyy")</f>
        <v/>
      </c>
      <c r="B589" s="23" t="str">
        <f>IF(ISNUMBER('Change in Employment'!L596),'Change in Employment'!L596, "")</f>
        <v/>
      </c>
      <c r="C589" s="23" t="str">
        <f>IFERROR(IF(ISNUMBER('Change in Employment'!M596),TEXT('Change in Employment'!M596, "0"), ""), "")</f>
        <v/>
      </c>
    </row>
    <row r="590" spans="1:3">
      <c r="A590" s="23" t="str">
        <f>TEXT(IF('Change in Employment'!B597&lt;&gt;0,DATE(YEAR('Change in Employment'!B597), MONTH('Change in Employment'!B597), 1), ""), "mm/dd/yyyy")</f>
        <v/>
      </c>
      <c r="B590" s="23" t="str">
        <f>IF(ISNUMBER('Change in Employment'!L597),'Change in Employment'!L597, "")</f>
        <v/>
      </c>
      <c r="C590" s="23" t="str">
        <f>IFERROR(IF(ISNUMBER('Change in Employment'!M597),TEXT('Change in Employment'!M597, "0"), ""), "")</f>
        <v/>
      </c>
    </row>
    <row r="591" spans="1:3">
      <c r="A591" s="23" t="str">
        <f>TEXT(IF('Change in Employment'!B598&lt;&gt;0,DATE(YEAR('Change in Employment'!B598), MONTH('Change in Employment'!B598), 1), ""), "mm/dd/yyyy")</f>
        <v/>
      </c>
      <c r="B591" s="23" t="str">
        <f>IF(ISNUMBER('Change in Employment'!L598),'Change in Employment'!L598, "")</f>
        <v/>
      </c>
      <c r="C591" s="23" t="str">
        <f>IFERROR(IF(ISNUMBER('Change in Employment'!M598),TEXT('Change in Employment'!M598, "0"), ""), "")</f>
        <v/>
      </c>
    </row>
    <row r="592" spans="1:3">
      <c r="A592" s="23" t="str">
        <f>TEXT(IF('Change in Employment'!B599&lt;&gt;0,DATE(YEAR('Change in Employment'!B599), MONTH('Change in Employment'!B599), 1), ""), "mm/dd/yyyy")</f>
        <v/>
      </c>
      <c r="B592" s="23" t="str">
        <f>IF(ISNUMBER('Change in Employment'!L599),'Change in Employment'!L599, "")</f>
        <v/>
      </c>
      <c r="C592" s="23" t="str">
        <f>IFERROR(IF(ISNUMBER('Change in Employment'!M599),TEXT('Change in Employment'!M599, "0"), ""), "")</f>
        <v/>
      </c>
    </row>
    <row r="593" spans="1:3">
      <c r="A593" s="23" t="str">
        <f>TEXT(IF('Change in Employment'!B600&lt;&gt;0,DATE(YEAR('Change in Employment'!B600), MONTH('Change in Employment'!B600), 1), ""), "mm/dd/yyyy")</f>
        <v/>
      </c>
      <c r="B593" s="23" t="str">
        <f>IF(ISNUMBER('Change in Employment'!L600),'Change in Employment'!L600, "")</f>
        <v/>
      </c>
      <c r="C593" s="23" t="str">
        <f>IFERROR(IF(ISNUMBER('Change in Employment'!M600),TEXT('Change in Employment'!M600, "0"), ""), "")</f>
        <v/>
      </c>
    </row>
    <row r="594" spans="1:3">
      <c r="A594" s="23" t="str">
        <f>TEXT(IF('Change in Employment'!B601&lt;&gt;0,DATE(YEAR('Change in Employment'!B601), MONTH('Change in Employment'!B601), 1), ""), "mm/dd/yyyy")</f>
        <v/>
      </c>
      <c r="B594" s="23" t="str">
        <f>IF(ISNUMBER('Change in Employment'!L601),'Change in Employment'!L601, "")</f>
        <v/>
      </c>
      <c r="C594" s="23" t="str">
        <f>IFERROR(IF(ISNUMBER('Change in Employment'!M601),TEXT('Change in Employment'!M601, "0"), ""), "")</f>
        <v/>
      </c>
    </row>
    <row r="595" spans="1:3">
      <c r="A595" s="23" t="str">
        <f>TEXT(IF('Change in Employment'!B602&lt;&gt;0,DATE(YEAR('Change in Employment'!B602), MONTH('Change in Employment'!B602), 1), ""), "mm/dd/yyyy")</f>
        <v/>
      </c>
      <c r="B595" s="23" t="str">
        <f>IF(ISNUMBER('Change in Employment'!L602),'Change in Employment'!L602, "")</f>
        <v/>
      </c>
      <c r="C595" s="23" t="str">
        <f>IFERROR(IF(ISNUMBER('Change in Employment'!M602),TEXT('Change in Employment'!M602, "0"), ""), "")</f>
        <v/>
      </c>
    </row>
    <row r="596" spans="1:3">
      <c r="A596" s="23" t="str">
        <f>TEXT(IF('Change in Employment'!B603&lt;&gt;0,DATE(YEAR('Change in Employment'!B603), MONTH('Change in Employment'!B603), 1), ""), "mm/dd/yyyy")</f>
        <v/>
      </c>
      <c r="B596" s="23" t="str">
        <f>IF(ISNUMBER('Change in Employment'!L603),'Change in Employment'!L603, "")</f>
        <v/>
      </c>
      <c r="C596" s="23" t="str">
        <f>IFERROR(IF(ISNUMBER('Change in Employment'!M603),TEXT('Change in Employment'!M603, "0"), ""), "")</f>
        <v/>
      </c>
    </row>
    <row r="597" spans="1:3">
      <c r="A597" s="23" t="str">
        <f>TEXT(IF('Change in Employment'!B604&lt;&gt;0,DATE(YEAR('Change in Employment'!B604), MONTH('Change in Employment'!B604), 1), ""), "mm/dd/yyyy")</f>
        <v/>
      </c>
      <c r="B597" s="23" t="str">
        <f>IF(ISNUMBER('Change in Employment'!L604),'Change in Employment'!L604, "")</f>
        <v/>
      </c>
      <c r="C597" s="23" t="str">
        <f>IFERROR(IF(ISNUMBER('Change in Employment'!M604),TEXT('Change in Employment'!M604, "0"), ""), "")</f>
        <v/>
      </c>
    </row>
    <row r="598" spans="1:3">
      <c r="A598" s="23" t="str">
        <f>TEXT(IF('Change in Employment'!B605&lt;&gt;0,DATE(YEAR('Change in Employment'!B605), MONTH('Change in Employment'!B605), 1), ""), "mm/dd/yyyy")</f>
        <v/>
      </c>
      <c r="B598" s="23" t="str">
        <f>IF(ISNUMBER('Change in Employment'!L605),'Change in Employment'!L605, "")</f>
        <v/>
      </c>
      <c r="C598" s="23" t="str">
        <f>IFERROR(IF(ISNUMBER('Change in Employment'!M605),TEXT('Change in Employment'!M605, "0"), ""), "")</f>
        <v/>
      </c>
    </row>
    <row r="599" spans="1:3">
      <c r="A599" s="23" t="str">
        <f>TEXT(IF('Change in Employment'!B606&lt;&gt;0,DATE(YEAR('Change in Employment'!B606), MONTH('Change in Employment'!B606), 1), ""), "mm/dd/yyyy")</f>
        <v/>
      </c>
      <c r="B599" s="23" t="str">
        <f>IF(ISNUMBER('Change in Employment'!L606),'Change in Employment'!L606, "")</f>
        <v/>
      </c>
      <c r="C599" s="23" t="str">
        <f>IFERROR(IF(ISNUMBER('Change in Employment'!M606),TEXT('Change in Employment'!M606, "0"), ""), "")</f>
        <v/>
      </c>
    </row>
    <row r="600" spans="1:3">
      <c r="A600" s="23" t="str">
        <f>TEXT(IF('Change in Employment'!B607&lt;&gt;0,DATE(YEAR('Change in Employment'!B607), MONTH('Change in Employment'!B607), 1), ""), "mm/dd/yyyy")</f>
        <v/>
      </c>
      <c r="B600" s="23" t="str">
        <f>IF(ISNUMBER('Change in Employment'!L607),'Change in Employment'!L607, "")</f>
        <v/>
      </c>
      <c r="C600" s="23" t="str">
        <f>IFERROR(IF(ISNUMBER('Change in Employment'!M607),TEXT('Change in Employment'!M607, "0"), ""), "")</f>
        <v/>
      </c>
    </row>
    <row r="601" spans="1:3">
      <c r="A601" s="23" t="str">
        <f>TEXT(IF('Change in Employment'!B608&lt;&gt;0,DATE(YEAR('Change in Employment'!B608), MONTH('Change in Employment'!B608), 1), ""), "mm/dd/yyyy")</f>
        <v/>
      </c>
      <c r="B601" s="23" t="str">
        <f>IF(ISNUMBER('Change in Employment'!L608),'Change in Employment'!L608, "")</f>
        <v/>
      </c>
      <c r="C601" s="23" t="str">
        <f>IFERROR(IF(ISNUMBER('Change in Employment'!M608),TEXT('Change in Employment'!M608, "0"), ""), "")</f>
        <v/>
      </c>
    </row>
    <row r="602" spans="1:3">
      <c r="A602" s="23" t="str">
        <f>TEXT(IF('Change in Employment'!B609&lt;&gt;0,DATE(YEAR('Change in Employment'!B609), MONTH('Change in Employment'!B609), 1), ""), "mm/dd/yyyy")</f>
        <v/>
      </c>
      <c r="B602" s="23" t="str">
        <f>IF(ISNUMBER('Change in Employment'!L609),'Change in Employment'!L609, "")</f>
        <v/>
      </c>
      <c r="C602" s="23" t="str">
        <f>IFERROR(IF(ISNUMBER('Change in Employment'!M609),TEXT('Change in Employment'!M609, "0"), ""), "")</f>
        <v/>
      </c>
    </row>
    <row r="603" spans="1:3">
      <c r="A603" s="23" t="str">
        <f>TEXT(IF('Change in Employment'!B610&lt;&gt;0,DATE(YEAR('Change in Employment'!B610), MONTH('Change in Employment'!B610), 1), ""), "mm/dd/yyyy")</f>
        <v/>
      </c>
      <c r="B603" s="23" t="str">
        <f>IF(ISNUMBER('Change in Employment'!L610),'Change in Employment'!L610, "")</f>
        <v/>
      </c>
      <c r="C603" s="23" t="str">
        <f>IFERROR(IF(ISNUMBER('Change in Employment'!M610),TEXT('Change in Employment'!M610, "0"), ""), "")</f>
        <v/>
      </c>
    </row>
    <row r="604" spans="1:3">
      <c r="A604" s="23" t="str">
        <f>TEXT(IF('Change in Employment'!B611&lt;&gt;0,DATE(YEAR('Change in Employment'!B611), MONTH('Change in Employment'!B611), 1), ""), "mm/dd/yyyy")</f>
        <v/>
      </c>
      <c r="B604" s="23" t="str">
        <f>IF(ISNUMBER('Change in Employment'!L611),'Change in Employment'!L611, "")</f>
        <v/>
      </c>
      <c r="C604" s="23" t="str">
        <f>IFERROR(IF(ISNUMBER('Change in Employment'!M611),TEXT('Change in Employment'!M611, "0"), ""), "")</f>
        <v/>
      </c>
    </row>
    <row r="605" spans="1:3">
      <c r="A605" s="23" t="str">
        <f>TEXT(IF('Change in Employment'!B612&lt;&gt;0,DATE(YEAR('Change in Employment'!B612), MONTH('Change in Employment'!B612), 1), ""), "mm/dd/yyyy")</f>
        <v/>
      </c>
      <c r="B605" s="23" t="str">
        <f>IF(ISNUMBER('Change in Employment'!L612),'Change in Employment'!L612, "")</f>
        <v/>
      </c>
      <c r="C605" s="23" t="str">
        <f>IFERROR(IF(ISNUMBER('Change in Employment'!M612),TEXT('Change in Employment'!M612, "0"), ""), "")</f>
        <v/>
      </c>
    </row>
    <row r="606" spans="1:3">
      <c r="A606" s="23" t="str">
        <f>TEXT(IF('Change in Employment'!B613&lt;&gt;0,DATE(YEAR('Change in Employment'!B613), MONTH('Change in Employment'!B613), 1), ""), "mm/dd/yyyy")</f>
        <v/>
      </c>
      <c r="B606" s="23" t="str">
        <f>IF(ISNUMBER('Change in Employment'!L613),'Change in Employment'!L613, "")</f>
        <v/>
      </c>
      <c r="C606" s="23" t="str">
        <f>IFERROR(IF(ISNUMBER('Change in Employment'!M613),TEXT('Change in Employment'!M613, "0"), ""), "")</f>
        <v/>
      </c>
    </row>
    <row r="607" spans="1:3">
      <c r="A607" s="23" t="str">
        <f>TEXT(IF('Change in Employment'!B614&lt;&gt;0,DATE(YEAR('Change in Employment'!B614), MONTH('Change in Employment'!B614), 1), ""), "mm/dd/yyyy")</f>
        <v/>
      </c>
      <c r="B607" s="23" t="str">
        <f>IF(ISNUMBER('Change in Employment'!L614),'Change in Employment'!L614, "")</f>
        <v/>
      </c>
      <c r="C607" s="23" t="str">
        <f>IFERROR(IF(ISNUMBER('Change in Employment'!M614),TEXT('Change in Employment'!M614, "0"), ""), "")</f>
        <v/>
      </c>
    </row>
    <row r="608" spans="1:3">
      <c r="A608" s="23" t="str">
        <f>TEXT(IF('Change in Employment'!B615&lt;&gt;0,DATE(YEAR('Change in Employment'!B615), MONTH('Change in Employment'!B615), 1), ""), "mm/dd/yyyy")</f>
        <v/>
      </c>
      <c r="B608" s="23" t="str">
        <f>IF(ISNUMBER('Change in Employment'!L615),'Change in Employment'!L615, "")</f>
        <v/>
      </c>
      <c r="C608" s="23" t="str">
        <f>IFERROR(IF(ISNUMBER('Change in Employment'!M615),TEXT('Change in Employment'!M615, "0"), ""), "")</f>
        <v/>
      </c>
    </row>
    <row r="609" spans="1:3">
      <c r="A609" s="23" t="str">
        <f>TEXT(IF('Change in Employment'!B616&lt;&gt;0,DATE(YEAR('Change in Employment'!B616), MONTH('Change in Employment'!B616), 1), ""), "mm/dd/yyyy")</f>
        <v/>
      </c>
      <c r="B609" s="23" t="str">
        <f>IF(ISNUMBER('Change in Employment'!L616),'Change in Employment'!L616, "")</f>
        <v/>
      </c>
      <c r="C609" s="23" t="str">
        <f>IFERROR(IF(ISNUMBER('Change in Employment'!M616),TEXT('Change in Employment'!M616, "0"), ""), "")</f>
        <v/>
      </c>
    </row>
    <row r="610" spans="1:3">
      <c r="A610" s="23" t="str">
        <f>TEXT(IF('Change in Employment'!B617&lt;&gt;0,DATE(YEAR('Change in Employment'!B617), MONTH('Change in Employment'!B617), 1), ""), "mm/dd/yyyy")</f>
        <v/>
      </c>
      <c r="B610" s="23" t="str">
        <f>IF(ISNUMBER('Change in Employment'!L617),'Change in Employment'!L617, "")</f>
        <v/>
      </c>
      <c r="C610" s="23" t="str">
        <f>IFERROR(IF(ISNUMBER('Change in Employment'!M617),TEXT('Change in Employment'!M617, "0"), ""), "")</f>
        <v/>
      </c>
    </row>
    <row r="611" spans="1:3">
      <c r="A611" s="23" t="str">
        <f>TEXT(IF('Change in Employment'!B618&lt;&gt;0,DATE(YEAR('Change in Employment'!B618), MONTH('Change in Employment'!B618), 1), ""), "mm/dd/yyyy")</f>
        <v/>
      </c>
      <c r="B611" s="23" t="str">
        <f>IF(ISNUMBER('Change in Employment'!L618),'Change in Employment'!L618, "")</f>
        <v/>
      </c>
      <c r="C611" s="23" t="str">
        <f>IFERROR(IF(ISNUMBER('Change in Employment'!M618),TEXT('Change in Employment'!M618, "0"), ""), "")</f>
        <v/>
      </c>
    </row>
    <row r="612" spans="1:3">
      <c r="A612" s="23" t="str">
        <f>TEXT(IF('Change in Employment'!B619&lt;&gt;0,DATE(YEAR('Change in Employment'!B619), MONTH('Change in Employment'!B619), 1), ""), "mm/dd/yyyy")</f>
        <v/>
      </c>
      <c r="B612" s="23" t="str">
        <f>IF(ISNUMBER('Change in Employment'!L619),'Change in Employment'!L619, "")</f>
        <v/>
      </c>
      <c r="C612" s="23" t="str">
        <f>IFERROR(IF(ISNUMBER('Change in Employment'!M619),TEXT('Change in Employment'!M619, "0"), ""), "")</f>
        <v/>
      </c>
    </row>
    <row r="613" spans="1:3">
      <c r="A613" s="23" t="str">
        <f>TEXT(IF('Change in Employment'!B620&lt;&gt;0,DATE(YEAR('Change in Employment'!B620), MONTH('Change in Employment'!B620), 1), ""), "mm/dd/yyyy")</f>
        <v/>
      </c>
      <c r="B613" s="23" t="str">
        <f>IF(ISNUMBER('Change in Employment'!L620),'Change in Employment'!L620, "")</f>
        <v/>
      </c>
      <c r="C613" s="23" t="str">
        <f>IFERROR(IF(ISNUMBER('Change in Employment'!M620),TEXT('Change in Employment'!M620, "0"), ""), "")</f>
        <v/>
      </c>
    </row>
    <row r="614" spans="1:3">
      <c r="A614" s="23" t="str">
        <f>TEXT(IF('Change in Employment'!B621&lt;&gt;0,DATE(YEAR('Change in Employment'!B621), MONTH('Change in Employment'!B621), 1), ""), "mm/dd/yyyy")</f>
        <v/>
      </c>
      <c r="B614" s="23" t="str">
        <f>IF(ISNUMBER('Change in Employment'!L621),'Change in Employment'!L621, "")</f>
        <v/>
      </c>
      <c r="C614" s="23" t="str">
        <f>IFERROR(IF(ISNUMBER('Change in Employment'!M621),TEXT('Change in Employment'!M621, "0"), ""), "")</f>
        <v/>
      </c>
    </row>
    <row r="615" spans="1:3">
      <c r="A615" s="23" t="str">
        <f>TEXT(IF('Change in Employment'!B622&lt;&gt;0,DATE(YEAR('Change in Employment'!B622), MONTH('Change in Employment'!B622), 1), ""), "mm/dd/yyyy")</f>
        <v/>
      </c>
      <c r="B615" s="23" t="str">
        <f>IF(ISNUMBER('Change in Employment'!L622),'Change in Employment'!L622, "")</f>
        <v/>
      </c>
      <c r="C615" s="23" t="str">
        <f>IFERROR(IF(ISNUMBER('Change in Employment'!M622),TEXT('Change in Employment'!M622, "0"), ""), "")</f>
        <v/>
      </c>
    </row>
    <row r="616" spans="1:3">
      <c r="A616" s="23" t="str">
        <f>TEXT(IF('Change in Employment'!B623&lt;&gt;0,DATE(YEAR('Change in Employment'!B623), MONTH('Change in Employment'!B623), 1), ""), "mm/dd/yyyy")</f>
        <v/>
      </c>
      <c r="B616" s="23" t="str">
        <f>IF(ISNUMBER('Change in Employment'!L623),'Change in Employment'!L623, "")</f>
        <v/>
      </c>
      <c r="C616" s="23" t="str">
        <f>IFERROR(IF(ISNUMBER('Change in Employment'!M623),TEXT('Change in Employment'!M623, "0"), ""), "")</f>
        <v/>
      </c>
    </row>
    <row r="617" spans="1:3">
      <c r="A617" s="23" t="str">
        <f>TEXT(IF('Change in Employment'!B624&lt;&gt;0,DATE(YEAR('Change in Employment'!B624), MONTH('Change in Employment'!B624), 1), ""), "mm/dd/yyyy")</f>
        <v/>
      </c>
      <c r="B617" s="23" t="str">
        <f>IF(ISNUMBER('Change in Employment'!L624),'Change in Employment'!L624, "")</f>
        <v/>
      </c>
      <c r="C617" s="23" t="str">
        <f>IFERROR(IF(ISNUMBER('Change in Employment'!M624),TEXT('Change in Employment'!M624, "0"), ""), "")</f>
        <v/>
      </c>
    </row>
    <row r="618" spans="1:3">
      <c r="A618" s="23" t="str">
        <f>TEXT(IF('Change in Employment'!B625&lt;&gt;0,DATE(YEAR('Change in Employment'!B625), MONTH('Change in Employment'!B625), 1), ""), "mm/dd/yyyy")</f>
        <v/>
      </c>
      <c r="B618" s="23" t="str">
        <f>IF(ISNUMBER('Change in Employment'!L625),'Change in Employment'!L625, "")</f>
        <v/>
      </c>
      <c r="C618" s="23" t="str">
        <f>IFERROR(IF(ISNUMBER('Change in Employment'!M625),TEXT('Change in Employment'!M625, "0"), ""), "")</f>
        <v/>
      </c>
    </row>
    <row r="619" spans="1:3">
      <c r="A619" s="23" t="str">
        <f>TEXT(IF('Change in Employment'!B626&lt;&gt;0,DATE(YEAR('Change in Employment'!B626), MONTH('Change in Employment'!B626), 1), ""), "mm/dd/yyyy")</f>
        <v/>
      </c>
      <c r="B619" s="23" t="str">
        <f>IF(ISNUMBER('Change in Employment'!L626),'Change in Employment'!L626, "")</f>
        <v/>
      </c>
      <c r="C619" s="23" t="str">
        <f>IFERROR(IF(ISNUMBER('Change in Employment'!M626),TEXT('Change in Employment'!M626, "0"), ""), "")</f>
        <v/>
      </c>
    </row>
    <row r="620" spans="1:3">
      <c r="A620" s="23" t="str">
        <f>TEXT(IF('Change in Employment'!B627&lt;&gt;0,DATE(YEAR('Change in Employment'!B627), MONTH('Change in Employment'!B627), 1), ""), "mm/dd/yyyy")</f>
        <v/>
      </c>
      <c r="B620" s="23" t="str">
        <f>IF(ISNUMBER('Change in Employment'!L627),'Change in Employment'!L627, "")</f>
        <v/>
      </c>
      <c r="C620" s="23" t="str">
        <f>IFERROR(IF(ISNUMBER('Change in Employment'!M627),TEXT('Change in Employment'!M627, "0"), ""), "")</f>
        <v/>
      </c>
    </row>
    <row r="621" spans="1:3">
      <c r="A621" s="23" t="str">
        <f>TEXT(IF('Change in Employment'!B628&lt;&gt;0,DATE(YEAR('Change in Employment'!B628), MONTH('Change in Employment'!B628), 1), ""), "mm/dd/yyyy")</f>
        <v/>
      </c>
      <c r="B621" s="23" t="str">
        <f>IF(ISNUMBER('Change in Employment'!L628),'Change in Employment'!L628, "")</f>
        <v/>
      </c>
      <c r="C621" s="23" t="str">
        <f>IFERROR(IF(ISNUMBER('Change in Employment'!M628),TEXT('Change in Employment'!M628, "0"), ""), "")</f>
        <v/>
      </c>
    </row>
    <row r="622" spans="1:3">
      <c r="A622" s="23" t="str">
        <f>TEXT(IF('Change in Employment'!B629&lt;&gt;0,DATE(YEAR('Change in Employment'!B629), MONTH('Change in Employment'!B629), 1), ""), "mm/dd/yyyy")</f>
        <v/>
      </c>
      <c r="B622" s="23" t="str">
        <f>IF(ISNUMBER('Change in Employment'!L629),'Change in Employment'!L629, "")</f>
        <v/>
      </c>
      <c r="C622" s="23" t="str">
        <f>IFERROR(IF(ISNUMBER('Change in Employment'!M629),TEXT('Change in Employment'!M629, "0"), ""), "")</f>
        <v/>
      </c>
    </row>
    <row r="623" spans="1:3">
      <c r="A623" s="23" t="str">
        <f>TEXT(IF('Change in Employment'!B630&lt;&gt;0,DATE(YEAR('Change in Employment'!B630), MONTH('Change in Employment'!B630), 1), ""), "mm/dd/yyyy")</f>
        <v/>
      </c>
      <c r="B623" s="23" t="str">
        <f>IF(ISNUMBER('Change in Employment'!L630),'Change in Employment'!L630, "")</f>
        <v/>
      </c>
      <c r="C623" s="23" t="str">
        <f>IFERROR(IF(ISNUMBER('Change in Employment'!M630),TEXT('Change in Employment'!M630, "0"), ""), "")</f>
        <v/>
      </c>
    </row>
    <row r="624" spans="1:3">
      <c r="A624" s="23" t="str">
        <f>TEXT(IF('Change in Employment'!B631&lt;&gt;0,DATE(YEAR('Change in Employment'!B631), MONTH('Change in Employment'!B631), 1), ""), "mm/dd/yyyy")</f>
        <v/>
      </c>
      <c r="B624" s="23" t="str">
        <f>IF(ISNUMBER('Change in Employment'!L631),'Change in Employment'!L631, "")</f>
        <v/>
      </c>
      <c r="C624" s="23" t="str">
        <f>IFERROR(IF(ISNUMBER('Change in Employment'!M631),TEXT('Change in Employment'!M631, "0"), ""), "")</f>
        <v/>
      </c>
    </row>
    <row r="625" spans="1:3">
      <c r="A625" s="23" t="str">
        <f>TEXT(IF('Change in Employment'!B632&lt;&gt;0,DATE(YEAR('Change in Employment'!B632), MONTH('Change in Employment'!B632), 1), ""), "mm/dd/yyyy")</f>
        <v/>
      </c>
      <c r="B625" s="23" t="str">
        <f>IF(ISNUMBER('Change in Employment'!L632),'Change in Employment'!L632, "")</f>
        <v/>
      </c>
      <c r="C625" s="23" t="str">
        <f>IFERROR(IF(ISNUMBER('Change in Employment'!M632),TEXT('Change in Employment'!M632, "0"), ""), "")</f>
        <v/>
      </c>
    </row>
    <row r="626" spans="1:3">
      <c r="A626" s="23" t="str">
        <f>TEXT(IF('Change in Employment'!B633&lt;&gt;0,DATE(YEAR('Change in Employment'!B633), MONTH('Change in Employment'!B633), 1), ""), "mm/dd/yyyy")</f>
        <v/>
      </c>
      <c r="B626" s="23" t="str">
        <f>IF(ISNUMBER('Change in Employment'!L633),'Change in Employment'!L633, "")</f>
        <v/>
      </c>
      <c r="C626" s="23" t="str">
        <f>IFERROR(IF(ISNUMBER('Change in Employment'!M633),TEXT('Change in Employment'!M633, "0"), ""), "")</f>
        <v/>
      </c>
    </row>
    <row r="627" spans="1:3">
      <c r="A627" s="23" t="str">
        <f>TEXT(IF('Change in Employment'!B634&lt;&gt;0,DATE(YEAR('Change in Employment'!B634), MONTH('Change in Employment'!B634), 1), ""), "mm/dd/yyyy")</f>
        <v/>
      </c>
      <c r="B627" s="23" t="str">
        <f>IF(ISNUMBER('Change in Employment'!L634),'Change in Employment'!L634, "")</f>
        <v/>
      </c>
      <c r="C627" s="23" t="str">
        <f>IFERROR(IF(ISNUMBER('Change in Employment'!M634),TEXT('Change in Employment'!M634, "0"), ""), "")</f>
        <v/>
      </c>
    </row>
    <row r="628" spans="1:3">
      <c r="A628" s="23" t="str">
        <f>TEXT(IF('Change in Employment'!B635&lt;&gt;0,DATE(YEAR('Change in Employment'!B635), MONTH('Change in Employment'!B635), 1), ""), "mm/dd/yyyy")</f>
        <v/>
      </c>
      <c r="B628" s="23" t="str">
        <f>IF(ISNUMBER('Change in Employment'!L635),'Change in Employment'!L635, "")</f>
        <v/>
      </c>
      <c r="C628" s="23" t="str">
        <f>IFERROR(IF(ISNUMBER('Change in Employment'!M635),TEXT('Change in Employment'!M635, "0"), ""), "")</f>
        <v/>
      </c>
    </row>
    <row r="629" spans="1:3">
      <c r="A629" s="23" t="str">
        <f>TEXT(IF('Change in Employment'!B636&lt;&gt;0,DATE(YEAR('Change in Employment'!B636), MONTH('Change in Employment'!B636), 1), ""), "mm/dd/yyyy")</f>
        <v/>
      </c>
      <c r="B629" s="23" t="str">
        <f>IF(ISNUMBER('Change in Employment'!L636),'Change in Employment'!L636, "")</f>
        <v/>
      </c>
      <c r="C629" s="23" t="str">
        <f>IFERROR(IF(ISNUMBER('Change in Employment'!M636),TEXT('Change in Employment'!M636, "0"), ""), "")</f>
        <v/>
      </c>
    </row>
    <row r="630" spans="1:3">
      <c r="A630" s="23" t="str">
        <f>TEXT(IF('Change in Employment'!B637&lt;&gt;0,DATE(YEAR('Change in Employment'!B637), MONTH('Change in Employment'!B637), 1), ""), "mm/dd/yyyy")</f>
        <v/>
      </c>
      <c r="B630" s="23" t="str">
        <f>IF(ISNUMBER('Change in Employment'!L637),'Change in Employment'!L637, "")</f>
        <v/>
      </c>
      <c r="C630" s="23" t="str">
        <f>IFERROR(IF(ISNUMBER('Change in Employment'!M637),TEXT('Change in Employment'!M637, "0"), ""), "")</f>
        <v/>
      </c>
    </row>
    <row r="631" spans="1:3">
      <c r="A631" s="23" t="str">
        <f>TEXT(IF('Change in Employment'!B638&lt;&gt;0,DATE(YEAR('Change in Employment'!B638), MONTH('Change in Employment'!B638), 1), ""), "mm/dd/yyyy")</f>
        <v/>
      </c>
      <c r="B631" s="23" t="str">
        <f>IF(ISNUMBER('Change in Employment'!L638),'Change in Employment'!L638, "")</f>
        <v/>
      </c>
      <c r="C631" s="23" t="str">
        <f>IFERROR(IF(ISNUMBER('Change in Employment'!M638),TEXT('Change in Employment'!M638, "0"), ""), "")</f>
        <v/>
      </c>
    </row>
    <row r="632" spans="1:3">
      <c r="A632" s="23" t="str">
        <f>TEXT(IF('Change in Employment'!B639&lt;&gt;0,DATE(YEAR('Change in Employment'!B639), MONTH('Change in Employment'!B639), 1), ""), "mm/dd/yyyy")</f>
        <v/>
      </c>
      <c r="B632" s="23" t="str">
        <f>IF(ISNUMBER('Change in Employment'!L639),'Change in Employment'!L639, "")</f>
        <v/>
      </c>
      <c r="C632" s="23" t="str">
        <f>IFERROR(IF(ISNUMBER('Change in Employment'!M639),TEXT('Change in Employment'!M639, "0"), ""), "")</f>
        <v/>
      </c>
    </row>
    <row r="633" spans="1:3">
      <c r="A633" s="23" t="str">
        <f>TEXT(IF('Change in Employment'!B640&lt;&gt;0,DATE(YEAR('Change in Employment'!B640), MONTH('Change in Employment'!B640), 1), ""), "mm/dd/yyyy")</f>
        <v/>
      </c>
      <c r="B633" s="23" t="str">
        <f>IF(ISNUMBER('Change in Employment'!L640),'Change in Employment'!L640, "")</f>
        <v/>
      </c>
      <c r="C633" s="23" t="str">
        <f>IFERROR(IF(ISNUMBER('Change in Employment'!M640),TEXT('Change in Employment'!M640, "0"), ""), "")</f>
        <v/>
      </c>
    </row>
    <row r="634" spans="1:3">
      <c r="A634" s="23" t="str">
        <f>TEXT(IF('Change in Employment'!B641&lt;&gt;0,DATE(YEAR('Change in Employment'!B641), MONTH('Change in Employment'!B641), 1), ""), "mm/dd/yyyy")</f>
        <v/>
      </c>
      <c r="B634" s="23" t="str">
        <f>IF(ISNUMBER('Change in Employment'!L641),'Change in Employment'!L641, "")</f>
        <v/>
      </c>
      <c r="C634" s="23" t="str">
        <f>IFERROR(IF(ISNUMBER('Change in Employment'!M641),TEXT('Change in Employment'!M641, "0"), ""), "")</f>
        <v/>
      </c>
    </row>
    <row r="635" spans="1:3">
      <c r="A635" s="23" t="str">
        <f>TEXT(IF('Change in Employment'!B642&lt;&gt;0,DATE(YEAR('Change in Employment'!B642), MONTH('Change in Employment'!B642), 1), ""), "mm/dd/yyyy")</f>
        <v/>
      </c>
      <c r="B635" s="23" t="str">
        <f>IF(ISNUMBER('Change in Employment'!L642),'Change in Employment'!L642, "")</f>
        <v/>
      </c>
      <c r="C635" s="23" t="str">
        <f>IFERROR(IF(ISNUMBER('Change in Employment'!M642),TEXT('Change in Employment'!M642, "0"), ""), "")</f>
        <v/>
      </c>
    </row>
    <row r="636" spans="1:3">
      <c r="A636" s="23" t="str">
        <f>TEXT(IF('Change in Employment'!B643&lt;&gt;0,DATE(YEAR('Change in Employment'!B643), MONTH('Change in Employment'!B643), 1), ""), "mm/dd/yyyy")</f>
        <v/>
      </c>
      <c r="B636" s="23" t="str">
        <f>IF(ISNUMBER('Change in Employment'!L643),'Change in Employment'!L643, "")</f>
        <v/>
      </c>
      <c r="C636" s="23" t="str">
        <f>IFERROR(IF(ISNUMBER('Change in Employment'!M643),TEXT('Change in Employment'!M643, "0"), ""), "")</f>
        <v/>
      </c>
    </row>
    <row r="637" spans="1:3">
      <c r="A637" s="23" t="str">
        <f>TEXT(IF('Change in Employment'!B644&lt;&gt;0,DATE(YEAR('Change in Employment'!B644), MONTH('Change in Employment'!B644), 1), ""), "mm/dd/yyyy")</f>
        <v/>
      </c>
      <c r="B637" s="23" t="str">
        <f>IF(ISNUMBER('Change in Employment'!L644),'Change in Employment'!L644, "")</f>
        <v/>
      </c>
      <c r="C637" s="23" t="str">
        <f>IFERROR(IF(ISNUMBER('Change in Employment'!M644),TEXT('Change in Employment'!M644, "0"), ""), "")</f>
        <v/>
      </c>
    </row>
    <row r="638" spans="1:3">
      <c r="A638" s="23" t="str">
        <f>TEXT(IF('Change in Employment'!B645&lt;&gt;0,DATE(YEAR('Change in Employment'!B645), MONTH('Change in Employment'!B645), 1), ""), "mm/dd/yyyy")</f>
        <v/>
      </c>
      <c r="B638" s="23" t="str">
        <f>IF(ISNUMBER('Change in Employment'!L645),'Change in Employment'!L645, "")</f>
        <v/>
      </c>
      <c r="C638" s="23" t="str">
        <f>IFERROR(IF(ISNUMBER('Change in Employment'!M645),TEXT('Change in Employment'!M645, "0"), ""), "")</f>
        <v/>
      </c>
    </row>
    <row r="639" spans="1:3">
      <c r="A639" s="23" t="str">
        <f>TEXT(IF('Change in Employment'!B646&lt;&gt;0,DATE(YEAR('Change in Employment'!B646), MONTH('Change in Employment'!B646), 1), ""), "mm/dd/yyyy")</f>
        <v/>
      </c>
      <c r="B639" s="23" t="str">
        <f>IF(ISNUMBER('Change in Employment'!L646),'Change in Employment'!L646, "")</f>
        <v/>
      </c>
      <c r="C639" s="23" t="str">
        <f>IFERROR(IF(ISNUMBER('Change in Employment'!M646),TEXT('Change in Employment'!M646, "0"), ""), "")</f>
        <v/>
      </c>
    </row>
    <row r="640" spans="1:3">
      <c r="A640" s="23" t="str">
        <f>TEXT(IF('Change in Employment'!B647&lt;&gt;0,DATE(YEAR('Change in Employment'!B647), MONTH('Change in Employment'!B647), 1), ""), "mm/dd/yyyy")</f>
        <v/>
      </c>
      <c r="B640" s="23" t="str">
        <f>IF(ISNUMBER('Change in Employment'!L647),'Change in Employment'!L647, "")</f>
        <v/>
      </c>
      <c r="C640" s="23" t="str">
        <f>IFERROR(IF(ISNUMBER('Change in Employment'!M647),TEXT('Change in Employment'!M647, "0"), ""), "")</f>
        <v/>
      </c>
    </row>
    <row r="641" spans="1:3">
      <c r="A641" s="23" t="str">
        <f>TEXT(IF('Change in Employment'!B648&lt;&gt;0,DATE(YEAR('Change in Employment'!B648), MONTH('Change in Employment'!B648), 1), ""), "mm/dd/yyyy")</f>
        <v/>
      </c>
      <c r="B641" s="23" t="str">
        <f>IF(ISNUMBER('Change in Employment'!L648),'Change in Employment'!L648, "")</f>
        <v/>
      </c>
      <c r="C641" s="23" t="str">
        <f>IFERROR(IF(ISNUMBER('Change in Employment'!M648),TEXT('Change in Employment'!M648, "0"), ""), "")</f>
        <v/>
      </c>
    </row>
    <row r="642" spans="1:3">
      <c r="A642" s="23" t="str">
        <f>TEXT(IF('Change in Employment'!B649&lt;&gt;0,DATE(YEAR('Change in Employment'!B649), MONTH('Change in Employment'!B649), 1), ""), "mm/dd/yyyy")</f>
        <v/>
      </c>
      <c r="B642" s="23" t="str">
        <f>IF(ISNUMBER('Change in Employment'!L649),'Change in Employment'!L649, "")</f>
        <v/>
      </c>
      <c r="C642" s="23" t="str">
        <f>IFERROR(IF(ISNUMBER('Change in Employment'!M649),TEXT('Change in Employment'!M649, "0"), ""), "")</f>
        <v/>
      </c>
    </row>
    <row r="643" spans="1:3">
      <c r="A643" s="23" t="str">
        <f>TEXT(IF('Change in Employment'!B650&lt;&gt;0,DATE(YEAR('Change in Employment'!B650), MONTH('Change in Employment'!B650), 1), ""), "mm/dd/yyyy")</f>
        <v/>
      </c>
      <c r="B643" s="23" t="str">
        <f>IF(ISNUMBER('Change in Employment'!L650),'Change in Employment'!L650, "")</f>
        <v/>
      </c>
      <c r="C643" s="23" t="str">
        <f>IFERROR(IF(ISNUMBER('Change in Employment'!M650),TEXT('Change in Employment'!M650, "0"), ""), "")</f>
        <v/>
      </c>
    </row>
    <row r="644" spans="1:3">
      <c r="A644" s="23" t="str">
        <f>TEXT(IF('Change in Employment'!B651&lt;&gt;0,DATE(YEAR('Change in Employment'!B651), MONTH('Change in Employment'!B651), 1), ""), "mm/dd/yyyy")</f>
        <v/>
      </c>
      <c r="B644" s="23" t="str">
        <f>IF(ISNUMBER('Change in Employment'!L651),'Change in Employment'!L651, "")</f>
        <v/>
      </c>
      <c r="C644" s="23" t="str">
        <f>IFERROR(IF(ISNUMBER('Change in Employment'!M651),TEXT('Change in Employment'!M651, "0"), ""), "")</f>
        <v/>
      </c>
    </row>
    <row r="645" spans="1:3">
      <c r="A645" s="23" t="str">
        <f>TEXT(IF('Change in Employment'!B652&lt;&gt;0,DATE(YEAR('Change in Employment'!B652), MONTH('Change in Employment'!B652), 1), ""), "mm/dd/yyyy")</f>
        <v/>
      </c>
      <c r="B645" s="23" t="str">
        <f>IF(ISNUMBER('Change in Employment'!L652),'Change in Employment'!L652, "")</f>
        <v/>
      </c>
      <c r="C645" s="23" t="str">
        <f>IFERROR(IF(ISNUMBER('Change in Employment'!M652),TEXT('Change in Employment'!M652, "0"), ""), "")</f>
        <v/>
      </c>
    </row>
    <row r="646" spans="1:3">
      <c r="A646" s="23" t="str">
        <f>TEXT(IF('Change in Employment'!B653&lt;&gt;0,DATE(YEAR('Change in Employment'!B653), MONTH('Change in Employment'!B653), 1), ""), "mm/dd/yyyy")</f>
        <v/>
      </c>
      <c r="B646" s="23" t="str">
        <f>IF(ISNUMBER('Change in Employment'!L653),'Change in Employment'!L653, "")</f>
        <v/>
      </c>
      <c r="C646" s="23" t="str">
        <f>IFERROR(IF(ISNUMBER('Change in Employment'!M653),TEXT('Change in Employment'!M653, "0"), ""), "")</f>
        <v/>
      </c>
    </row>
    <row r="647" spans="1:3">
      <c r="A647" s="23" t="str">
        <f>TEXT(IF('Change in Employment'!B654&lt;&gt;0,DATE(YEAR('Change in Employment'!B654), MONTH('Change in Employment'!B654), 1), ""), "mm/dd/yyyy")</f>
        <v/>
      </c>
      <c r="B647" s="23" t="str">
        <f>IF(ISNUMBER('Change in Employment'!L654),'Change in Employment'!L654, "")</f>
        <v/>
      </c>
      <c r="C647" s="23" t="str">
        <f>IFERROR(IF(ISNUMBER('Change in Employment'!M654),TEXT('Change in Employment'!M654, "0"), ""), "")</f>
        <v/>
      </c>
    </row>
    <row r="648" spans="1:3">
      <c r="A648" s="23" t="str">
        <f>TEXT(IF('Change in Employment'!B655&lt;&gt;0,DATE(YEAR('Change in Employment'!B655), MONTH('Change in Employment'!B655), 1), ""), "mm/dd/yyyy")</f>
        <v/>
      </c>
      <c r="B648" s="23" t="str">
        <f>IF(ISNUMBER('Change in Employment'!L655),'Change in Employment'!L655, "")</f>
        <v/>
      </c>
      <c r="C648" s="23" t="str">
        <f>IFERROR(IF(ISNUMBER('Change in Employment'!M655),TEXT('Change in Employment'!M655, "0"), ""), "")</f>
        <v/>
      </c>
    </row>
    <row r="649" spans="1:3">
      <c r="A649" s="23" t="str">
        <f>TEXT(IF('Change in Employment'!B656&lt;&gt;0,DATE(YEAR('Change in Employment'!B656), MONTH('Change in Employment'!B656), 1), ""), "mm/dd/yyyy")</f>
        <v/>
      </c>
      <c r="B649" s="23" t="str">
        <f>IF(ISNUMBER('Change in Employment'!L656),'Change in Employment'!L656, "")</f>
        <v/>
      </c>
      <c r="C649" s="23" t="str">
        <f>IFERROR(IF(ISNUMBER('Change in Employment'!M656),TEXT('Change in Employment'!M656, "0"), ""), "")</f>
        <v/>
      </c>
    </row>
    <row r="650" spans="1:3">
      <c r="A650" s="23" t="str">
        <f>TEXT(IF('Change in Employment'!B657&lt;&gt;0,DATE(YEAR('Change in Employment'!B657), MONTH('Change in Employment'!B657), 1), ""), "mm/dd/yyyy")</f>
        <v/>
      </c>
      <c r="B650" s="23" t="str">
        <f>IF(ISNUMBER('Change in Employment'!L657),'Change in Employment'!L657, "")</f>
        <v/>
      </c>
      <c r="C650" s="23" t="str">
        <f>IFERROR(IF(ISNUMBER('Change in Employment'!M657),TEXT('Change in Employment'!M657, "0"), ""), "")</f>
        <v/>
      </c>
    </row>
    <row r="651" spans="1:3">
      <c r="A651" s="23" t="str">
        <f>TEXT(IF('Change in Employment'!B658&lt;&gt;0,DATE(YEAR('Change in Employment'!B658), MONTH('Change in Employment'!B658), 1), ""), "mm/dd/yyyy")</f>
        <v/>
      </c>
      <c r="B651" s="23" t="str">
        <f>IF(ISNUMBER('Change in Employment'!L658),'Change in Employment'!L658, "")</f>
        <v/>
      </c>
      <c r="C651" s="23" t="str">
        <f>IFERROR(IF(ISNUMBER('Change in Employment'!M658),TEXT('Change in Employment'!M658, "0"), ""), "")</f>
        <v/>
      </c>
    </row>
    <row r="652" spans="1:3">
      <c r="A652" s="23" t="str">
        <f>TEXT(IF('Change in Employment'!B659&lt;&gt;0,DATE(YEAR('Change in Employment'!B659), MONTH('Change in Employment'!B659), 1), ""), "mm/dd/yyyy")</f>
        <v/>
      </c>
      <c r="B652" s="23" t="str">
        <f>IF(ISNUMBER('Change in Employment'!L659),'Change in Employment'!L659, "")</f>
        <v/>
      </c>
      <c r="C652" s="23" t="str">
        <f>IFERROR(IF(ISNUMBER('Change in Employment'!M659),TEXT('Change in Employment'!M659, "0"), ""), "")</f>
        <v/>
      </c>
    </row>
    <row r="653" spans="1:3">
      <c r="A653" s="23" t="str">
        <f>TEXT(IF('Change in Employment'!B660&lt;&gt;0,DATE(YEAR('Change in Employment'!B660), MONTH('Change in Employment'!B660), 1), ""), "mm/dd/yyyy")</f>
        <v/>
      </c>
      <c r="B653" s="23" t="str">
        <f>IF(ISNUMBER('Change in Employment'!L660),'Change in Employment'!L660, "")</f>
        <v/>
      </c>
      <c r="C653" s="23" t="str">
        <f>IFERROR(IF(ISNUMBER('Change in Employment'!M660),TEXT('Change in Employment'!M660, "0"), ""), "")</f>
        <v/>
      </c>
    </row>
    <row r="654" spans="1:3">
      <c r="A654" s="23" t="str">
        <f>TEXT(IF('Change in Employment'!B661&lt;&gt;0,DATE(YEAR('Change in Employment'!B661), MONTH('Change in Employment'!B661), 1), ""), "mm/dd/yyyy")</f>
        <v/>
      </c>
      <c r="B654" s="23" t="str">
        <f>IF(ISNUMBER('Change in Employment'!L661),'Change in Employment'!L661, "")</f>
        <v/>
      </c>
      <c r="C654" s="23" t="str">
        <f>IFERROR(IF(ISNUMBER('Change in Employment'!M661),TEXT('Change in Employment'!M661, "0"), ""), "")</f>
        <v/>
      </c>
    </row>
    <row r="655" spans="1:3">
      <c r="A655" s="23" t="str">
        <f>TEXT(IF('Change in Employment'!B662&lt;&gt;0,DATE(YEAR('Change in Employment'!B662), MONTH('Change in Employment'!B662), 1), ""), "mm/dd/yyyy")</f>
        <v/>
      </c>
      <c r="B655" s="23" t="str">
        <f>IF(ISNUMBER('Change in Employment'!L662),'Change in Employment'!L662, "")</f>
        <v/>
      </c>
      <c r="C655" s="23" t="str">
        <f>IFERROR(IF(ISNUMBER('Change in Employment'!M662),TEXT('Change in Employment'!M662, "0"), ""), "")</f>
        <v/>
      </c>
    </row>
    <row r="656" spans="1:3">
      <c r="A656" s="23" t="str">
        <f>TEXT(IF('Change in Employment'!B663&lt;&gt;0,DATE(YEAR('Change in Employment'!B663), MONTH('Change in Employment'!B663), 1), ""), "mm/dd/yyyy")</f>
        <v/>
      </c>
      <c r="B656" s="23" t="str">
        <f>IF(ISNUMBER('Change in Employment'!L663),'Change in Employment'!L663, "")</f>
        <v/>
      </c>
      <c r="C656" s="23" t="str">
        <f>IFERROR(IF(ISNUMBER('Change in Employment'!M663),TEXT('Change in Employment'!M663, "0"), ""), "")</f>
        <v/>
      </c>
    </row>
    <row r="657" spans="1:3">
      <c r="A657" s="23" t="str">
        <f>TEXT(IF('Change in Employment'!B664&lt;&gt;0,DATE(YEAR('Change in Employment'!B664), MONTH('Change in Employment'!B664), 1), ""), "mm/dd/yyyy")</f>
        <v/>
      </c>
      <c r="B657" s="23" t="str">
        <f>IF(ISNUMBER('Change in Employment'!L664),'Change in Employment'!L664, "")</f>
        <v/>
      </c>
      <c r="C657" s="23" t="str">
        <f>IFERROR(IF(ISNUMBER('Change in Employment'!M664),TEXT('Change in Employment'!M664, "0"), ""), "")</f>
        <v/>
      </c>
    </row>
    <row r="658" spans="1:3">
      <c r="A658" s="23" t="str">
        <f>TEXT(IF('Change in Employment'!B665&lt;&gt;0,DATE(YEAR('Change in Employment'!B665), MONTH('Change in Employment'!B665), 1), ""), "mm/dd/yyyy")</f>
        <v/>
      </c>
      <c r="B658" s="23" t="str">
        <f>IF(ISNUMBER('Change in Employment'!L665),'Change in Employment'!L665, "")</f>
        <v/>
      </c>
      <c r="C658" s="23" t="str">
        <f>IFERROR(IF(ISNUMBER('Change in Employment'!M665),TEXT('Change in Employment'!M665, "0"), ""), "")</f>
        <v/>
      </c>
    </row>
    <row r="659" spans="1:3">
      <c r="A659" s="23" t="str">
        <f>TEXT(IF('Change in Employment'!B666&lt;&gt;0,DATE(YEAR('Change in Employment'!B666), MONTH('Change in Employment'!B666), 1), ""), "mm/dd/yyyy")</f>
        <v/>
      </c>
      <c r="B659" s="23" t="str">
        <f>IF(ISNUMBER('Change in Employment'!L666),'Change in Employment'!L666, "")</f>
        <v/>
      </c>
      <c r="C659" s="23" t="str">
        <f>IFERROR(IF(ISNUMBER('Change in Employment'!M666),TEXT('Change in Employment'!M666, "0"), ""), "")</f>
        <v/>
      </c>
    </row>
    <row r="660" spans="1:3">
      <c r="A660" s="23" t="str">
        <f>TEXT(IF('Change in Employment'!B667&lt;&gt;0,DATE(YEAR('Change in Employment'!B667), MONTH('Change in Employment'!B667), 1), ""), "mm/dd/yyyy")</f>
        <v/>
      </c>
      <c r="B660" s="23" t="str">
        <f>IF(ISNUMBER('Change in Employment'!L667),'Change in Employment'!L667, "")</f>
        <v/>
      </c>
      <c r="C660" s="23" t="str">
        <f>IFERROR(IF(ISNUMBER('Change in Employment'!M667),TEXT('Change in Employment'!M667, "0"), ""), "")</f>
        <v/>
      </c>
    </row>
    <row r="661" spans="1:3">
      <c r="A661" s="23" t="str">
        <f>TEXT(IF('Change in Employment'!B668&lt;&gt;0,DATE(YEAR('Change in Employment'!B668), MONTH('Change in Employment'!B668), 1), ""), "mm/dd/yyyy")</f>
        <v/>
      </c>
      <c r="B661" s="23" t="str">
        <f>IF(ISNUMBER('Change in Employment'!L668),'Change in Employment'!L668, "")</f>
        <v/>
      </c>
      <c r="C661" s="23" t="str">
        <f>IFERROR(IF(ISNUMBER('Change in Employment'!M668),TEXT('Change in Employment'!M668, "0"), ""), "")</f>
        <v/>
      </c>
    </row>
    <row r="662" spans="1:3">
      <c r="A662" s="23" t="str">
        <f>TEXT(IF('Change in Employment'!B669&lt;&gt;0,DATE(YEAR('Change in Employment'!B669), MONTH('Change in Employment'!B669), 1), ""), "mm/dd/yyyy")</f>
        <v/>
      </c>
      <c r="B662" s="23" t="str">
        <f>IF(ISNUMBER('Change in Employment'!L669),'Change in Employment'!L669, "")</f>
        <v/>
      </c>
      <c r="C662" s="23" t="str">
        <f>IFERROR(IF(ISNUMBER('Change in Employment'!M669),TEXT('Change in Employment'!M669, "0"), ""), "")</f>
        <v/>
      </c>
    </row>
    <row r="663" spans="1:3">
      <c r="A663" s="23" t="str">
        <f>TEXT(IF('Change in Employment'!B670&lt;&gt;0,DATE(YEAR('Change in Employment'!B670), MONTH('Change in Employment'!B670), 1), ""), "mm/dd/yyyy")</f>
        <v/>
      </c>
      <c r="B663" s="23" t="str">
        <f>IF(ISNUMBER('Change in Employment'!L670),'Change in Employment'!L670, "")</f>
        <v/>
      </c>
      <c r="C663" s="23" t="str">
        <f>IFERROR(IF(ISNUMBER('Change in Employment'!M670),TEXT('Change in Employment'!M670, "0"), ""), "")</f>
        <v/>
      </c>
    </row>
    <row r="664" spans="1:3">
      <c r="A664" s="23" t="str">
        <f>TEXT(IF('Change in Employment'!B671&lt;&gt;0,DATE(YEAR('Change in Employment'!B671), MONTH('Change in Employment'!B671), 1), ""), "mm/dd/yyyy")</f>
        <v/>
      </c>
      <c r="B664" s="23" t="str">
        <f>IF(ISNUMBER('Change in Employment'!L671),'Change in Employment'!L671, "")</f>
        <v/>
      </c>
      <c r="C664" s="23" t="str">
        <f>IFERROR(IF(ISNUMBER('Change in Employment'!M671),TEXT('Change in Employment'!M671, "0"), ""), "")</f>
        <v/>
      </c>
    </row>
    <row r="665" spans="1:3">
      <c r="A665" s="23" t="str">
        <f>TEXT(IF('Change in Employment'!B672&lt;&gt;0,DATE(YEAR('Change in Employment'!B672), MONTH('Change in Employment'!B672), 1), ""), "mm/dd/yyyy")</f>
        <v/>
      </c>
      <c r="B665" s="23" t="str">
        <f>IF(ISNUMBER('Change in Employment'!L672),'Change in Employment'!L672, "")</f>
        <v/>
      </c>
      <c r="C665" s="23" t="str">
        <f>IFERROR(IF(ISNUMBER('Change in Employment'!M672),TEXT('Change in Employment'!M672, "0"), ""), "")</f>
        <v/>
      </c>
    </row>
    <row r="666" spans="1:3">
      <c r="A666" s="23" t="str">
        <f>TEXT(IF('Change in Employment'!B673&lt;&gt;0,DATE(YEAR('Change in Employment'!B673), MONTH('Change in Employment'!B673), 1), ""), "mm/dd/yyyy")</f>
        <v/>
      </c>
      <c r="B666" s="23" t="str">
        <f>IF(ISNUMBER('Change in Employment'!L673),'Change in Employment'!L673, "")</f>
        <v/>
      </c>
      <c r="C666" s="23" t="str">
        <f>IFERROR(IF(ISNUMBER('Change in Employment'!M673),TEXT('Change in Employment'!M673, "0"), ""), "")</f>
        <v/>
      </c>
    </row>
    <row r="667" spans="1:3">
      <c r="A667" s="23" t="str">
        <f>TEXT(IF('Change in Employment'!B674&lt;&gt;0,DATE(YEAR('Change in Employment'!B674), MONTH('Change in Employment'!B674), 1), ""), "mm/dd/yyyy")</f>
        <v/>
      </c>
      <c r="B667" s="23" t="str">
        <f>IF(ISNUMBER('Change in Employment'!L674),'Change in Employment'!L674, "")</f>
        <v/>
      </c>
      <c r="C667" s="23" t="str">
        <f>IFERROR(IF(ISNUMBER('Change in Employment'!M674),TEXT('Change in Employment'!M674, "0"), ""), "")</f>
        <v/>
      </c>
    </row>
    <row r="668" spans="1:3">
      <c r="A668" s="23" t="str">
        <f>TEXT(IF('Change in Employment'!B675&lt;&gt;0,DATE(YEAR('Change in Employment'!B675), MONTH('Change in Employment'!B675), 1), ""), "mm/dd/yyyy")</f>
        <v/>
      </c>
      <c r="B668" s="23" t="str">
        <f>IF(ISNUMBER('Change in Employment'!L675),'Change in Employment'!L675, "")</f>
        <v/>
      </c>
      <c r="C668" s="23" t="str">
        <f>IFERROR(IF(ISNUMBER('Change in Employment'!M675),TEXT('Change in Employment'!M675, "0"), ""), "")</f>
        <v/>
      </c>
    </row>
    <row r="669" spans="1:3">
      <c r="A669" s="23" t="str">
        <f>TEXT(IF('Change in Employment'!B676&lt;&gt;0,DATE(YEAR('Change in Employment'!B676), MONTH('Change in Employment'!B676), 1), ""), "mm/dd/yyyy")</f>
        <v/>
      </c>
      <c r="B669" s="23" t="str">
        <f>IF(ISNUMBER('Change in Employment'!L676),'Change in Employment'!L676, "")</f>
        <v/>
      </c>
      <c r="C669" s="23" t="str">
        <f>IFERROR(IF(ISNUMBER('Change in Employment'!M676),TEXT('Change in Employment'!M676, "0"), ""), "")</f>
        <v/>
      </c>
    </row>
    <row r="670" spans="1:3">
      <c r="A670" s="23" t="str">
        <f>TEXT(IF('Change in Employment'!B677&lt;&gt;0,DATE(YEAR('Change in Employment'!B677), MONTH('Change in Employment'!B677), 1), ""), "mm/dd/yyyy")</f>
        <v/>
      </c>
      <c r="B670" s="23" t="str">
        <f>IF(ISNUMBER('Change in Employment'!L677),'Change in Employment'!L677, "")</f>
        <v/>
      </c>
      <c r="C670" s="23" t="str">
        <f>IFERROR(IF(ISNUMBER('Change in Employment'!M677),TEXT('Change in Employment'!M677, "0"), ""), "")</f>
        <v/>
      </c>
    </row>
    <row r="671" spans="1:3">
      <c r="A671" s="23" t="str">
        <f>TEXT(IF('Change in Employment'!B678&lt;&gt;0,DATE(YEAR('Change in Employment'!B678), MONTH('Change in Employment'!B678), 1), ""), "mm/dd/yyyy")</f>
        <v/>
      </c>
      <c r="B671" s="23" t="str">
        <f>IF(ISNUMBER('Change in Employment'!L678),'Change in Employment'!L678, "")</f>
        <v/>
      </c>
      <c r="C671" s="23" t="str">
        <f>IFERROR(IF(ISNUMBER('Change in Employment'!M678),TEXT('Change in Employment'!M678, "0"), ""), "")</f>
        <v/>
      </c>
    </row>
    <row r="672" spans="1:3">
      <c r="A672" s="23" t="str">
        <f>TEXT(IF('Change in Employment'!B679&lt;&gt;0,DATE(YEAR('Change in Employment'!B679), MONTH('Change in Employment'!B679), 1), ""), "mm/dd/yyyy")</f>
        <v/>
      </c>
      <c r="B672" s="23" t="str">
        <f>IF(ISNUMBER('Change in Employment'!L679),'Change in Employment'!L679, "")</f>
        <v/>
      </c>
      <c r="C672" s="23" t="str">
        <f>IFERROR(IF(ISNUMBER('Change in Employment'!M679),TEXT('Change in Employment'!M679, "0"), ""), "")</f>
        <v/>
      </c>
    </row>
    <row r="673" spans="1:3">
      <c r="A673" s="23" t="str">
        <f>TEXT(IF('Change in Employment'!B680&lt;&gt;0,DATE(YEAR('Change in Employment'!B680), MONTH('Change in Employment'!B680), 1), ""), "mm/dd/yyyy")</f>
        <v/>
      </c>
      <c r="B673" s="23" t="str">
        <f>IF(ISNUMBER('Change in Employment'!L680),'Change in Employment'!L680, "")</f>
        <v/>
      </c>
      <c r="C673" s="23" t="str">
        <f>IFERROR(IF(ISNUMBER('Change in Employment'!M680),TEXT('Change in Employment'!M680, "0"), ""), "")</f>
        <v/>
      </c>
    </row>
    <row r="674" spans="1:3">
      <c r="A674" s="23" t="str">
        <f>TEXT(IF('Change in Employment'!B681&lt;&gt;0,DATE(YEAR('Change in Employment'!B681), MONTH('Change in Employment'!B681), 1), ""), "mm/dd/yyyy")</f>
        <v/>
      </c>
      <c r="B674" s="23" t="str">
        <f>IF(ISNUMBER('Change in Employment'!L681),'Change in Employment'!L681, "")</f>
        <v/>
      </c>
      <c r="C674" s="23" t="str">
        <f>IFERROR(IF(ISNUMBER('Change in Employment'!M681),TEXT('Change in Employment'!M681, "0"), ""), "")</f>
        <v/>
      </c>
    </row>
    <row r="675" spans="1:3">
      <c r="A675" s="23" t="str">
        <f>TEXT(IF('Change in Employment'!B682&lt;&gt;0,DATE(YEAR('Change in Employment'!B682), MONTH('Change in Employment'!B682), 1), ""), "mm/dd/yyyy")</f>
        <v/>
      </c>
      <c r="B675" s="23" t="str">
        <f>IF(ISNUMBER('Change in Employment'!L682),'Change in Employment'!L682, "")</f>
        <v/>
      </c>
      <c r="C675" s="23" t="str">
        <f>IFERROR(IF(ISNUMBER('Change in Employment'!M682),TEXT('Change in Employment'!M682, "0"), ""), "")</f>
        <v/>
      </c>
    </row>
    <row r="676" spans="1:3">
      <c r="A676" s="23" t="str">
        <f>TEXT(IF('Change in Employment'!B683&lt;&gt;0,DATE(YEAR('Change in Employment'!B683), MONTH('Change in Employment'!B683), 1), ""), "mm/dd/yyyy")</f>
        <v/>
      </c>
      <c r="B676" s="23" t="str">
        <f>IF(ISNUMBER('Change in Employment'!L683),'Change in Employment'!L683, "")</f>
        <v/>
      </c>
      <c r="C676" s="23" t="str">
        <f>IFERROR(IF(ISNUMBER('Change in Employment'!M683),TEXT('Change in Employment'!M683, "0"), ""), "")</f>
        <v/>
      </c>
    </row>
    <row r="677" spans="1:3">
      <c r="A677" s="23" t="str">
        <f>TEXT(IF('Change in Employment'!B684&lt;&gt;0,DATE(YEAR('Change in Employment'!B684), MONTH('Change in Employment'!B684), 1), ""), "mm/dd/yyyy")</f>
        <v/>
      </c>
      <c r="B677" s="23" t="str">
        <f>IF(ISNUMBER('Change in Employment'!L684),'Change in Employment'!L684, "")</f>
        <v/>
      </c>
      <c r="C677" s="23" t="str">
        <f>IFERROR(IF(ISNUMBER('Change in Employment'!M684),TEXT('Change in Employment'!M684, "0"), ""), "")</f>
        <v/>
      </c>
    </row>
    <row r="678" spans="1:3">
      <c r="A678" s="23" t="str">
        <f>TEXT(IF('Change in Employment'!B685&lt;&gt;0,DATE(YEAR('Change in Employment'!B685), MONTH('Change in Employment'!B685), 1), ""), "mm/dd/yyyy")</f>
        <v/>
      </c>
      <c r="B678" s="23" t="str">
        <f>IF(ISNUMBER('Change in Employment'!L685),'Change in Employment'!L685, "")</f>
        <v/>
      </c>
      <c r="C678" s="23" t="str">
        <f>IFERROR(IF(ISNUMBER('Change in Employment'!M685),TEXT('Change in Employment'!M685, "0"), ""), "")</f>
        <v/>
      </c>
    </row>
    <row r="679" spans="1:3">
      <c r="A679" s="23" t="str">
        <f>TEXT(IF('Change in Employment'!B686&lt;&gt;0,DATE(YEAR('Change in Employment'!B686), MONTH('Change in Employment'!B686), 1), ""), "mm/dd/yyyy")</f>
        <v/>
      </c>
      <c r="B679" s="23" t="str">
        <f>IF(ISNUMBER('Change in Employment'!L686),'Change in Employment'!L686, "")</f>
        <v/>
      </c>
      <c r="C679" s="23" t="str">
        <f>IFERROR(IF(ISNUMBER('Change in Employment'!M686),TEXT('Change in Employment'!M686, "0"), ""), "")</f>
        <v/>
      </c>
    </row>
    <row r="680" spans="1:3">
      <c r="A680" s="23" t="str">
        <f>TEXT(IF('Change in Employment'!B687&lt;&gt;0,DATE(YEAR('Change in Employment'!B687), MONTH('Change in Employment'!B687), 1), ""), "mm/dd/yyyy")</f>
        <v/>
      </c>
      <c r="B680" s="23" t="str">
        <f>IF(ISNUMBER('Change in Employment'!L687),'Change in Employment'!L687, "")</f>
        <v/>
      </c>
      <c r="C680" s="23" t="str">
        <f>IFERROR(IF(ISNUMBER('Change in Employment'!M687),TEXT('Change in Employment'!M687, "0"), ""), "")</f>
        <v/>
      </c>
    </row>
    <row r="681" spans="1:3">
      <c r="A681" s="23" t="str">
        <f>TEXT(IF('Change in Employment'!B688&lt;&gt;0,DATE(YEAR('Change in Employment'!B688), MONTH('Change in Employment'!B688), 1), ""), "mm/dd/yyyy")</f>
        <v/>
      </c>
      <c r="B681" s="23" t="str">
        <f>IF(ISNUMBER('Change in Employment'!L688),'Change in Employment'!L688, "")</f>
        <v/>
      </c>
      <c r="C681" s="23" t="str">
        <f>IFERROR(IF(ISNUMBER('Change in Employment'!M688),TEXT('Change in Employment'!M688, "0"), ""), "")</f>
        <v/>
      </c>
    </row>
    <row r="682" spans="1:3">
      <c r="A682" s="23" t="str">
        <f>TEXT(IF('Change in Employment'!B689&lt;&gt;0,DATE(YEAR('Change in Employment'!B689), MONTH('Change in Employment'!B689), 1), ""), "mm/dd/yyyy")</f>
        <v/>
      </c>
      <c r="B682" s="23" t="str">
        <f>IF(ISNUMBER('Change in Employment'!L689),'Change in Employment'!L689, "")</f>
        <v/>
      </c>
      <c r="C682" s="23" t="str">
        <f>IFERROR(IF(ISNUMBER('Change in Employment'!M689),TEXT('Change in Employment'!M689, "0"), ""), "")</f>
        <v/>
      </c>
    </row>
    <row r="683" spans="1:3">
      <c r="A683" s="23" t="str">
        <f>TEXT(IF('Change in Employment'!B690&lt;&gt;0,DATE(YEAR('Change in Employment'!B690), MONTH('Change in Employment'!B690), 1), ""), "mm/dd/yyyy")</f>
        <v/>
      </c>
      <c r="B683" s="23" t="str">
        <f>IF(ISNUMBER('Change in Employment'!L690),'Change in Employment'!L690, "")</f>
        <v/>
      </c>
      <c r="C683" s="23" t="str">
        <f>IFERROR(IF(ISNUMBER('Change in Employment'!M690),TEXT('Change in Employment'!M690, "0"), ""), "")</f>
        <v/>
      </c>
    </row>
    <row r="684" spans="1:3">
      <c r="A684" s="23" t="str">
        <f>TEXT(IF('Change in Employment'!B691&lt;&gt;0,DATE(YEAR('Change in Employment'!B691), MONTH('Change in Employment'!B691), 1), ""), "mm/dd/yyyy")</f>
        <v/>
      </c>
      <c r="B684" s="23" t="str">
        <f>IF(ISNUMBER('Change in Employment'!L691),'Change in Employment'!L691, "")</f>
        <v/>
      </c>
      <c r="C684" s="23" t="str">
        <f>IFERROR(IF(ISNUMBER('Change in Employment'!M691),TEXT('Change in Employment'!M691, "0"), ""), "")</f>
        <v/>
      </c>
    </row>
    <row r="685" spans="1:3">
      <c r="A685" s="23" t="str">
        <f>TEXT(IF('Change in Employment'!B692&lt;&gt;0,DATE(YEAR('Change in Employment'!B692), MONTH('Change in Employment'!B692), 1), ""), "mm/dd/yyyy")</f>
        <v/>
      </c>
      <c r="B685" s="23" t="str">
        <f>IF(ISNUMBER('Change in Employment'!L692),'Change in Employment'!L692, "")</f>
        <v/>
      </c>
      <c r="C685" s="23" t="str">
        <f>IFERROR(IF(ISNUMBER('Change in Employment'!M692),TEXT('Change in Employment'!M692, "0"), ""), "")</f>
        <v/>
      </c>
    </row>
    <row r="686" spans="1:3">
      <c r="A686" s="23" t="str">
        <f>TEXT(IF('Change in Employment'!B693&lt;&gt;0,DATE(YEAR('Change in Employment'!B693), MONTH('Change in Employment'!B693), 1), ""), "mm/dd/yyyy")</f>
        <v/>
      </c>
      <c r="B686" s="23" t="str">
        <f>IF(ISNUMBER('Change in Employment'!L693),'Change in Employment'!L693, "")</f>
        <v/>
      </c>
      <c r="C686" s="23" t="str">
        <f>IFERROR(IF(ISNUMBER('Change in Employment'!M693),TEXT('Change in Employment'!M693, "0"), ""), "")</f>
        <v/>
      </c>
    </row>
    <row r="687" spans="1:3">
      <c r="A687" s="23" t="str">
        <f>TEXT(IF('Change in Employment'!B694&lt;&gt;0,DATE(YEAR('Change in Employment'!B694), MONTH('Change in Employment'!B694), 1), ""), "mm/dd/yyyy")</f>
        <v/>
      </c>
      <c r="B687" s="23" t="str">
        <f>IF(ISNUMBER('Change in Employment'!L694),'Change in Employment'!L694, "")</f>
        <v/>
      </c>
      <c r="C687" s="23" t="str">
        <f>IFERROR(IF(ISNUMBER('Change in Employment'!M694),TEXT('Change in Employment'!M694, "0"), ""), "")</f>
        <v/>
      </c>
    </row>
    <row r="688" spans="1:3">
      <c r="A688" s="23" t="str">
        <f>TEXT(IF('Change in Employment'!B695&lt;&gt;0,DATE(YEAR('Change in Employment'!B695), MONTH('Change in Employment'!B695), 1), ""), "mm/dd/yyyy")</f>
        <v/>
      </c>
      <c r="B688" s="23" t="str">
        <f>IF(ISNUMBER('Change in Employment'!L695),'Change in Employment'!L695, "")</f>
        <v/>
      </c>
      <c r="C688" s="23" t="str">
        <f>IFERROR(IF(ISNUMBER('Change in Employment'!M695),TEXT('Change in Employment'!M695, "0"), ""), "")</f>
        <v/>
      </c>
    </row>
    <row r="689" spans="1:3">
      <c r="A689" s="23" t="str">
        <f>TEXT(IF('Change in Employment'!B696&lt;&gt;0,DATE(YEAR('Change in Employment'!B696), MONTH('Change in Employment'!B696), 1), ""), "mm/dd/yyyy")</f>
        <v/>
      </c>
      <c r="B689" s="23" t="str">
        <f>IF(ISNUMBER('Change in Employment'!L696),'Change in Employment'!L696, "")</f>
        <v/>
      </c>
      <c r="C689" s="23" t="str">
        <f>IFERROR(IF(ISNUMBER('Change in Employment'!M696),TEXT('Change in Employment'!M696, "0"), ""), "")</f>
        <v/>
      </c>
    </row>
    <row r="690" spans="1:3">
      <c r="A690" s="23" t="str">
        <f>TEXT(IF('Change in Employment'!B697&lt;&gt;0,DATE(YEAR('Change in Employment'!B697), MONTH('Change in Employment'!B697), 1), ""), "mm/dd/yyyy")</f>
        <v/>
      </c>
      <c r="B690" s="23" t="str">
        <f>IF(ISNUMBER('Change in Employment'!L697),'Change in Employment'!L697, "")</f>
        <v/>
      </c>
      <c r="C690" s="23" t="str">
        <f>IFERROR(IF(ISNUMBER('Change in Employment'!M697),TEXT('Change in Employment'!M697, "0"), ""), "")</f>
        <v/>
      </c>
    </row>
    <row r="691" spans="1:3">
      <c r="A691" s="23" t="str">
        <f>TEXT(IF('Change in Employment'!B698&lt;&gt;0,DATE(YEAR('Change in Employment'!B698), MONTH('Change in Employment'!B698), 1), ""), "mm/dd/yyyy")</f>
        <v/>
      </c>
      <c r="B691" s="23" t="str">
        <f>IF(ISNUMBER('Change in Employment'!L698),'Change in Employment'!L698, "")</f>
        <v/>
      </c>
      <c r="C691" s="23" t="str">
        <f>IFERROR(IF(ISNUMBER('Change in Employment'!M698),TEXT('Change in Employment'!M698, "0"), ""), "")</f>
        <v/>
      </c>
    </row>
    <row r="692" spans="1:3">
      <c r="A692" s="23" t="str">
        <f>TEXT(IF('Change in Employment'!B699&lt;&gt;0,DATE(YEAR('Change in Employment'!B699), MONTH('Change in Employment'!B699), 1), ""), "mm/dd/yyyy")</f>
        <v/>
      </c>
      <c r="B692" s="23" t="str">
        <f>IF(ISNUMBER('Change in Employment'!L699),'Change in Employment'!L699, "")</f>
        <v/>
      </c>
      <c r="C692" s="23" t="str">
        <f>IFERROR(IF(ISNUMBER('Change in Employment'!M699),TEXT('Change in Employment'!M699, "0"), ""), "")</f>
        <v/>
      </c>
    </row>
    <row r="693" spans="1:3">
      <c r="A693" s="23" t="str">
        <f>TEXT(IF('Change in Employment'!B700&lt;&gt;0,DATE(YEAR('Change in Employment'!B700), MONTH('Change in Employment'!B700), 1), ""), "mm/dd/yyyy")</f>
        <v/>
      </c>
      <c r="B693" s="23" t="str">
        <f>IF(ISNUMBER('Change in Employment'!L700),'Change in Employment'!L700, "")</f>
        <v/>
      </c>
      <c r="C693" s="23" t="str">
        <f>IFERROR(IF(ISNUMBER('Change in Employment'!M700),TEXT('Change in Employment'!M700, "0"), ""), "")</f>
        <v/>
      </c>
    </row>
    <row r="694" spans="1:3">
      <c r="A694" s="23" t="str">
        <f>TEXT(IF('Change in Employment'!B701&lt;&gt;0,DATE(YEAR('Change in Employment'!B701), MONTH('Change in Employment'!B701), 1), ""), "mm/dd/yyyy")</f>
        <v/>
      </c>
      <c r="B694" s="23" t="str">
        <f>IF(ISNUMBER('Change in Employment'!L701),'Change in Employment'!L701, "")</f>
        <v/>
      </c>
      <c r="C694" s="23" t="str">
        <f>IFERROR(IF(ISNUMBER('Change in Employment'!M701),TEXT('Change in Employment'!M701, "0"), ""), "")</f>
        <v/>
      </c>
    </row>
    <row r="695" spans="1:3">
      <c r="A695" s="23" t="str">
        <f>TEXT(IF('Change in Employment'!B702&lt;&gt;0,DATE(YEAR('Change in Employment'!B702), MONTH('Change in Employment'!B702), 1), ""), "mm/dd/yyyy")</f>
        <v/>
      </c>
      <c r="B695" s="23" t="str">
        <f>IF(ISNUMBER('Change in Employment'!L702),'Change in Employment'!L702, "")</f>
        <v/>
      </c>
      <c r="C695" s="23" t="str">
        <f>IFERROR(IF(ISNUMBER('Change in Employment'!M702),TEXT('Change in Employment'!M702, "0"), ""), "")</f>
        <v/>
      </c>
    </row>
    <row r="696" spans="1:3">
      <c r="A696" s="23" t="str">
        <f>TEXT(IF('Change in Employment'!B703&lt;&gt;0,DATE(YEAR('Change in Employment'!B703), MONTH('Change in Employment'!B703), 1), ""), "mm/dd/yyyy")</f>
        <v/>
      </c>
      <c r="B696" s="23" t="str">
        <f>IF(ISNUMBER('Change in Employment'!L703),'Change in Employment'!L703, "")</f>
        <v/>
      </c>
      <c r="C696" s="23" t="str">
        <f>IFERROR(IF(ISNUMBER('Change in Employment'!M703),TEXT('Change in Employment'!M703, "0"), ""), "")</f>
        <v/>
      </c>
    </row>
    <row r="697" spans="1:3">
      <c r="A697" s="23" t="str">
        <f>TEXT(IF('Change in Employment'!B704&lt;&gt;0,DATE(YEAR('Change in Employment'!B704), MONTH('Change in Employment'!B704), 1), ""), "mm/dd/yyyy")</f>
        <v/>
      </c>
      <c r="B697" s="23" t="str">
        <f>IF(ISNUMBER('Change in Employment'!L704),'Change in Employment'!L704, "")</f>
        <v/>
      </c>
      <c r="C697" s="23" t="str">
        <f>IFERROR(IF(ISNUMBER('Change in Employment'!M704),TEXT('Change in Employment'!M704, "0"), ""), "")</f>
        <v/>
      </c>
    </row>
    <row r="698" spans="1:3">
      <c r="A698" s="23" t="str">
        <f>TEXT(IF('Change in Employment'!B705&lt;&gt;0,DATE(YEAR('Change in Employment'!B705), MONTH('Change in Employment'!B705), 1), ""), "mm/dd/yyyy")</f>
        <v/>
      </c>
      <c r="B698" s="23" t="str">
        <f>IF(ISNUMBER('Change in Employment'!L705),'Change in Employment'!L705, "")</f>
        <v/>
      </c>
      <c r="C698" s="23" t="str">
        <f>IFERROR(IF(ISNUMBER('Change in Employment'!M705),TEXT('Change in Employment'!M705, "0"), ""), "")</f>
        <v/>
      </c>
    </row>
    <row r="699" spans="1:3">
      <c r="A699" s="23" t="str">
        <f>TEXT(IF('Change in Employment'!B706&lt;&gt;0,DATE(YEAR('Change in Employment'!B706), MONTH('Change in Employment'!B706), 1), ""), "mm/dd/yyyy")</f>
        <v/>
      </c>
      <c r="B699" s="23" t="str">
        <f>IF(ISNUMBER('Change in Employment'!L706),'Change in Employment'!L706, "")</f>
        <v/>
      </c>
      <c r="C699" s="23" t="str">
        <f>IFERROR(IF(ISNUMBER('Change in Employment'!M706),TEXT('Change in Employment'!M706, "0"), ""), "")</f>
        <v/>
      </c>
    </row>
    <row r="700" spans="1:3">
      <c r="A700" s="23" t="str">
        <f>TEXT(IF('Change in Employment'!B707&lt;&gt;0,DATE(YEAR('Change in Employment'!B707), MONTH('Change in Employment'!B707), 1), ""), "mm/dd/yyyy")</f>
        <v/>
      </c>
      <c r="B700" s="23" t="str">
        <f>IF(ISNUMBER('Change in Employment'!L707),'Change in Employment'!L707, "")</f>
        <v/>
      </c>
      <c r="C700" s="23" t="str">
        <f>IFERROR(IF(ISNUMBER('Change in Employment'!M707),TEXT('Change in Employment'!M707, "0"), ""), "")</f>
        <v/>
      </c>
    </row>
    <row r="701" spans="1:3">
      <c r="A701" s="23" t="str">
        <f>TEXT(IF('Change in Employment'!B708&lt;&gt;0,DATE(YEAR('Change in Employment'!B708), MONTH('Change in Employment'!B708), 1), ""), "mm/dd/yyyy")</f>
        <v/>
      </c>
      <c r="B701" s="23" t="str">
        <f>IF(ISNUMBER('Change in Employment'!L708),'Change in Employment'!L708, "")</f>
        <v/>
      </c>
      <c r="C701" s="23" t="str">
        <f>IFERROR(IF(ISNUMBER('Change in Employment'!M708),TEXT('Change in Employment'!M708, "0"), ""), "")</f>
        <v/>
      </c>
    </row>
    <row r="702" spans="1:3">
      <c r="A702" s="23" t="str">
        <f>TEXT(IF('Change in Employment'!B709&lt;&gt;0,DATE(YEAR('Change in Employment'!B709), MONTH('Change in Employment'!B709), 1), ""), "mm/dd/yyyy")</f>
        <v/>
      </c>
      <c r="B702" s="23" t="str">
        <f>IF(ISNUMBER('Change in Employment'!L709),'Change in Employment'!L709, "")</f>
        <v/>
      </c>
      <c r="C702" s="23" t="str">
        <f>IFERROR(IF(ISNUMBER('Change in Employment'!M709),TEXT('Change in Employment'!M709, "0"), ""), "")</f>
        <v/>
      </c>
    </row>
    <row r="703" spans="1:3">
      <c r="A703" s="23" t="str">
        <f>TEXT(IF('Change in Employment'!B710&lt;&gt;0,DATE(YEAR('Change in Employment'!B710), MONTH('Change in Employment'!B710), 1), ""), "mm/dd/yyyy")</f>
        <v/>
      </c>
      <c r="B703" s="23" t="str">
        <f>IF(ISNUMBER('Change in Employment'!L710),'Change in Employment'!L710, "")</f>
        <v/>
      </c>
      <c r="C703" s="23" t="str">
        <f>IFERROR(IF(ISNUMBER('Change in Employment'!M710),TEXT('Change in Employment'!M710, "0"), ""), "")</f>
        <v/>
      </c>
    </row>
    <row r="704" spans="1:3">
      <c r="A704" s="23" t="str">
        <f>TEXT(IF('Change in Employment'!B711&lt;&gt;0,DATE(YEAR('Change in Employment'!B711), MONTH('Change in Employment'!B711), 1), ""), "mm/dd/yyyy")</f>
        <v/>
      </c>
      <c r="B704" s="23" t="str">
        <f>IF(ISNUMBER('Change in Employment'!L711),'Change in Employment'!L711, "")</f>
        <v/>
      </c>
      <c r="C704" s="23" t="str">
        <f>IFERROR(IF(ISNUMBER('Change in Employment'!M711),TEXT('Change in Employment'!M711, "0"), ""), "")</f>
        <v/>
      </c>
    </row>
    <row r="705" spans="1:3">
      <c r="A705" s="23" t="str">
        <f>TEXT(IF('Change in Employment'!B712&lt;&gt;0,DATE(YEAR('Change in Employment'!B712), MONTH('Change in Employment'!B712), 1), ""), "mm/dd/yyyy")</f>
        <v/>
      </c>
      <c r="B705" s="23" t="str">
        <f>IF(ISNUMBER('Change in Employment'!L712),'Change in Employment'!L712, "")</f>
        <v/>
      </c>
      <c r="C705" s="23" t="str">
        <f>IFERROR(IF(ISNUMBER('Change in Employment'!M712),TEXT('Change in Employment'!M712, "0"), ""), "")</f>
        <v/>
      </c>
    </row>
    <row r="706" spans="1:3">
      <c r="A706" s="23" t="str">
        <f>TEXT(IF('Change in Employment'!B713&lt;&gt;0,DATE(YEAR('Change in Employment'!B713), MONTH('Change in Employment'!B713), 1), ""), "mm/dd/yyyy")</f>
        <v/>
      </c>
      <c r="B706" s="23" t="str">
        <f>IF(ISNUMBER('Change in Employment'!L713),'Change in Employment'!L713, "")</f>
        <v/>
      </c>
      <c r="C706" s="23" t="str">
        <f>IFERROR(IF(ISNUMBER('Change in Employment'!M713),TEXT('Change in Employment'!M713, "0"), ""), "")</f>
        <v/>
      </c>
    </row>
    <row r="707" spans="1:3">
      <c r="A707" s="23" t="str">
        <f>TEXT(IF('Change in Employment'!B714&lt;&gt;0,DATE(YEAR('Change in Employment'!B714), MONTH('Change in Employment'!B714), 1), ""), "mm/dd/yyyy")</f>
        <v/>
      </c>
      <c r="B707" s="23" t="str">
        <f>IF(ISNUMBER('Change in Employment'!L714),'Change in Employment'!L714, "")</f>
        <v/>
      </c>
      <c r="C707" s="23" t="str">
        <f>IFERROR(IF(ISNUMBER('Change in Employment'!M714),TEXT('Change in Employment'!M714, "0"), ""), "")</f>
        <v/>
      </c>
    </row>
    <row r="708" spans="1:3">
      <c r="A708" s="23" t="str">
        <f>TEXT(IF('Change in Employment'!B715&lt;&gt;0,DATE(YEAR('Change in Employment'!B715), MONTH('Change in Employment'!B715), 1), ""), "mm/dd/yyyy")</f>
        <v/>
      </c>
      <c r="B708" s="23" t="str">
        <f>IF(ISNUMBER('Change in Employment'!L715),'Change in Employment'!L715, "")</f>
        <v/>
      </c>
      <c r="C708" s="23" t="str">
        <f>IFERROR(IF(ISNUMBER('Change in Employment'!M715),TEXT('Change in Employment'!M715, "0"), ""), "")</f>
        <v/>
      </c>
    </row>
    <row r="709" spans="1:3">
      <c r="A709" s="23" t="str">
        <f>TEXT(IF('Change in Employment'!B716&lt;&gt;0,DATE(YEAR('Change in Employment'!B716), MONTH('Change in Employment'!B716), 1), ""), "mm/dd/yyyy")</f>
        <v/>
      </c>
      <c r="B709" s="23" t="str">
        <f>IF(ISNUMBER('Change in Employment'!L716),'Change in Employment'!L716, "")</f>
        <v/>
      </c>
      <c r="C709" s="23" t="str">
        <f>IFERROR(IF(ISNUMBER('Change in Employment'!M716),TEXT('Change in Employment'!M716, "0"), ""), "")</f>
        <v/>
      </c>
    </row>
    <row r="710" spans="1:3">
      <c r="A710" s="23" t="str">
        <f>TEXT(IF('Change in Employment'!B717&lt;&gt;0,DATE(YEAR('Change in Employment'!B717), MONTH('Change in Employment'!B717), 1), ""), "mm/dd/yyyy")</f>
        <v/>
      </c>
      <c r="B710" s="23" t="str">
        <f>IF(ISNUMBER('Change in Employment'!L717),'Change in Employment'!L717, "")</f>
        <v/>
      </c>
      <c r="C710" s="23" t="str">
        <f>IFERROR(IF(ISNUMBER('Change in Employment'!M717),TEXT('Change in Employment'!M717, "0"), ""), "")</f>
        <v/>
      </c>
    </row>
    <row r="711" spans="1:3">
      <c r="A711" s="23" t="str">
        <f>TEXT(IF('Change in Employment'!B718&lt;&gt;0,DATE(YEAR('Change in Employment'!B718), MONTH('Change in Employment'!B718), 1), ""), "mm/dd/yyyy")</f>
        <v/>
      </c>
      <c r="B711" s="23" t="str">
        <f>IF(ISNUMBER('Change in Employment'!L718),'Change in Employment'!L718, "")</f>
        <v/>
      </c>
      <c r="C711" s="23" t="str">
        <f>IFERROR(IF(ISNUMBER('Change in Employment'!M718),TEXT('Change in Employment'!M718, "0"), ""), "")</f>
        <v/>
      </c>
    </row>
    <row r="712" spans="1:3">
      <c r="A712" s="23" t="str">
        <f>TEXT(IF('Change in Employment'!B719&lt;&gt;0,DATE(YEAR('Change in Employment'!B719), MONTH('Change in Employment'!B719), 1), ""), "mm/dd/yyyy")</f>
        <v/>
      </c>
      <c r="B712" s="23" t="str">
        <f>IF(ISNUMBER('Change in Employment'!L719),'Change in Employment'!L719, "")</f>
        <v/>
      </c>
      <c r="C712" s="23" t="str">
        <f>IFERROR(IF(ISNUMBER('Change in Employment'!M719),TEXT('Change in Employment'!M719, "0"), ""), "")</f>
        <v/>
      </c>
    </row>
    <row r="713" spans="1:3">
      <c r="A713" s="23" t="str">
        <f>TEXT(IF('Change in Employment'!B720&lt;&gt;0,DATE(YEAR('Change in Employment'!B720), MONTH('Change in Employment'!B720), 1), ""), "mm/dd/yyyy")</f>
        <v/>
      </c>
      <c r="B713" s="23" t="str">
        <f>IF(ISNUMBER('Change in Employment'!L720),'Change in Employment'!L720, "")</f>
        <v/>
      </c>
      <c r="C713" s="23" t="str">
        <f>IFERROR(IF(ISNUMBER('Change in Employment'!M720),TEXT('Change in Employment'!M720, "0"), ""), "")</f>
        <v/>
      </c>
    </row>
    <row r="714" spans="1:3">
      <c r="A714" s="23" t="str">
        <f>TEXT(IF('Change in Employment'!B721&lt;&gt;0,DATE(YEAR('Change in Employment'!B721), MONTH('Change in Employment'!B721), 1), ""), "mm/dd/yyyy")</f>
        <v/>
      </c>
      <c r="B714" s="23" t="str">
        <f>IF(ISNUMBER('Change in Employment'!L721),'Change in Employment'!L721, "")</f>
        <v/>
      </c>
      <c r="C714" s="23" t="str">
        <f>IFERROR(IF(ISNUMBER('Change in Employment'!M721),TEXT('Change in Employment'!M721, "0"), ""), "")</f>
        <v/>
      </c>
    </row>
    <row r="715" spans="1:3">
      <c r="A715" s="23" t="str">
        <f>TEXT(IF('Change in Employment'!B722&lt;&gt;0,DATE(YEAR('Change in Employment'!B722), MONTH('Change in Employment'!B722), 1), ""), "mm/dd/yyyy")</f>
        <v/>
      </c>
      <c r="B715" s="23" t="str">
        <f>IF(ISNUMBER('Change in Employment'!L722),'Change in Employment'!L722, "")</f>
        <v/>
      </c>
      <c r="C715" s="23" t="str">
        <f>IFERROR(IF(ISNUMBER('Change in Employment'!M722),TEXT('Change in Employment'!M722, "0"), ""), "")</f>
        <v/>
      </c>
    </row>
    <row r="716" spans="1:3">
      <c r="A716" s="23" t="str">
        <f>TEXT(IF('Change in Employment'!B723&lt;&gt;0,DATE(YEAR('Change in Employment'!B723), MONTH('Change in Employment'!B723), 1), ""), "mm/dd/yyyy")</f>
        <v/>
      </c>
      <c r="B716" s="23" t="str">
        <f>IF(ISNUMBER('Change in Employment'!L723),'Change in Employment'!L723, "")</f>
        <v/>
      </c>
      <c r="C716" s="23" t="str">
        <f>IFERROR(IF(ISNUMBER('Change in Employment'!M723),TEXT('Change in Employment'!M723, "0"), ""), "")</f>
        <v/>
      </c>
    </row>
    <row r="717" spans="1:3">
      <c r="A717" s="23" t="str">
        <f>TEXT(IF('Change in Employment'!B724&lt;&gt;0,DATE(YEAR('Change in Employment'!B724), MONTH('Change in Employment'!B724), 1), ""), "mm/dd/yyyy")</f>
        <v/>
      </c>
      <c r="B717" s="23" t="str">
        <f>IF(ISNUMBER('Change in Employment'!L724),'Change in Employment'!L724, "")</f>
        <v/>
      </c>
      <c r="C717" s="23" t="str">
        <f>IFERROR(IF(ISNUMBER('Change in Employment'!M724),TEXT('Change in Employment'!M724, "0"), ""), "")</f>
        <v/>
      </c>
    </row>
    <row r="718" spans="1:3">
      <c r="A718" s="23" t="str">
        <f>TEXT(IF('Change in Employment'!B725&lt;&gt;0,DATE(YEAR('Change in Employment'!B725), MONTH('Change in Employment'!B725), 1), ""), "mm/dd/yyyy")</f>
        <v/>
      </c>
      <c r="B718" s="23" t="str">
        <f>IF(ISNUMBER('Change in Employment'!L725),'Change in Employment'!L725, "")</f>
        <v/>
      </c>
      <c r="C718" s="23" t="str">
        <f>IFERROR(IF(ISNUMBER('Change in Employment'!M725),TEXT('Change in Employment'!M725, "0"), ""), "")</f>
        <v/>
      </c>
    </row>
    <row r="719" spans="1:3">
      <c r="A719" s="23" t="str">
        <f>TEXT(IF('Change in Employment'!B726&lt;&gt;0,DATE(YEAR('Change in Employment'!B726), MONTH('Change in Employment'!B726), 1), ""), "mm/dd/yyyy")</f>
        <v/>
      </c>
      <c r="B719" s="23" t="str">
        <f>IF(ISNUMBER('Change in Employment'!L726),'Change in Employment'!L726, "")</f>
        <v/>
      </c>
      <c r="C719" s="23" t="str">
        <f>IFERROR(IF(ISNUMBER('Change in Employment'!M726),TEXT('Change in Employment'!M726, "0"), ""), "")</f>
        <v/>
      </c>
    </row>
    <row r="720" spans="1:3">
      <c r="A720" s="23" t="str">
        <f>TEXT(IF('Change in Employment'!B727&lt;&gt;0,DATE(YEAR('Change in Employment'!B727), MONTH('Change in Employment'!B727), 1), ""), "mm/dd/yyyy")</f>
        <v/>
      </c>
      <c r="B720" s="23" t="str">
        <f>IF(ISNUMBER('Change in Employment'!L727),'Change in Employment'!L727, "")</f>
        <v/>
      </c>
      <c r="C720" s="23" t="str">
        <f>IFERROR(IF(ISNUMBER('Change in Employment'!M727),TEXT('Change in Employment'!M727, "0"), ""), "")</f>
        <v/>
      </c>
    </row>
    <row r="721" spans="1:3">
      <c r="A721" s="23" t="str">
        <f>TEXT(IF('Change in Employment'!B728&lt;&gt;0,DATE(YEAR('Change in Employment'!B728), MONTH('Change in Employment'!B728), 1), ""), "mm/dd/yyyy")</f>
        <v/>
      </c>
      <c r="B721" s="23" t="str">
        <f>IF(ISNUMBER('Change in Employment'!L728),'Change in Employment'!L728, "")</f>
        <v/>
      </c>
      <c r="C721" s="23" t="str">
        <f>IFERROR(IF(ISNUMBER('Change in Employment'!M728),TEXT('Change in Employment'!M728, "0"), ""), "")</f>
        <v/>
      </c>
    </row>
    <row r="722" spans="1:3">
      <c r="A722" s="23" t="str">
        <f>TEXT(IF('Change in Employment'!B729&lt;&gt;0,DATE(YEAR('Change in Employment'!B729), MONTH('Change in Employment'!B729), 1), ""), "mm/dd/yyyy")</f>
        <v/>
      </c>
      <c r="B722" s="23" t="str">
        <f>IF(ISNUMBER('Change in Employment'!L729),'Change in Employment'!L729, "")</f>
        <v/>
      </c>
      <c r="C722" s="23" t="str">
        <f>IFERROR(IF(ISNUMBER('Change in Employment'!M729),TEXT('Change in Employment'!M729, "0"), ""), "")</f>
        <v/>
      </c>
    </row>
    <row r="723" spans="1:3">
      <c r="A723" s="23" t="str">
        <f>TEXT(IF('Change in Employment'!B730&lt;&gt;0,DATE(YEAR('Change in Employment'!B730), MONTH('Change in Employment'!B730), 1), ""), "mm/dd/yyyy")</f>
        <v/>
      </c>
      <c r="B723" s="23" t="str">
        <f>IF(ISNUMBER('Change in Employment'!L730),'Change in Employment'!L730, "")</f>
        <v/>
      </c>
      <c r="C723" s="23" t="str">
        <f>IFERROR(IF(ISNUMBER('Change in Employment'!M730),TEXT('Change in Employment'!M730, "0"), ""), "")</f>
        <v/>
      </c>
    </row>
    <row r="724" spans="1:3">
      <c r="A724" s="23" t="str">
        <f>TEXT(IF('Change in Employment'!B731&lt;&gt;0,DATE(YEAR('Change in Employment'!B731), MONTH('Change in Employment'!B731), 1), ""), "mm/dd/yyyy")</f>
        <v/>
      </c>
      <c r="B724" s="23" t="str">
        <f>IF(ISNUMBER('Change in Employment'!L731),'Change in Employment'!L731, "")</f>
        <v/>
      </c>
      <c r="C724" s="23" t="str">
        <f>IFERROR(IF(ISNUMBER('Change in Employment'!M731),TEXT('Change in Employment'!M731, "0"), ""), "")</f>
        <v/>
      </c>
    </row>
    <row r="725" spans="1:3">
      <c r="A725" s="23" t="str">
        <f>TEXT(IF('Change in Employment'!B732&lt;&gt;0,DATE(YEAR('Change in Employment'!B732), MONTH('Change in Employment'!B732), 1), ""), "mm/dd/yyyy")</f>
        <v/>
      </c>
      <c r="B725" s="23" t="str">
        <f>IF(ISNUMBER('Change in Employment'!L732),'Change in Employment'!L732, "")</f>
        <v/>
      </c>
      <c r="C725" s="23" t="str">
        <f>IFERROR(IF(ISNUMBER('Change in Employment'!M732),TEXT('Change in Employment'!M732, "0"), ""), "")</f>
        <v/>
      </c>
    </row>
    <row r="726" spans="1:3">
      <c r="A726" s="23" t="str">
        <f>TEXT(IF('Change in Employment'!B733&lt;&gt;0,DATE(YEAR('Change in Employment'!B733), MONTH('Change in Employment'!B733), 1), ""), "mm/dd/yyyy")</f>
        <v/>
      </c>
      <c r="B726" s="23" t="str">
        <f>IF(ISNUMBER('Change in Employment'!L733),'Change in Employment'!L733, "")</f>
        <v/>
      </c>
      <c r="C726" s="23" t="str">
        <f>IFERROR(IF(ISNUMBER('Change in Employment'!M733),TEXT('Change in Employment'!M733, "0"), ""), "")</f>
        <v/>
      </c>
    </row>
    <row r="727" spans="1:3">
      <c r="A727" s="23" t="str">
        <f>TEXT(IF('Change in Employment'!B734&lt;&gt;0,DATE(YEAR('Change in Employment'!B734), MONTH('Change in Employment'!B734), 1), ""), "mm/dd/yyyy")</f>
        <v/>
      </c>
      <c r="B727" s="23" t="str">
        <f>IF(ISNUMBER('Change in Employment'!L734),'Change in Employment'!L734, "")</f>
        <v/>
      </c>
      <c r="C727" s="23" t="str">
        <f>IFERROR(IF(ISNUMBER('Change in Employment'!M734),TEXT('Change in Employment'!M734, "0"), ""), "")</f>
        <v/>
      </c>
    </row>
    <row r="728" spans="1:3">
      <c r="A728" s="23" t="str">
        <f>TEXT(IF('Change in Employment'!B735&lt;&gt;0,DATE(YEAR('Change in Employment'!B735), MONTH('Change in Employment'!B735), 1), ""), "mm/dd/yyyy")</f>
        <v/>
      </c>
      <c r="B728" s="23" t="str">
        <f>IF(ISNUMBER('Change in Employment'!L735),'Change in Employment'!L735, "")</f>
        <v/>
      </c>
      <c r="C728" s="23" t="str">
        <f>IFERROR(IF(ISNUMBER('Change in Employment'!M735),TEXT('Change in Employment'!M735, "0"), ""), "")</f>
        <v/>
      </c>
    </row>
    <row r="729" spans="1:3">
      <c r="A729" s="23" t="str">
        <f>TEXT(IF('Change in Employment'!B736&lt;&gt;0,DATE(YEAR('Change in Employment'!B736), MONTH('Change in Employment'!B736), 1), ""), "mm/dd/yyyy")</f>
        <v/>
      </c>
      <c r="B729" s="23" t="str">
        <f>IF(ISNUMBER('Change in Employment'!L736),'Change in Employment'!L736, "")</f>
        <v/>
      </c>
      <c r="C729" s="23" t="str">
        <f>IFERROR(IF(ISNUMBER('Change in Employment'!M736),TEXT('Change in Employment'!M736, "0"), ""), "")</f>
        <v/>
      </c>
    </row>
    <row r="730" spans="1:3">
      <c r="A730" s="23" t="str">
        <f>TEXT(IF('Change in Employment'!B737&lt;&gt;0,DATE(YEAR('Change in Employment'!B737), MONTH('Change in Employment'!B737), 1), ""), "mm/dd/yyyy")</f>
        <v/>
      </c>
      <c r="B730" s="23" t="str">
        <f>IF(ISNUMBER('Change in Employment'!L737),'Change in Employment'!L737, "")</f>
        <v/>
      </c>
      <c r="C730" s="23" t="str">
        <f>IFERROR(IF(ISNUMBER('Change in Employment'!M737),TEXT('Change in Employment'!M737, "0"), ""), "")</f>
        <v/>
      </c>
    </row>
    <row r="731" spans="1:3">
      <c r="A731" s="23" t="str">
        <f>TEXT(IF('Change in Employment'!B738&lt;&gt;0,DATE(YEAR('Change in Employment'!B738), MONTH('Change in Employment'!B738), 1), ""), "mm/dd/yyyy")</f>
        <v/>
      </c>
      <c r="B731" s="23" t="str">
        <f>IF(ISNUMBER('Change in Employment'!L738),'Change in Employment'!L738, "")</f>
        <v/>
      </c>
      <c r="C731" s="23" t="str">
        <f>IFERROR(IF(ISNUMBER('Change in Employment'!M738),TEXT('Change in Employment'!M738, "0"), ""), "")</f>
        <v/>
      </c>
    </row>
    <row r="732" spans="1:3">
      <c r="A732" s="23" t="str">
        <f>TEXT(IF('Change in Employment'!B739&lt;&gt;0,DATE(YEAR('Change in Employment'!B739), MONTH('Change in Employment'!B739), 1), ""), "mm/dd/yyyy")</f>
        <v/>
      </c>
      <c r="B732" s="23" t="str">
        <f>IF(ISNUMBER('Change in Employment'!L739),'Change in Employment'!L739, "")</f>
        <v/>
      </c>
      <c r="C732" s="23" t="str">
        <f>IFERROR(IF(ISNUMBER('Change in Employment'!M739),TEXT('Change in Employment'!M739, "0"), ""), "")</f>
        <v/>
      </c>
    </row>
    <row r="733" spans="1:3">
      <c r="A733" s="23" t="str">
        <f>TEXT(IF('Change in Employment'!B740&lt;&gt;0,DATE(YEAR('Change in Employment'!B740), MONTH('Change in Employment'!B740), 1), ""), "mm/dd/yyyy")</f>
        <v/>
      </c>
      <c r="B733" s="23" t="str">
        <f>IF(ISNUMBER('Change in Employment'!L740),'Change in Employment'!L740, "")</f>
        <v/>
      </c>
      <c r="C733" s="23" t="str">
        <f>IFERROR(IF(ISNUMBER('Change in Employment'!M740),TEXT('Change in Employment'!M740, "0"), ""), "")</f>
        <v/>
      </c>
    </row>
    <row r="734" spans="1:3">
      <c r="A734" s="23" t="str">
        <f>TEXT(IF('Change in Employment'!B741&lt;&gt;0,DATE(YEAR('Change in Employment'!B741), MONTH('Change in Employment'!B741), 1), ""), "mm/dd/yyyy")</f>
        <v/>
      </c>
      <c r="B734" s="23" t="str">
        <f>IF(ISNUMBER('Change in Employment'!L741),'Change in Employment'!L741, "")</f>
        <v/>
      </c>
      <c r="C734" s="23" t="str">
        <f>IFERROR(IF(ISNUMBER('Change in Employment'!M741),TEXT('Change in Employment'!M741, "0"), ""), "")</f>
        <v/>
      </c>
    </row>
    <row r="735" spans="1:3">
      <c r="A735" s="23" t="str">
        <f>TEXT(IF('Change in Employment'!B742&lt;&gt;0,DATE(YEAR('Change in Employment'!B742), MONTH('Change in Employment'!B742), 1), ""), "mm/dd/yyyy")</f>
        <v/>
      </c>
      <c r="B735" s="23" t="str">
        <f>IF(ISNUMBER('Change in Employment'!L742),'Change in Employment'!L742, "")</f>
        <v/>
      </c>
      <c r="C735" s="23" t="str">
        <f>IFERROR(IF(ISNUMBER('Change in Employment'!M742),TEXT('Change in Employment'!M742, "0"), ""), "")</f>
        <v/>
      </c>
    </row>
    <row r="736" spans="1:3">
      <c r="A736" s="23" t="str">
        <f>TEXT(IF('Change in Employment'!B743&lt;&gt;0,DATE(YEAR('Change in Employment'!B743), MONTH('Change in Employment'!B743), 1), ""), "mm/dd/yyyy")</f>
        <v/>
      </c>
      <c r="B736" s="23" t="str">
        <f>IF(ISNUMBER('Change in Employment'!L743),'Change in Employment'!L743, "")</f>
        <v/>
      </c>
      <c r="C736" s="23" t="str">
        <f>IFERROR(IF(ISNUMBER('Change in Employment'!M743),TEXT('Change in Employment'!M743, "0"), ""), "")</f>
        <v/>
      </c>
    </row>
    <row r="737" spans="1:3">
      <c r="A737" s="23" t="str">
        <f>TEXT(IF('Change in Employment'!B744&lt;&gt;0,DATE(YEAR('Change in Employment'!B744), MONTH('Change in Employment'!B744), 1), ""), "mm/dd/yyyy")</f>
        <v/>
      </c>
      <c r="B737" s="23" t="str">
        <f>IF(ISNUMBER('Change in Employment'!L744),'Change in Employment'!L744, "")</f>
        <v/>
      </c>
      <c r="C737" s="23" t="str">
        <f>IFERROR(IF(ISNUMBER('Change in Employment'!M744),TEXT('Change in Employment'!M744, "0"), ""), "")</f>
        <v/>
      </c>
    </row>
    <row r="738" spans="1:3">
      <c r="A738" s="23" t="str">
        <f>TEXT(IF('Change in Employment'!B745&lt;&gt;0,DATE(YEAR('Change in Employment'!B745), MONTH('Change in Employment'!B745), 1), ""), "mm/dd/yyyy")</f>
        <v/>
      </c>
      <c r="B738" s="23" t="str">
        <f>IF(ISNUMBER('Change in Employment'!L745),'Change in Employment'!L745, "")</f>
        <v/>
      </c>
      <c r="C738" s="23" t="str">
        <f>IFERROR(IF(ISNUMBER('Change in Employment'!M745),TEXT('Change in Employment'!M745, "0"), ""), "")</f>
        <v/>
      </c>
    </row>
    <row r="739" spans="1:3">
      <c r="A739" s="23" t="str">
        <f>TEXT(IF('Change in Employment'!B746&lt;&gt;0,DATE(YEAR('Change in Employment'!B746), MONTH('Change in Employment'!B746), 1), ""), "mm/dd/yyyy")</f>
        <v/>
      </c>
      <c r="B739" s="23" t="str">
        <f>IF(ISNUMBER('Change in Employment'!L746),'Change in Employment'!L746, "")</f>
        <v/>
      </c>
      <c r="C739" s="23" t="str">
        <f>IFERROR(IF(ISNUMBER('Change in Employment'!M746),TEXT('Change in Employment'!M746, "0"), ""), "")</f>
        <v/>
      </c>
    </row>
    <row r="740" spans="1:3">
      <c r="A740" s="23" t="str">
        <f>TEXT(IF('Change in Employment'!B747&lt;&gt;0,DATE(YEAR('Change in Employment'!B747), MONTH('Change in Employment'!B747), 1), ""), "mm/dd/yyyy")</f>
        <v/>
      </c>
      <c r="B740" s="23" t="str">
        <f>IF(ISNUMBER('Change in Employment'!L747),'Change in Employment'!L747, "")</f>
        <v/>
      </c>
      <c r="C740" s="23" t="str">
        <f>IFERROR(IF(ISNUMBER('Change in Employment'!M747),TEXT('Change in Employment'!M747, "0"), ""), "")</f>
        <v/>
      </c>
    </row>
    <row r="741" spans="1:3">
      <c r="A741" s="23" t="str">
        <f>TEXT(IF('Change in Employment'!B748&lt;&gt;0,DATE(YEAR('Change in Employment'!B748), MONTH('Change in Employment'!B748), 1), ""), "mm/dd/yyyy")</f>
        <v/>
      </c>
      <c r="B741" s="23" t="str">
        <f>IF(ISNUMBER('Change in Employment'!L748),'Change in Employment'!L748, "")</f>
        <v/>
      </c>
      <c r="C741" s="23" t="str">
        <f>IFERROR(IF(ISNUMBER('Change in Employment'!M748),TEXT('Change in Employment'!M748, "0"), ""), "")</f>
        <v/>
      </c>
    </row>
    <row r="742" spans="1:3">
      <c r="A742" s="23" t="str">
        <f>TEXT(IF('Change in Employment'!B749&lt;&gt;0,DATE(YEAR('Change in Employment'!B749), MONTH('Change in Employment'!B749), 1), ""), "mm/dd/yyyy")</f>
        <v/>
      </c>
      <c r="B742" s="23" t="str">
        <f>IF(ISNUMBER('Change in Employment'!L749),'Change in Employment'!L749, "")</f>
        <v/>
      </c>
      <c r="C742" s="23" t="str">
        <f>IFERROR(IF(ISNUMBER('Change in Employment'!M749),TEXT('Change in Employment'!M749, "0"), ""), "")</f>
        <v/>
      </c>
    </row>
    <row r="743" spans="1:3">
      <c r="A743" s="23" t="str">
        <f>TEXT(IF('Change in Employment'!B750&lt;&gt;0,DATE(YEAR('Change in Employment'!B750), MONTH('Change in Employment'!B750), 1), ""), "mm/dd/yyyy")</f>
        <v/>
      </c>
      <c r="B743" s="23" t="str">
        <f>IF(ISNUMBER('Change in Employment'!L750),'Change in Employment'!L750, "")</f>
        <v/>
      </c>
      <c r="C743" s="23" t="str">
        <f>IFERROR(IF(ISNUMBER('Change in Employment'!M750),TEXT('Change in Employment'!M750, "0"), ""), "")</f>
        <v/>
      </c>
    </row>
    <row r="744" spans="1:3">
      <c r="A744" s="23" t="str">
        <f>TEXT(IF('Change in Employment'!B751&lt;&gt;0,DATE(YEAR('Change in Employment'!B751), MONTH('Change in Employment'!B751), 1), ""), "mm/dd/yyyy")</f>
        <v/>
      </c>
      <c r="B744" s="23" t="str">
        <f>IF(ISNUMBER('Change in Employment'!L751),'Change in Employment'!L751, "")</f>
        <v/>
      </c>
      <c r="C744" s="23" t="str">
        <f>IFERROR(IF(ISNUMBER('Change in Employment'!M751),TEXT('Change in Employment'!M751, "0"), ""), "")</f>
        <v/>
      </c>
    </row>
    <row r="745" spans="1:3">
      <c r="A745" s="23" t="str">
        <f>TEXT(IF('Change in Employment'!B752&lt;&gt;0,DATE(YEAR('Change in Employment'!B752), MONTH('Change in Employment'!B752), 1), ""), "mm/dd/yyyy")</f>
        <v/>
      </c>
      <c r="B745" s="23" t="str">
        <f>IF(ISNUMBER('Change in Employment'!L752),'Change in Employment'!L752, "")</f>
        <v/>
      </c>
      <c r="C745" s="23" t="str">
        <f>IFERROR(IF(ISNUMBER('Change in Employment'!M752),TEXT('Change in Employment'!M752, "0"), ""), "")</f>
        <v/>
      </c>
    </row>
    <row r="746" spans="1:3">
      <c r="A746" s="23" t="str">
        <f>TEXT(IF('Change in Employment'!B753&lt;&gt;0,DATE(YEAR('Change in Employment'!B753), MONTH('Change in Employment'!B753), 1), ""), "mm/dd/yyyy")</f>
        <v/>
      </c>
      <c r="B746" s="23" t="str">
        <f>IF(ISNUMBER('Change in Employment'!L753),'Change in Employment'!L753, "")</f>
        <v/>
      </c>
      <c r="C746" s="23" t="str">
        <f>IFERROR(IF(ISNUMBER('Change in Employment'!M753),TEXT('Change in Employment'!M753, "0"), ""), "")</f>
        <v/>
      </c>
    </row>
    <row r="747" spans="1:3">
      <c r="A747" s="23" t="str">
        <f>TEXT(IF('Change in Employment'!B754&lt;&gt;0,DATE(YEAR('Change in Employment'!B754), MONTH('Change in Employment'!B754), 1), ""), "mm/dd/yyyy")</f>
        <v/>
      </c>
      <c r="B747" s="23" t="str">
        <f>IF(ISNUMBER('Change in Employment'!L754),'Change in Employment'!L754, "")</f>
        <v/>
      </c>
      <c r="C747" s="23" t="str">
        <f>IFERROR(IF(ISNUMBER('Change in Employment'!M754),TEXT('Change in Employment'!M754, "0"), ""), "")</f>
        <v/>
      </c>
    </row>
    <row r="748" spans="1:3">
      <c r="A748" s="23" t="str">
        <f>TEXT(IF('Change in Employment'!B755&lt;&gt;0,DATE(YEAR('Change in Employment'!B755), MONTH('Change in Employment'!B755), 1), ""), "mm/dd/yyyy")</f>
        <v/>
      </c>
      <c r="B748" s="23" t="str">
        <f>IF(ISNUMBER('Change in Employment'!L755),'Change in Employment'!L755, "")</f>
        <v/>
      </c>
      <c r="C748" s="23" t="str">
        <f>IFERROR(IF(ISNUMBER('Change in Employment'!M755),TEXT('Change in Employment'!M755, "0"), ""), "")</f>
        <v/>
      </c>
    </row>
    <row r="749" spans="1:3">
      <c r="A749" s="23" t="str">
        <f>TEXT(IF('Change in Employment'!B756&lt;&gt;0,DATE(YEAR('Change in Employment'!B756), MONTH('Change in Employment'!B756), 1), ""), "mm/dd/yyyy")</f>
        <v/>
      </c>
      <c r="B749" s="23" t="str">
        <f>IF(ISNUMBER('Change in Employment'!L756),'Change in Employment'!L756, "")</f>
        <v/>
      </c>
      <c r="C749" s="23" t="str">
        <f>IFERROR(IF(ISNUMBER('Change in Employment'!M756),TEXT('Change in Employment'!M756, "0"), ""), "")</f>
        <v/>
      </c>
    </row>
    <row r="750" spans="1:3">
      <c r="A750" s="23" t="str">
        <f>TEXT(IF('Change in Employment'!B757&lt;&gt;0,DATE(YEAR('Change in Employment'!B757), MONTH('Change in Employment'!B757), 1), ""), "mm/dd/yyyy")</f>
        <v/>
      </c>
      <c r="B750" s="23" t="str">
        <f>IF(ISNUMBER('Change in Employment'!L757),'Change in Employment'!L757, "")</f>
        <v/>
      </c>
      <c r="C750" s="23" t="str">
        <f>IFERROR(IF(ISNUMBER('Change in Employment'!M757),TEXT('Change in Employment'!M757, "0"), ""), "")</f>
        <v/>
      </c>
    </row>
    <row r="751" spans="1:3">
      <c r="A751" s="23" t="str">
        <f>TEXT(IF('Change in Employment'!B758&lt;&gt;0,DATE(YEAR('Change in Employment'!B758), MONTH('Change in Employment'!B758), 1), ""), "mm/dd/yyyy")</f>
        <v/>
      </c>
      <c r="B751" s="23" t="str">
        <f>IF(ISNUMBER('Change in Employment'!L758),'Change in Employment'!L758, "")</f>
        <v/>
      </c>
      <c r="C751" s="23" t="str">
        <f>IFERROR(IF(ISNUMBER('Change in Employment'!M758),TEXT('Change in Employment'!M758, "0"), ""), "")</f>
        <v/>
      </c>
    </row>
    <row r="752" spans="1:3">
      <c r="A752" s="23" t="str">
        <f>TEXT(IF('Change in Employment'!B759&lt;&gt;0,DATE(YEAR('Change in Employment'!B759), MONTH('Change in Employment'!B759), 1), ""), "mm/dd/yyyy")</f>
        <v/>
      </c>
      <c r="B752" s="23" t="str">
        <f>IF(ISNUMBER('Change in Employment'!L759),'Change in Employment'!L759, "")</f>
        <v/>
      </c>
      <c r="C752" s="23" t="str">
        <f>IFERROR(IF(ISNUMBER('Change in Employment'!M759),TEXT('Change in Employment'!M759, "0"), ""), "")</f>
        <v/>
      </c>
    </row>
    <row r="753" spans="1:3">
      <c r="A753" s="23" t="str">
        <f>TEXT(IF('Change in Employment'!B760&lt;&gt;0,DATE(YEAR('Change in Employment'!B760), MONTH('Change in Employment'!B760), 1), ""), "mm/dd/yyyy")</f>
        <v/>
      </c>
      <c r="B753" s="23" t="str">
        <f>IF(ISNUMBER('Change in Employment'!L760),'Change in Employment'!L760, "")</f>
        <v/>
      </c>
      <c r="C753" s="23" t="str">
        <f>IFERROR(IF(ISNUMBER('Change in Employment'!M760),TEXT('Change in Employment'!M760, "0"), ""), "")</f>
        <v/>
      </c>
    </row>
    <row r="754" spans="1:3">
      <c r="A754" s="23" t="str">
        <f>TEXT(IF('Change in Employment'!B761&lt;&gt;0,DATE(YEAR('Change in Employment'!B761), MONTH('Change in Employment'!B761), 1), ""), "mm/dd/yyyy")</f>
        <v/>
      </c>
      <c r="B754" s="23" t="str">
        <f>IF(ISNUMBER('Change in Employment'!L761),'Change in Employment'!L761, "")</f>
        <v/>
      </c>
      <c r="C754" s="23" t="str">
        <f>IFERROR(IF(ISNUMBER('Change in Employment'!M761),TEXT('Change in Employment'!M761, "0"), ""), "")</f>
        <v/>
      </c>
    </row>
    <row r="755" spans="1:3">
      <c r="A755" s="23" t="str">
        <f>TEXT(IF('Change in Employment'!B762&lt;&gt;0,DATE(YEAR('Change in Employment'!B762), MONTH('Change in Employment'!B762), 1), ""), "mm/dd/yyyy")</f>
        <v/>
      </c>
      <c r="B755" s="23" t="str">
        <f>IF(ISNUMBER('Change in Employment'!L762),'Change in Employment'!L762, "")</f>
        <v/>
      </c>
      <c r="C755" s="23" t="str">
        <f>IFERROR(IF(ISNUMBER('Change in Employment'!M762),TEXT('Change in Employment'!M762, "0"), ""), "")</f>
        <v/>
      </c>
    </row>
    <row r="756" spans="1:3">
      <c r="A756" s="23" t="str">
        <f>TEXT(IF('Change in Employment'!B763&lt;&gt;0,DATE(YEAR('Change in Employment'!B763), MONTH('Change in Employment'!B763), 1), ""), "mm/dd/yyyy")</f>
        <v/>
      </c>
      <c r="B756" s="23" t="str">
        <f>IF(ISNUMBER('Change in Employment'!L763),'Change in Employment'!L763, "")</f>
        <v/>
      </c>
      <c r="C756" s="23" t="str">
        <f>IFERROR(IF(ISNUMBER('Change in Employment'!M763),TEXT('Change in Employment'!M763, "0"), ""), "")</f>
        <v/>
      </c>
    </row>
    <row r="757" spans="1:3">
      <c r="A757" s="23" t="str">
        <f>TEXT(IF('Change in Employment'!B764&lt;&gt;0,DATE(YEAR('Change in Employment'!B764), MONTH('Change in Employment'!B764), 1), ""), "mm/dd/yyyy")</f>
        <v/>
      </c>
      <c r="B757" s="23" t="str">
        <f>IF(ISNUMBER('Change in Employment'!L764),'Change in Employment'!L764, "")</f>
        <v/>
      </c>
      <c r="C757" s="23" t="str">
        <f>IFERROR(IF(ISNUMBER('Change in Employment'!M764),TEXT('Change in Employment'!M764, "0"), ""), "")</f>
        <v/>
      </c>
    </row>
    <row r="758" spans="1:3">
      <c r="A758" s="23" t="str">
        <f>TEXT(IF('Change in Employment'!B765&lt;&gt;0,DATE(YEAR('Change in Employment'!B765), MONTH('Change in Employment'!B765), 1), ""), "mm/dd/yyyy")</f>
        <v/>
      </c>
      <c r="B758" s="23" t="str">
        <f>IF(ISNUMBER('Change in Employment'!L765),'Change in Employment'!L765, "")</f>
        <v/>
      </c>
      <c r="C758" s="23" t="str">
        <f>IFERROR(IF(ISNUMBER('Change in Employment'!M765),TEXT('Change in Employment'!M765, "0"), ""), "")</f>
        <v/>
      </c>
    </row>
    <row r="759" spans="1:3">
      <c r="A759" s="23" t="str">
        <f>TEXT(IF('Change in Employment'!B766&lt;&gt;0,DATE(YEAR('Change in Employment'!B766), MONTH('Change in Employment'!B766), 1), ""), "mm/dd/yyyy")</f>
        <v/>
      </c>
      <c r="B759" s="23" t="str">
        <f>IF(ISNUMBER('Change in Employment'!L766),'Change in Employment'!L766, "")</f>
        <v/>
      </c>
      <c r="C759" s="23" t="str">
        <f>IFERROR(IF(ISNUMBER('Change in Employment'!M766),TEXT('Change in Employment'!M766, "0"), ""), "")</f>
        <v/>
      </c>
    </row>
    <row r="760" spans="1:3">
      <c r="A760" s="23" t="str">
        <f>TEXT(IF('Change in Employment'!B767&lt;&gt;0,DATE(YEAR('Change in Employment'!B767), MONTH('Change in Employment'!B767), 1), ""), "mm/dd/yyyy")</f>
        <v/>
      </c>
      <c r="B760" s="23" t="str">
        <f>IF(ISNUMBER('Change in Employment'!L767),'Change in Employment'!L767, "")</f>
        <v/>
      </c>
      <c r="C760" s="23" t="str">
        <f>IFERROR(IF(ISNUMBER('Change in Employment'!M767),TEXT('Change in Employment'!M767, "0"), ""), "")</f>
        <v/>
      </c>
    </row>
    <row r="761" spans="1:3">
      <c r="A761" s="23" t="str">
        <f>TEXT(IF('Change in Employment'!B768&lt;&gt;0,DATE(YEAR('Change in Employment'!B768), MONTH('Change in Employment'!B768), 1), ""), "mm/dd/yyyy")</f>
        <v/>
      </c>
      <c r="B761" s="23" t="str">
        <f>IF(ISNUMBER('Change in Employment'!L768),'Change in Employment'!L768, "")</f>
        <v/>
      </c>
      <c r="C761" s="23" t="str">
        <f>IFERROR(IF(ISNUMBER('Change in Employment'!M768),TEXT('Change in Employment'!M768, "0"), ""), "")</f>
        <v/>
      </c>
    </row>
    <row r="762" spans="1:3">
      <c r="A762" s="23" t="str">
        <f>TEXT(IF('Change in Employment'!B769&lt;&gt;0,DATE(YEAR('Change in Employment'!B769), MONTH('Change in Employment'!B769), 1), ""), "mm/dd/yyyy")</f>
        <v/>
      </c>
      <c r="B762" s="23" t="str">
        <f>IF(ISNUMBER('Change in Employment'!L769),'Change in Employment'!L769, "")</f>
        <v/>
      </c>
      <c r="C762" s="23" t="str">
        <f>IFERROR(IF(ISNUMBER('Change in Employment'!M769),TEXT('Change in Employment'!M769, "0"), ""), "")</f>
        <v/>
      </c>
    </row>
    <row r="763" spans="1:3">
      <c r="A763" s="23" t="str">
        <f>TEXT(IF('Change in Employment'!B770&lt;&gt;0,DATE(YEAR('Change in Employment'!B770), MONTH('Change in Employment'!B770), 1), ""), "mm/dd/yyyy")</f>
        <v/>
      </c>
      <c r="B763" s="23" t="str">
        <f>IF(ISNUMBER('Change in Employment'!L770),'Change in Employment'!L770, "")</f>
        <v/>
      </c>
      <c r="C763" s="23" t="str">
        <f>IFERROR(IF(ISNUMBER('Change in Employment'!M770),TEXT('Change in Employment'!M770, "0"), ""), "")</f>
        <v/>
      </c>
    </row>
    <row r="764" spans="1:3">
      <c r="A764" s="23" t="str">
        <f>TEXT(IF('Change in Employment'!B771&lt;&gt;0,DATE(YEAR('Change in Employment'!B771), MONTH('Change in Employment'!B771), 1), ""), "mm/dd/yyyy")</f>
        <v/>
      </c>
      <c r="B764" s="23" t="str">
        <f>IF(ISNUMBER('Change in Employment'!L771),'Change in Employment'!L771, "")</f>
        <v/>
      </c>
      <c r="C764" s="23" t="str">
        <f>IFERROR(IF(ISNUMBER('Change in Employment'!M771),TEXT('Change in Employment'!M771, "0"), ""), "")</f>
        <v/>
      </c>
    </row>
    <row r="765" spans="1:3">
      <c r="A765" s="23" t="str">
        <f>TEXT(IF('Change in Employment'!B772&lt;&gt;0,DATE(YEAR('Change in Employment'!B772), MONTH('Change in Employment'!B772), 1), ""), "mm/dd/yyyy")</f>
        <v/>
      </c>
      <c r="B765" s="23" t="str">
        <f>IF(ISNUMBER('Change in Employment'!L772),'Change in Employment'!L772, "")</f>
        <v/>
      </c>
      <c r="C765" s="23" t="str">
        <f>IFERROR(IF(ISNUMBER('Change in Employment'!M772),TEXT('Change in Employment'!M772, "0"), ""), "")</f>
        <v/>
      </c>
    </row>
    <row r="766" spans="1:3">
      <c r="A766" s="23" t="str">
        <f>TEXT(IF('Change in Employment'!B773&lt;&gt;0,DATE(YEAR('Change in Employment'!B773), MONTH('Change in Employment'!B773), 1), ""), "mm/dd/yyyy")</f>
        <v/>
      </c>
      <c r="B766" s="23" t="str">
        <f>IF(ISNUMBER('Change in Employment'!L773),'Change in Employment'!L773, "")</f>
        <v/>
      </c>
      <c r="C766" s="23" t="str">
        <f>IFERROR(IF(ISNUMBER('Change in Employment'!M773),TEXT('Change in Employment'!M773, "0"), ""), "")</f>
        <v/>
      </c>
    </row>
    <row r="767" spans="1:3">
      <c r="A767" s="23" t="str">
        <f>TEXT(IF('Change in Employment'!B774&lt;&gt;0,DATE(YEAR('Change in Employment'!B774), MONTH('Change in Employment'!B774), 1), ""), "mm/dd/yyyy")</f>
        <v/>
      </c>
      <c r="B767" s="23" t="str">
        <f>IF(ISNUMBER('Change in Employment'!L774),'Change in Employment'!L774, "")</f>
        <v/>
      </c>
      <c r="C767" s="23" t="str">
        <f>IFERROR(IF(ISNUMBER('Change in Employment'!M774),TEXT('Change in Employment'!M774, "0"), ""), "")</f>
        <v/>
      </c>
    </row>
    <row r="768" spans="1:3">
      <c r="A768" s="23" t="str">
        <f>TEXT(IF('Change in Employment'!B775&lt;&gt;0,DATE(YEAR('Change in Employment'!B775), MONTH('Change in Employment'!B775), 1), ""), "mm/dd/yyyy")</f>
        <v/>
      </c>
      <c r="B768" s="23" t="str">
        <f>IF(ISNUMBER('Change in Employment'!L775),'Change in Employment'!L775, "")</f>
        <v/>
      </c>
      <c r="C768" s="23" t="str">
        <f>IFERROR(IF(ISNUMBER('Change in Employment'!M775),TEXT('Change in Employment'!M775, "0"), ""), "")</f>
        <v/>
      </c>
    </row>
    <row r="769" spans="1:3">
      <c r="A769" s="23" t="str">
        <f>TEXT(IF('Change in Employment'!B776&lt;&gt;0,DATE(YEAR('Change in Employment'!B776), MONTH('Change in Employment'!B776), 1), ""), "mm/dd/yyyy")</f>
        <v/>
      </c>
      <c r="B769" s="23" t="str">
        <f>IF(ISNUMBER('Change in Employment'!L776),'Change in Employment'!L776, "")</f>
        <v/>
      </c>
      <c r="C769" s="23" t="str">
        <f>IFERROR(IF(ISNUMBER('Change in Employment'!M776),TEXT('Change in Employment'!M776, "0"), ""), "")</f>
        <v/>
      </c>
    </row>
    <row r="770" spans="1:3">
      <c r="A770" s="23" t="str">
        <f>TEXT(IF('Change in Employment'!B777&lt;&gt;0,DATE(YEAR('Change in Employment'!B777), MONTH('Change in Employment'!B777), 1), ""), "mm/dd/yyyy")</f>
        <v/>
      </c>
      <c r="B770" s="23" t="str">
        <f>IF(ISNUMBER('Change in Employment'!L777),'Change in Employment'!L777, "")</f>
        <v/>
      </c>
      <c r="C770" s="23" t="str">
        <f>IFERROR(IF(ISNUMBER('Change in Employment'!M777),TEXT('Change in Employment'!M777, "0"), ""), "")</f>
        <v/>
      </c>
    </row>
    <row r="771" spans="1:3">
      <c r="A771" s="23" t="str">
        <f>TEXT(IF('Change in Employment'!B778&lt;&gt;0,DATE(YEAR('Change in Employment'!B778), MONTH('Change in Employment'!B778), 1), ""), "mm/dd/yyyy")</f>
        <v/>
      </c>
      <c r="B771" s="23" t="str">
        <f>IF(ISNUMBER('Change in Employment'!L778),'Change in Employment'!L778, "")</f>
        <v/>
      </c>
      <c r="C771" s="23" t="str">
        <f>IFERROR(IF(ISNUMBER('Change in Employment'!M778),TEXT('Change in Employment'!M778, "0"), ""), "")</f>
        <v/>
      </c>
    </row>
    <row r="772" spans="1:3">
      <c r="A772" s="23" t="str">
        <f>TEXT(IF('Change in Employment'!B779&lt;&gt;0,DATE(YEAR('Change in Employment'!B779), MONTH('Change in Employment'!B779), 1), ""), "mm/dd/yyyy")</f>
        <v/>
      </c>
      <c r="B772" s="23" t="str">
        <f>IF(ISNUMBER('Change in Employment'!L779),'Change in Employment'!L779, "")</f>
        <v/>
      </c>
      <c r="C772" s="23" t="str">
        <f>IFERROR(IF(ISNUMBER('Change in Employment'!M779),TEXT('Change in Employment'!M779, "0"), ""), "")</f>
        <v/>
      </c>
    </row>
    <row r="773" spans="1:3">
      <c r="A773" s="23" t="str">
        <f>TEXT(IF('Change in Employment'!B780&lt;&gt;0,DATE(YEAR('Change in Employment'!B780), MONTH('Change in Employment'!B780), 1), ""), "mm/dd/yyyy")</f>
        <v/>
      </c>
      <c r="B773" s="23" t="str">
        <f>IF(ISNUMBER('Change in Employment'!L780),'Change in Employment'!L780, "")</f>
        <v/>
      </c>
      <c r="C773" s="23" t="str">
        <f>IFERROR(IF(ISNUMBER('Change in Employment'!M780),TEXT('Change in Employment'!M780, "0"), ""), "")</f>
        <v/>
      </c>
    </row>
    <row r="774" spans="1:3">
      <c r="A774" s="23" t="str">
        <f>TEXT(IF('Change in Employment'!B781&lt;&gt;0,DATE(YEAR('Change in Employment'!B781), MONTH('Change in Employment'!B781), 1), ""), "mm/dd/yyyy")</f>
        <v/>
      </c>
      <c r="B774" s="23" t="str">
        <f>IF(ISNUMBER('Change in Employment'!L781),'Change in Employment'!L781, "")</f>
        <v/>
      </c>
      <c r="C774" s="23" t="str">
        <f>IFERROR(IF(ISNUMBER('Change in Employment'!M781),TEXT('Change in Employment'!M781, "0"), ""), "")</f>
        <v/>
      </c>
    </row>
    <row r="775" spans="1:3">
      <c r="A775" s="23" t="str">
        <f>TEXT(IF('Change in Employment'!B782&lt;&gt;0,DATE(YEAR('Change in Employment'!B782), MONTH('Change in Employment'!B782), 1), ""), "mm/dd/yyyy")</f>
        <v/>
      </c>
      <c r="B775" s="23" t="str">
        <f>IF(ISNUMBER('Change in Employment'!L782),'Change in Employment'!L782, "")</f>
        <v/>
      </c>
      <c r="C775" s="23" t="str">
        <f>IFERROR(IF(ISNUMBER('Change in Employment'!M782),TEXT('Change in Employment'!M782, "0"), ""), "")</f>
        <v/>
      </c>
    </row>
    <row r="776" spans="1:3">
      <c r="A776" s="23" t="str">
        <f>TEXT(IF('Change in Employment'!B783&lt;&gt;0,DATE(YEAR('Change in Employment'!B783), MONTH('Change in Employment'!B783), 1), ""), "mm/dd/yyyy")</f>
        <v/>
      </c>
      <c r="B776" s="23" t="str">
        <f>IF(ISNUMBER('Change in Employment'!L783),'Change in Employment'!L783, "")</f>
        <v/>
      </c>
      <c r="C776" s="23" t="str">
        <f>IFERROR(IF(ISNUMBER('Change in Employment'!M783),TEXT('Change in Employment'!M783, "0"), ""), "")</f>
        <v/>
      </c>
    </row>
    <row r="777" spans="1:3">
      <c r="A777" s="23" t="str">
        <f>TEXT(IF('Change in Employment'!B784&lt;&gt;0,DATE(YEAR('Change in Employment'!B784), MONTH('Change in Employment'!B784), 1), ""), "mm/dd/yyyy")</f>
        <v/>
      </c>
      <c r="B777" s="23" t="str">
        <f>IF(ISNUMBER('Change in Employment'!L784),'Change in Employment'!L784, "")</f>
        <v/>
      </c>
      <c r="C777" s="23" t="str">
        <f>IFERROR(IF(ISNUMBER('Change in Employment'!M784),TEXT('Change in Employment'!M784, "0"), ""), "")</f>
        <v/>
      </c>
    </row>
    <row r="778" spans="1:3">
      <c r="A778" s="23" t="str">
        <f>TEXT(IF('Change in Employment'!B785&lt;&gt;0,DATE(YEAR('Change in Employment'!B785), MONTH('Change in Employment'!B785), 1), ""), "mm/dd/yyyy")</f>
        <v/>
      </c>
      <c r="B778" s="23" t="str">
        <f>IF(ISNUMBER('Change in Employment'!L785),'Change in Employment'!L785, "")</f>
        <v/>
      </c>
      <c r="C778" s="23" t="str">
        <f>IFERROR(IF(ISNUMBER('Change in Employment'!M785),TEXT('Change in Employment'!M785, "0"), ""), "")</f>
        <v/>
      </c>
    </row>
    <row r="779" spans="1:3">
      <c r="A779" s="23" t="str">
        <f>TEXT(IF('Change in Employment'!B786&lt;&gt;0,DATE(YEAR('Change in Employment'!B786), MONTH('Change in Employment'!B786), 1), ""), "mm/dd/yyyy")</f>
        <v/>
      </c>
      <c r="B779" s="23" t="str">
        <f>IF(ISNUMBER('Change in Employment'!L786),'Change in Employment'!L786, "")</f>
        <v/>
      </c>
      <c r="C779" s="23" t="str">
        <f>IFERROR(IF(ISNUMBER('Change in Employment'!M786),TEXT('Change in Employment'!M786, "0"), ""), "")</f>
        <v/>
      </c>
    </row>
    <row r="780" spans="1:3">
      <c r="A780" s="23" t="str">
        <f>TEXT(IF('Change in Employment'!B787&lt;&gt;0,DATE(YEAR('Change in Employment'!B787), MONTH('Change in Employment'!B787), 1), ""), "mm/dd/yyyy")</f>
        <v/>
      </c>
      <c r="B780" s="23" t="str">
        <f>IF(ISNUMBER('Change in Employment'!L787),'Change in Employment'!L787, "")</f>
        <v/>
      </c>
      <c r="C780" s="23" t="str">
        <f>IFERROR(IF(ISNUMBER('Change in Employment'!M787),TEXT('Change in Employment'!M787, "0"), ""), "")</f>
        <v/>
      </c>
    </row>
    <row r="781" spans="1:3">
      <c r="A781" s="23" t="str">
        <f>TEXT(IF('Change in Employment'!B788&lt;&gt;0,DATE(YEAR('Change in Employment'!B788), MONTH('Change in Employment'!B788), 1), ""), "mm/dd/yyyy")</f>
        <v/>
      </c>
      <c r="B781" s="23" t="str">
        <f>IF(ISNUMBER('Change in Employment'!L788),'Change in Employment'!L788, "")</f>
        <v/>
      </c>
      <c r="C781" s="23" t="str">
        <f>IFERROR(IF(ISNUMBER('Change in Employment'!M788),TEXT('Change in Employment'!M788, "0"), ""), "")</f>
        <v/>
      </c>
    </row>
    <row r="782" spans="1:3">
      <c r="A782" s="23" t="str">
        <f>TEXT(IF('Change in Employment'!B789&lt;&gt;0,DATE(YEAR('Change in Employment'!B789), MONTH('Change in Employment'!B789), 1), ""), "mm/dd/yyyy")</f>
        <v/>
      </c>
      <c r="B782" s="23" t="str">
        <f>IF(ISNUMBER('Change in Employment'!L789),'Change in Employment'!L789, "")</f>
        <v/>
      </c>
      <c r="C782" s="23" t="str">
        <f>IFERROR(IF(ISNUMBER('Change in Employment'!M789),TEXT('Change in Employment'!M789, "0"), ""), "")</f>
        <v/>
      </c>
    </row>
    <row r="783" spans="1:3">
      <c r="A783" s="23" t="str">
        <f>TEXT(IF('Change in Employment'!B790&lt;&gt;0,DATE(YEAR('Change in Employment'!B790), MONTH('Change in Employment'!B790), 1), ""), "mm/dd/yyyy")</f>
        <v/>
      </c>
      <c r="B783" s="23" t="str">
        <f>IF(ISNUMBER('Change in Employment'!L790),'Change in Employment'!L790, "")</f>
        <v/>
      </c>
      <c r="C783" s="23" t="str">
        <f>IFERROR(IF(ISNUMBER('Change in Employment'!M790),TEXT('Change in Employment'!M790, "0"), ""), "")</f>
        <v/>
      </c>
    </row>
    <row r="784" spans="1:3">
      <c r="A784" s="23" t="str">
        <f>TEXT(IF('Change in Employment'!B791&lt;&gt;0,DATE(YEAR('Change in Employment'!B791), MONTH('Change in Employment'!B791), 1), ""), "mm/dd/yyyy")</f>
        <v/>
      </c>
      <c r="B784" s="23" t="str">
        <f>IF(ISNUMBER('Change in Employment'!L791),'Change in Employment'!L791, "")</f>
        <v/>
      </c>
      <c r="C784" s="23" t="str">
        <f>IFERROR(IF(ISNUMBER('Change in Employment'!M791),TEXT('Change in Employment'!M791, "0"), ""), "")</f>
        <v/>
      </c>
    </row>
    <row r="785" spans="1:3">
      <c r="A785" s="23" t="str">
        <f>TEXT(IF('Change in Employment'!B792&lt;&gt;0,DATE(YEAR('Change in Employment'!B792), MONTH('Change in Employment'!B792), 1), ""), "mm/dd/yyyy")</f>
        <v/>
      </c>
      <c r="B785" s="23" t="str">
        <f>IF(ISNUMBER('Change in Employment'!L792),'Change in Employment'!L792, "")</f>
        <v/>
      </c>
      <c r="C785" s="23" t="str">
        <f>IFERROR(IF(ISNUMBER('Change in Employment'!M792),TEXT('Change in Employment'!M792, "0"), ""), "")</f>
        <v/>
      </c>
    </row>
    <row r="786" spans="1:3">
      <c r="A786" s="23" t="str">
        <f>TEXT(IF('Change in Employment'!B793&lt;&gt;0,DATE(YEAR('Change in Employment'!B793), MONTH('Change in Employment'!B793), 1), ""), "mm/dd/yyyy")</f>
        <v/>
      </c>
      <c r="B786" s="23" t="str">
        <f>IF(ISNUMBER('Change in Employment'!L793),'Change in Employment'!L793, "")</f>
        <v/>
      </c>
      <c r="C786" s="23" t="str">
        <f>IFERROR(IF(ISNUMBER('Change in Employment'!M793),TEXT('Change in Employment'!M793, "0"), ""), "")</f>
        <v/>
      </c>
    </row>
    <row r="787" spans="1:3">
      <c r="A787" s="23" t="str">
        <f>TEXT(IF('Change in Employment'!B794&lt;&gt;0,DATE(YEAR('Change in Employment'!B794), MONTH('Change in Employment'!B794), 1), ""), "mm/dd/yyyy")</f>
        <v/>
      </c>
      <c r="B787" s="23" t="str">
        <f>IF(ISNUMBER('Change in Employment'!L794),'Change in Employment'!L794, "")</f>
        <v/>
      </c>
      <c r="C787" s="23" t="str">
        <f>IFERROR(IF(ISNUMBER('Change in Employment'!M794),TEXT('Change in Employment'!M794, "0"), ""), "")</f>
        <v/>
      </c>
    </row>
    <row r="788" spans="1:3">
      <c r="A788" s="23" t="str">
        <f>TEXT(IF('Change in Employment'!B795&lt;&gt;0,DATE(YEAR('Change in Employment'!B795), MONTH('Change in Employment'!B795), 1), ""), "mm/dd/yyyy")</f>
        <v/>
      </c>
      <c r="B788" s="23" t="str">
        <f>IF(ISNUMBER('Change in Employment'!L795),'Change in Employment'!L795, "")</f>
        <v/>
      </c>
      <c r="C788" s="23" t="str">
        <f>IFERROR(IF(ISNUMBER('Change in Employment'!M795),TEXT('Change in Employment'!M795, "0"), ""), "")</f>
        <v/>
      </c>
    </row>
    <row r="789" spans="1:3">
      <c r="A789" s="23" t="str">
        <f>TEXT(IF('Change in Employment'!B796&lt;&gt;0,DATE(YEAR('Change in Employment'!B796), MONTH('Change in Employment'!B796), 1), ""), "mm/dd/yyyy")</f>
        <v/>
      </c>
      <c r="B789" s="23" t="str">
        <f>IF(ISNUMBER('Change in Employment'!L796),'Change in Employment'!L796, "")</f>
        <v/>
      </c>
      <c r="C789" s="23" t="str">
        <f>IFERROR(IF(ISNUMBER('Change in Employment'!M796),TEXT('Change in Employment'!M796, "0"), ""), "")</f>
        <v/>
      </c>
    </row>
    <row r="790" spans="1:3">
      <c r="A790" s="23" t="str">
        <f>TEXT(IF('Change in Employment'!B797&lt;&gt;0,DATE(YEAR('Change in Employment'!B797), MONTH('Change in Employment'!B797), 1), ""), "mm/dd/yyyy")</f>
        <v/>
      </c>
      <c r="B790" s="23" t="str">
        <f>IF(ISNUMBER('Change in Employment'!L797),'Change in Employment'!L797, "")</f>
        <v/>
      </c>
      <c r="C790" s="23" t="str">
        <f>IFERROR(IF(ISNUMBER('Change in Employment'!M797),TEXT('Change in Employment'!M797, "0"), ""), "")</f>
        <v/>
      </c>
    </row>
    <row r="791" spans="1:3">
      <c r="A791" s="23" t="str">
        <f>TEXT(IF('Change in Employment'!B798&lt;&gt;0,DATE(YEAR('Change in Employment'!B798), MONTH('Change in Employment'!B798), 1), ""), "mm/dd/yyyy")</f>
        <v/>
      </c>
      <c r="B791" s="23" t="str">
        <f>IF(ISNUMBER('Change in Employment'!L798),'Change in Employment'!L798, "")</f>
        <v/>
      </c>
      <c r="C791" s="23" t="str">
        <f>IFERROR(IF(ISNUMBER('Change in Employment'!M798),TEXT('Change in Employment'!M798, "0"), ""), "")</f>
        <v/>
      </c>
    </row>
    <row r="792" spans="1:3">
      <c r="A792" s="23" t="str">
        <f>TEXT(IF('Change in Employment'!B799&lt;&gt;0,DATE(YEAR('Change in Employment'!B799), MONTH('Change in Employment'!B799), 1), ""), "mm/dd/yyyy")</f>
        <v/>
      </c>
      <c r="B792" s="23" t="str">
        <f>IF(ISNUMBER('Change in Employment'!L799),'Change in Employment'!L799, "")</f>
        <v/>
      </c>
      <c r="C792" s="23" t="str">
        <f>IFERROR(IF(ISNUMBER('Change in Employment'!M799),TEXT('Change in Employment'!M799, "0"), ""), "")</f>
        <v/>
      </c>
    </row>
    <row r="793" spans="1:3">
      <c r="A793" s="23" t="str">
        <f>TEXT(IF('Change in Employment'!B800&lt;&gt;0,DATE(YEAR('Change in Employment'!B800), MONTH('Change in Employment'!B800), 1), ""), "mm/dd/yyyy")</f>
        <v/>
      </c>
      <c r="B793" s="23" t="str">
        <f>IF(ISNUMBER('Change in Employment'!L800),'Change in Employment'!L800, "")</f>
        <v/>
      </c>
      <c r="C793" s="23" t="str">
        <f>IFERROR(IF(ISNUMBER('Change in Employment'!M800),TEXT('Change in Employment'!M800, "0"), ""), "")</f>
        <v/>
      </c>
    </row>
    <row r="794" spans="1:3">
      <c r="A794" s="23" t="str">
        <f>TEXT(IF('Change in Employment'!B801&lt;&gt;0,DATE(YEAR('Change in Employment'!B801), MONTH('Change in Employment'!B801), 1), ""), "mm/dd/yyyy")</f>
        <v/>
      </c>
      <c r="B794" s="23" t="str">
        <f>IF(ISNUMBER('Change in Employment'!L801),'Change in Employment'!L801, "")</f>
        <v/>
      </c>
      <c r="C794" s="23" t="str">
        <f>IFERROR(IF(ISNUMBER('Change in Employment'!M801),TEXT('Change in Employment'!M801, "0"), ""), "")</f>
        <v/>
      </c>
    </row>
    <row r="795" spans="1:3">
      <c r="A795" s="23" t="str">
        <f>TEXT(IF('Change in Employment'!B802&lt;&gt;0,DATE(YEAR('Change in Employment'!B802), MONTH('Change in Employment'!B802), 1), ""), "mm/dd/yyyy")</f>
        <v/>
      </c>
      <c r="B795" s="23" t="str">
        <f>IF(ISNUMBER('Change in Employment'!L802),'Change in Employment'!L802, "")</f>
        <v/>
      </c>
      <c r="C795" s="23" t="str">
        <f>IFERROR(IF(ISNUMBER('Change in Employment'!M802),TEXT('Change in Employment'!M802, "0"), ""), "")</f>
        <v/>
      </c>
    </row>
    <row r="796" spans="1:3">
      <c r="A796" s="23" t="str">
        <f>TEXT(IF('Change in Employment'!B803&lt;&gt;0,DATE(YEAR('Change in Employment'!B803), MONTH('Change in Employment'!B803), 1), ""), "mm/dd/yyyy")</f>
        <v/>
      </c>
      <c r="B796" s="23" t="str">
        <f>IF(ISNUMBER('Change in Employment'!L803),'Change in Employment'!L803, "")</f>
        <v/>
      </c>
      <c r="C796" s="23" t="str">
        <f>IFERROR(IF(ISNUMBER('Change in Employment'!M803),TEXT('Change in Employment'!M803, "0"), ""), "")</f>
        <v/>
      </c>
    </row>
    <row r="797" spans="1:3">
      <c r="A797" s="23" t="str">
        <f>TEXT(IF('Change in Employment'!B804&lt;&gt;0,DATE(YEAR('Change in Employment'!B804), MONTH('Change in Employment'!B804), 1), ""), "mm/dd/yyyy")</f>
        <v/>
      </c>
      <c r="B797" s="23" t="str">
        <f>IF(ISNUMBER('Change in Employment'!L804),'Change in Employment'!L804, "")</f>
        <v/>
      </c>
      <c r="C797" s="23" t="str">
        <f>IFERROR(IF(ISNUMBER('Change in Employment'!M804),TEXT('Change in Employment'!M804, "0"), ""), "")</f>
        <v/>
      </c>
    </row>
    <row r="798" spans="1:3">
      <c r="A798" s="23" t="str">
        <f>TEXT(IF('Change in Employment'!B805&lt;&gt;0,DATE(YEAR('Change in Employment'!B805), MONTH('Change in Employment'!B805), 1), ""), "mm/dd/yyyy")</f>
        <v/>
      </c>
      <c r="B798" s="23" t="str">
        <f>IF(ISNUMBER('Change in Employment'!L805),'Change in Employment'!L805, "")</f>
        <v/>
      </c>
      <c r="C798" s="23" t="str">
        <f>IFERROR(IF(ISNUMBER('Change in Employment'!M805),TEXT('Change in Employment'!M805, "0"), ""), "")</f>
        <v/>
      </c>
    </row>
    <row r="799" spans="1:3">
      <c r="A799" s="23" t="str">
        <f>TEXT(IF('Change in Employment'!B806&lt;&gt;0,DATE(YEAR('Change in Employment'!B806), MONTH('Change in Employment'!B806), 1), ""), "mm/dd/yyyy")</f>
        <v/>
      </c>
      <c r="B799" s="23" t="str">
        <f>IF(ISNUMBER('Change in Employment'!L806),'Change in Employment'!L806, "")</f>
        <v/>
      </c>
      <c r="C799" s="23" t="str">
        <f>IFERROR(IF(ISNUMBER('Change in Employment'!M806),TEXT('Change in Employment'!M806, "0"), ""), "")</f>
        <v/>
      </c>
    </row>
    <row r="800" spans="1:3">
      <c r="A800" s="23" t="str">
        <f>TEXT(IF('Change in Employment'!B807&lt;&gt;0,DATE(YEAR('Change in Employment'!B807), MONTH('Change in Employment'!B807), 1), ""), "mm/dd/yyyy")</f>
        <v/>
      </c>
      <c r="B800" s="23" t="str">
        <f>IF(ISNUMBER('Change in Employment'!L807),'Change in Employment'!L807, "")</f>
        <v/>
      </c>
      <c r="C800" s="23" t="str">
        <f>IFERROR(IF(ISNUMBER('Change in Employment'!M807),TEXT('Change in Employment'!M807, "0"), ""), "")</f>
        <v/>
      </c>
    </row>
    <row r="801" spans="1:3">
      <c r="A801" s="23" t="str">
        <f>TEXT(IF('Change in Employment'!B808&lt;&gt;0,DATE(YEAR('Change in Employment'!B808), MONTH('Change in Employment'!B808), 1), ""), "mm/dd/yyyy")</f>
        <v/>
      </c>
      <c r="B801" s="23" t="str">
        <f>IF(ISNUMBER('Change in Employment'!L808),'Change in Employment'!L808, "")</f>
        <v/>
      </c>
      <c r="C801" s="23" t="str">
        <f>IFERROR(IF(ISNUMBER('Change in Employment'!M808),TEXT('Change in Employment'!M808, "0"), ""), "")</f>
        <v/>
      </c>
    </row>
    <row r="802" spans="1:3">
      <c r="A802" s="23" t="str">
        <f>TEXT(IF('Change in Employment'!B809&lt;&gt;0,DATE(YEAR('Change in Employment'!B809), MONTH('Change in Employment'!B809), 1), ""), "mm/dd/yyyy")</f>
        <v/>
      </c>
      <c r="B802" s="23" t="str">
        <f>IF(ISNUMBER('Change in Employment'!L809),'Change in Employment'!L809, "")</f>
        <v/>
      </c>
      <c r="C802" s="23" t="str">
        <f>IFERROR(IF(ISNUMBER('Change in Employment'!M809),TEXT('Change in Employment'!M809, "0"), ""), "")</f>
        <v/>
      </c>
    </row>
    <row r="803" spans="1:3">
      <c r="A803" s="23" t="str">
        <f>TEXT(IF('Change in Employment'!B810&lt;&gt;0,DATE(YEAR('Change in Employment'!B810), MONTH('Change in Employment'!B810), 1), ""), "mm/dd/yyyy")</f>
        <v/>
      </c>
      <c r="B803" s="23" t="str">
        <f>IF(ISNUMBER('Change in Employment'!L810),'Change in Employment'!L810, "")</f>
        <v/>
      </c>
      <c r="C803" s="23" t="str">
        <f>IFERROR(IF(ISNUMBER('Change in Employment'!M810),TEXT('Change in Employment'!M810, "0"), ""), "")</f>
        <v/>
      </c>
    </row>
    <row r="804" spans="1:3">
      <c r="A804" s="23" t="str">
        <f>TEXT(IF('Change in Employment'!B811&lt;&gt;0,DATE(YEAR('Change in Employment'!B811), MONTH('Change in Employment'!B811), 1), ""), "mm/dd/yyyy")</f>
        <v/>
      </c>
      <c r="B804" s="23" t="str">
        <f>IF(ISNUMBER('Change in Employment'!L811),'Change in Employment'!L811, "")</f>
        <v/>
      </c>
      <c r="C804" s="23" t="str">
        <f>IFERROR(IF(ISNUMBER('Change in Employment'!M811),TEXT('Change in Employment'!M811, "0"), ""), "")</f>
        <v/>
      </c>
    </row>
    <row r="805" spans="1:3">
      <c r="A805" s="23" t="str">
        <f>TEXT(IF('Change in Employment'!B812&lt;&gt;0,DATE(YEAR('Change in Employment'!B812), MONTH('Change in Employment'!B812), 1), ""), "mm/dd/yyyy")</f>
        <v/>
      </c>
      <c r="B805" s="23" t="str">
        <f>IF(ISNUMBER('Change in Employment'!L812),'Change in Employment'!L812, "")</f>
        <v/>
      </c>
      <c r="C805" s="23" t="str">
        <f>IFERROR(IF(ISNUMBER('Change in Employment'!M812),TEXT('Change in Employment'!M812, "0"), ""), "")</f>
        <v/>
      </c>
    </row>
    <row r="806" spans="1:3">
      <c r="A806" s="23" t="str">
        <f>TEXT(IF('Change in Employment'!B813&lt;&gt;0,DATE(YEAR('Change in Employment'!B813), MONTH('Change in Employment'!B813), 1), ""), "mm/dd/yyyy")</f>
        <v/>
      </c>
      <c r="B806" s="23" t="str">
        <f>IF(ISNUMBER('Change in Employment'!L813),'Change in Employment'!L813, "")</f>
        <v/>
      </c>
      <c r="C806" s="23" t="str">
        <f>IFERROR(IF(ISNUMBER('Change in Employment'!M813),TEXT('Change in Employment'!M813, "0"), ""), "")</f>
        <v/>
      </c>
    </row>
    <row r="807" spans="1:3">
      <c r="A807" s="23" t="str">
        <f>TEXT(IF('Change in Employment'!B814&lt;&gt;0,DATE(YEAR('Change in Employment'!B814), MONTH('Change in Employment'!B814), 1), ""), "mm/dd/yyyy")</f>
        <v/>
      </c>
      <c r="B807" s="23" t="str">
        <f>IF(ISNUMBER('Change in Employment'!L814),'Change in Employment'!L814, "")</f>
        <v/>
      </c>
      <c r="C807" s="23" t="str">
        <f>IFERROR(IF(ISNUMBER('Change in Employment'!M814),TEXT('Change in Employment'!M814, "0"), ""), "")</f>
        <v/>
      </c>
    </row>
    <row r="808" spans="1:3">
      <c r="A808" s="23" t="str">
        <f>TEXT(IF('Change in Employment'!B815&lt;&gt;0,DATE(YEAR('Change in Employment'!B815), MONTH('Change in Employment'!B815), 1), ""), "mm/dd/yyyy")</f>
        <v/>
      </c>
      <c r="B808" s="23" t="str">
        <f>IF(ISNUMBER('Change in Employment'!L815),'Change in Employment'!L815, "")</f>
        <v/>
      </c>
      <c r="C808" s="23" t="str">
        <f>IFERROR(IF(ISNUMBER('Change in Employment'!M815),TEXT('Change in Employment'!M815, "0"), ""), "")</f>
        <v/>
      </c>
    </row>
    <row r="809" spans="1:3">
      <c r="A809" s="23" t="str">
        <f>TEXT(IF('Change in Employment'!B816&lt;&gt;0,DATE(YEAR('Change in Employment'!B816), MONTH('Change in Employment'!B816), 1), ""), "mm/dd/yyyy")</f>
        <v/>
      </c>
      <c r="B809" s="23" t="str">
        <f>IF(ISNUMBER('Change in Employment'!L816),'Change in Employment'!L816, "")</f>
        <v/>
      </c>
      <c r="C809" s="23" t="str">
        <f>IFERROR(IF(ISNUMBER('Change in Employment'!M816),TEXT('Change in Employment'!M816, "0"), ""), "")</f>
        <v/>
      </c>
    </row>
    <row r="810" spans="1:3">
      <c r="A810" s="23" t="str">
        <f>TEXT(IF('Change in Employment'!B817&lt;&gt;0,DATE(YEAR('Change in Employment'!B817), MONTH('Change in Employment'!B817), 1), ""), "mm/dd/yyyy")</f>
        <v/>
      </c>
      <c r="B810" s="23" t="str">
        <f>IF(ISNUMBER('Change in Employment'!L817),'Change in Employment'!L817, "")</f>
        <v/>
      </c>
      <c r="C810" s="23" t="str">
        <f>IFERROR(IF(ISNUMBER('Change in Employment'!M817),TEXT('Change in Employment'!M817, "0"), ""), "")</f>
        <v/>
      </c>
    </row>
    <row r="811" spans="1:3">
      <c r="A811" s="23" t="str">
        <f>TEXT(IF('Change in Employment'!B818&lt;&gt;0,DATE(YEAR('Change in Employment'!B818), MONTH('Change in Employment'!B818), 1), ""), "mm/dd/yyyy")</f>
        <v/>
      </c>
      <c r="B811" s="23" t="str">
        <f>IF(ISNUMBER('Change in Employment'!L818),'Change in Employment'!L818, "")</f>
        <v/>
      </c>
      <c r="C811" s="23" t="str">
        <f>IFERROR(IF(ISNUMBER('Change in Employment'!M818),TEXT('Change in Employment'!M818, "0"), ""), "")</f>
        <v/>
      </c>
    </row>
    <row r="812" spans="1:3">
      <c r="A812" s="23" t="str">
        <f>TEXT(IF('Change in Employment'!B819&lt;&gt;0,DATE(YEAR('Change in Employment'!B819), MONTH('Change in Employment'!B819), 1), ""), "mm/dd/yyyy")</f>
        <v/>
      </c>
      <c r="B812" s="23" t="str">
        <f>IF(ISNUMBER('Change in Employment'!L819),'Change in Employment'!L819, "")</f>
        <v/>
      </c>
      <c r="C812" s="23" t="str">
        <f>IFERROR(IF(ISNUMBER('Change in Employment'!M819),TEXT('Change in Employment'!M819, "0"), ""), "")</f>
        <v/>
      </c>
    </row>
    <row r="813" spans="1:3">
      <c r="A813" s="23" t="str">
        <f>TEXT(IF('Change in Employment'!B820&lt;&gt;0,DATE(YEAR('Change in Employment'!B820), MONTH('Change in Employment'!B820), 1), ""), "mm/dd/yyyy")</f>
        <v/>
      </c>
      <c r="B813" s="23" t="str">
        <f>IF(ISNUMBER('Change in Employment'!L820),'Change in Employment'!L820, "")</f>
        <v/>
      </c>
      <c r="C813" s="23" t="str">
        <f>IFERROR(IF(ISNUMBER('Change in Employment'!M820),TEXT('Change in Employment'!M820, "0"), ""), "")</f>
        <v/>
      </c>
    </row>
    <row r="814" spans="1:3">
      <c r="A814" s="23" t="str">
        <f>TEXT(IF('Change in Employment'!B821&lt;&gt;0,DATE(YEAR('Change in Employment'!B821), MONTH('Change in Employment'!B821), 1), ""), "mm/dd/yyyy")</f>
        <v/>
      </c>
      <c r="B814" s="23" t="str">
        <f>IF(ISNUMBER('Change in Employment'!L821),'Change in Employment'!L821, "")</f>
        <v/>
      </c>
      <c r="C814" s="23" t="str">
        <f>IFERROR(IF(ISNUMBER('Change in Employment'!M821),TEXT('Change in Employment'!M821, "0"), ""), "")</f>
        <v/>
      </c>
    </row>
    <row r="815" spans="1:3">
      <c r="A815" s="23" t="str">
        <f>TEXT(IF('Change in Employment'!B822&lt;&gt;0,DATE(YEAR('Change in Employment'!B822), MONTH('Change in Employment'!B822), 1), ""), "mm/dd/yyyy")</f>
        <v/>
      </c>
      <c r="B815" s="23" t="str">
        <f>IF(ISNUMBER('Change in Employment'!L822),'Change in Employment'!L822, "")</f>
        <v/>
      </c>
      <c r="C815" s="23" t="str">
        <f>IFERROR(IF(ISNUMBER('Change in Employment'!M822),TEXT('Change in Employment'!M822, "0"), ""), "")</f>
        <v/>
      </c>
    </row>
    <row r="816" spans="1:3">
      <c r="A816" s="23" t="str">
        <f>TEXT(IF('Change in Employment'!B823&lt;&gt;0,DATE(YEAR('Change in Employment'!B823), MONTH('Change in Employment'!B823), 1), ""), "mm/dd/yyyy")</f>
        <v/>
      </c>
      <c r="B816" s="23" t="str">
        <f>IF(ISNUMBER('Change in Employment'!L823),'Change in Employment'!L823, "")</f>
        <v/>
      </c>
      <c r="C816" s="23" t="str">
        <f>IFERROR(IF(ISNUMBER('Change in Employment'!M823),TEXT('Change in Employment'!M823, "0"), ""), "")</f>
        <v/>
      </c>
    </row>
    <row r="817" spans="1:3">
      <c r="A817" s="23" t="str">
        <f>TEXT(IF('Change in Employment'!B824&lt;&gt;0,DATE(YEAR('Change in Employment'!B824), MONTH('Change in Employment'!B824), 1), ""), "mm/dd/yyyy")</f>
        <v/>
      </c>
      <c r="B817" s="23" t="str">
        <f>IF(ISNUMBER('Change in Employment'!L824),'Change in Employment'!L824, "")</f>
        <v/>
      </c>
      <c r="C817" s="23" t="str">
        <f>IFERROR(IF(ISNUMBER('Change in Employment'!M824),TEXT('Change in Employment'!M824, "0"), ""), "")</f>
        <v/>
      </c>
    </row>
    <row r="818" spans="1:3">
      <c r="A818" s="23" t="str">
        <f>TEXT(IF('Change in Employment'!B825&lt;&gt;0,DATE(YEAR('Change in Employment'!B825), MONTH('Change in Employment'!B825), 1), ""), "mm/dd/yyyy")</f>
        <v/>
      </c>
      <c r="B818" s="23" t="str">
        <f>IF(ISNUMBER('Change in Employment'!L825),'Change in Employment'!L825, "")</f>
        <v/>
      </c>
      <c r="C818" s="23" t="str">
        <f>IFERROR(IF(ISNUMBER('Change in Employment'!M825),TEXT('Change in Employment'!M825, "0"), ""), "")</f>
        <v/>
      </c>
    </row>
    <row r="819" spans="1:3">
      <c r="A819" s="23" t="str">
        <f>TEXT(IF('Change in Employment'!B826&lt;&gt;0,DATE(YEAR('Change in Employment'!B826), MONTH('Change in Employment'!B826), 1), ""), "mm/dd/yyyy")</f>
        <v/>
      </c>
      <c r="B819" s="23" t="str">
        <f>IF(ISNUMBER('Change in Employment'!L826),'Change in Employment'!L826, "")</f>
        <v/>
      </c>
      <c r="C819" s="23" t="str">
        <f>IFERROR(IF(ISNUMBER('Change in Employment'!M826),TEXT('Change in Employment'!M826, "0"), ""), "")</f>
        <v/>
      </c>
    </row>
    <row r="820" spans="1:3">
      <c r="A820" s="23" t="str">
        <f>TEXT(IF('Change in Employment'!B827&lt;&gt;0,DATE(YEAR('Change in Employment'!B827), MONTH('Change in Employment'!B827), 1), ""), "mm/dd/yyyy")</f>
        <v/>
      </c>
      <c r="B820" s="23" t="str">
        <f>IF(ISNUMBER('Change in Employment'!L827),'Change in Employment'!L827, "")</f>
        <v/>
      </c>
      <c r="C820" s="23" t="str">
        <f>IFERROR(IF(ISNUMBER('Change in Employment'!M827),TEXT('Change in Employment'!M827, "0"), ""), "")</f>
        <v/>
      </c>
    </row>
    <row r="821" spans="1:3">
      <c r="A821" s="23" t="str">
        <f>TEXT(IF('Change in Employment'!B828&lt;&gt;0,DATE(YEAR('Change in Employment'!B828), MONTH('Change in Employment'!B828), 1), ""), "mm/dd/yyyy")</f>
        <v/>
      </c>
      <c r="B821" s="23" t="str">
        <f>IF(ISNUMBER('Change in Employment'!L828),'Change in Employment'!L828, "")</f>
        <v/>
      </c>
      <c r="C821" s="23" t="str">
        <f>IFERROR(IF(ISNUMBER('Change in Employment'!M828),TEXT('Change in Employment'!M828, "0"), ""), "")</f>
        <v/>
      </c>
    </row>
    <row r="822" spans="1:3">
      <c r="A822" s="23" t="str">
        <f>TEXT(IF('Change in Employment'!B829&lt;&gt;0,DATE(YEAR('Change in Employment'!B829), MONTH('Change in Employment'!B829), 1), ""), "mm/dd/yyyy")</f>
        <v/>
      </c>
      <c r="B822" s="23" t="str">
        <f>IF(ISNUMBER('Change in Employment'!L829),'Change in Employment'!L829, "")</f>
        <v/>
      </c>
      <c r="C822" s="23" t="str">
        <f>IFERROR(IF(ISNUMBER('Change in Employment'!M829),TEXT('Change in Employment'!M829, "0"), ""), "")</f>
        <v/>
      </c>
    </row>
    <row r="823" spans="1:3">
      <c r="A823" s="23" t="str">
        <f>TEXT(IF('Change in Employment'!B830&lt;&gt;0,DATE(YEAR('Change in Employment'!B830), MONTH('Change in Employment'!B830), 1), ""), "mm/dd/yyyy")</f>
        <v/>
      </c>
      <c r="B823" s="23" t="str">
        <f>IF(ISNUMBER('Change in Employment'!L830),'Change in Employment'!L830, "")</f>
        <v/>
      </c>
      <c r="C823" s="23" t="str">
        <f>IFERROR(IF(ISNUMBER('Change in Employment'!M830),TEXT('Change in Employment'!M830, "0"), ""), "")</f>
        <v/>
      </c>
    </row>
    <row r="824" spans="1:3">
      <c r="A824" s="23" t="str">
        <f>TEXT(IF('Change in Employment'!B831&lt;&gt;0,DATE(YEAR('Change in Employment'!B831), MONTH('Change in Employment'!B831), 1), ""), "mm/dd/yyyy")</f>
        <v/>
      </c>
      <c r="B824" s="23" t="str">
        <f>IF(ISNUMBER('Change in Employment'!L831),'Change in Employment'!L831, "")</f>
        <v/>
      </c>
      <c r="C824" s="23" t="str">
        <f>IFERROR(IF(ISNUMBER('Change in Employment'!M831),TEXT('Change in Employment'!M831, "0"), ""), "")</f>
        <v/>
      </c>
    </row>
    <row r="825" spans="1:3">
      <c r="A825" s="23" t="str">
        <f>TEXT(IF('Change in Employment'!B832&lt;&gt;0,DATE(YEAR('Change in Employment'!B832), MONTH('Change in Employment'!B832), 1), ""), "mm/dd/yyyy")</f>
        <v/>
      </c>
      <c r="B825" s="23" t="str">
        <f>IF(ISNUMBER('Change in Employment'!L832),'Change in Employment'!L832, "")</f>
        <v/>
      </c>
      <c r="C825" s="23" t="str">
        <f>IFERROR(IF(ISNUMBER('Change in Employment'!M832),TEXT('Change in Employment'!M832, "0"), ""), "")</f>
        <v/>
      </c>
    </row>
    <row r="826" spans="1:3">
      <c r="A826" s="23" t="str">
        <f>TEXT(IF('Change in Employment'!B833&lt;&gt;0,DATE(YEAR('Change in Employment'!B833), MONTH('Change in Employment'!B833), 1), ""), "mm/dd/yyyy")</f>
        <v/>
      </c>
      <c r="B826" s="23" t="str">
        <f>IF(ISNUMBER('Change in Employment'!L833),'Change in Employment'!L833, "")</f>
        <v/>
      </c>
      <c r="C826" s="23" t="str">
        <f>IFERROR(IF(ISNUMBER('Change in Employment'!M833),TEXT('Change in Employment'!M833, "0"), ""), "")</f>
        <v/>
      </c>
    </row>
    <row r="827" spans="1:3">
      <c r="A827" s="23" t="str">
        <f>TEXT(IF('Change in Employment'!B834&lt;&gt;0,DATE(YEAR('Change in Employment'!B834), MONTH('Change in Employment'!B834), 1), ""), "mm/dd/yyyy")</f>
        <v/>
      </c>
      <c r="B827" s="23" t="str">
        <f>IF(ISNUMBER('Change in Employment'!L834),'Change in Employment'!L834, "")</f>
        <v/>
      </c>
      <c r="C827" s="23" t="str">
        <f>IFERROR(IF(ISNUMBER('Change in Employment'!M834),TEXT('Change in Employment'!M834, "0"), ""), "")</f>
        <v/>
      </c>
    </row>
    <row r="828" spans="1:3">
      <c r="A828" s="23" t="str">
        <f>TEXT(IF('Change in Employment'!B835&lt;&gt;0,DATE(YEAR('Change in Employment'!B835), MONTH('Change in Employment'!B835), 1), ""), "mm/dd/yyyy")</f>
        <v/>
      </c>
      <c r="B828" s="23" t="str">
        <f>IF(ISNUMBER('Change in Employment'!L835),'Change in Employment'!L835, "")</f>
        <v/>
      </c>
      <c r="C828" s="23" t="str">
        <f>IFERROR(IF(ISNUMBER('Change in Employment'!M835),TEXT('Change in Employment'!M835, "0"), ""), "")</f>
        <v/>
      </c>
    </row>
    <row r="829" spans="1:3">
      <c r="A829" s="23" t="str">
        <f>TEXT(IF('Change in Employment'!B836&lt;&gt;0,DATE(YEAR('Change in Employment'!B836), MONTH('Change in Employment'!B836), 1), ""), "mm/dd/yyyy")</f>
        <v/>
      </c>
      <c r="B829" s="23" t="str">
        <f>IF(ISNUMBER('Change in Employment'!L836),'Change in Employment'!L836, "")</f>
        <v/>
      </c>
      <c r="C829" s="23" t="str">
        <f>IFERROR(IF(ISNUMBER('Change in Employment'!M836),TEXT('Change in Employment'!M836, "0"), ""), "")</f>
        <v/>
      </c>
    </row>
    <row r="830" spans="1:3">
      <c r="A830" s="23" t="str">
        <f>TEXT(IF('Change in Employment'!B837&lt;&gt;0,DATE(YEAR('Change in Employment'!B837), MONTH('Change in Employment'!B837), 1), ""), "mm/dd/yyyy")</f>
        <v/>
      </c>
      <c r="B830" s="23" t="str">
        <f>IF(ISNUMBER('Change in Employment'!L837),'Change in Employment'!L837, "")</f>
        <v/>
      </c>
      <c r="C830" s="23" t="str">
        <f>IFERROR(IF(ISNUMBER('Change in Employment'!M837),TEXT('Change in Employment'!M837, "0"), ""), "")</f>
        <v/>
      </c>
    </row>
    <row r="831" spans="1:3">
      <c r="A831" s="23" t="str">
        <f>TEXT(IF('Change in Employment'!B838&lt;&gt;0,DATE(YEAR('Change in Employment'!B838), MONTH('Change in Employment'!B838), 1), ""), "mm/dd/yyyy")</f>
        <v/>
      </c>
      <c r="B831" s="23" t="str">
        <f>IF(ISNUMBER('Change in Employment'!L838),'Change in Employment'!L838, "")</f>
        <v/>
      </c>
      <c r="C831" s="23" t="str">
        <f>IFERROR(IF(ISNUMBER('Change in Employment'!M838),TEXT('Change in Employment'!M838, "0"), ""), "")</f>
        <v/>
      </c>
    </row>
    <row r="832" spans="1:3">
      <c r="A832" s="23" t="str">
        <f>TEXT(IF('Change in Employment'!B839&lt;&gt;0,DATE(YEAR('Change in Employment'!B839), MONTH('Change in Employment'!B839), 1), ""), "mm/dd/yyyy")</f>
        <v/>
      </c>
      <c r="B832" s="23" t="str">
        <f>IF(ISNUMBER('Change in Employment'!L839),'Change in Employment'!L839, "")</f>
        <v/>
      </c>
      <c r="C832" s="23" t="str">
        <f>IFERROR(IF(ISNUMBER('Change in Employment'!M839),TEXT('Change in Employment'!M839, "0"), ""), "")</f>
        <v/>
      </c>
    </row>
    <row r="833" spans="1:3">
      <c r="A833" s="23" t="str">
        <f>TEXT(IF('Change in Employment'!B840&lt;&gt;0,DATE(YEAR('Change in Employment'!B840), MONTH('Change in Employment'!B840), 1), ""), "mm/dd/yyyy")</f>
        <v/>
      </c>
      <c r="B833" s="23" t="str">
        <f>IF(ISNUMBER('Change in Employment'!L840),'Change in Employment'!L840, "")</f>
        <v/>
      </c>
      <c r="C833" s="23" t="str">
        <f>IFERROR(IF(ISNUMBER('Change in Employment'!M840),TEXT('Change in Employment'!M840, "0"), ""), "")</f>
        <v/>
      </c>
    </row>
    <row r="834" spans="1:3">
      <c r="A834" s="23" t="str">
        <f>TEXT(IF('Change in Employment'!B841&lt;&gt;0,DATE(YEAR('Change in Employment'!B841), MONTH('Change in Employment'!B841), 1), ""), "mm/dd/yyyy")</f>
        <v/>
      </c>
      <c r="B834" s="23" t="str">
        <f>IF(ISNUMBER('Change in Employment'!L841),'Change in Employment'!L841, "")</f>
        <v/>
      </c>
      <c r="C834" s="23" t="str">
        <f>IFERROR(IF(ISNUMBER('Change in Employment'!M841),TEXT('Change in Employment'!M841, "0"), ""), "")</f>
        <v/>
      </c>
    </row>
    <row r="835" spans="1:3">
      <c r="A835" s="23" t="str">
        <f>TEXT(IF('Change in Employment'!B842&lt;&gt;0,DATE(YEAR('Change in Employment'!B842), MONTH('Change in Employment'!B842), 1), ""), "mm/dd/yyyy")</f>
        <v/>
      </c>
      <c r="B835" s="23" t="str">
        <f>IF(ISNUMBER('Change in Employment'!L842),'Change in Employment'!L842, "")</f>
        <v/>
      </c>
      <c r="C835" s="23" t="str">
        <f>IFERROR(IF(ISNUMBER('Change in Employment'!M842),TEXT('Change in Employment'!M842, "0"), ""), "")</f>
        <v/>
      </c>
    </row>
    <row r="836" spans="1:3">
      <c r="A836" s="23" t="str">
        <f>TEXT(IF('Change in Employment'!B843&lt;&gt;0,DATE(YEAR('Change in Employment'!B843), MONTH('Change in Employment'!B843), 1), ""), "mm/dd/yyyy")</f>
        <v/>
      </c>
      <c r="B836" s="23" t="str">
        <f>IF(ISNUMBER('Change in Employment'!L843),'Change in Employment'!L843, "")</f>
        <v/>
      </c>
      <c r="C836" s="23" t="str">
        <f>IFERROR(IF(ISNUMBER('Change in Employment'!M843),TEXT('Change in Employment'!M843, "0"), ""), "")</f>
        <v/>
      </c>
    </row>
    <row r="837" spans="1:3">
      <c r="A837" s="23" t="str">
        <f>TEXT(IF('Change in Employment'!B844&lt;&gt;0,DATE(YEAR('Change in Employment'!B844), MONTH('Change in Employment'!B844), 1), ""), "mm/dd/yyyy")</f>
        <v/>
      </c>
      <c r="B837" s="23" t="str">
        <f>IF(ISNUMBER('Change in Employment'!L844),'Change in Employment'!L844, "")</f>
        <v/>
      </c>
      <c r="C837" s="23" t="str">
        <f>IFERROR(IF(ISNUMBER('Change in Employment'!M844),TEXT('Change in Employment'!M844, "0"), ""), "")</f>
        <v/>
      </c>
    </row>
    <row r="838" spans="1:3">
      <c r="A838" s="23" t="str">
        <f>TEXT(IF('Change in Employment'!B845&lt;&gt;0,DATE(YEAR('Change in Employment'!B845), MONTH('Change in Employment'!B845), 1), ""), "mm/dd/yyyy")</f>
        <v/>
      </c>
      <c r="B838" s="23" t="str">
        <f>IF(ISNUMBER('Change in Employment'!L845),'Change in Employment'!L845, "")</f>
        <v/>
      </c>
      <c r="C838" s="23" t="str">
        <f>IFERROR(IF(ISNUMBER('Change in Employment'!M845),TEXT('Change in Employment'!M845, "0"), ""), "")</f>
        <v/>
      </c>
    </row>
    <row r="839" spans="1:3">
      <c r="A839" s="23" t="str">
        <f>TEXT(IF('Change in Employment'!B846&lt;&gt;0,DATE(YEAR('Change in Employment'!B846), MONTH('Change in Employment'!B846), 1), ""), "mm/dd/yyyy")</f>
        <v/>
      </c>
      <c r="B839" s="23" t="str">
        <f>IF(ISNUMBER('Change in Employment'!L846),'Change in Employment'!L846, "")</f>
        <v/>
      </c>
      <c r="C839" s="23" t="str">
        <f>IFERROR(IF(ISNUMBER('Change in Employment'!M846),TEXT('Change in Employment'!M846, "0"), ""), "")</f>
        <v/>
      </c>
    </row>
    <row r="840" spans="1:3">
      <c r="A840" s="23" t="str">
        <f>TEXT(IF('Change in Employment'!B847&lt;&gt;0,DATE(YEAR('Change in Employment'!B847), MONTH('Change in Employment'!B847), 1), ""), "mm/dd/yyyy")</f>
        <v/>
      </c>
      <c r="B840" s="23" t="str">
        <f>IF(ISNUMBER('Change in Employment'!L847),'Change in Employment'!L847, "")</f>
        <v/>
      </c>
      <c r="C840" s="23" t="str">
        <f>IFERROR(IF(ISNUMBER('Change in Employment'!M847),TEXT('Change in Employment'!M847, "0"), ""), "")</f>
        <v/>
      </c>
    </row>
    <row r="841" spans="1:3">
      <c r="A841" s="23" t="str">
        <f>TEXT(IF('Change in Employment'!B848&lt;&gt;0,DATE(YEAR('Change in Employment'!B848), MONTH('Change in Employment'!B848), 1), ""), "mm/dd/yyyy")</f>
        <v/>
      </c>
      <c r="B841" s="23" t="str">
        <f>IF(ISNUMBER('Change in Employment'!L848),'Change in Employment'!L848, "")</f>
        <v/>
      </c>
      <c r="C841" s="23" t="str">
        <f>IFERROR(IF(ISNUMBER('Change in Employment'!M848),TEXT('Change in Employment'!M848, "0"), ""), "")</f>
        <v/>
      </c>
    </row>
    <row r="842" spans="1:3">
      <c r="A842" s="23" t="str">
        <f>TEXT(IF('Change in Employment'!B849&lt;&gt;0,DATE(YEAR('Change in Employment'!B849), MONTH('Change in Employment'!B849), 1), ""), "mm/dd/yyyy")</f>
        <v/>
      </c>
      <c r="B842" s="23" t="str">
        <f>IF(ISNUMBER('Change in Employment'!L849),'Change in Employment'!L849, "")</f>
        <v/>
      </c>
      <c r="C842" s="23" t="str">
        <f>IFERROR(IF(ISNUMBER('Change in Employment'!M849),TEXT('Change in Employment'!M849, "0"), ""), "")</f>
        <v/>
      </c>
    </row>
    <row r="843" spans="1:3">
      <c r="A843" s="23" t="str">
        <f>TEXT(IF('Change in Employment'!B850&lt;&gt;0,DATE(YEAR('Change in Employment'!B850), MONTH('Change in Employment'!B850), 1), ""), "mm/dd/yyyy")</f>
        <v/>
      </c>
      <c r="B843" s="23" t="str">
        <f>IF(ISNUMBER('Change in Employment'!L850),'Change in Employment'!L850, "")</f>
        <v/>
      </c>
      <c r="C843" s="23" t="str">
        <f>IFERROR(IF(ISNUMBER('Change in Employment'!M850),TEXT('Change in Employment'!M850, "0"), ""), "")</f>
        <v/>
      </c>
    </row>
    <row r="844" spans="1:3">
      <c r="A844" s="23" t="str">
        <f>TEXT(IF('Change in Employment'!B851&lt;&gt;0,DATE(YEAR('Change in Employment'!B851), MONTH('Change in Employment'!B851), 1), ""), "mm/dd/yyyy")</f>
        <v/>
      </c>
      <c r="B844" s="23" t="str">
        <f>IF(ISNUMBER('Change in Employment'!L851),'Change in Employment'!L851, "")</f>
        <v/>
      </c>
      <c r="C844" s="23" t="str">
        <f>IFERROR(IF(ISNUMBER('Change in Employment'!M851),TEXT('Change in Employment'!M851, "0"), ""), "")</f>
        <v/>
      </c>
    </row>
    <row r="845" spans="1:3">
      <c r="A845" s="23" t="str">
        <f>TEXT(IF('Change in Employment'!B852&lt;&gt;0,DATE(YEAR('Change in Employment'!B852), MONTH('Change in Employment'!B852), 1), ""), "mm/dd/yyyy")</f>
        <v/>
      </c>
      <c r="B845" s="23" t="str">
        <f>IF(ISNUMBER('Change in Employment'!L852),'Change in Employment'!L852, "")</f>
        <v/>
      </c>
      <c r="C845" s="23" t="str">
        <f>IFERROR(IF(ISNUMBER('Change in Employment'!M852),TEXT('Change in Employment'!M852, "0"), ""), "")</f>
        <v/>
      </c>
    </row>
    <row r="846" spans="1:3">
      <c r="A846" s="23" t="str">
        <f>TEXT(IF('Change in Employment'!B853&lt;&gt;0,DATE(YEAR('Change in Employment'!B853), MONTH('Change in Employment'!B853), 1), ""), "mm/dd/yyyy")</f>
        <v/>
      </c>
      <c r="B846" s="23" t="str">
        <f>IF(ISNUMBER('Change in Employment'!L853),'Change in Employment'!L853, "")</f>
        <v/>
      </c>
      <c r="C846" s="23" t="str">
        <f>IFERROR(IF(ISNUMBER('Change in Employment'!M853),TEXT('Change in Employment'!M853, "0"), ""), "")</f>
        <v/>
      </c>
    </row>
    <row r="847" spans="1:3">
      <c r="A847" s="23" t="str">
        <f>TEXT(IF('Change in Employment'!B854&lt;&gt;0,DATE(YEAR('Change in Employment'!B854), MONTH('Change in Employment'!B854), 1), ""), "mm/dd/yyyy")</f>
        <v/>
      </c>
      <c r="B847" s="23" t="str">
        <f>IF(ISNUMBER('Change in Employment'!L854),'Change in Employment'!L854, "")</f>
        <v/>
      </c>
      <c r="C847" s="23" t="str">
        <f>IFERROR(IF(ISNUMBER('Change in Employment'!M854),TEXT('Change in Employment'!M854, "0"), ""), "")</f>
        <v/>
      </c>
    </row>
    <row r="848" spans="1:3">
      <c r="A848" s="23" t="str">
        <f>TEXT(IF('Change in Employment'!B855&lt;&gt;0,DATE(YEAR('Change in Employment'!B855), MONTH('Change in Employment'!B855), 1), ""), "mm/dd/yyyy")</f>
        <v/>
      </c>
      <c r="B848" s="23" t="str">
        <f>IF(ISNUMBER('Change in Employment'!L855),'Change in Employment'!L855, "")</f>
        <v/>
      </c>
      <c r="C848" s="23" t="str">
        <f>IFERROR(IF(ISNUMBER('Change in Employment'!M855),TEXT('Change in Employment'!M855, "0"), ""), "")</f>
        <v/>
      </c>
    </row>
    <row r="849" spans="1:3">
      <c r="A849" s="23" t="str">
        <f>TEXT(IF('Change in Employment'!B856&lt;&gt;0,DATE(YEAR('Change in Employment'!B856), MONTH('Change in Employment'!B856), 1), ""), "mm/dd/yyyy")</f>
        <v/>
      </c>
      <c r="B849" s="23" t="str">
        <f>IF(ISNUMBER('Change in Employment'!L856),'Change in Employment'!L856, "")</f>
        <v/>
      </c>
      <c r="C849" s="23" t="str">
        <f>IFERROR(IF(ISNUMBER('Change in Employment'!M856),TEXT('Change in Employment'!M856, "0"), ""), "")</f>
        <v/>
      </c>
    </row>
    <row r="850" spans="1:3">
      <c r="A850" s="23" t="str">
        <f>TEXT(IF('Change in Employment'!B857&lt;&gt;0,DATE(YEAR('Change in Employment'!B857), MONTH('Change in Employment'!B857), 1), ""), "mm/dd/yyyy")</f>
        <v/>
      </c>
      <c r="B850" s="23" t="str">
        <f>IF(ISNUMBER('Change in Employment'!L857),'Change in Employment'!L857, "")</f>
        <v/>
      </c>
      <c r="C850" s="23" t="str">
        <f>IFERROR(IF(ISNUMBER('Change in Employment'!M857),TEXT('Change in Employment'!M857, "0"), ""), "")</f>
        <v/>
      </c>
    </row>
    <row r="851" spans="1:3">
      <c r="A851" s="23" t="str">
        <f>TEXT(IF('Change in Employment'!B858&lt;&gt;0,DATE(YEAR('Change in Employment'!B858), MONTH('Change in Employment'!B858), 1), ""), "mm/dd/yyyy")</f>
        <v/>
      </c>
      <c r="B851" s="23" t="str">
        <f>IF(ISNUMBER('Change in Employment'!L858),'Change in Employment'!L858, "")</f>
        <v/>
      </c>
      <c r="C851" s="23" t="str">
        <f>IFERROR(IF(ISNUMBER('Change in Employment'!M858),TEXT('Change in Employment'!M858, "0"), ""), "")</f>
        <v/>
      </c>
    </row>
    <row r="852" spans="1:3">
      <c r="A852" s="23" t="str">
        <f>TEXT(IF('Change in Employment'!B859&lt;&gt;0,DATE(YEAR('Change in Employment'!B859), MONTH('Change in Employment'!B859), 1), ""), "mm/dd/yyyy")</f>
        <v/>
      </c>
      <c r="B852" s="23" t="str">
        <f>IF(ISNUMBER('Change in Employment'!L859),'Change in Employment'!L859, "")</f>
        <v/>
      </c>
      <c r="C852" s="23" t="str">
        <f>IFERROR(IF(ISNUMBER('Change in Employment'!M859),TEXT('Change in Employment'!M859, "0"), ""), "")</f>
        <v/>
      </c>
    </row>
    <row r="853" spans="1:3">
      <c r="A853" s="23" t="str">
        <f>TEXT(IF('Change in Employment'!B860&lt;&gt;0,DATE(YEAR('Change in Employment'!B860), MONTH('Change in Employment'!B860), 1), ""), "mm/dd/yyyy")</f>
        <v/>
      </c>
      <c r="B853" s="23" t="str">
        <f>IF(ISNUMBER('Change in Employment'!L860),'Change in Employment'!L860, "")</f>
        <v/>
      </c>
      <c r="C853" s="23" t="str">
        <f>IFERROR(IF(ISNUMBER('Change in Employment'!M860),TEXT('Change in Employment'!M860, "0"), ""), "")</f>
        <v/>
      </c>
    </row>
    <row r="854" spans="1:3">
      <c r="A854" s="23" t="str">
        <f>TEXT(IF('Change in Employment'!B861&lt;&gt;0,DATE(YEAR('Change in Employment'!B861), MONTH('Change in Employment'!B861), 1), ""), "mm/dd/yyyy")</f>
        <v/>
      </c>
      <c r="B854" s="23" t="str">
        <f>IF(ISNUMBER('Change in Employment'!L861),'Change in Employment'!L861, "")</f>
        <v/>
      </c>
      <c r="C854" s="23" t="str">
        <f>IFERROR(IF(ISNUMBER('Change in Employment'!M861),TEXT('Change in Employment'!M861, "0"), ""), "")</f>
        <v/>
      </c>
    </row>
    <row r="855" spans="1:3">
      <c r="A855" s="23" t="str">
        <f>TEXT(IF('Change in Employment'!B862&lt;&gt;0,DATE(YEAR('Change in Employment'!B862), MONTH('Change in Employment'!B862), 1), ""), "mm/dd/yyyy")</f>
        <v/>
      </c>
      <c r="B855" s="23" t="str">
        <f>IF(ISNUMBER('Change in Employment'!L862),'Change in Employment'!L862, "")</f>
        <v/>
      </c>
      <c r="C855" s="23" t="str">
        <f>IFERROR(IF(ISNUMBER('Change in Employment'!M862),TEXT('Change in Employment'!M862, "0"), ""), "")</f>
        <v/>
      </c>
    </row>
    <row r="856" spans="1:3">
      <c r="A856" s="23" t="str">
        <f>TEXT(IF('Change in Employment'!B863&lt;&gt;0,DATE(YEAR('Change in Employment'!B863), MONTH('Change in Employment'!B863), 1), ""), "mm/dd/yyyy")</f>
        <v/>
      </c>
      <c r="B856" s="23" t="str">
        <f>IF(ISNUMBER('Change in Employment'!L863),'Change in Employment'!L863, "")</f>
        <v/>
      </c>
      <c r="C856" s="23" t="str">
        <f>IFERROR(IF(ISNUMBER('Change in Employment'!M863),TEXT('Change in Employment'!M863, "0"), ""), "")</f>
        <v/>
      </c>
    </row>
    <row r="857" spans="1:3">
      <c r="A857" s="23" t="str">
        <f>TEXT(IF('Change in Employment'!B864&lt;&gt;0,DATE(YEAR('Change in Employment'!B864), MONTH('Change in Employment'!B864), 1), ""), "mm/dd/yyyy")</f>
        <v/>
      </c>
      <c r="B857" s="23" t="str">
        <f>IF(ISNUMBER('Change in Employment'!L864),'Change in Employment'!L864, "")</f>
        <v/>
      </c>
      <c r="C857" s="23" t="str">
        <f>IFERROR(IF(ISNUMBER('Change in Employment'!M864),TEXT('Change in Employment'!M864, "0"), ""), "")</f>
        <v/>
      </c>
    </row>
    <row r="858" spans="1:3">
      <c r="A858" s="23" t="str">
        <f>TEXT(IF('Change in Employment'!B865&lt;&gt;0,DATE(YEAR('Change in Employment'!B865), MONTH('Change in Employment'!B865), 1), ""), "mm/dd/yyyy")</f>
        <v/>
      </c>
      <c r="B858" s="23" t="str">
        <f>IF(ISNUMBER('Change in Employment'!L865),'Change in Employment'!L865, "")</f>
        <v/>
      </c>
      <c r="C858" s="23" t="str">
        <f>IFERROR(IF(ISNUMBER('Change in Employment'!M865),TEXT('Change in Employment'!M865, "0"), ""), "")</f>
        <v/>
      </c>
    </row>
    <row r="859" spans="1:3">
      <c r="A859" s="23" t="str">
        <f>TEXT(IF('Change in Employment'!B866&lt;&gt;0,DATE(YEAR('Change in Employment'!B866), MONTH('Change in Employment'!B866), 1), ""), "mm/dd/yyyy")</f>
        <v/>
      </c>
      <c r="B859" s="23" t="str">
        <f>IF(ISNUMBER('Change in Employment'!L866),'Change in Employment'!L866, "")</f>
        <v/>
      </c>
      <c r="C859" s="23" t="str">
        <f>IFERROR(IF(ISNUMBER('Change in Employment'!M866),TEXT('Change in Employment'!M866, "0"), ""), "")</f>
        <v/>
      </c>
    </row>
    <row r="860" spans="1:3">
      <c r="A860" s="23" t="str">
        <f>TEXT(IF('Change in Employment'!B867&lt;&gt;0,DATE(YEAR('Change in Employment'!B867), MONTH('Change in Employment'!B867), 1), ""), "mm/dd/yyyy")</f>
        <v/>
      </c>
      <c r="B860" s="23" t="str">
        <f>IF(ISNUMBER('Change in Employment'!L867),'Change in Employment'!L867, "")</f>
        <v/>
      </c>
      <c r="C860" s="23" t="str">
        <f>IFERROR(IF(ISNUMBER('Change in Employment'!M867),TEXT('Change in Employment'!M867, "0"), ""), "")</f>
        <v/>
      </c>
    </row>
    <row r="861" spans="1:3">
      <c r="A861" s="23" t="str">
        <f>TEXT(IF('Change in Employment'!B868&lt;&gt;0,DATE(YEAR('Change in Employment'!B868), MONTH('Change in Employment'!B868), 1), ""), "mm/dd/yyyy")</f>
        <v/>
      </c>
      <c r="B861" s="23" t="str">
        <f>IF(ISNUMBER('Change in Employment'!L868),'Change in Employment'!L868, "")</f>
        <v/>
      </c>
      <c r="C861" s="23" t="str">
        <f>IFERROR(IF(ISNUMBER('Change in Employment'!M868),TEXT('Change in Employment'!M868, "0"), ""), "")</f>
        <v/>
      </c>
    </row>
    <row r="862" spans="1:3">
      <c r="A862" s="23" t="str">
        <f>TEXT(IF('Change in Employment'!B869&lt;&gt;0,DATE(YEAR('Change in Employment'!B869), MONTH('Change in Employment'!B869), 1), ""), "mm/dd/yyyy")</f>
        <v/>
      </c>
      <c r="B862" s="23" t="str">
        <f>IF(ISNUMBER('Change in Employment'!L869),'Change in Employment'!L869, "")</f>
        <v/>
      </c>
      <c r="C862" s="23" t="str">
        <f>IFERROR(IF(ISNUMBER('Change in Employment'!M869),TEXT('Change in Employment'!M869, "0"), ""), "")</f>
        <v/>
      </c>
    </row>
    <row r="863" spans="1:3">
      <c r="A863" s="23" t="str">
        <f>TEXT(IF('Change in Employment'!B870&lt;&gt;0,DATE(YEAR('Change in Employment'!B870), MONTH('Change in Employment'!B870), 1), ""), "mm/dd/yyyy")</f>
        <v/>
      </c>
      <c r="B863" s="23" t="str">
        <f>IF(ISNUMBER('Change in Employment'!L870),'Change in Employment'!L870, "")</f>
        <v/>
      </c>
      <c r="C863" s="23" t="str">
        <f>IFERROR(IF(ISNUMBER('Change in Employment'!M870),TEXT('Change in Employment'!M870, "0"), ""), "")</f>
        <v/>
      </c>
    </row>
    <row r="864" spans="1:3">
      <c r="A864" s="23" t="str">
        <f>TEXT(IF('Change in Employment'!B871&lt;&gt;0,DATE(YEAR('Change in Employment'!B871), MONTH('Change in Employment'!B871), 1), ""), "mm/dd/yyyy")</f>
        <v/>
      </c>
      <c r="B864" s="23" t="str">
        <f>IF(ISNUMBER('Change in Employment'!L871),'Change in Employment'!L871, "")</f>
        <v/>
      </c>
      <c r="C864" s="23" t="str">
        <f>IFERROR(IF(ISNUMBER('Change in Employment'!M871),TEXT('Change in Employment'!M871, "0"), ""), "")</f>
        <v/>
      </c>
    </row>
    <row r="865" spans="1:3">
      <c r="A865" s="23" t="str">
        <f>TEXT(IF('Change in Employment'!B872&lt;&gt;0,DATE(YEAR('Change in Employment'!B872), MONTH('Change in Employment'!B872), 1), ""), "mm/dd/yyyy")</f>
        <v/>
      </c>
      <c r="B865" s="23" t="str">
        <f>IF(ISNUMBER('Change in Employment'!L872),'Change in Employment'!L872, "")</f>
        <v/>
      </c>
      <c r="C865" s="23" t="str">
        <f>IFERROR(IF(ISNUMBER('Change in Employment'!M872),TEXT('Change in Employment'!M872, "0"), ""), "")</f>
        <v/>
      </c>
    </row>
    <row r="866" spans="1:3">
      <c r="A866" s="23" t="str">
        <f>TEXT(IF('Change in Employment'!B873&lt;&gt;0,DATE(YEAR('Change in Employment'!B873), MONTH('Change in Employment'!B873), 1), ""), "mm/dd/yyyy")</f>
        <v/>
      </c>
      <c r="B866" s="23" t="str">
        <f>IF(ISNUMBER('Change in Employment'!L873),'Change in Employment'!L873, "")</f>
        <v/>
      </c>
      <c r="C866" s="23" t="str">
        <f>IFERROR(IF(ISNUMBER('Change in Employment'!M873),TEXT('Change in Employment'!M873, "0"), ""), "")</f>
        <v/>
      </c>
    </row>
    <row r="867" spans="1:3">
      <c r="A867" s="23" t="str">
        <f>TEXT(IF('Change in Employment'!B874&lt;&gt;0,DATE(YEAR('Change in Employment'!B874), MONTH('Change in Employment'!B874), 1), ""), "mm/dd/yyyy")</f>
        <v/>
      </c>
      <c r="B867" s="23" t="str">
        <f>IF(ISNUMBER('Change in Employment'!L874),'Change in Employment'!L874, "")</f>
        <v/>
      </c>
      <c r="C867" s="23" t="str">
        <f>IFERROR(IF(ISNUMBER('Change in Employment'!M874),TEXT('Change in Employment'!M874, "0"), ""), "")</f>
        <v/>
      </c>
    </row>
    <row r="868" spans="1:3">
      <c r="A868" s="23" t="str">
        <f>TEXT(IF('Change in Employment'!B875&lt;&gt;0,DATE(YEAR('Change in Employment'!B875), MONTH('Change in Employment'!B875), 1), ""), "mm/dd/yyyy")</f>
        <v/>
      </c>
      <c r="B868" s="23" t="str">
        <f>IF(ISNUMBER('Change in Employment'!L875),'Change in Employment'!L875, "")</f>
        <v/>
      </c>
      <c r="C868" s="23" t="str">
        <f>IFERROR(IF(ISNUMBER('Change in Employment'!M875),TEXT('Change in Employment'!M875, "0"), ""), "")</f>
        <v/>
      </c>
    </row>
    <row r="869" spans="1:3">
      <c r="A869" s="23" t="str">
        <f>TEXT(IF('Change in Employment'!B876&lt;&gt;0,DATE(YEAR('Change in Employment'!B876), MONTH('Change in Employment'!B876), 1), ""), "mm/dd/yyyy")</f>
        <v/>
      </c>
      <c r="B869" s="23" t="str">
        <f>IF(ISNUMBER('Change in Employment'!L876),'Change in Employment'!L876, "")</f>
        <v/>
      </c>
      <c r="C869" s="23" t="str">
        <f>IFERROR(IF(ISNUMBER('Change in Employment'!M876),TEXT('Change in Employment'!M876, "0"), ""), "")</f>
        <v/>
      </c>
    </row>
    <row r="870" spans="1:3">
      <c r="A870" s="23" t="str">
        <f>TEXT(IF('Change in Employment'!B877&lt;&gt;0,DATE(YEAR('Change in Employment'!B877), MONTH('Change in Employment'!B877), 1), ""), "mm/dd/yyyy")</f>
        <v/>
      </c>
      <c r="B870" s="23" t="str">
        <f>IF(ISNUMBER('Change in Employment'!L877),'Change in Employment'!L877, "")</f>
        <v/>
      </c>
      <c r="C870" s="23" t="str">
        <f>IFERROR(IF(ISNUMBER('Change in Employment'!M877),TEXT('Change in Employment'!M877, "0"), ""), "")</f>
        <v/>
      </c>
    </row>
    <row r="871" spans="1:3">
      <c r="A871" s="23" t="str">
        <f>TEXT(IF('Change in Employment'!B878&lt;&gt;0,DATE(YEAR('Change in Employment'!B878), MONTH('Change in Employment'!B878), 1), ""), "mm/dd/yyyy")</f>
        <v/>
      </c>
      <c r="B871" s="23" t="str">
        <f>IF(ISNUMBER('Change in Employment'!L878),'Change in Employment'!L878, "")</f>
        <v/>
      </c>
      <c r="C871" s="23" t="str">
        <f>IFERROR(IF(ISNUMBER('Change in Employment'!M878),TEXT('Change in Employment'!M878, "0"), ""), "")</f>
        <v/>
      </c>
    </row>
    <row r="872" spans="1:3">
      <c r="A872" s="23" t="str">
        <f>TEXT(IF('Change in Employment'!B879&lt;&gt;0,DATE(YEAR('Change in Employment'!B879), MONTH('Change in Employment'!B879), 1), ""), "mm/dd/yyyy")</f>
        <v/>
      </c>
      <c r="B872" s="23" t="str">
        <f>IF(ISNUMBER('Change in Employment'!L879),'Change in Employment'!L879, "")</f>
        <v/>
      </c>
      <c r="C872" s="23" t="str">
        <f>IFERROR(IF(ISNUMBER('Change in Employment'!M879),TEXT('Change in Employment'!M879, "0"), ""), "")</f>
        <v/>
      </c>
    </row>
    <row r="873" spans="1:3">
      <c r="A873" s="23" t="str">
        <f>TEXT(IF('Change in Employment'!B880&lt;&gt;0,DATE(YEAR('Change in Employment'!B880), MONTH('Change in Employment'!B880), 1), ""), "mm/dd/yyyy")</f>
        <v/>
      </c>
      <c r="B873" s="23" t="str">
        <f>IF(ISNUMBER('Change in Employment'!L880),'Change in Employment'!L880, "")</f>
        <v/>
      </c>
      <c r="C873" s="23" t="str">
        <f>IFERROR(IF(ISNUMBER('Change in Employment'!M880),TEXT('Change in Employment'!M880, "0"), ""), "")</f>
        <v/>
      </c>
    </row>
    <row r="874" spans="1:3">
      <c r="A874" s="23" t="str">
        <f>TEXT(IF('Change in Employment'!B881&lt;&gt;0,DATE(YEAR('Change in Employment'!B881), MONTH('Change in Employment'!B881), 1), ""), "mm/dd/yyyy")</f>
        <v/>
      </c>
      <c r="B874" s="23" t="str">
        <f>IF(ISNUMBER('Change in Employment'!L881),'Change in Employment'!L881, "")</f>
        <v/>
      </c>
      <c r="C874" s="23" t="str">
        <f>IFERROR(IF(ISNUMBER('Change in Employment'!M881),TEXT('Change in Employment'!M881, "0"), ""), "")</f>
        <v/>
      </c>
    </row>
    <row r="875" spans="1:3">
      <c r="A875" s="23" t="str">
        <f>TEXT(IF('Change in Employment'!B882&lt;&gt;0,DATE(YEAR('Change in Employment'!B882), MONTH('Change in Employment'!B882), 1), ""), "mm/dd/yyyy")</f>
        <v/>
      </c>
      <c r="B875" s="23" t="str">
        <f>IF(ISNUMBER('Change in Employment'!L882),'Change in Employment'!L882, "")</f>
        <v/>
      </c>
      <c r="C875" s="23" t="str">
        <f>IFERROR(IF(ISNUMBER('Change in Employment'!M882),TEXT('Change in Employment'!M882, "0"), ""), "")</f>
        <v/>
      </c>
    </row>
    <row r="876" spans="1:3">
      <c r="A876" s="23" t="str">
        <f>TEXT(IF('Change in Employment'!B883&lt;&gt;0,DATE(YEAR('Change in Employment'!B883), MONTH('Change in Employment'!B883), 1), ""), "mm/dd/yyyy")</f>
        <v/>
      </c>
      <c r="B876" s="23" t="str">
        <f>IF(ISNUMBER('Change in Employment'!L883),'Change in Employment'!L883, "")</f>
        <v/>
      </c>
      <c r="C876" s="23" t="str">
        <f>IFERROR(IF(ISNUMBER('Change in Employment'!M883),TEXT('Change in Employment'!M883, "0"), ""), "")</f>
        <v/>
      </c>
    </row>
    <row r="877" spans="1:3">
      <c r="A877" s="23" t="str">
        <f>TEXT(IF('Change in Employment'!B884&lt;&gt;0,DATE(YEAR('Change in Employment'!B884), MONTH('Change in Employment'!B884), 1), ""), "mm/dd/yyyy")</f>
        <v/>
      </c>
      <c r="B877" s="23" t="str">
        <f>IF(ISNUMBER('Change in Employment'!L884),'Change in Employment'!L884, "")</f>
        <v/>
      </c>
      <c r="C877" s="23" t="str">
        <f>IFERROR(IF(ISNUMBER('Change in Employment'!M884),TEXT('Change in Employment'!M884, "0"), ""), "")</f>
        <v/>
      </c>
    </row>
    <row r="878" spans="1:3">
      <c r="A878" s="23" t="str">
        <f>TEXT(IF('Change in Employment'!B885&lt;&gt;0,DATE(YEAR('Change in Employment'!B885), MONTH('Change in Employment'!B885), 1), ""), "mm/dd/yyyy")</f>
        <v/>
      </c>
      <c r="B878" s="23" t="str">
        <f>IF(ISNUMBER('Change in Employment'!L885),'Change in Employment'!L885, "")</f>
        <v/>
      </c>
      <c r="C878" s="23" t="str">
        <f>IFERROR(IF(ISNUMBER('Change in Employment'!M885),TEXT('Change in Employment'!M885, "0"), ""), "")</f>
        <v/>
      </c>
    </row>
    <row r="879" spans="1:3">
      <c r="A879" s="23" t="str">
        <f>TEXT(IF('Change in Employment'!B886&lt;&gt;0,DATE(YEAR('Change in Employment'!B886), MONTH('Change in Employment'!B886), 1), ""), "mm/dd/yyyy")</f>
        <v/>
      </c>
      <c r="B879" s="23" t="str">
        <f>IF(ISNUMBER('Change in Employment'!L886),'Change in Employment'!L886, "")</f>
        <v/>
      </c>
      <c r="C879" s="23" t="str">
        <f>IFERROR(IF(ISNUMBER('Change in Employment'!M886),TEXT('Change in Employment'!M886, "0"), ""), "")</f>
        <v/>
      </c>
    </row>
    <row r="880" spans="1:3">
      <c r="A880" s="23" t="str">
        <f>TEXT(IF('Change in Employment'!B887&lt;&gt;0,DATE(YEAR('Change in Employment'!B887), MONTH('Change in Employment'!B887), 1), ""), "mm/dd/yyyy")</f>
        <v/>
      </c>
      <c r="B880" s="23" t="str">
        <f>IF(ISNUMBER('Change in Employment'!L887),'Change in Employment'!L887, "")</f>
        <v/>
      </c>
      <c r="C880" s="23" t="str">
        <f>IFERROR(IF(ISNUMBER('Change in Employment'!M887),TEXT('Change in Employment'!M887, "0"), ""), "")</f>
        <v/>
      </c>
    </row>
    <row r="881" spans="1:3">
      <c r="A881" s="23" t="str">
        <f>TEXT(IF('Change in Employment'!B888&lt;&gt;0,DATE(YEAR('Change in Employment'!B888), MONTH('Change in Employment'!B888), 1), ""), "mm/dd/yyyy")</f>
        <v/>
      </c>
      <c r="B881" s="23" t="str">
        <f>IF(ISNUMBER('Change in Employment'!L888),'Change in Employment'!L888, "")</f>
        <v/>
      </c>
      <c r="C881" s="23" t="str">
        <f>IFERROR(IF(ISNUMBER('Change in Employment'!M888),TEXT('Change in Employment'!M888, "0"), ""), "")</f>
        <v/>
      </c>
    </row>
    <row r="882" spans="1:3">
      <c r="A882" s="23" t="str">
        <f>TEXT(IF('Change in Employment'!B889&lt;&gt;0,DATE(YEAR('Change in Employment'!B889), MONTH('Change in Employment'!B889), 1), ""), "mm/dd/yyyy")</f>
        <v/>
      </c>
      <c r="B882" s="23" t="str">
        <f>IF(ISNUMBER('Change in Employment'!L889),'Change in Employment'!L889, "")</f>
        <v/>
      </c>
      <c r="C882" s="23" t="str">
        <f>IFERROR(IF(ISNUMBER('Change in Employment'!M889),TEXT('Change in Employment'!M889, "0"), ""), "")</f>
        <v/>
      </c>
    </row>
    <row r="883" spans="1:3">
      <c r="A883" s="23" t="str">
        <f>TEXT(IF('Change in Employment'!B890&lt;&gt;0,DATE(YEAR('Change in Employment'!B890), MONTH('Change in Employment'!B890), 1), ""), "mm/dd/yyyy")</f>
        <v/>
      </c>
      <c r="B883" s="23" t="str">
        <f>IF(ISNUMBER('Change in Employment'!L890),'Change in Employment'!L890, "")</f>
        <v/>
      </c>
      <c r="C883" s="23" t="str">
        <f>IFERROR(IF(ISNUMBER('Change in Employment'!M890),TEXT('Change in Employment'!M890, "0"), ""), "")</f>
        <v/>
      </c>
    </row>
    <row r="884" spans="1:3">
      <c r="A884" s="23" t="str">
        <f>TEXT(IF('Change in Employment'!B891&lt;&gt;0,DATE(YEAR('Change in Employment'!B891), MONTH('Change in Employment'!B891), 1), ""), "mm/dd/yyyy")</f>
        <v/>
      </c>
      <c r="B884" s="23" t="str">
        <f>IF(ISNUMBER('Change in Employment'!L891),'Change in Employment'!L891, "")</f>
        <v/>
      </c>
      <c r="C884" s="23" t="str">
        <f>IFERROR(IF(ISNUMBER('Change in Employment'!M891),TEXT('Change in Employment'!M891, "0"), ""), "")</f>
        <v/>
      </c>
    </row>
    <row r="885" spans="1:3">
      <c r="A885" s="23" t="str">
        <f>TEXT(IF('Change in Employment'!B892&lt;&gt;0,DATE(YEAR('Change in Employment'!B892), MONTH('Change in Employment'!B892), 1), ""), "mm/dd/yyyy")</f>
        <v/>
      </c>
      <c r="B885" s="23" t="str">
        <f>IF(ISNUMBER('Change in Employment'!L892),'Change in Employment'!L892, "")</f>
        <v/>
      </c>
      <c r="C885" s="23" t="str">
        <f>IFERROR(IF(ISNUMBER('Change in Employment'!M892),TEXT('Change in Employment'!M892, "0"), ""), "")</f>
        <v/>
      </c>
    </row>
    <row r="886" spans="1:3">
      <c r="A886" s="23" t="str">
        <f>TEXT(IF('Change in Employment'!B893&lt;&gt;0,DATE(YEAR('Change in Employment'!B893), MONTH('Change in Employment'!B893), 1), ""), "mm/dd/yyyy")</f>
        <v/>
      </c>
      <c r="B886" s="23" t="str">
        <f>IF(ISNUMBER('Change in Employment'!L893),'Change in Employment'!L893, "")</f>
        <v/>
      </c>
      <c r="C886" s="23" t="str">
        <f>IFERROR(IF(ISNUMBER('Change in Employment'!M893),TEXT('Change in Employment'!M893, "0"), ""), "")</f>
        <v/>
      </c>
    </row>
    <row r="887" spans="1:3">
      <c r="A887" s="23" t="str">
        <f>TEXT(IF('Change in Employment'!B894&lt;&gt;0,DATE(YEAR('Change in Employment'!B894), MONTH('Change in Employment'!B894), 1), ""), "mm/dd/yyyy")</f>
        <v/>
      </c>
      <c r="B887" s="23" t="str">
        <f>IF(ISNUMBER('Change in Employment'!L894),'Change in Employment'!L894, "")</f>
        <v/>
      </c>
      <c r="C887" s="23" t="str">
        <f>IFERROR(IF(ISNUMBER('Change in Employment'!M894),TEXT('Change in Employment'!M894, "0"), ""), "")</f>
        <v/>
      </c>
    </row>
    <row r="888" spans="1:3">
      <c r="A888" s="23" t="str">
        <f>TEXT(IF('Change in Employment'!B895&lt;&gt;0,DATE(YEAR('Change in Employment'!B895), MONTH('Change in Employment'!B895), 1), ""), "mm/dd/yyyy")</f>
        <v/>
      </c>
      <c r="B888" s="23" t="str">
        <f>IF(ISNUMBER('Change in Employment'!L895),'Change in Employment'!L895, "")</f>
        <v/>
      </c>
      <c r="C888" s="23" t="str">
        <f>IFERROR(IF(ISNUMBER('Change in Employment'!M895),TEXT('Change in Employment'!M895, "0"), ""), "")</f>
        <v/>
      </c>
    </row>
    <row r="889" spans="1:3">
      <c r="A889" s="23" t="str">
        <f>TEXT(IF('Change in Employment'!B896&lt;&gt;0,DATE(YEAR('Change in Employment'!B896), MONTH('Change in Employment'!B896), 1), ""), "mm/dd/yyyy")</f>
        <v/>
      </c>
      <c r="B889" s="23" t="str">
        <f>IF(ISNUMBER('Change in Employment'!L896),'Change in Employment'!L896, "")</f>
        <v/>
      </c>
      <c r="C889" s="23" t="str">
        <f>IFERROR(IF(ISNUMBER('Change in Employment'!M896),TEXT('Change in Employment'!M896, "0"), ""), "")</f>
        <v/>
      </c>
    </row>
    <row r="890" spans="1:3">
      <c r="A890" s="23" t="str">
        <f>TEXT(IF('Change in Employment'!B897&lt;&gt;0,DATE(YEAR('Change in Employment'!B897), MONTH('Change in Employment'!B897), 1), ""), "mm/dd/yyyy")</f>
        <v/>
      </c>
      <c r="B890" s="23" t="str">
        <f>IF(ISNUMBER('Change in Employment'!L897),'Change in Employment'!L897, "")</f>
        <v/>
      </c>
      <c r="C890" s="23" t="str">
        <f>IFERROR(IF(ISNUMBER('Change in Employment'!M897),TEXT('Change in Employment'!M897, "0"), ""), "")</f>
        <v/>
      </c>
    </row>
    <row r="891" spans="1:3">
      <c r="A891" s="23" t="str">
        <f>TEXT(IF('Change in Employment'!B898&lt;&gt;0,DATE(YEAR('Change in Employment'!B898), MONTH('Change in Employment'!B898), 1), ""), "mm/dd/yyyy")</f>
        <v/>
      </c>
      <c r="B891" s="23" t="str">
        <f>IF(ISNUMBER('Change in Employment'!L898),'Change in Employment'!L898, "")</f>
        <v/>
      </c>
      <c r="C891" s="23" t="str">
        <f>IFERROR(IF(ISNUMBER('Change in Employment'!M898),TEXT('Change in Employment'!M898, "0"), ""), "")</f>
        <v/>
      </c>
    </row>
    <row r="892" spans="1:3">
      <c r="A892" s="23" t="str">
        <f>TEXT(IF('Change in Employment'!B899&lt;&gt;0,DATE(YEAR('Change in Employment'!B899), MONTH('Change in Employment'!B899), 1), ""), "mm/dd/yyyy")</f>
        <v/>
      </c>
      <c r="B892" s="23" t="str">
        <f>IF(ISNUMBER('Change in Employment'!L899),'Change in Employment'!L899, "")</f>
        <v/>
      </c>
      <c r="C892" s="23" t="str">
        <f>IFERROR(IF(ISNUMBER('Change in Employment'!M899),TEXT('Change in Employment'!M899, "0"), ""), "")</f>
        <v/>
      </c>
    </row>
    <row r="893" spans="1:3">
      <c r="A893" s="23" t="str">
        <f>TEXT(IF('Change in Employment'!B900&lt;&gt;0,DATE(YEAR('Change in Employment'!B900), MONTH('Change in Employment'!B900), 1), ""), "mm/dd/yyyy")</f>
        <v/>
      </c>
      <c r="B893" s="23" t="str">
        <f>IF(ISNUMBER('Change in Employment'!L900),'Change in Employment'!L900, "")</f>
        <v/>
      </c>
      <c r="C893" s="23" t="str">
        <f>IFERROR(IF(ISNUMBER('Change in Employment'!M900),TEXT('Change in Employment'!M900, "0"), ""), "")</f>
        <v/>
      </c>
    </row>
    <row r="894" spans="1:3">
      <c r="A894" s="23" t="str">
        <f>TEXT(IF('Change in Employment'!B901&lt;&gt;0,DATE(YEAR('Change in Employment'!B901), MONTH('Change in Employment'!B901), 1), ""), "mm/dd/yyyy")</f>
        <v/>
      </c>
      <c r="B894" s="23" t="str">
        <f>IF(ISNUMBER('Change in Employment'!L901),'Change in Employment'!L901, "")</f>
        <v/>
      </c>
      <c r="C894" s="23" t="str">
        <f>IFERROR(IF(ISNUMBER('Change in Employment'!M901),TEXT('Change in Employment'!M901, "0"), ""), "")</f>
        <v/>
      </c>
    </row>
    <row r="895" spans="1:3">
      <c r="A895" s="23" t="str">
        <f>TEXT(IF('Change in Employment'!B902&lt;&gt;0,DATE(YEAR('Change in Employment'!B902), MONTH('Change in Employment'!B902), 1), ""), "mm/dd/yyyy")</f>
        <v/>
      </c>
      <c r="B895" s="23" t="str">
        <f>IF(ISNUMBER('Change in Employment'!L902),'Change in Employment'!L902, "")</f>
        <v/>
      </c>
      <c r="C895" s="23" t="str">
        <f>IFERROR(IF(ISNUMBER('Change in Employment'!M902),TEXT('Change in Employment'!M902, "0"), ""), "")</f>
        <v/>
      </c>
    </row>
    <row r="896" spans="1:3">
      <c r="A896" s="23" t="str">
        <f>TEXT(IF('Change in Employment'!B903&lt;&gt;0,DATE(YEAR('Change in Employment'!B903), MONTH('Change in Employment'!B903), 1), ""), "mm/dd/yyyy")</f>
        <v/>
      </c>
      <c r="B896" s="23" t="str">
        <f>IF(ISNUMBER('Change in Employment'!L903),'Change in Employment'!L903, "")</f>
        <v/>
      </c>
      <c r="C896" s="23" t="str">
        <f>IFERROR(IF(ISNUMBER('Change in Employment'!M903),TEXT('Change in Employment'!M903, "0"), ""), "")</f>
        <v/>
      </c>
    </row>
    <row r="897" spans="1:3">
      <c r="A897" s="23" t="str">
        <f>TEXT(IF('Change in Employment'!B904&lt;&gt;0,DATE(YEAR('Change in Employment'!B904), MONTH('Change in Employment'!B904), 1), ""), "mm/dd/yyyy")</f>
        <v/>
      </c>
      <c r="B897" s="23" t="str">
        <f>IF(ISNUMBER('Change in Employment'!L904),'Change in Employment'!L904, "")</f>
        <v/>
      </c>
      <c r="C897" s="23" t="str">
        <f>IFERROR(IF(ISNUMBER('Change in Employment'!M904),TEXT('Change in Employment'!M904, "0"), ""), "")</f>
        <v/>
      </c>
    </row>
    <row r="898" spans="1:3">
      <c r="A898" s="23" t="str">
        <f>TEXT(IF('Change in Employment'!B905&lt;&gt;0,DATE(YEAR('Change in Employment'!B905), MONTH('Change in Employment'!B905), 1), ""), "mm/dd/yyyy")</f>
        <v/>
      </c>
      <c r="B898" s="23" t="str">
        <f>IF(ISNUMBER('Change in Employment'!L905),'Change in Employment'!L905, "")</f>
        <v/>
      </c>
      <c r="C898" s="23" t="str">
        <f>IFERROR(IF(ISNUMBER('Change in Employment'!M905),TEXT('Change in Employment'!M905, "0"), ""), "")</f>
        <v/>
      </c>
    </row>
    <row r="899" spans="1:3">
      <c r="A899" s="23" t="str">
        <f>TEXT(IF('Change in Employment'!B906&lt;&gt;0,DATE(YEAR('Change in Employment'!B906), MONTH('Change in Employment'!B906), 1), ""), "mm/dd/yyyy")</f>
        <v/>
      </c>
      <c r="B899" s="23" t="str">
        <f>IF(ISNUMBER('Change in Employment'!L906),'Change in Employment'!L906, "")</f>
        <v/>
      </c>
      <c r="C899" s="23" t="str">
        <f>IFERROR(IF(ISNUMBER('Change in Employment'!M906),TEXT('Change in Employment'!M906, "0"), ""), "")</f>
        <v/>
      </c>
    </row>
    <row r="900" spans="1:3">
      <c r="A900" s="23" t="str">
        <f>TEXT(IF('Change in Employment'!B907&lt;&gt;0,DATE(YEAR('Change in Employment'!B907), MONTH('Change in Employment'!B907), 1), ""), "mm/dd/yyyy")</f>
        <v/>
      </c>
      <c r="B900" s="23" t="str">
        <f>IF(ISNUMBER('Change in Employment'!L907),'Change in Employment'!L907, "")</f>
        <v/>
      </c>
      <c r="C900" s="23" t="str">
        <f>IFERROR(IF(ISNUMBER('Change in Employment'!M907),TEXT('Change in Employment'!M907, "0"), ""), "")</f>
        <v/>
      </c>
    </row>
    <row r="901" spans="1:3">
      <c r="A901" s="23" t="str">
        <f>TEXT(IF('Change in Employment'!B908&lt;&gt;0,DATE(YEAR('Change in Employment'!B908), MONTH('Change in Employment'!B908), 1), ""), "mm/dd/yyyy")</f>
        <v/>
      </c>
      <c r="B901" s="23" t="str">
        <f>IF(ISNUMBER('Change in Employment'!L908),'Change in Employment'!L908, "")</f>
        <v/>
      </c>
      <c r="C901" s="23" t="str">
        <f>IFERROR(IF(ISNUMBER('Change in Employment'!M908),TEXT('Change in Employment'!M908, "0"), ""), "")</f>
        <v/>
      </c>
    </row>
    <row r="902" spans="1:3">
      <c r="A902" s="23" t="str">
        <f>TEXT(IF('Change in Employment'!B909&lt;&gt;0,DATE(YEAR('Change in Employment'!B909), MONTH('Change in Employment'!B909), 1), ""), "mm/dd/yyyy")</f>
        <v/>
      </c>
      <c r="B902" s="23" t="str">
        <f>IF(ISNUMBER('Change in Employment'!L909),'Change in Employment'!L909, "")</f>
        <v/>
      </c>
      <c r="C902" s="23" t="str">
        <f>IFERROR(IF(ISNUMBER('Change in Employment'!M909),TEXT('Change in Employment'!M909, "0"), ""), "")</f>
        <v/>
      </c>
    </row>
    <row r="903" spans="1:3">
      <c r="A903" s="23" t="str">
        <f>TEXT(IF('Change in Employment'!B910&lt;&gt;0,DATE(YEAR('Change in Employment'!B910), MONTH('Change in Employment'!B910), 1), ""), "mm/dd/yyyy")</f>
        <v/>
      </c>
      <c r="B903" s="23" t="str">
        <f>IF(ISNUMBER('Change in Employment'!L910),'Change in Employment'!L910, "")</f>
        <v/>
      </c>
      <c r="C903" s="23" t="str">
        <f>IFERROR(IF(ISNUMBER('Change in Employment'!M910),TEXT('Change in Employment'!M910, "0"), ""), "")</f>
        <v/>
      </c>
    </row>
    <row r="904" spans="1:3">
      <c r="A904" s="23" t="str">
        <f>TEXT(IF('Change in Employment'!B911&lt;&gt;0,DATE(YEAR('Change in Employment'!B911), MONTH('Change in Employment'!B911), 1), ""), "mm/dd/yyyy")</f>
        <v/>
      </c>
      <c r="B904" s="23" t="str">
        <f>IF(ISNUMBER('Change in Employment'!L911),'Change in Employment'!L911, "")</f>
        <v/>
      </c>
      <c r="C904" s="23" t="str">
        <f>IFERROR(IF(ISNUMBER('Change in Employment'!M911),TEXT('Change in Employment'!M911, "0"), ""), "")</f>
        <v/>
      </c>
    </row>
    <row r="905" spans="1:3">
      <c r="A905" s="23" t="str">
        <f>TEXT(IF('Change in Employment'!B912&lt;&gt;0,DATE(YEAR('Change in Employment'!B912), MONTH('Change in Employment'!B912), 1), ""), "mm/dd/yyyy")</f>
        <v/>
      </c>
      <c r="B905" s="23" t="str">
        <f>IF(ISNUMBER('Change in Employment'!L912),'Change in Employment'!L912, "")</f>
        <v/>
      </c>
      <c r="C905" s="23" t="str">
        <f>IFERROR(IF(ISNUMBER('Change in Employment'!M912),TEXT('Change in Employment'!M912, "0"), ""), "")</f>
        <v/>
      </c>
    </row>
    <row r="906" spans="1:3">
      <c r="A906" s="23" t="str">
        <f>TEXT(IF('Change in Employment'!B913&lt;&gt;0,DATE(YEAR('Change in Employment'!B913), MONTH('Change in Employment'!B913), 1), ""), "mm/dd/yyyy")</f>
        <v/>
      </c>
      <c r="B906" s="23" t="str">
        <f>IF(ISNUMBER('Change in Employment'!L913),'Change in Employment'!L913, "")</f>
        <v/>
      </c>
      <c r="C906" s="23" t="str">
        <f>IFERROR(IF(ISNUMBER('Change in Employment'!M913),TEXT('Change in Employment'!M913, "0"), ""), "")</f>
        <v/>
      </c>
    </row>
    <row r="907" spans="1:3">
      <c r="A907" s="23" t="str">
        <f>TEXT(IF('Change in Employment'!B914&lt;&gt;0,DATE(YEAR('Change in Employment'!B914), MONTH('Change in Employment'!B914), 1), ""), "mm/dd/yyyy")</f>
        <v/>
      </c>
      <c r="B907" s="23" t="str">
        <f>IF(ISNUMBER('Change in Employment'!L914),'Change in Employment'!L914, "")</f>
        <v/>
      </c>
      <c r="C907" s="23" t="str">
        <f>IFERROR(IF(ISNUMBER('Change in Employment'!M914),TEXT('Change in Employment'!M914, "0"), ""), "")</f>
        <v/>
      </c>
    </row>
    <row r="908" spans="1:3">
      <c r="A908" s="23" t="str">
        <f>TEXT(IF('Change in Employment'!B915&lt;&gt;0,DATE(YEAR('Change in Employment'!B915), MONTH('Change in Employment'!B915), 1), ""), "mm/dd/yyyy")</f>
        <v/>
      </c>
      <c r="B908" s="23" t="str">
        <f>IF(ISNUMBER('Change in Employment'!L915),'Change in Employment'!L915, "")</f>
        <v/>
      </c>
      <c r="C908" s="23" t="str">
        <f>IFERROR(IF(ISNUMBER('Change in Employment'!M915),TEXT('Change in Employment'!M915, "0"), ""), "")</f>
        <v/>
      </c>
    </row>
    <row r="909" spans="1:3">
      <c r="A909" s="23" t="str">
        <f>TEXT(IF('Change in Employment'!B916&lt;&gt;0,DATE(YEAR('Change in Employment'!B916), MONTH('Change in Employment'!B916), 1), ""), "mm/dd/yyyy")</f>
        <v/>
      </c>
      <c r="B909" s="23" t="str">
        <f>IF(ISNUMBER('Change in Employment'!L916),'Change in Employment'!L916, "")</f>
        <v/>
      </c>
      <c r="C909" s="23" t="str">
        <f>IFERROR(IF(ISNUMBER('Change in Employment'!M916),TEXT('Change in Employment'!M916, "0"), ""), "")</f>
        <v/>
      </c>
    </row>
    <row r="910" spans="1:3">
      <c r="A910" s="23" t="str">
        <f>TEXT(IF('Change in Employment'!B917&lt;&gt;0,DATE(YEAR('Change in Employment'!B917), MONTH('Change in Employment'!B917), 1), ""), "mm/dd/yyyy")</f>
        <v/>
      </c>
      <c r="B910" s="23" t="str">
        <f>IF(ISNUMBER('Change in Employment'!L917),'Change in Employment'!L917, "")</f>
        <v/>
      </c>
      <c r="C910" s="23" t="str">
        <f>IFERROR(IF(ISNUMBER('Change in Employment'!M917),TEXT('Change in Employment'!M917, "0"), ""), "")</f>
        <v/>
      </c>
    </row>
    <row r="911" spans="1:3">
      <c r="A911" s="23" t="str">
        <f>TEXT(IF('Change in Employment'!B918&lt;&gt;0,DATE(YEAR('Change in Employment'!B918), MONTH('Change in Employment'!B918), 1), ""), "mm/dd/yyyy")</f>
        <v/>
      </c>
      <c r="B911" s="23" t="str">
        <f>IF(ISNUMBER('Change in Employment'!L918),'Change in Employment'!L918, "")</f>
        <v/>
      </c>
      <c r="C911" s="23" t="str">
        <f>IFERROR(IF(ISNUMBER('Change in Employment'!M918),TEXT('Change in Employment'!M918, "0"), ""), "")</f>
        <v/>
      </c>
    </row>
    <row r="912" spans="1:3">
      <c r="A912" s="23" t="str">
        <f>TEXT(IF('Change in Employment'!B919&lt;&gt;0,DATE(YEAR('Change in Employment'!B919), MONTH('Change in Employment'!B919), 1), ""), "mm/dd/yyyy")</f>
        <v/>
      </c>
      <c r="B912" s="23" t="str">
        <f>IF(ISNUMBER('Change in Employment'!L919),'Change in Employment'!L919, "")</f>
        <v/>
      </c>
      <c r="C912" s="23" t="str">
        <f>IFERROR(IF(ISNUMBER('Change in Employment'!M919),TEXT('Change in Employment'!M919, "0"), ""), "")</f>
        <v/>
      </c>
    </row>
    <row r="913" spans="1:3">
      <c r="A913" s="23" t="str">
        <f>TEXT(IF('Change in Employment'!B920&lt;&gt;0,DATE(YEAR('Change in Employment'!B920), MONTH('Change in Employment'!B920), 1), ""), "mm/dd/yyyy")</f>
        <v/>
      </c>
      <c r="B913" s="23" t="str">
        <f>IF(ISNUMBER('Change in Employment'!L920),'Change in Employment'!L920, "")</f>
        <v/>
      </c>
      <c r="C913" s="23" t="str">
        <f>IFERROR(IF(ISNUMBER('Change in Employment'!M920),TEXT('Change in Employment'!M920, "0"), ""), "")</f>
        <v/>
      </c>
    </row>
    <row r="914" spans="1:3">
      <c r="A914" s="23" t="str">
        <f>TEXT(IF('Change in Employment'!B921&lt;&gt;0,DATE(YEAR('Change in Employment'!B921), MONTH('Change in Employment'!B921), 1), ""), "mm/dd/yyyy")</f>
        <v/>
      </c>
      <c r="B914" s="23" t="str">
        <f>IF(ISNUMBER('Change in Employment'!L921),'Change in Employment'!L921, "")</f>
        <v/>
      </c>
      <c r="C914" s="23" t="str">
        <f>IFERROR(IF(ISNUMBER('Change in Employment'!M921),TEXT('Change in Employment'!M921, "0"), ""), "")</f>
        <v/>
      </c>
    </row>
    <row r="915" spans="1:3">
      <c r="A915" s="23" t="str">
        <f>TEXT(IF('Change in Employment'!B922&lt;&gt;0,DATE(YEAR('Change in Employment'!B922), MONTH('Change in Employment'!B922), 1), ""), "mm/dd/yyyy")</f>
        <v/>
      </c>
      <c r="B915" s="23" t="str">
        <f>IF(ISNUMBER('Change in Employment'!L922),'Change in Employment'!L922, "")</f>
        <v/>
      </c>
      <c r="C915" s="23" t="str">
        <f>IFERROR(IF(ISNUMBER('Change in Employment'!M922),TEXT('Change in Employment'!M922, "0"), ""), "")</f>
        <v/>
      </c>
    </row>
    <row r="916" spans="1:3">
      <c r="A916" s="23" t="str">
        <f>TEXT(IF('Change in Employment'!B923&lt;&gt;0,DATE(YEAR('Change in Employment'!B923), MONTH('Change in Employment'!B923), 1), ""), "mm/dd/yyyy")</f>
        <v/>
      </c>
      <c r="B916" s="23" t="str">
        <f>IF(ISNUMBER('Change in Employment'!L923),'Change in Employment'!L923, "")</f>
        <v/>
      </c>
      <c r="C916" s="23" t="str">
        <f>IFERROR(IF(ISNUMBER('Change in Employment'!M923),TEXT('Change in Employment'!M923, "0"), ""), "")</f>
        <v/>
      </c>
    </row>
    <row r="917" spans="1:3">
      <c r="A917" s="23" t="str">
        <f>TEXT(IF('Change in Employment'!B924&lt;&gt;0,DATE(YEAR('Change in Employment'!B924), MONTH('Change in Employment'!B924), 1), ""), "mm/dd/yyyy")</f>
        <v/>
      </c>
      <c r="B917" s="23" t="str">
        <f>IF(ISNUMBER('Change in Employment'!L924),'Change in Employment'!L924, "")</f>
        <v/>
      </c>
      <c r="C917" s="23" t="str">
        <f>IFERROR(IF(ISNUMBER('Change in Employment'!M924),TEXT('Change in Employment'!M924, "0"), ""), "")</f>
        <v/>
      </c>
    </row>
    <row r="918" spans="1:3">
      <c r="A918" s="23" t="str">
        <f>TEXT(IF('Change in Employment'!B925&lt;&gt;0,DATE(YEAR('Change in Employment'!B925), MONTH('Change in Employment'!B925), 1), ""), "mm/dd/yyyy")</f>
        <v/>
      </c>
      <c r="B918" s="23" t="str">
        <f>IF(ISNUMBER('Change in Employment'!L925),'Change in Employment'!L925, "")</f>
        <v/>
      </c>
      <c r="C918" s="23" t="str">
        <f>IFERROR(IF(ISNUMBER('Change in Employment'!M925),TEXT('Change in Employment'!M925, "0"), ""), "")</f>
        <v/>
      </c>
    </row>
    <row r="919" spans="1:3">
      <c r="A919" s="23" t="str">
        <f>TEXT(IF('Change in Employment'!B926&lt;&gt;0,DATE(YEAR('Change in Employment'!B926), MONTH('Change in Employment'!B926), 1), ""), "mm/dd/yyyy")</f>
        <v/>
      </c>
      <c r="B919" s="23" t="str">
        <f>IF(ISNUMBER('Change in Employment'!L926),'Change in Employment'!L926, "")</f>
        <v/>
      </c>
      <c r="C919" s="23" t="str">
        <f>IFERROR(IF(ISNUMBER('Change in Employment'!M926),TEXT('Change in Employment'!M926, "0"), ""), "")</f>
        <v/>
      </c>
    </row>
    <row r="920" spans="1:3">
      <c r="A920" s="23" t="str">
        <f>TEXT(IF('Change in Employment'!B927&lt;&gt;0,DATE(YEAR('Change in Employment'!B927), MONTH('Change in Employment'!B927), 1), ""), "mm/dd/yyyy")</f>
        <v/>
      </c>
      <c r="B920" s="23" t="str">
        <f>IF(ISNUMBER('Change in Employment'!L927),'Change in Employment'!L927, "")</f>
        <v/>
      </c>
      <c r="C920" s="23" t="str">
        <f>IFERROR(IF(ISNUMBER('Change in Employment'!M927),TEXT('Change in Employment'!M927, "0"), ""), "")</f>
        <v/>
      </c>
    </row>
    <row r="921" spans="1:3">
      <c r="A921" s="23" t="str">
        <f>TEXT(IF('Change in Employment'!B928&lt;&gt;0,DATE(YEAR('Change in Employment'!B928), MONTH('Change in Employment'!B928), 1), ""), "mm/dd/yyyy")</f>
        <v/>
      </c>
      <c r="B921" s="23" t="str">
        <f>IF(ISNUMBER('Change in Employment'!L928),'Change in Employment'!L928, "")</f>
        <v/>
      </c>
      <c r="C921" s="23" t="str">
        <f>IFERROR(IF(ISNUMBER('Change in Employment'!M928),TEXT('Change in Employment'!M928, "0"), ""), "")</f>
        <v/>
      </c>
    </row>
    <row r="922" spans="1:3">
      <c r="A922" s="23" t="str">
        <f>TEXT(IF('Change in Employment'!B929&lt;&gt;0,DATE(YEAR('Change in Employment'!B929), MONTH('Change in Employment'!B929), 1), ""), "mm/dd/yyyy")</f>
        <v/>
      </c>
      <c r="B922" s="23" t="str">
        <f>IF(ISNUMBER('Change in Employment'!L929),'Change in Employment'!L929, "")</f>
        <v/>
      </c>
      <c r="C922" s="23" t="str">
        <f>IFERROR(IF(ISNUMBER('Change in Employment'!M929),TEXT('Change in Employment'!M929, "0"), ""), "")</f>
        <v/>
      </c>
    </row>
    <row r="923" spans="1:3">
      <c r="A923" s="23" t="str">
        <f>TEXT(IF('Change in Employment'!B930&lt;&gt;0,DATE(YEAR('Change in Employment'!B930), MONTH('Change in Employment'!B930), 1), ""), "mm/dd/yyyy")</f>
        <v/>
      </c>
      <c r="B923" s="23" t="str">
        <f>IF(ISNUMBER('Change in Employment'!L930),'Change in Employment'!L930, "")</f>
        <v/>
      </c>
      <c r="C923" s="23" t="str">
        <f>IFERROR(IF(ISNUMBER('Change in Employment'!M930),TEXT('Change in Employment'!M930, "0"), ""), "")</f>
        <v/>
      </c>
    </row>
    <row r="924" spans="1:3">
      <c r="A924" s="23" t="str">
        <f>TEXT(IF('Change in Employment'!B931&lt;&gt;0,DATE(YEAR('Change in Employment'!B931), MONTH('Change in Employment'!B931), 1), ""), "mm/dd/yyyy")</f>
        <v/>
      </c>
      <c r="B924" s="23" t="str">
        <f>IF(ISNUMBER('Change in Employment'!L931),'Change in Employment'!L931, "")</f>
        <v/>
      </c>
      <c r="C924" s="23" t="str">
        <f>IFERROR(IF(ISNUMBER('Change in Employment'!M931),TEXT('Change in Employment'!M931, "0"), ""), "")</f>
        <v/>
      </c>
    </row>
    <row r="925" spans="1:3">
      <c r="A925" s="23" t="str">
        <f>TEXT(IF('Change in Employment'!B932&lt;&gt;0,DATE(YEAR('Change in Employment'!B932), MONTH('Change in Employment'!B932), 1), ""), "mm/dd/yyyy")</f>
        <v/>
      </c>
      <c r="B925" s="23" t="str">
        <f>IF(ISNUMBER('Change in Employment'!L932),'Change in Employment'!L932, "")</f>
        <v/>
      </c>
      <c r="C925" s="23" t="str">
        <f>IFERROR(IF(ISNUMBER('Change in Employment'!M932),TEXT('Change in Employment'!M932, "0"), ""), "")</f>
        <v/>
      </c>
    </row>
    <row r="926" spans="1:3">
      <c r="A926" s="23" t="str">
        <f>TEXT(IF('Change in Employment'!B933&lt;&gt;0,DATE(YEAR('Change in Employment'!B933), MONTH('Change in Employment'!B933), 1), ""), "mm/dd/yyyy")</f>
        <v/>
      </c>
      <c r="B926" s="23" t="str">
        <f>IF(ISNUMBER('Change in Employment'!L933),'Change in Employment'!L933, "")</f>
        <v/>
      </c>
      <c r="C926" s="23" t="str">
        <f>IFERROR(IF(ISNUMBER('Change in Employment'!M933),TEXT('Change in Employment'!M933, "0"), ""), "")</f>
        <v/>
      </c>
    </row>
    <row r="927" spans="1:3">
      <c r="A927" s="23" t="str">
        <f>TEXT(IF('Change in Employment'!B934&lt;&gt;0,DATE(YEAR('Change in Employment'!B934), MONTH('Change in Employment'!B934), 1), ""), "mm/dd/yyyy")</f>
        <v/>
      </c>
      <c r="B927" s="23" t="str">
        <f>IF(ISNUMBER('Change in Employment'!L934),'Change in Employment'!L934, "")</f>
        <v/>
      </c>
      <c r="C927" s="23" t="str">
        <f>IFERROR(IF(ISNUMBER('Change in Employment'!M934),TEXT('Change in Employment'!M934, "0"), ""), "")</f>
        <v/>
      </c>
    </row>
    <row r="928" spans="1:3">
      <c r="A928" s="23" t="str">
        <f>TEXT(IF('Change in Employment'!B935&lt;&gt;0,DATE(YEAR('Change in Employment'!B935), MONTH('Change in Employment'!B935), 1), ""), "mm/dd/yyyy")</f>
        <v/>
      </c>
      <c r="B928" s="23" t="str">
        <f>IF(ISNUMBER('Change in Employment'!L935),'Change in Employment'!L935, "")</f>
        <v/>
      </c>
      <c r="C928" s="23" t="str">
        <f>IFERROR(IF(ISNUMBER('Change in Employment'!M935),TEXT('Change in Employment'!M935, "0"), ""), "")</f>
        <v/>
      </c>
    </row>
    <row r="929" spans="1:3">
      <c r="A929" s="23" t="str">
        <f>TEXT(IF('Change in Employment'!B936&lt;&gt;0,DATE(YEAR('Change in Employment'!B936), MONTH('Change in Employment'!B936), 1), ""), "mm/dd/yyyy")</f>
        <v/>
      </c>
      <c r="B929" s="23" t="str">
        <f>IF(ISNUMBER('Change in Employment'!L936),'Change in Employment'!L936, "")</f>
        <v/>
      </c>
      <c r="C929" s="23" t="str">
        <f>IFERROR(IF(ISNUMBER('Change in Employment'!M936),TEXT('Change in Employment'!M936, "0"), ""), "")</f>
        <v/>
      </c>
    </row>
    <row r="930" spans="1:3">
      <c r="A930" s="23" t="str">
        <f>TEXT(IF('Change in Employment'!B937&lt;&gt;0,DATE(YEAR('Change in Employment'!B937), MONTH('Change in Employment'!B937), 1), ""), "mm/dd/yyyy")</f>
        <v/>
      </c>
      <c r="B930" s="23" t="str">
        <f>IF(ISNUMBER('Change in Employment'!L937),'Change in Employment'!L937, "")</f>
        <v/>
      </c>
      <c r="C930" s="23" t="str">
        <f>IFERROR(IF(ISNUMBER('Change in Employment'!M937),TEXT('Change in Employment'!M937, "0"), ""), "")</f>
        <v/>
      </c>
    </row>
    <row r="931" spans="1:3">
      <c r="A931" s="23" t="str">
        <f>TEXT(IF('Change in Employment'!B938&lt;&gt;0,DATE(YEAR('Change in Employment'!B938), MONTH('Change in Employment'!B938), 1), ""), "mm/dd/yyyy")</f>
        <v/>
      </c>
      <c r="B931" s="23" t="str">
        <f>IF(ISNUMBER('Change in Employment'!L938),'Change in Employment'!L938, "")</f>
        <v/>
      </c>
      <c r="C931" s="23" t="str">
        <f>IFERROR(IF(ISNUMBER('Change in Employment'!M938),TEXT('Change in Employment'!M938, "0"), ""), "")</f>
        <v/>
      </c>
    </row>
    <row r="932" spans="1:3">
      <c r="A932" s="23" t="str">
        <f>TEXT(IF('Change in Employment'!B939&lt;&gt;0,DATE(YEAR('Change in Employment'!B939), MONTH('Change in Employment'!B939), 1), ""), "mm/dd/yyyy")</f>
        <v/>
      </c>
      <c r="B932" s="23" t="str">
        <f>IF(ISNUMBER('Change in Employment'!L939),'Change in Employment'!L939, "")</f>
        <v/>
      </c>
      <c r="C932" s="23" t="str">
        <f>IFERROR(IF(ISNUMBER('Change in Employment'!M939),TEXT('Change in Employment'!M939, "0"), ""), "")</f>
        <v/>
      </c>
    </row>
    <row r="933" spans="1:3">
      <c r="A933" s="23" t="str">
        <f>TEXT(IF('Change in Employment'!B940&lt;&gt;0,DATE(YEAR('Change in Employment'!B940), MONTH('Change in Employment'!B940), 1), ""), "mm/dd/yyyy")</f>
        <v/>
      </c>
      <c r="B933" s="23" t="str">
        <f>IF(ISNUMBER('Change in Employment'!L940),'Change in Employment'!L940, "")</f>
        <v/>
      </c>
      <c r="C933" s="23" t="str">
        <f>IFERROR(IF(ISNUMBER('Change in Employment'!M940),TEXT('Change in Employment'!M940, "0"), ""), "")</f>
        <v/>
      </c>
    </row>
    <row r="934" spans="1:3">
      <c r="A934" s="23" t="str">
        <f>TEXT(IF('Change in Employment'!B941&lt;&gt;0,DATE(YEAR('Change in Employment'!B941), MONTH('Change in Employment'!B941), 1), ""), "mm/dd/yyyy")</f>
        <v/>
      </c>
      <c r="B934" s="23" t="str">
        <f>IF(ISNUMBER('Change in Employment'!L941),'Change in Employment'!L941, "")</f>
        <v/>
      </c>
      <c r="C934" s="23" t="str">
        <f>IFERROR(IF(ISNUMBER('Change in Employment'!M941),TEXT('Change in Employment'!M941, "0"), ""), "")</f>
        <v/>
      </c>
    </row>
    <row r="935" spans="1:3">
      <c r="A935" s="23" t="str">
        <f>TEXT(IF('Change in Employment'!B942&lt;&gt;0,DATE(YEAR('Change in Employment'!B942), MONTH('Change in Employment'!B942), 1), ""), "mm/dd/yyyy")</f>
        <v/>
      </c>
      <c r="B935" s="23" t="str">
        <f>IF(ISNUMBER('Change in Employment'!L942),'Change in Employment'!L942, "")</f>
        <v/>
      </c>
      <c r="C935" s="23" t="str">
        <f>IFERROR(IF(ISNUMBER('Change in Employment'!M942),TEXT('Change in Employment'!M942, "0"), ""), "")</f>
        <v/>
      </c>
    </row>
    <row r="936" spans="1:3">
      <c r="A936" s="23" t="str">
        <f>TEXT(IF('Change in Employment'!B943&lt;&gt;0,DATE(YEAR('Change in Employment'!B943), MONTH('Change in Employment'!B943), 1), ""), "mm/dd/yyyy")</f>
        <v/>
      </c>
      <c r="B936" s="23" t="str">
        <f>IF(ISNUMBER('Change in Employment'!L943),'Change in Employment'!L943, "")</f>
        <v/>
      </c>
      <c r="C936" s="23" t="str">
        <f>IFERROR(IF(ISNUMBER('Change in Employment'!M943),TEXT('Change in Employment'!M943, "0"), ""), "")</f>
        <v/>
      </c>
    </row>
    <row r="937" spans="1:3">
      <c r="A937" s="23" t="str">
        <f>TEXT(IF('Change in Employment'!B944&lt;&gt;0,DATE(YEAR('Change in Employment'!B944), MONTH('Change in Employment'!B944), 1), ""), "mm/dd/yyyy")</f>
        <v/>
      </c>
      <c r="B937" s="23" t="str">
        <f>IF(ISNUMBER('Change in Employment'!L944),'Change in Employment'!L944, "")</f>
        <v/>
      </c>
      <c r="C937" s="23" t="str">
        <f>IFERROR(IF(ISNUMBER('Change in Employment'!M944),TEXT('Change in Employment'!M944, "0"), ""), "")</f>
        <v/>
      </c>
    </row>
    <row r="938" spans="1:3">
      <c r="A938" s="23" t="str">
        <f>TEXT(IF('Change in Employment'!B945&lt;&gt;0,DATE(YEAR('Change in Employment'!B945), MONTH('Change in Employment'!B945), 1), ""), "mm/dd/yyyy")</f>
        <v/>
      </c>
      <c r="B938" s="23" t="str">
        <f>IF(ISNUMBER('Change in Employment'!L945),'Change in Employment'!L945, "")</f>
        <v/>
      </c>
      <c r="C938" s="23" t="str">
        <f>IFERROR(IF(ISNUMBER('Change in Employment'!M945),TEXT('Change in Employment'!M945, "0"), ""), "")</f>
        <v/>
      </c>
    </row>
    <row r="939" spans="1:3">
      <c r="A939" s="23" t="str">
        <f>TEXT(IF('Change in Employment'!B946&lt;&gt;0,DATE(YEAR('Change in Employment'!B946), MONTH('Change in Employment'!B946), 1), ""), "mm/dd/yyyy")</f>
        <v/>
      </c>
      <c r="B939" s="23" t="str">
        <f>IF(ISNUMBER('Change in Employment'!L946),'Change in Employment'!L946, "")</f>
        <v/>
      </c>
      <c r="C939" s="23" t="str">
        <f>IFERROR(IF(ISNUMBER('Change in Employment'!M946),TEXT('Change in Employment'!M946, "0"), ""), "")</f>
        <v/>
      </c>
    </row>
    <row r="940" spans="1:3">
      <c r="A940" s="23" t="str">
        <f>TEXT(IF('Change in Employment'!B947&lt;&gt;0,DATE(YEAR('Change in Employment'!B947), MONTH('Change in Employment'!B947), 1), ""), "mm/dd/yyyy")</f>
        <v/>
      </c>
      <c r="B940" s="23" t="str">
        <f>IF(ISNUMBER('Change in Employment'!L947),'Change in Employment'!L947, "")</f>
        <v/>
      </c>
      <c r="C940" s="23" t="str">
        <f>IFERROR(IF(ISNUMBER('Change in Employment'!M947),TEXT('Change in Employment'!M947, "0"), ""), "")</f>
        <v/>
      </c>
    </row>
    <row r="941" spans="1:3">
      <c r="A941" s="23" t="str">
        <f>TEXT(IF('Change in Employment'!B948&lt;&gt;0,DATE(YEAR('Change in Employment'!B948), MONTH('Change in Employment'!B948), 1), ""), "mm/dd/yyyy")</f>
        <v/>
      </c>
      <c r="B941" s="23" t="str">
        <f>IF(ISNUMBER('Change in Employment'!L948),'Change in Employment'!L948, "")</f>
        <v/>
      </c>
      <c r="C941" s="23" t="str">
        <f>IFERROR(IF(ISNUMBER('Change in Employment'!M948),TEXT('Change in Employment'!M948, "0"), ""), "")</f>
        <v/>
      </c>
    </row>
    <row r="942" spans="1:3">
      <c r="A942" s="23" t="str">
        <f>TEXT(IF('Change in Employment'!B949&lt;&gt;0,DATE(YEAR('Change in Employment'!B949), MONTH('Change in Employment'!B949), 1), ""), "mm/dd/yyyy")</f>
        <v/>
      </c>
      <c r="B942" s="23" t="str">
        <f>IF(ISNUMBER('Change in Employment'!L949),'Change in Employment'!L949, "")</f>
        <v/>
      </c>
      <c r="C942" s="23" t="str">
        <f>IFERROR(IF(ISNUMBER('Change in Employment'!M949),TEXT('Change in Employment'!M949, "0"), ""), "")</f>
        <v/>
      </c>
    </row>
    <row r="943" spans="1:3">
      <c r="A943" s="23" t="str">
        <f>TEXT(IF('Change in Employment'!B950&lt;&gt;0,DATE(YEAR('Change in Employment'!B950), MONTH('Change in Employment'!B950), 1), ""), "mm/dd/yyyy")</f>
        <v/>
      </c>
      <c r="B943" s="23" t="str">
        <f>IF(ISNUMBER('Change in Employment'!L950),'Change in Employment'!L950, "")</f>
        <v/>
      </c>
      <c r="C943" s="23" t="str">
        <f>IFERROR(IF(ISNUMBER('Change in Employment'!M950),TEXT('Change in Employment'!M950, "0"), ""), "")</f>
        <v/>
      </c>
    </row>
    <row r="944" spans="1:3">
      <c r="A944" s="23" t="str">
        <f>TEXT(IF('Change in Employment'!B951&lt;&gt;0,DATE(YEAR('Change in Employment'!B951), MONTH('Change in Employment'!B951), 1), ""), "mm/dd/yyyy")</f>
        <v/>
      </c>
      <c r="B944" s="23" t="str">
        <f>IF(ISNUMBER('Change in Employment'!L951),'Change in Employment'!L951, "")</f>
        <v/>
      </c>
      <c r="C944" s="23" t="str">
        <f>IFERROR(IF(ISNUMBER('Change in Employment'!M951),TEXT('Change in Employment'!M951, "0"), ""), "")</f>
        <v/>
      </c>
    </row>
    <row r="945" spans="1:3">
      <c r="A945" s="23" t="str">
        <f>TEXT(IF('Change in Employment'!B952&lt;&gt;0,DATE(YEAR('Change in Employment'!B952), MONTH('Change in Employment'!B952), 1), ""), "mm/dd/yyyy")</f>
        <v/>
      </c>
      <c r="B945" s="23" t="str">
        <f>IF(ISNUMBER('Change in Employment'!L952),'Change in Employment'!L952, "")</f>
        <v/>
      </c>
      <c r="C945" s="23" t="str">
        <f>IFERROR(IF(ISNUMBER('Change in Employment'!M952),TEXT('Change in Employment'!M952, "0"), ""), "")</f>
        <v/>
      </c>
    </row>
    <row r="946" spans="1:3">
      <c r="A946" s="23" t="str">
        <f>TEXT(IF('Change in Employment'!B953&lt;&gt;0,DATE(YEAR('Change in Employment'!B953), MONTH('Change in Employment'!B953), 1), ""), "mm/dd/yyyy")</f>
        <v/>
      </c>
      <c r="B946" s="23" t="str">
        <f>IF(ISNUMBER('Change in Employment'!L953),'Change in Employment'!L953, "")</f>
        <v/>
      </c>
      <c r="C946" s="23" t="str">
        <f>IFERROR(IF(ISNUMBER('Change in Employment'!M953),TEXT('Change in Employment'!M953, "0"), ""), "")</f>
        <v/>
      </c>
    </row>
    <row r="947" spans="1:3">
      <c r="A947" s="23" t="str">
        <f>TEXT(IF('Change in Employment'!B954&lt;&gt;0,DATE(YEAR('Change in Employment'!B954), MONTH('Change in Employment'!B954), 1), ""), "mm/dd/yyyy")</f>
        <v/>
      </c>
      <c r="B947" s="23" t="str">
        <f>IF(ISNUMBER('Change in Employment'!L954),'Change in Employment'!L954, "")</f>
        <v/>
      </c>
      <c r="C947" s="23" t="str">
        <f>IFERROR(IF(ISNUMBER('Change in Employment'!M954),TEXT('Change in Employment'!M954, "0"), ""), "")</f>
        <v/>
      </c>
    </row>
    <row r="948" spans="1:3">
      <c r="A948" s="23" t="str">
        <f>TEXT(IF('Change in Employment'!B955&lt;&gt;0,DATE(YEAR('Change in Employment'!B955), MONTH('Change in Employment'!B955), 1), ""), "mm/dd/yyyy")</f>
        <v/>
      </c>
      <c r="B948" s="23" t="str">
        <f>IF(ISNUMBER('Change in Employment'!L955),'Change in Employment'!L955, "")</f>
        <v/>
      </c>
      <c r="C948" s="23" t="str">
        <f>IFERROR(IF(ISNUMBER('Change in Employment'!M955),TEXT('Change in Employment'!M955, "0"), ""), "")</f>
        <v/>
      </c>
    </row>
    <row r="949" spans="1:3">
      <c r="A949" s="23" t="str">
        <f>TEXT(IF('Change in Employment'!B956&lt;&gt;0,DATE(YEAR('Change in Employment'!B956), MONTH('Change in Employment'!B956), 1), ""), "mm/dd/yyyy")</f>
        <v/>
      </c>
      <c r="B949" s="23" t="str">
        <f>IF(ISNUMBER('Change in Employment'!L956),'Change in Employment'!L956, "")</f>
        <v/>
      </c>
      <c r="C949" s="23" t="str">
        <f>IFERROR(IF(ISNUMBER('Change in Employment'!M956),TEXT('Change in Employment'!M956, "0"), ""), "")</f>
        <v/>
      </c>
    </row>
    <row r="950" spans="1:3">
      <c r="A950" s="23" t="str">
        <f>TEXT(IF('Change in Employment'!B957&lt;&gt;0,DATE(YEAR('Change in Employment'!B957), MONTH('Change in Employment'!B957), 1), ""), "mm/dd/yyyy")</f>
        <v/>
      </c>
      <c r="B950" s="23" t="str">
        <f>IF(ISNUMBER('Change in Employment'!L957),'Change in Employment'!L957, "")</f>
        <v/>
      </c>
      <c r="C950" s="23" t="str">
        <f>IFERROR(IF(ISNUMBER('Change in Employment'!M957),TEXT('Change in Employment'!M957, "0"), ""), "")</f>
        <v/>
      </c>
    </row>
    <row r="951" spans="1:3">
      <c r="A951" s="23" t="str">
        <f>TEXT(IF('Change in Employment'!B958&lt;&gt;0,DATE(YEAR('Change in Employment'!B958), MONTH('Change in Employment'!B958), 1), ""), "mm/dd/yyyy")</f>
        <v/>
      </c>
      <c r="B951" s="23" t="str">
        <f>IF(ISNUMBER('Change in Employment'!L958),'Change in Employment'!L958, "")</f>
        <v/>
      </c>
      <c r="C951" s="23" t="str">
        <f>IFERROR(IF(ISNUMBER('Change in Employment'!M958),TEXT('Change in Employment'!M958, "0"), ""), "")</f>
        <v/>
      </c>
    </row>
    <row r="952" spans="1:3">
      <c r="A952" s="23" t="str">
        <f>TEXT(IF('Change in Employment'!B959&lt;&gt;0,DATE(YEAR('Change in Employment'!B959), MONTH('Change in Employment'!B959), 1), ""), "mm/dd/yyyy")</f>
        <v/>
      </c>
      <c r="B952" s="23" t="str">
        <f>IF(ISNUMBER('Change in Employment'!L959),'Change in Employment'!L959, "")</f>
        <v/>
      </c>
      <c r="C952" s="23" t="str">
        <f>IFERROR(IF(ISNUMBER('Change in Employment'!M959),TEXT('Change in Employment'!M959, "0"), ""), "")</f>
        <v/>
      </c>
    </row>
    <row r="953" spans="1:3">
      <c r="A953" s="23" t="str">
        <f>TEXT(IF('Change in Employment'!B960&lt;&gt;0,DATE(YEAR('Change in Employment'!B960), MONTH('Change in Employment'!B960), 1), ""), "mm/dd/yyyy")</f>
        <v/>
      </c>
      <c r="B953" s="23" t="str">
        <f>IF(ISNUMBER('Change in Employment'!L960),'Change in Employment'!L960, "")</f>
        <v/>
      </c>
      <c r="C953" s="23" t="str">
        <f>IFERROR(IF(ISNUMBER('Change in Employment'!M960),TEXT('Change in Employment'!M960, "0"), ""), "")</f>
        <v/>
      </c>
    </row>
    <row r="954" spans="1:3">
      <c r="A954" s="23" t="str">
        <f>TEXT(IF('Change in Employment'!B961&lt;&gt;0,DATE(YEAR('Change in Employment'!B961), MONTH('Change in Employment'!B961), 1), ""), "mm/dd/yyyy")</f>
        <v/>
      </c>
      <c r="B954" s="23" t="str">
        <f>IF(ISNUMBER('Change in Employment'!L961),'Change in Employment'!L961, "")</f>
        <v/>
      </c>
      <c r="C954" s="23" t="str">
        <f>IFERROR(IF(ISNUMBER('Change in Employment'!M961),TEXT('Change in Employment'!M961, "0"), ""), "")</f>
        <v/>
      </c>
    </row>
    <row r="955" spans="1:3">
      <c r="A955" s="23" t="str">
        <f>TEXT(IF('Change in Employment'!B962&lt;&gt;0,DATE(YEAR('Change in Employment'!B962), MONTH('Change in Employment'!B962), 1), ""), "mm/dd/yyyy")</f>
        <v/>
      </c>
      <c r="B955" s="23" t="str">
        <f>IF(ISNUMBER('Change in Employment'!L962),'Change in Employment'!L962, "")</f>
        <v/>
      </c>
      <c r="C955" s="23" t="str">
        <f>IFERROR(IF(ISNUMBER('Change in Employment'!M962),TEXT('Change in Employment'!M962, "0"), ""), "")</f>
        <v/>
      </c>
    </row>
    <row r="956" spans="1:3">
      <c r="A956" s="23" t="str">
        <f>TEXT(IF('Change in Employment'!B963&lt;&gt;0,DATE(YEAR('Change in Employment'!B963), MONTH('Change in Employment'!B963), 1), ""), "mm/dd/yyyy")</f>
        <v/>
      </c>
      <c r="B956" s="23" t="str">
        <f>IF(ISNUMBER('Change in Employment'!L963),'Change in Employment'!L963, "")</f>
        <v/>
      </c>
      <c r="C956" s="23" t="str">
        <f>IFERROR(IF(ISNUMBER('Change in Employment'!M963),TEXT('Change in Employment'!M963, "0"), ""), "")</f>
        <v/>
      </c>
    </row>
    <row r="957" spans="1:3">
      <c r="A957" s="23" t="str">
        <f>TEXT(IF('Change in Employment'!B964&lt;&gt;0,DATE(YEAR('Change in Employment'!B964), MONTH('Change in Employment'!B964), 1), ""), "mm/dd/yyyy")</f>
        <v/>
      </c>
      <c r="B957" s="23" t="str">
        <f>IF(ISNUMBER('Change in Employment'!L964),'Change in Employment'!L964, "")</f>
        <v/>
      </c>
      <c r="C957" s="23" t="str">
        <f>IFERROR(IF(ISNUMBER('Change in Employment'!M964),TEXT('Change in Employment'!M964, "0"), ""), "")</f>
        <v/>
      </c>
    </row>
    <row r="958" spans="1:3">
      <c r="A958" s="23" t="str">
        <f>TEXT(IF('Change in Employment'!B965&lt;&gt;0,DATE(YEAR('Change in Employment'!B965), MONTH('Change in Employment'!B965), 1), ""), "mm/dd/yyyy")</f>
        <v/>
      </c>
      <c r="B958" s="23" t="str">
        <f>IF(ISNUMBER('Change in Employment'!L965),'Change in Employment'!L965, "")</f>
        <v/>
      </c>
      <c r="C958" s="23" t="str">
        <f>IFERROR(IF(ISNUMBER('Change in Employment'!M965),TEXT('Change in Employment'!M965, "0"), ""), "")</f>
        <v/>
      </c>
    </row>
    <row r="959" spans="1:3">
      <c r="A959" s="23" t="str">
        <f>TEXT(IF('Change in Employment'!B966&lt;&gt;0,DATE(YEAR('Change in Employment'!B966), MONTH('Change in Employment'!B966), 1), ""), "mm/dd/yyyy")</f>
        <v/>
      </c>
      <c r="B959" s="23" t="str">
        <f>IF(ISNUMBER('Change in Employment'!L966),'Change in Employment'!L966, "")</f>
        <v/>
      </c>
      <c r="C959" s="23" t="str">
        <f>IFERROR(IF(ISNUMBER('Change in Employment'!M966),TEXT('Change in Employment'!M966, "0"), ""), "")</f>
        <v/>
      </c>
    </row>
    <row r="960" spans="1:3">
      <c r="A960" s="23" t="str">
        <f>TEXT(IF('Change in Employment'!B967&lt;&gt;0,DATE(YEAR('Change in Employment'!B967), MONTH('Change in Employment'!B967), 1), ""), "mm/dd/yyyy")</f>
        <v/>
      </c>
      <c r="B960" s="23" t="str">
        <f>IF(ISNUMBER('Change in Employment'!L967),'Change in Employment'!L967, "")</f>
        <v/>
      </c>
      <c r="C960" s="23" t="str">
        <f>IFERROR(IF(ISNUMBER('Change in Employment'!M967),TEXT('Change in Employment'!M967, "0"), ""), "")</f>
        <v/>
      </c>
    </row>
    <row r="961" spans="1:3">
      <c r="A961" s="23" t="str">
        <f>TEXT(IF('Change in Employment'!B968&lt;&gt;0,DATE(YEAR('Change in Employment'!B968), MONTH('Change in Employment'!B968), 1), ""), "mm/dd/yyyy")</f>
        <v/>
      </c>
      <c r="B961" s="23" t="str">
        <f>IF(ISNUMBER('Change in Employment'!L968),'Change in Employment'!L968, "")</f>
        <v/>
      </c>
      <c r="C961" s="23" t="str">
        <f>IFERROR(IF(ISNUMBER('Change in Employment'!M968),TEXT('Change in Employment'!M968, "0"), ""), "")</f>
        <v/>
      </c>
    </row>
    <row r="962" spans="1:3">
      <c r="A962" s="23" t="str">
        <f>TEXT(IF('Change in Employment'!B969&lt;&gt;0,DATE(YEAR('Change in Employment'!B969), MONTH('Change in Employment'!B969), 1), ""), "mm/dd/yyyy")</f>
        <v/>
      </c>
      <c r="B962" s="23" t="str">
        <f>IF(ISNUMBER('Change in Employment'!L969),'Change in Employment'!L969, "")</f>
        <v/>
      </c>
      <c r="C962" s="23" t="str">
        <f>IFERROR(IF(ISNUMBER('Change in Employment'!M969),TEXT('Change in Employment'!M969, "0"), ""), "")</f>
        <v/>
      </c>
    </row>
    <row r="963" spans="1:3">
      <c r="A963" s="23" t="str">
        <f>TEXT(IF('Change in Employment'!B970&lt;&gt;0,DATE(YEAR('Change in Employment'!B970), MONTH('Change in Employment'!B970), 1), ""), "mm/dd/yyyy")</f>
        <v/>
      </c>
      <c r="B963" s="23" t="str">
        <f>IF(ISNUMBER('Change in Employment'!L970),'Change in Employment'!L970, "")</f>
        <v/>
      </c>
      <c r="C963" s="23" t="str">
        <f>IFERROR(IF(ISNUMBER('Change in Employment'!M970),TEXT('Change in Employment'!M970, "0"), ""), "")</f>
        <v/>
      </c>
    </row>
    <row r="964" spans="1:3">
      <c r="A964" s="23" t="str">
        <f>TEXT(IF('Change in Employment'!B971&lt;&gt;0,DATE(YEAR('Change in Employment'!B971), MONTH('Change in Employment'!B971), 1), ""), "mm/dd/yyyy")</f>
        <v/>
      </c>
      <c r="B964" s="23" t="str">
        <f>IF(ISNUMBER('Change in Employment'!L971),'Change in Employment'!L971, "")</f>
        <v/>
      </c>
      <c r="C964" s="23" t="str">
        <f>IFERROR(IF(ISNUMBER('Change in Employment'!M971),TEXT('Change in Employment'!M971, "0"), ""), "")</f>
        <v/>
      </c>
    </row>
    <row r="965" spans="1:3">
      <c r="A965" s="23" t="str">
        <f>TEXT(IF('Change in Employment'!B972&lt;&gt;0,DATE(YEAR('Change in Employment'!B972), MONTH('Change in Employment'!B972), 1), ""), "mm/dd/yyyy")</f>
        <v/>
      </c>
      <c r="B965" s="23" t="str">
        <f>IF(ISNUMBER('Change in Employment'!L972),'Change in Employment'!L972, "")</f>
        <v/>
      </c>
      <c r="C965" s="23" t="str">
        <f>IFERROR(IF(ISNUMBER('Change in Employment'!M972),TEXT('Change in Employment'!M972, "0"), ""), "")</f>
        <v/>
      </c>
    </row>
    <row r="966" spans="1:3">
      <c r="A966" s="23" t="str">
        <f>TEXT(IF('Change in Employment'!B973&lt;&gt;0,DATE(YEAR('Change in Employment'!B973), MONTH('Change in Employment'!B973), 1), ""), "mm/dd/yyyy")</f>
        <v/>
      </c>
      <c r="B966" s="23" t="str">
        <f>IF(ISNUMBER('Change in Employment'!L973),'Change in Employment'!L973, "")</f>
        <v/>
      </c>
      <c r="C966" s="23" t="str">
        <f>IFERROR(IF(ISNUMBER('Change in Employment'!M973),TEXT('Change in Employment'!M973, "0"), ""), "")</f>
        <v/>
      </c>
    </row>
    <row r="967" spans="1:3">
      <c r="A967" s="23" t="str">
        <f>TEXT(IF('Change in Employment'!B974&lt;&gt;0,DATE(YEAR('Change in Employment'!B974), MONTH('Change in Employment'!B974), 1), ""), "mm/dd/yyyy")</f>
        <v/>
      </c>
      <c r="B967" s="23" t="str">
        <f>IF(ISNUMBER('Change in Employment'!L974),'Change in Employment'!L974, "")</f>
        <v/>
      </c>
      <c r="C967" s="23" t="str">
        <f>IFERROR(IF(ISNUMBER('Change in Employment'!M974),TEXT('Change in Employment'!M974, "0"), ""), "")</f>
        <v/>
      </c>
    </row>
    <row r="968" spans="1:3">
      <c r="A968" s="23" t="str">
        <f>TEXT(IF('Change in Employment'!B975&lt;&gt;0,DATE(YEAR('Change in Employment'!B975), MONTH('Change in Employment'!B975), 1), ""), "mm/dd/yyyy")</f>
        <v/>
      </c>
      <c r="B968" s="23" t="str">
        <f>IF(ISNUMBER('Change in Employment'!L975),'Change in Employment'!L975, "")</f>
        <v/>
      </c>
      <c r="C968" s="23" t="str">
        <f>IFERROR(IF(ISNUMBER('Change in Employment'!M975),TEXT('Change in Employment'!M975, "0"), ""), "")</f>
        <v/>
      </c>
    </row>
    <row r="969" spans="1:3">
      <c r="A969" s="23" t="str">
        <f>TEXT(IF('Change in Employment'!B976&lt;&gt;0,DATE(YEAR('Change in Employment'!B976), MONTH('Change in Employment'!B976), 1), ""), "mm/dd/yyyy")</f>
        <v/>
      </c>
      <c r="B969" s="23" t="str">
        <f>IF(ISNUMBER('Change in Employment'!L976),'Change in Employment'!L976, "")</f>
        <v/>
      </c>
      <c r="C969" s="23" t="str">
        <f>IFERROR(IF(ISNUMBER('Change in Employment'!M976),TEXT('Change in Employment'!M976, "0"), ""), "")</f>
        <v/>
      </c>
    </row>
    <row r="970" spans="1:3">
      <c r="A970" s="23" t="str">
        <f>TEXT(IF('Change in Employment'!B977&lt;&gt;0,DATE(YEAR('Change in Employment'!B977), MONTH('Change in Employment'!B977), 1), ""), "mm/dd/yyyy")</f>
        <v/>
      </c>
      <c r="B970" s="23" t="str">
        <f>IF(ISNUMBER('Change in Employment'!L977),'Change in Employment'!L977, "")</f>
        <v/>
      </c>
      <c r="C970" s="23" t="str">
        <f>IFERROR(IF(ISNUMBER('Change in Employment'!M977),TEXT('Change in Employment'!M977, "0"), ""), "")</f>
        <v/>
      </c>
    </row>
    <row r="971" spans="1:3">
      <c r="A971" s="23" t="str">
        <f>TEXT(IF('Change in Employment'!B978&lt;&gt;0,DATE(YEAR('Change in Employment'!B978), MONTH('Change in Employment'!B978), 1), ""), "mm/dd/yyyy")</f>
        <v/>
      </c>
      <c r="B971" s="23" t="str">
        <f>IF(ISNUMBER('Change in Employment'!L978),'Change in Employment'!L978, "")</f>
        <v/>
      </c>
      <c r="C971" s="23" t="str">
        <f>IFERROR(IF(ISNUMBER('Change in Employment'!M978),TEXT('Change in Employment'!M978, "0"), ""), "")</f>
        <v/>
      </c>
    </row>
    <row r="972" spans="1:3">
      <c r="A972" s="23" t="str">
        <f>TEXT(IF('Change in Employment'!B979&lt;&gt;0,DATE(YEAR('Change in Employment'!B979), MONTH('Change in Employment'!B979), 1), ""), "mm/dd/yyyy")</f>
        <v/>
      </c>
      <c r="B972" s="23" t="str">
        <f>IF(ISNUMBER('Change in Employment'!L979),'Change in Employment'!L979, "")</f>
        <v/>
      </c>
      <c r="C972" s="23" t="str">
        <f>IFERROR(IF(ISNUMBER('Change in Employment'!M979),TEXT('Change in Employment'!M979, "0"), ""), "")</f>
        <v/>
      </c>
    </row>
    <row r="973" spans="1:3">
      <c r="A973" s="23" t="str">
        <f>TEXT(IF('Change in Employment'!B980&lt;&gt;0,DATE(YEAR('Change in Employment'!B980), MONTH('Change in Employment'!B980), 1), ""), "mm/dd/yyyy")</f>
        <v/>
      </c>
      <c r="B973" s="23" t="str">
        <f>IF(ISNUMBER('Change in Employment'!L980),'Change in Employment'!L980, "")</f>
        <v/>
      </c>
      <c r="C973" s="23" t="str">
        <f>IFERROR(IF(ISNUMBER('Change in Employment'!M980),TEXT('Change in Employment'!M980, "0"), ""), "")</f>
        <v/>
      </c>
    </row>
    <row r="974" spans="1:3">
      <c r="A974" s="23" t="str">
        <f>TEXT(IF('Change in Employment'!B981&lt;&gt;0,DATE(YEAR('Change in Employment'!B981), MONTH('Change in Employment'!B981), 1), ""), "mm/dd/yyyy")</f>
        <v/>
      </c>
      <c r="B974" s="23" t="str">
        <f>IF(ISNUMBER('Change in Employment'!L981),'Change in Employment'!L981, "")</f>
        <v/>
      </c>
      <c r="C974" s="23" t="str">
        <f>IFERROR(IF(ISNUMBER('Change in Employment'!M981),TEXT('Change in Employment'!M981, "0"), ""), "")</f>
        <v/>
      </c>
    </row>
    <row r="975" spans="1:3">
      <c r="A975" s="23" t="str">
        <f>TEXT(IF('Change in Employment'!B982&lt;&gt;0,DATE(YEAR('Change in Employment'!B982), MONTH('Change in Employment'!B982), 1), ""), "mm/dd/yyyy")</f>
        <v/>
      </c>
      <c r="B975" s="23" t="str">
        <f>IF(ISNUMBER('Change in Employment'!L982),'Change in Employment'!L982, "")</f>
        <v/>
      </c>
      <c r="C975" s="23" t="str">
        <f>IFERROR(IF(ISNUMBER('Change in Employment'!M982),TEXT('Change in Employment'!M982, "0"), ""), "")</f>
        <v/>
      </c>
    </row>
    <row r="976" spans="1:3">
      <c r="A976" s="23" t="str">
        <f>TEXT(IF('Change in Employment'!B983&lt;&gt;0,DATE(YEAR('Change in Employment'!B983), MONTH('Change in Employment'!B983), 1), ""), "mm/dd/yyyy")</f>
        <v/>
      </c>
      <c r="B976" s="23" t="str">
        <f>IF(ISNUMBER('Change in Employment'!L983),'Change in Employment'!L983, "")</f>
        <v/>
      </c>
      <c r="C976" s="23" t="str">
        <f>IFERROR(IF(ISNUMBER('Change in Employment'!M983),TEXT('Change in Employment'!M983, "0"), ""), "")</f>
        <v/>
      </c>
    </row>
    <row r="977" spans="1:3">
      <c r="A977" s="23" t="str">
        <f>TEXT(IF('Change in Employment'!B984&lt;&gt;0,DATE(YEAR('Change in Employment'!B984), MONTH('Change in Employment'!B984), 1), ""), "mm/dd/yyyy")</f>
        <v/>
      </c>
      <c r="B977" s="23" t="str">
        <f>IF(ISNUMBER('Change in Employment'!L984),'Change in Employment'!L984, "")</f>
        <v/>
      </c>
      <c r="C977" s="23" t="str">
        <f>IFERROR(IF(ISNUMBER('Change in Employment'!M984),TEXT('Change in Employment'!M984, "0"), ""), "")</f>
        <v/>
      </c>
    </row>
    <row r="978" spans="1:3">
      <c r="A978" s="23" t="str">
        <f>TEXT(IF('Change in Employment'!B985&lt;&gt;0,DATE(YEAR('Change in Employment'!B985), MONTH('Change in Employment'!B985), 1), ""), "mm/dd/yyyy")</f>
        <v/>
      </c>
      <c r="B978" s="23" t="str">
        <f>IF(ISNUMBER('Change in Employment'!L985),'Change in Employment'!L985, "")</f>
        <v/>
      </c>
      <c r="C978" s="23" t="str">
        <f>IFERROR(IF(ISNUMBER('Change in Employment'!M985),TEXT('Change in Employment'!M985, "0"), ""), "")</f>
        <v/>
      </c>
    </row>
    <row r="979" spans="1:3">
      <c r="A979" s="23" t="str">
        <f>TEXT(IF('Change in Employment'!B986&lt;&gt;0,DATE(YEAR('Change in Employment'!B986), MONTH('Change in Employment'!B986), 1), ""), "mm/dd/yyyy")</f>
        <v/>
      </c>
      <c r="B979" s="23" t="str">
        <f>IF(ISNUMBER('Change in Employment'!L986),'Change in Employment'!L986, "")</f>
        <v/>
      </c>
      <c r="C979" s="23" t="str">
        <f>IFERROR(IF(ISNUMBER('Change in Employment'!M986),TEXT('Change in Employment'!M986, "0"), ""), "")</f>
        <v/>
      </c>
    </row>
    <row r="980" spans="1:3">
      <c r="A980" s="23" t="str">
        <f>TEXT(IF('Change in Employment'!B987&lt;&gt;0,DATE(YEAR('Change in Employment'!B987), MONTH('Change in Employment'!B987), 1), ""), "mm/dd/yyyy")</f>
        <v/>
      </c>
      <c r="B980" s="23" t="str">
        <f>IF(ISNUMBER('Change in Employment'!L987),'Change in Employment'!L987, "")</f>
        <v/>
      </c>
      <c r="C980" s="23" t="str">
        <f>IFERROR(IF(ISNUMBER('Change in Employment'!M987),TEXT('Change in Employment'!M987, "0"), ""), "")</f>
        <v/>
      </c>
    </row>
    <row r="981" spans="1:3">
      <c r="A981" s="23" t="str">
        <f>TEXT(IF('Change in Employment'!B988&lt;&gt;0,DATE(YEAR('Change in Employment'!B988), MONTH('Change in Employment'!B988), 1), ""), "mm/dd/yyyy")</f>
        <v/>
      </c>
      <c r="B981" s="23" t="str">
        <f>IF(ISNUMBER('Change in Employment'!L988),'Change in Employment'!L988, "")</f>
        <v/>
      </c>
      <c r="C981" s="23" t="str">
        <f>IFERROR(IF(ISNUMBER('Change in Employment'!M988),TEXT('Change in Employment'!M988, "0"), ""), "")</f>
        <v/>
      </c>
    </row>
    <row r="982" spans="1:3">
      <c r="A982" s="23" t="str">
        <f>TEXT(IF('Change in Employment'!B989&lt;&gt;0,DATE(YEAR('Change in Employment'!B989), MONTH('Change in Employment'!B989), 1), ""), "mm/dd/yyyy")</f>
        <v/>
      </c>
      <c r="B982" s="23" t="str">
        <f>IF(ISNUMBER('Change in Employment'!L989),'Change in Employment'!L989, "")</f>
        <v/>
      </c>
      <c r="C982" s="23" t="str">
        <f>IFERROR(IF(ISNUMBER('Change in Employment'!M989),TEXT('Change in Employment'!M989, "0"), ""), "")</f>
        <v/>
      </c>
    </row>
    <row r="983" spans="1:3">
      <c r="A983" s="23" t="str">
        <f>TEXT(IF('Change in Employment'!B990&lt;&gt;0,DATE(YEAR('Change in Employment'!B990), MONTH('Change in Employment'!B990), 1), ""), "mm/dd/yyyy")</f>
        <v/>
      </c>
      <c r="B983" s="23" t="str">
        <f>IF(ISNUMBER('Change in Employment'!L990),'Change in Employment'!L990, "")</f>
        <v/>
      </c>
      <c r="C983" s="23" t="str">
        <f>IFERROR(IF(ISNUMBER('Change in Employment'!M990),TEXT('Change in Employment'!M990, "0"), ""), "")</f>
        <v/>
      </c>
    </row>
    <row r="984" spans="1:3">
      <c r="A984" s="23" t="str">
        <f>TEXT(IF('Change in Employment'!B991&lt;&gt;0,DATE(YEAR('Change in Employment'!B991), MONTH('Change in Employment'!B991), 1), ""), "mm/dd/yyyy")</f>
        <v/>
      </c>
      <c r="B984" s="23" t="str">
        <f>IF(ISNUMBER('Change in Employment'!L991),'Change in Employment'!L991, "")</f>
        <v/>
      </c>
      <c r="C984" s="23" t="str">
        <f>IFERROR(IF(ISNUMBER('Change in Employment'!M991),TEXT('Change in Employment'!M991, "0"), ""), "")</f>
        <v/>
      </c>
    </row>
    <row r="985" spans="1:3">
      <c r="A985" s="23" t="str">
        <f>TEXT(IF('Change in Employment'!B992&lt;&gt;0,DATE(YEAR('Change in Employment'!B992), MONTH('Change in Employment'!B992), 1), ""), "mm/dd/yyyy")</f>
        <v/>
      </c>
      <c r="B985" s="23" t="str">
        <f>IF(ISNUMBER('Change in Employment'!L992),'Change in Employment'!L992, "")</f>
        <v/>
      </c>
      <c r="C985" s="23" t="str">
        <f>IFERROR(IF(ISNUMBER('Change in Employment'!M992),TEXT('Change in Employment'!M992, "0"), ""), "")</f>
        <v/>
      </c>
    </row>
    <row r="986" spans="1:3">
      <c r="A986" s="23" t="str">
        <f>TEXT(IF('Change in Employment'!B993&lt;&gt;0,DATE(YEAR('Change in Employment'!B993), MONTH('Change in Employment'!B993), 1), ""), "mm/dd/yyyy")</f>
        <v/>
      </c>
      <c r="B986" s="23" t="str">
        <f>IF(ISNUMBER('Change in Employment'!L993),'Change in Employment'!L993, "")</f>
        <v/>
      </c>
      <c r="C986" s="23" t="str">
        <f>IFERROR(IF(ISNUMBER('Change in Employment'!M993),TEXT('Change in Employment'!M993, "0"), ""), "")</f>
        <v/>
      </c>
    </row>
    <row r="987" spans="1:3">
      <c r="A987" s="23" t="str">
        <f>TEXT(IF('Change in Employment'!B994&lt;&gt;0,DATE(YEAR('Change in Employment'!B994), MONTH('Change in Employment'!B994), 1), ""), "mm/dd/yyyy")</f>
        <v/>
      </c>
      <c r="B987" s="23" t="str">
        <f>IF(ISNUMBER('Change in Employment'!L994),'Change in Employment'!L994, "")</f>
        <v/>
      </c>
      <c r="C987" s="23" t="str">
        <f>IFERROR(IF(ISNUMBER('Change in Employment'!M994),TEXT('Change in Employment'!M994, "0"), ""), "")</f>
        <v/>
      </c>
    </row>
    <row r="988" spans="1:3">
      <c r="A988" s="23" t="str">
        <f>TEXT(IF('Change in Employment'!B995&lt;&gt;0,DATE(YEAR('Change in Employment'!B995), MONTH('Change in Employment'!B995), 1), ""), "mm/dd/yyyy")</f>
        <v/>
      </c>
      <c r="B988" s="23" t="str">
        <f>IF(ISNUMBER('Change in Employment'!L995),'Change in Employment'!L995, "")</f>
        <v/>
      </c>
      <c r="C988" s="23" t="str">
        <f>IFERROR(IF(ISNUMBER('Change in Employment'!M995),TEXT('Change in Employment'!M995, "0"), ""), "")</f>
        <v/>
      </c>
    </row>
    <row r="989" spans="1:3">
      <c r="A989" s="23" t="str">
        <f>TEXT(IF('Change in Employment'!B996&lt;&gt;0,DATE(YEAR('Change in Employment'!B996), MONTH('Change in Employment'!B996), 1), ""), "mm/dd/yyyy")</f>
        <v/>
      </c>
      <c r="B989" s="23" t="str">
        <f>IF(ISNUMBER('Change in Employment'!L996),'Change in Employment'!L996, "")</f>
        <v/>
      </c>
      <c r="C989" s="23" t="str">
        <f>IFERROR(IF(ISNUMBER('Change in Employment'!M996),TEXT('Change in Employment'!M996, "0"), ""), "")</f>
        <v/>
      </c>
    </row>
    <row r="990" spans="1:3">
      <c r="A990" s="23" t="str">
        <f>TEXT(IF('Change in Employment'!B997&lt;&gt;0,DATE(YEAR('Change in Employment'!B997), MONTH('Change in Employment'!B997), 1), ""), "mm/dd/yyyy")</f>
        <v/>
      </c>
      <c r="B990" s="23" t="str">
        <f>IF(ISNUMBER('Change in Employment'!L997),'Change in Employment'!L997, "")</f>
        <v/>
      </c>
      <c r="C990" s="23" t="str">
        <f>IFERROR(IF(ISNUMBER('Change in Employment'!M997),TEXT('Change in Employment'!M997, "0"), ""), "")</f>
        <v/>
      </c>
    </row>
    <row r="991" spans="1:3">
      <c r="A991" s="23" t="str">
        <f>TEXT(IF('Change in Employment'!B998&lt;&gt;0,DATE(YEAR('Change in Employment'!B998), MONTH('Change in Employment'!B998), 1), ""), "mm/dd/yyyy")</f>
        <v/>
      </c>
      <c r="B991" s="23" t="str">
        <f>IF(ISNUMBER('Change in Employment'!L998),'Change in Employment'!L998, "")</f>
        <v/>
      </c>
      <c r="C991" s="23" t="str">
        <f>IFERROR(IF(ISNUMBER('Change in Employment'!M998),TEXT('Change in Employment'!M998, "0"), ""), "")</f>
        <v/>
      </c>
    </row>
    <row r="992" spans="1:3">
      <c r="A992" s="23" t="str">
        <f>TEXT(IF('Change in Employment'!B999&lt;&gt;0,DATE(YEAR('Change in Employment'!B999), MONTH('Change in Employment'!B999), 1), ""), "mm/dd/yyyy")</f>
        <v/>
      </c>
      <c r="B992" s="23" t="str">
        <f>IF(ISNUMBER('Change in Employment'!L999),'Change in Employment'!L999, "")</f>
        <v/>
      </c>
      <c r="C992" s="23" t="str">
        <f>IFERROR(IF(ISNUMBER('Change in Employment'!M999),TEXT('Change in Employment'!M999, "0"), ""), "")</f>
        <v/>
      </c>
    </row>
    <row r="993" spans="1:3">
      <c r="A993" s="23" t="str">
        <f>TEXT(IF('Change in Employment'!B1000&lt;&gt;0,DATE(YEAR('Change in Employment'!B1000), MONTH('Change in Employment'!B1000), 1), ""), "mm/dd/yyyy")</f>
        <v/>
      </c>
      <c r="B993" s="23" t="str">
        <f>IF(ISNUMBER('Change in Employment'!L1000),'Change in Employment'!L1000, "")</f>
        <v/>
      </c>
      <c r="C993" s="23" t="str">
        <f>IFERROR(IF(ISNUMBER('Change in Employment'!M1000),TEXT('Change in Employment'!M1000, "0"), ""), "")</f>
        <v/>
      </c>
    </row>
    <row r="994" spans="1:3">
      <c r="A994" s="23" t="str">
        <f>TEXT(IF('Change in Employment'!B1001&lt;&gt;0,DATE(YEAR('Change in Employment'!B1001), MONTH('Change in Employment'!B1001), 1), ""), "mm/dd/yyyy")</f>
        <v/>
      </c>
      <c r="B994" s="23" t="str">
        <f>IF(ISNUMBER('Change in Employment'!L1001),'Change in Employment'!L1001, "")</f>
        <v/>
      </c>
      <c r="C994" s="23" t="str">
        <f>IFERROR(IF(ISNUMBER('Change in Employment'!M1001),TEXT('Change in Employment'!M1001, "0"), ""), "")</f>
        <v/>
      </c>
    </row>
    <row r="995" spans="1:3">
      <c r="A995" s="23" t="str">
        <f>TEXT(IF('Change in Employment'!B1002&lt;&gt;0,DATE(YEAR('Change in Employment'!B1002), MONTH('Change in Employment'!B1002), 1), ""), "mm/dd/yyyy")</f>
        <v/>
      </c>
      <c r="B995" s="23" t="str">
        <f>IF(ISNUMBER('Change in Employment'!L1002),'Change in Employment'!L1002, "")</f>
        <v/>
      </c>
      <c r="C995" s="23" t="str">
        <f>IFERROR(IF(ISNUMBER('Change in Employment'!M1002),TEXT('Change in Employment'!M1002, "0"), ""), "")</f>
        <v/>
      </c>
    </row>
    <row r="996" spans="1:3">
      <c r="A996" s="23" t="str">
        <f>TEXT(IF('Change in Employment'!B1003&lt;&gt;0,DATE(YEAR('Change in Employment'!B1003), MONTH('Change in Employment'!B1003), 1), ""), "mm/dd/yyyy")</f>
        <v/>
      </c>
      <c r="B996" s="23" t="str">
        <f>IF(ISNUMBER('Change in Employment'!L1003),'Change in Employment'!L1003, "")</f>
        <v/>
      </c>
      <c r="C996" s="23" t="str">
        <f>IFERROR(IF(ISNUMBER('Change in Employment'!M1003),TEXT('Change in Employment'!M1003, "0"), ""), "")</f>
        <v/>
      </c>
    </row>
    <row r="997" spans="1:3">
      <c r="A997" s="23" t="str">
        <f>TEXT(IF('Change in Employment'!B1004&lt;&gt;0,DATE(YEAR('Change in Employment'!B1004), MONTH('Change in Employment'!B1004), 1), ""), "mm/dd/yyyy")</f>
        <v/>
      </c>
      <c r="B997" s="23" t="str">
        <f>IF(ISNUMBER('Change in Employment'!L1004),'Change in Employment'!L1004, "")</f>
        <v/>
      </c>
      <c r="C997" s="23" t="str">
        <f>IFERROR(IF(ISNUMBER('Change in Employment'!M1004),TEXT('Change in Employment'!M1004, "0"), ""), "")</f>
        <v/>
      </c>
    </row>
    <row r="998" spans="1:3">
      <c r="A998" s="23" t="str">
        <f>TEXT(IF('Change in Employment'!B1005&lt;&gt;0,DATE(YEAR('Change in Employment'!B1005), MONTH('Change in Employment'!B1005), 1), ""), "mm/dd/yyyy")</f>
        <v/>
      </c>
      <c r="B998" s="23" t="str">
        <f>IF(ISNUMBER('Change in Employment'!L1005),'Change in Employment'!L1005, "")</f>
        <v/>
      </c>
      <c r="C998" s="23" t="str">
        <f>IFERROR(IF(ISNUMBER('Change in Employment'!M1005),TEXT('Change in Employment'!M1005, "0"), ""), "")</f>
        <v/>
      </c>
    </row>
    <row r="999" spans="1:3">
      <c r="A999" s="23" t="str">
        <f>TEXT(IF('Change in Employment'!B1006&lt;&gt;0,DATE(YEAR('Change in Employment'!B1006), MONTH('Change in Employment'!B1006), 1), ""), "mm/dd/yyyy")</f>
        <v/>
      </c>
      <c r="B999" s="23" t="str">
        <f>IF(ISNUMBER('Change in Employment'!L1006),'Change in Employment'!L1006, "")</f>
        <v/>
      </c>
      <c r="C999" s="23" t="str">
        <f>IFERROR(IF(ISNUMBER('Change in Employment'!M1006),TEXT('Change in Employment'!M1006, "0"), ""), "")</f>
        <v/>
      </c>
    </row>
    <row r="1000" spans="1:3">
      <c r="A1000" s="23" t="str">
        <f>TEXT(IF('Change in Employment'!B1007&lt;&gt;0,DATE(YEAR('Change in Employment'!B1007), MONTH('Change in Employment'!B1007), 1), ""), "mm/dd/yyyy")</f>
        <v/>
      </c>
      <c r="B1000" s="23" t="str">
        <f>IF(ISNUMBER('Change in Employment'!L1007),'Change in Employment'!L1007, "")</f>
        <v/>
      </c>
      <c r="C1000" s="23" t="str">
        <f>IFERROR(IF(ISNUMBER('Change in Employment'!M1007),TEXT('Change in Employment'!M1007, "0"), ""), "")</f>
        <v/>
      </c>
    </row>
    <row r="1001" spans="1:3">
      <c r="A1001" s="23" t="str">
        <f>TEXT(IF('Change in Employment'!B1008&lt;&gt;0,DATE(YEAR('Change in Employment'!B1008), MONTH('Change in Employment'!B1008), 1), ""), "mm/dd/yyyy")</f>
        <v/>
      </c>
      <c r="B1001" s="23" t="str">
        <f>IF(ISNUMBER('Change in Employment'!L1008),'Change in Employment'!L1008, "")</f>
        <v/>
      </c>
      <c r="C1001" s="23" t="str">
        <f>IFERROR(IF(ISNUMBER('Change in Employment'!M1008),TEXT('Change in Employment'!M1008, "0"), ""), "")</f>
        <v/>
      </c>
    </row>
    <row r="1002" spans="1:3">
      <c r="A1002" s="23" t="str">
        <f>TEXT(IF('Change in Employment'!B1009&lt;&gt;0,DATE(YEAR('Change in Employment'!B1009), MONTH('Change in Employment'!B1009), 1), ""), "mm/dd/yyyy")</f>
        <v/>
      </c>
      <c r="B1002" s="23" t="str">
        <f>IF(ISNUMBER('Change in Employment'!L1009),'Change in Employment'!L1009, "")</f>
        <v/>
      </c>
      <c r="C1002" s="23" t="str">
        <f>IFERROR(IF(ISNUMBER('Change in Employment'!M1009),TEXT('Change in Employment'!M1009, "0"), ""), "")</f>
        <v/>
      </c>
    </row>
    <row r="1003" spans="1:3">
      <c r="A1003" s="23" t="str">
        <f>TEXT(IF('Change in Employment'!B1010&lt;&gt;0,DATE(YEAR('Change in Employment'!B1010), MONTH('Change in Employment'!B1010), 1), ""), "mm/dd/yyyy")</f>
        <v/>
      </c>
      <c r="B1003" s="23" t="str">
        <f>IF(ISNUMBER('Change in Employment'!L1010),'Change in Employment'!L1010, "")</f>
        <v/>
      </c>
      <c r="C1003" s="23" t="str">
        <f>IFERROR(IF(ISNUMBER('Change in Employment'!M1010),TEXT('Change in Employment'!M1010, "0"), ""), "")</f>
        <v/>
      </c>
    </row>
    <row r="1004" spans="1:3">
      <c r="A1004" s="23" t="str">
        <f>TEXT(IF('Change in Employment'!B1011&lt;&gt;0,DATE(YEAR('Change in Employment'!B1011), MONTH('Change in Employment'!B1011), 1), ""), "mm/dd/yyyy")</f>
        <v/>
      </c>
      <c r="B1004" s="23" t="str">
        <f>IF(ISNUMBER('Change in Employment'!L1011),'Change in Employment'!L1011, "")</f>
        <v/>
      </c>
      <c r="C1004" s="23" t="str">
        <f>IFERROR(IF(ISNUMBER('Change in Employment'!M1011),TEXT('Change in Employment'!M1011, "0"), ""), "")</f>
        <v/>
      </c>
    </row>
    <row r="1005" spans="1:3">
      <c r="A1005" s="23" t="str">
        <f>TEXT(IF('Change in Employment'!B1012&lt;&gt;0,DATE(YEAR('Change in Employment'!B1012), MONTH('Change in Employment'!B1012), 1), ""), "mm/dd/yyyy")</f>
        <v/>
      </c>
      <c r="B1005" s="23" t="str">
        <f>IF(ISNUMBER('Change in Employment'!L1012),'Change in Employment'!L1012, "")</f>
        <v/>
      </c>
      <c r="C1005" s="23" t="str">
        <f>IFERROR(IF(ISNUMBER('Change in Employment'!M1012),TEXT('Change in Employment'!M1012, "0"), ""), "")</f>
        <v/>
      </c>
    </row>
    <row r="1006" spans="1:3">
      <c r="A1006" s="23" t="str">
        <f>TEXT(IF('Change in Employment'!B1013&lt;&gt;0,DATE(YEAR('Change in Employment'!B1013), MONTH('Change in Employment'!B1013), 1), ""), "mm/dd/yyyy")</f>
        <v/>
      </c>
      <c r="B1006" s="23" t="str">
        <f>IF(ISNUMBER('Change in Employment'!L1013),'Change in Employment'!L1013, "")</f>
        <v/>
      </c>
      <c r="C1006" s="23" t="str">
        <f>IFERROR(IF(ISNUMBER('Change in Employment'!M1013),TEXT('Change in Employment'!M1013, "0"), ""), "")</f>
        <v/>
      </c>
    </row>
    <row r="1007" spans="1:3">
      <c r="A1007" s="23" t="str">
        <f>TEXT(IF('Change in Employment'!B1014&lt;&gt;0,DATE(YEAR('Change in Employment'!B1014), MONTH('Change in Employment'!B1014), 1), ""), "mm/dd/yyyy")</f>
        <v/>
      </c>
      <c r="B1007" s="23" t="str">
        <f>IF(ISNUMBER('Change in Employment'!L1014),'Change in Employment'!L1014, "")</f>
        <v/>
      </c>
      <c r="C1007" s="23" t="str">
        <f>IFERROR(IF(ISNUMBER('Change in Employment'!M1014),TEXT('Change in Employment'!M1014, "0"), ""), "")</f>
        <v/>
      </c>
    </row>
    <row r="1008" spans="1:3">
      <c r="A1008" s="23" t="str">
        <f>TEXT(IF('Change in Employment'!B1015&lt;&gt;0,DATE(YEAR('Change in Employment'!B1015), MONTH('Change in Employment'!B1015), 1), ""), "mm/dd/yyyy")</f>
        <v/>
      </c>
      <c r="B1008" s="23" t="str">
        <f>IF(ISNUMBER('Change in Employment'!L1015),'Change in Employment'!L1015, "")</f>
        <v/>
      </c>
      <c r="C1008" s="23" t="str">
        <f>IFERROR(IF(ISNUMBER('Change in Employment'!M1015),TEXT('Change in Employment'!M1015, "0"), ""), "")</f>
        <v/>
      </c>
    </row>
    <row r="1009" spans="1:3">
      <c r="A1009" s="23" t="str">
        <f>TEXT(IF('Change in Employment'!B1016&lt;&gt;0,DATE(YEAR('Change in Employment'!B1016), MONTH('Change in Employment'!B1016), 1), ""), "mm/dd/yyyy")</f>
        <v/>
      </c>
      <c r="B1009" s="23" t="str">
        <f>IF(ISNUMBER('Change in Employment'!L1016),'Change in Employment'!L1016, "")</f>
        <v/>
      </c>
      <c r="C1009" s="23" t="str">
        <f>IFERROR(IF(ISNUMBER('Change in Employment'!M1016),TEXT('Change in Employment'!M1016, "0"), ""), "")</f>
        <v/>
      </c>
    </row>
    <row r="1010" spans="1:3">
      <c r="A1010" s="23" t="str">
        <f>TEXT(IF('Change in Employment'!B1017&lt;&gt;0,DATE(YEAR('Change in Employment'!B1017), MONTH('Change in Employment'!B1017), 1), ""), "mm/dd/yyyy")</f>
        <v/>
      </c>
      <c r="B1010" s="23" t="str">
        <f>IF(ISNUMBER('Change in Employment'!L1017),'Change in Employment'!L1017, "")</f>
        <v/>
      </c>
      <c r="C1010" s="23" t="str">
        <f>IFERROR(IF(ISNUMBER('Change in Employment'!M1017),TEXT('Change in Employment'!M1017, "0"), ""), "")</f>
        <v/>
      </c>
    </row>
    <row r="1011" spans="1:3">
      <c r="A1011" s="23" t="str">
        <f>TEXT(IF('Change in Employment'!B1018&lt;&gt;0,DATE(YEAR('Change in Employment'!B1018), MONTH('Change in Employment'!B1018), 1), ""), "mm/dd/yyyy")</f>
        <v/>
      </c>
      <c r="B1011" s="23" t="str">
        <f>IF(ISNUMBER('Change in Employment'!L1018),'Change in Employment'!L1018, "")</f>
        <v/>
      </c>
      <c r="C1011" s="23" t="str">
        <f>IFERROR(IF(ISNUMBER('Change in Employment'!M1018),TEXT('Change in Employment'!M1018, "0"), ""), "")</f>
        <v/>
      </c>
    </row>
    <row r="1012" spans="1:3">
      <c r="A1012" s="23" t="str">
        <f>TEXT(IF('Change in Employment'!B1019&lt;&gt;0,DATE(YEAR('Change in Employment'!B1019), MONTH('Change in Employment'!B1019), 1), ""), "mm/dd/yyyy")</f>
        <v/>
      </c>
      <c r="B1012" s="23" t="str">
        <f>IF(ISNUMBER('Change in Employment'!L1019),'Change in Employment'!L1019, "")</f>
        <v/>
      </c>
      <c r="C1012" s="23" t="str">
        <f>IFERROR(IF(ISNUMBER('Change in Employment'!M1019),TEXT('Change in Employment'!M1019, "0"), ""), "")</f>
        <v/>
      </c>
    </row>
    <row r="1013" spans="1:3">
      <c r="A1013" s="23" t="str">
        <f>TEXT(IF('Change in Employment'!B1020&lt;&gt;0,DATE(YEAR('Change in Employment'!B1020), MONTH('Change in Employment'!B1020), 1), ""), "mm/dd/yyyy")</f>
        <v/>
      </c>
      <c r="B1013" s="23" t="str">
        <f>IF(ISNUMBER('Change in Employment'!L1020),'Change in Employment'!L1020, "")</f>
        <v/>
      </c>
      <c r="C1013" s="23" t="str">
        <f>IFERROR(IF(ISNUMBER('Change in Employment'!M1020),TEXT('Change in Employment'!M1020, "0"), ""), "")</f>
        <v/>
      </c>
    </row>
    <row r="1014" spans="1:3">
      <c r="A1014" s="23" t="str">
        <f>TEXT(IF('Change in Employment'!B1021&lt;&gt;0,DATE(YEAR('Change in Employment'!B1021), MONTH('Change in Employment'!B1021), 1), ""), "mm/dd/yyyy")</f>
        <v/>
      </c>
      <c r="B1014" s="23" t="str">
        <f>IF(ISNUMBER('Change in Employment'!L1021),'Change in Employment'!L1021, "")</f>
        <v/>
      </c>
      <c r="C1014" s="23" t="str">
        <f>IFERROR(IF(ISNUMBER('Change in Employment'!M1021),TEXT('Change in Employment'!M1021, "0"), ""), "")</f>
        <v/>
      </c>
    </row>
    <row r="1015" spans="1:3">
      <c r="A1015" s="23" t="str">
        <f>TEXT(IF('Change in Employment'!B1022&lt;&gt;0,DATE(YEAR('Change in Employment'!B1022), MONTH('Change in Employment'!B1022), 1), ""), "mm/dd/yyyy")</f>
        <v/>
      </c>
      <c r="B1015" s="23" t="str">
        <f>IF(ISNUMBER('Change in Employment'!L1022),'Change in Employment'!L1022, "")</f>
        <v/>
      </c>
      <c r="C1015" s="23" t="str">
        <f>IFERROR(IF(ISNUMBER('Change in Employment'!M1022),TEXT('Change in Employment'!M1022, "0"), ""), "")</f>
        <v/>
      </c>
    </row>
    <row r="1016" spans="1:3">
      <c r="A1016" s="23" t="str">
        <f>TEXT(IF('Change in Employment'!B1023&lt;&gt;0,DATE(YEAR('Change in Employment'!B1023), MONTH('Change in Employment'!B1023), 1), ""), "mm/dd/yyyy")</f>
        <v/>
      </c>
      <c r="B1016" s="23" t="str">
        <f>IF(ISNUMBER('Change in Employment'!L1023),'Change in Employment'!L1023, "")</f>
        <v/>
      </c>
      <c r="C1016" s="23" t="str">
        <f>IFERROR(IF(ISNUMBER('Change in Employment'!M1023),TEXT('Change in Employment'!M1023, "0"), ""), "")</f>
        <v/>
      </c>
    </row>
    <row r="1017" spans="1:3">
      <c r="A1017" s="23" t="str">
        <f>TEXT(IF('Change in Employment'!B1024&lt;&gt;0,DATE(YEAR('Change in Employment'!B1024), MONTH('Change in Employment'!B1024), 1), ""), "mm/dd/yyyy")</f>
        <v/>
      </c>
      <c r="B1017" s="23" t="str">
        <f>IF(ISNUMBER('Change in Employment'!L1024),'Change in Employment'!L1024, "")</f>
        <v/>
      </c>
      <c r="C1017" s="23" t="str">
        <f>IFERROR(IF(ISNUMBER('Change in Employment'!M1024),TEXT('Change in Employment'!M1024, "0"), ""), "")</f>
        <v/>
      </c>
    </row>
    <row r="1018" spans="1:3">
      <c r="A1018" s="23" t="str">
        <f>TEXT(IF('Change in Employment'!B1025&lt;&gt;0,DATE(YEAR('Change in Employment'!B1025), MONTH('Change in Employment'!B1025), 1), ""), "mm/dd/yyyy")</f>
        <v/>
      </c>
      <c r="B1018" s="23" t="str">
        <f>IF(ISNUMBER('Change in Employment'!L1025),'Change in Employment'!L1025, "")</f>
        <v/>
      </c>
      <c r="C1018" s="23" t="str">
        <f>IFERROR(IF(ISNUMBER('Change in Employment'!M1025),TEXT('Change in Employment'!M1025, "0"), ""), "")</f>
        <v/>
      </c>
    </row>
    <row r="1019" spans="1:3">
      <c r="A1019" s="23" t="str">
        <f>TEXT(IF('Change in Employment'!B1026&lt;&gt;0,DATE(YEAR('Change in Employment'!B1026), MONTH('Change in Employment'!B1026), 1), ""), "mm/dd/yyyy")</f>
        <v/>
      </c>
      <c r="B1019" s="23" t="str">
        <f>IF(ISNUMBER('Change in Employment'!L1026),'Change in Employment'!L1026, "")</f>
        <v/>
      </c>
      <c r="C1019" s="23" t="str">
        <f>IFERROR(IF(ISNUMBER('Change in Employment'!M1026),TEXT('Change in Employment'!M1026, "0"), ""), "")</f>
        <v/>
      </c>
    </row>
    <row r="1020" spans="1:3">
      <c r="A1020" s="23" t="str">
        <f>TEXT(IF('Change in Employment'!B1027&lt;&gt;0,DATE(YEAR('Change in Employment'!B1027), MONTH('Change in Employment'!B1027), 1), ""), "mm/dd/yyyy")</f>
        <v/>
      </c>
      <c r="B1020" s="23" t="str">
        <f>IF(ISNUMBER('Change in Employment'!L1027),'Change in Employment'!L1027, "")</f>
        <v/>
      </c>
      <c r="C1020" s="23" t="str">
        <f>IFERROR(IF(ISNUMBER('Change in Employment'!M1027),TEXT('Change in Employment'!M1027, "0"), ""), "")</f>
        <v/>
      </c>
    </row>
    <row r="1021" spans="1:3">
      <c r="A1021" s="23" t="str">
        <f>TEXT(IF('Change in Employment'!B1028&lt;&gt;0,DATE(YEAR('Change in Employment'!B1028), MONTH('Change in Employment'!B1028), 1), ""), "mm/dd/yyyy")</f>
        <v/>
      </c>
      <c r="B1021" s="23" t="str">
        <f>IF(ISNUMBER('Change in Employment'!L1028),'Change in Employment'!L1028, "")</f>
        <v/>
      </c>
      <c r="C1021" s="23" t="str">
        <f>IFERROR(IF(ISNUMBER('Change in Employment'!M1028),TEXT('Change in Employment'!M1028, "0"), ""), "")</f>
        <v/>
      </c>
    </row>
    <row r="1022" spans="1:3">
      <c r="A1022" s="23" t="str">
        <f>TEXT(IF('Change in Employment'!B1029&lt;&gt;0,DATE(YEAR('Change in Employment'!B1029), MONTH('Change in Employment'!B1029), 1), ""), "mm/dd/yyyy")</f>
        <v/>
      </c>
      <c r="B1022" s="23" t="str">
        <f>IF(ISNUMBER('Change in Employment'!L1029),'Change in Employment'!L1029, "")</f>
        <v/>
      </c>
      <c r="C1022" s="23" t="str">
        <f>IFERROR(IF(ISNUMBER('Change in Employment'!M1029),TEXT('Change in Employment'!M1029, "0"), ""), "")</f>
        <v/>
      </c>
    </row>
    <row r="1023" spans="1:3">
      <c r="A1023" s="23" t="str">
        <f>TEXT(IF('Change in Employment'!B1030&lt;&gt;0,DATE(YEAR('Change in Employment'!B1030), MONTH('Change in Employment'!B1030), 1), ""), "mm/dd/yyyy")</f>
        <v/>
      </c>
      <c r="B1023" s="23" t="str">
        <f>IF(ISNUMBER('Change in Employment'!L1030),'Change in Employment'!L1030, "")</f>
        <v/>
      </c>
      <c r="C1023" s="23" t="str">
        <f>IFERROR(IF(ISNUMBER('Change in Employment'!M1030),TEXT('Change in Employment'!M1030, "0"), ""), "")</f>
        <v/>
      </c>
    </row>
    <row r="1024" spans="1:3">
      <c r="A1024" s="23" t="str">
        <f>TEXT(IF('Change in Employment'!B1031&lt;&gt;0,DATE(YEAR('Change in Employment'!B1031), MONTH('Change in Employment'!B1031), 1), ""), "mm/dd/yyyy")</f>
        <v/>
      </c>
      <c r="B1024" s="23" t="str">
        <f>IF(ISNUMBER('Change in Employment'!L1031),'Change in Employment'!L1031, "")</f>
        <v/>
      </c>
      <c r="C1024" s="23" t="str">
        <f>IFERROR(IF(ISNUMBER('Change in Employment'!M1031),TEXT('Change in Employment'!M1031, "0"), ""), "")</f>
        <v/>
      </c>
    </row>
    <row r="1025" spans="1:3">
      <c r="A1025" s="23" t="str">
        <f>TEXT(IF('Change in Employment'!B1032&lt;&gt;0,DATE(YEAR('Change in Employment'!B1032), MONTH('Change in Employment'!B1032), 1), ""), "mm/dd/yyyy")</f>
        <v/>
      </c>
      <c r="B1025" s="23" t="str">
        <f>IF(ISNUMBER('Change in Employment'!L1032),'Change in Employment'!L1032, "")</f>
        <v/>
      </c>
      <c r="C1025" s="23" t="str">
        <f>IFERROR(IF(ISNUMBER('Change in Employment'!M1032),TEXT('Change in Employment'!M1032, "0"), ""), "")</f>
        <v/>
      </c>
    </row>
    <row r="1026" spans="1:3">
      <c r="A1026" s="23" t="str">
        <f>TEXT(IF('Change in Employment'!B1033&lt;&gt;0,DATE(YEAR('Change in Employment'!B1033), MONTH('Change in Employment'!B1033), 1), ""), "mm/dd/yyyy")</f>
        <v/>
      </c>
      <c r="B1026" s="23" t="str">
        <f>IF(ISNUMBER('Change in Employment'!L1033),'Change in Employment'!L1033, "")</f>
        <v/>
      </c>
      <c r="C1026" s="23" t="str">
        <f>IFERROR(IF(ISNUMBER('Change in Employment'!M1033),TEXT('Change in Employment'!M1033, "0"), ""), "")</f>
        <v/>
      </c>
    </row>
    <row r="1027" spans="1:3">
      <c r="A1027" s="23" t="str">
        <f>TEXT(IF('Change in Employment'!B1034&lt;&gt;0,DATE(YEAR('Change in Employment'!B1034), MONTH('Change in Employment'!B1034), 1), ""), "mm/dd/yyyy")</f>
        <v/>
      </c>
      <c r="B1027" s="23" t="str">
        <f>IF(ISNUMBER('Change in Employment'!L1034),'Change in Employment'!L1034, "")</f>
        <v/>
      </c>
      <c r="C1027" s="23" t="str">
        <f>IFERROR(IF(ISNUMBER('Change in Employment'!M1034),TEXT('Change in Employment'!M1034, "0"), ""), "")</f>
        <v/>
      </c>
    </row>
    <row r="1028" spans="1:3">
      <c r="A1028" s="23" t="str">
        <f>TEXT(IF('Change in Employment'!B1035&lt;&gt;0,DATE(YEAR('Change in Employment'!B1035), MONTH('Change in Employment'!B1035), 1), ""), "mm/dd/yyyy")</f>
        <v/>
      </c>
      <c r="B1028" s="23" t="str">
        <f>IF(ISNUMBER('Change in Employment'!L1035),'Change in Employment'!L1035, "")</f>
        <v/>
      </c>
      <c r="C1028" s="23" t="str">
        <f>IFERROR(IF(ISNUMBER('Change in Employment'!M1035),TEXT('Change in Employment'!M1035, "0"), ""), "")</f>
        <v/>
      </c>
    </row>
    <row r="1029" spans="1:3">
      <c r="A1029" s="23" t="str">
        <f>TEXT(IF('Change in Employment'!B1036&lt;&gt;0,DATE(YEAR('Change in Employment'!B1036), MONTH('Change in Employment'!B1036), 1), ""), "mm/dd/yyyy")</f>
        <v/>
      </c>
      <c r="B1029" s="23" t="str">
        <f>IF(ISNUMBER('Change in Employment'!L1036),'Change in Employment'!L1036, "")</f>
        <v/>
      </c>
      <c r="C1029" s="23" t="str">
        <f>IFERROR(IF(ISNUMBER('Change in Employment'!M1036),TEXT('Change in Employment'!M1036, "0"), ""), "")</f>
        <v/>
      </c>
    </row>
    <row r="1030" spans="1:3">
      <c r="A1030" s="23" t="str">
        <f>TEXT(IF('Change in Employment'!B1037&lt;&gt;0,DATE(YEAR('Change in Employment'!B1037), MONTH('Change in Employment'!B1037), 1), ""), "mm/dd/yyyy")</f>
        <v/>
      </c>
      <c r="B1030" s="23" t="str">
        <f>IF(ISNUMBER('Change in Employment'!L1037),'Change in Employment'!L1037, "")</f>
        <v/>
      </c>
      <c r="C1030" s="23" t="str">
        <f>IFERROR(IF(ISNUMBER('Change in Employment'!M1037),TEXT('Change in Employment'!M1037, "0"), ""), "")</f>
        <v/>
      </c>
    </row>
    <row r="1031" spans="1:3">
      <c r="A1031" s="23" t="str">
        <f>TEXT(IF('Change in Employment'!B1038&lt;&gt;0,DATE(YEAR('Change in Employment'!B1038), MONTH('Change in Employment'!B1038), 1), ""), "mm/dd/yyyy")</f>
        <v/>
      </c>
      <c r="B1031" s="23" t="str">
        <f>IF(ISNUMBER('Change in Employment'!L1038),'Change in Employment'!L1038, "")</f>
        <v/>
      </c>
      <c r="C1031" s="23" t="str">
        <f>IFERROR(IF(ISNUMBER('Change in Employment'!M1038),TEXT('Change in Employment'!M1038, "0"), ""), "")</f>
        <v/>
      </c>
    </row>
    <row r="1032" spans="1:3">
      <c r="A1032" s="23" t="str">
        <f>TEXT(IF('Change in Employment'!B1039&lt;&gt;0,DATE(YEAR('Change in Employment'!B1039), MONTH('Change in Employment'!B1039), 1), ""), "mm/dd/yyyy")</f>
        <v/>
      </c>
      <c r="B1032" s="23" t="str">
        <f>IF(ISNUMBER('Change in Employment'!L1039),'Change in Employment'!L1039, "")</f>
        <v/>
      </c>
      <c r="C1032" s="23" t="str">
        <f>IFERROR(IF(ISNUMBER('Change in Employment'!M1039),TEXT('Change in Employment'!M1039, "0"), ""), "")</f>
        <v/>
      </c>
    </row>
    <row r="1033" spans="1:3">
      <c r="A1033" s="23" t="str">
        <f>TEXT(IF('Change in Employment'!B1040&lt;&gt;0,DATE(YEAR('Change in Employment'!B1040), MONTH('Change in Employment'!B1040), 1), ""), "mm/dd/yyyy")</f>
        <v/>
      </c>
      <c r="B1033" s="23" t="str">
        <f>IF(ISNUMBER('Change in Employment'!L1040),'Change in Employment'!L1040, "")</f>
        <v/>
      </c>
      <c r="C1033" s="23" t="str">
        <f>IFERROR(IF(ISNUMBER('Change in Employment'!M1040),TEXT('Change in Employment'!M1040, "0"), ""), "")</f>
        <v/>
      </c>
    </row>
    <row r="1034" spans="1:3">
      <c r="A1034" s="23" t="str">
        <f>TEXT(IF('Change in Employment'!B1041&lt;&gt;0,DATE(YEAR('Change in Employment'!B1041), MONTH('Change in Employment'!B1041), 1), ""), "mm/dd/yyyy")</f>
        <v/>
      </c>
      <c r="B1034" s="23" t="str">
        <f>IF(ISNUMBER('Change in Employment'!L1041),'Change in Employment'!L1041, "")</f>
        <v/>
      </c>
      <c r="C1034" s="23" t="str">
        <f>IFERROR(IF(ISNUMBER('Change in Employment'!M1041),TEXT('Change in Employment'!M1041, "0"), ""), "")</f>
        <v/>
      </c>
    </row>
    <row r="1035" spans="1:3">
      <c r="A1035" s="23" t="str">
        <f>TEXT(IF('Change in Employment'!B1042&lt;&gt;0,DATE(YEAR('Change in Employment'!B1042), MONTH('Change in Employment'!B1042), 1), ""), "mm/dd/yyyy")</f>
        <v/>
      </c>
      <c r="B1035" s="23" t="str">
        <f>IF(ISNUMBER('Change in Employment'!L1042),'Change in Employment'!L1042, "")</f>
        <v/>
      </c>
      <c r="C1035" s="23" t="str">
        <f>IFERROR(IF(ISNUMBER('Change in Employment'!M1042),TEXT('Change in Employment'!M1042, "0"), ""), "")</f>
        <v/>
      </c>
    </row>
    <row r="1036" spans="1:3">
      <c r="A1036" s="23" t="str">
        <f>TEXT(IF('Change in Employment'!B1043&lt;&gt;0,DATE(YEAR('Change in Employment'!B1043), MONTH('Change in Employment'!B1043), 1), ""), "mm/dd/yyyy")</f>
        <v/>
      </c>
      <c r="B1036" s="23" t="str">
        <f>IF(ISNUMBER('Change in Employment'!L1043),'Change in Employment'!L1043, "")</f>
        <v/>
      </c>
      <c r="C1036" s="23" t="str">
        <f>IFERROR(IF(ISNUMBER('Change in Employment'!M1043),TEXT('Change in Employment'!M1043, "0"), ""), "")</f>
        <v/>
      </c>
    </row>
    <row r="1037" spans="1:3">
      <c r="A1037" s="23" t="str">
        <f>TEXT(IF('Change in Employment'!B1044&lt;&gt;0,DATE(YEAR('Change in Employment'!B1044), MONTH('Change in Employment'!B1044), 1), ""), "mm/dd/yyyy")</f>
        <v/>
      </c>
      <c r="B1037" s="23" t="str">
        <f>IF(ISNUMBER('Change in Employment'!L1044),'Change in Employment'!L1044, "")</f>
        <v/>
      </c>
      <c r="C1037" s="23" t="str">
        <f>IFERROR(IF(ISNUMBER('Change in Employment'!M1044),TEXT('Change in Employment'!M1044, "0"), ""), "")</f>
        <v/>
      </c>
    </row>
    <row r="1038" spans="1:3">
      <c r="A1038" s="23" t="str">
        <f>TEXT(IF('Change in Employment'!B1045&lt;&gt;0,DATE(YEAR('Change in Employment'!B1045), MONTH('Change in Employment'!B1045), 1), ""), "mm/dd/yyyy")</f>
        <v/>
      </c>
      <c r="B1038" s="23" t="str">
        <f>IF(ISNUMBER('Change in Employment'!L1045),'Change in Employment'!L1045, "")</f>
        <v/>
      </c>
      <c r="C1038" s="23" t="str">
        <f>IFERROR(IF(ISNUMBER('Change in Employment'!M1045),TEXT('Change in Employment'!M1045, "0"), ""), "")</f>
        <v/>
      </c>
    </row>
    <row r="1039" spans="1:3">
      <c r="A1039" s="23" t="str">
        <f>TEXT(IF('Change in Employment'!B1046&lt;&gt;0,DATE(YEAR('Change in Employment'!B1046), MONTH('Change in Employment'!B1046), 1), ""), "mm/dd/yyyy")</f>
        <v/>
      </c>
      <c r="B1039" s="23" t="str">
        <f>IF(ISNUMBER('Change in Employment'!L1046),'Change in Employment'!L1046, "")</f>
        <v/>
      </c>
      <c r="C1039" s="23" t="str">
        <f>IFERROR(IF(ISNUMBER('Change in Employment'!M1046),TEXT('Change in Employment'!M1046, "0"), ""), "")</f>
        <v/>
      </c>
    </row>
    <row r="1040" spans="1:3">
      <c r="A1040" s="23" t="str">
        <f>TEXT(IF('Change in Employment'!B1047&lt;&gt;0,DATE(YEAR('Change in Employment'!B1047), MONTH('Change in Employment'!B1047), 1), ""), "mm/dd/yyyy")</f>
        <v/>
      </c>
      <c r="B1040" s="23" t="str">
        <f>IF(ISNUMBER('Change in Employment'!L1047),'Change in Employment'!L1047, "")</f>
        <v/>
      </c>
      <c r="C1040" s="23" t="str">
        <f>IFERROR(IF(ISNUMBER('Change in Employment'!M1047),TEXT('Change in Employment'!M1047, "0"), ""), "")</f>
        <v/>
      </c>
    </row>
    <row r="1041" spans="1:3">
      <c r="A1041" s="23" t="str">
        <f>TEXT(IF('Change in Employment'!B1048&lt;&gt;0,DATE(YEAR('Change in Employment'!B1048), MONTH('Change in Employment'!B1048), 1), ""), "mm/dd/yyyy")</f>
        <v/>
      </c>
      <c r="B1041" s="23" t="str">
        <f>IF(ISNUMBER('Change in Employment'!L1048),'Change in Employment'!L1048, "")</f>
        <v/>
      </c>
      <c r="C1041" s="23" t="str">
        <f>IFERROR(IF(ISNUMBER('Change in Employment'!M1048),TEXT('Change in Employment'!M1048, "0"), ""), "")</f>
        <v/>
      </c>
    </row>
    <row r="1042" spans="1:3">
      <c r="A1042" s="23" t="str">
        <f>TEXT(IF('Change in Employment'!B1049&lt;&gt;0,DATE(YEAR('Change in Employment'!B1049), MONTH('Change in Employment'!B1049), 1), ""), "mm/dd/yyyy")</f>
        <v/>
      </c>
      <c r="B1042" s="23" t="str">
        <f>IF(ISNUMBER('Change in Employment'!L1049),'Change in Employment'!L1049, "")</f>
        <v/>
      </c>
      <c r="C1042" s="23" t="str">
        <f>IFERROR(IF(ISNUMBER('Change in Employment'!M1049),TEXT('Change in Employment'!M1049, "0"), ""), "")</f>
        <v/>
      </c>
    </row>
    <row r="1043" spans="1:3">
      <c r="A1043" s="23" t="str">
        <f>TEXT(IF('Change in Employment'!B1050&lt;&gt;0,DATE(YEAR('Change in Employment'!B1050), MONTH('Change in Employment'!B1050), 1), ""), "mm/dd/yyyy")</f>
        <v/>
      </c>
      <c r="B1043" s="23" t="str">
        <f>IF(ISNUMBER('Change in Employment'!L1050),'Change in Employment'!L1050, "")</f>
        <v/>
      </c>
      <c r="C1043" s="23" t="str">
        <f>IFERROR(IF(ISNUMBER('Change in Employment'!M1050),TEXT('Change in Employment'!M1050, "0"), ""), "")</f>
        <v/>
      </c>
    </row>
    <row r="1044" spans="1:3">
      <c r="A1044" s="23" t="str">
        <f>TEXT(IF('Change in Employment'!B1051&lt;&gt;0,DATE(YEAR('Change in Employment'!B1051), MONTH('Change in Employment'!B1051), 1), ""), "mm/dd/yyyy")</f>
        <v/>
      </c>
      <c r="B1044" s="23" t="str">
        <f>IF(ISNUMBER('Change in Employment'!L1051),'Change in Employment'!L1051, "")</f>
        <v/>
      </c>
      <c r="C1044" s="23" t="str">
        <f>IFERROR(IF(ISNUMBER('Change in Employment'!M1051),TEXT('Change in Employment'!M1051, "0"), ""), "")</f>
        <v/>
      </c>
    </row>
    <row r="1045" spans="1:3">
      <c r="A1045" s="23" t="str">
        <f>TEXT(IF('Change in Employment'!B1052&lt;&gt;0,DATE(YEAR('Change in Employment'!B1052), MONTH('Change in Employment'!B1052), 1), ""), "mm/dd/yyyy")</f>
        <v/>
      </c>
      <c r="B1045" s="23" t="str">
        <f>IF(ISNUMBER('Change in Employment'!L1052),'Change in Employment'!L1052, "")</f>
        <v/>
      </c>
      <c r="C1045" s="23" t="str">
        <f>IFERROR(IF(ISNUMBER('Change in Employment'!M1052),TEXT('Change in Employment'!M1052, "0"), ""), "")</f>
        <v/>
      </c>
    </row>
    <row r="1046" spans="1:3">
      <c r="A1046" s="23" t="str">
        <f>TEXT(IF('Change in Employment'!B1053&lt;&gt;0,DATE(YEAR('Change in Employment'!B1053), MONTH('Change in Employment'!B1053), 1), ""), "mm/dd/yyyy")</f>
        <v/>
      </c>
      <c r="B1046" s="23" t="str">
        <f>IF(ISNUMBER('Change in Employment'!L1053),'Change in Employment'!L1053, "")</f>
        <v/>
      </c>
      <c r="C1046" s="23" t="str">
        <f>IFERROR(IF(ISNUMBER('Change in Employment'!M1053),TEXT('Change in Employment'!M1053, "0"), ""), "")</f>
        <v/>
      </c>
    </row>
    <row r="1047" spans="1:3">
      <c r="A1047" s="23" t="str">
        <f>TEXT(IF('Change in Employment'!B1054&lt;&gt;0,DATE(YEAR('Change in Employment'!B1054), MONTH('Change in Employment'!B1054), 1), ""), "mm/dd/yyyy")</f>
        <v/>
      </c>
      <c r="B1047" s="23" t="str">
        <f>IF(ISNUMBER('Change in Employment'!L1054),'Change in Employment'!L1054, "")</f>
        <v/>
      </c>
      <c r="C1047" s="23" t="str">
        <f>IFERROR(IF(ISNUMBER('Change in Employment'!M1054),TEXT('Change in Employment'!M1054, "0"), ""), "")</f>
        <v/>
      </c>
    </row>
    <row r="1048" spans="1:3">
      <c r="A1048" s="23" t="str">
        <f>TEXT(IF('Change in Employment'!B1055&lt;&gt;0,DATE(YEAR('Change in Employment'!B1055), MONTH('Change in Employment'!B1055), 1), ""), "mm/dd/yyyy")</f>
        <v/>
      </c>
      <c r="B1048" s="23" t="str">
        <f>IF(ISNUMBER('Change in Employment'!L1055),'Change in Employment'!L1055, "")</f>
        <v/>
      </c>
      <c r="C1048" s="23" t="str">
        <f>IFERROR(IF(ISNUMBER('Change in Employment'!M1055),TEXT('Change in Employment'!M1055, "0"), ""), "")</f>
        <v/>
      </c>
    </row>
    <row r="1049" spans="1:3">
      <c r="A1049" s="23" t="str">
        <f>TEXT(IF('Change in Employment'!B1056&lt;&gt;0,DATE(YEAR('Change in Employment'!B1056), MONTH('Change in Employment'!B1056), 1), ""), "mm/dd/yyyy")</f>
        <v/>
      </c>
      <c r="B1049" s="23" t="str">
        <f>IF(ISNUMBER('Change in Employment'!L1056),'Change in Employment'!L1056, "")</f>
        <v/>
      </c>
      <c r="C1049" s="23" t="str">
        <f>IFERROR(IF(ISNUMBER('Change in Employment'!M1056),TEXT('Change in Employment'!M1056, "0"), ""), "")</f>
        <v/>
      </c>
    </row>
    <row r="1050" spans="1:3">
      <c r="A1050" s="23" t="str">
        <f>TEXT(IF('Change in Employment'!B1057&lt;&gt;0,DATE(YEAR('Change in Employment'!B1057), MONTH('Change in Employment'!B1057), 1), ""), "mm/dd/yyyy")</f>
        <v/>
      </c>
      <c r="B1050" s="23" t="str">
        <f>IF(ISNUMBER('Change in Employment'!L1057),'Change in Employment'!L1057, "")</f>
        <v/>
      </c>
      <c r="C1050" s="23" t="str">
        <f>IFERROR(IF(ISNUMBER('Change in Employment'!M1057),TEXT('Change in Employment'!M1057, "0"), ""), "")</f>
        <v/>
      </c>
    </row>
    <row r="1051" spans="1:3">
      <c r="A1051" s="23" t="str">
        <f>TEXT(IF('Change in Employment'!B1058&lt;&gt;0,DATE(YEAR('Change in Employment'!B1058), MONTH('Change in Employment'!B1058), 1), ""), "mm/dd/yyyy")</f>
        <v/>
      </c>
      <c r="B1051" s="23" t="str">
        <f>IF(ISNUMBER('Change in Employment'!L1058),'Change in Employment'!L1058, "")</f>
        <v/>
      </c>
      <c r="C1051" s="23" t="str">
        <f>IFERROR(IF(ISNUMBER('Change in Employment'!M1058),TEXT('Change in Employment'!M1058, "0"), ""), "")</f>
        <v/>
      </c>
    </row>
    <row r="1052" spans="1:3">
      <c r="A1052" s="23" t="str">
        <f>TEXT(IF('Change in Employment'!B1059&lt;&gt;0,DATE(YEAR('Change in Employment'!B1059), MONTH('Change in Employment'!B1059), 1), ""), "mm/dd/yyyy")</f>
        <v/>
      </c>
      <c r="B1052" s="23" t="str">
        <f>IF(ISNUMBER('Change in Employment'!L1059),'Change in Employment'!L1059, "")</f>
        <v/>
      </c>
      <c r="C1052" s="23" t="str">
        <f>IFERROR(IF(ISNUMBER('Change in Employment'!M1059),TEXT('Change in Employment'!M1059, "0"), ""), "")</f>
        <v/>
      </c>
    </row>
    <row r="1053" spans="1:3">
      <c r="A1053" s="23" t="str">
        <f>TEXT(IF('Change in Employment'!B1060&lt;&gt;0,DATE(YEAR('Change in Employment'!B1060), MONTH('Change in Employment'!B1060), 1), ""), "mm/dd/yyyy")</f>
        <v/>
      </c>
      <c r="B1053" s="23" t="str">
        <f>IF(ISNUMBER('Change in Employment'!L1060),'Change in Employment'!L1060, "")</f>
        <v/>
      </c>
      <c r="C1053" s="23" t="str">
        <f>IFERROR(IF(ISNUMBER('Change in Employment'!M1060),TEXT('Change in Employment'!M1060, "0"), ""), "")</f>
        <v/>
      </c>
    </row>
    <row r="1054" spans="1:3">
      <c r="A1054" s="23" t="str">
        <f>TEXT(IF('Change in Employment'!B1061&lt;&gt;0,DATE(YEAR('Change in Employment'!B1061), MONTH('Change in Employment'!B1061), 1), ""), "mm/dd/yyyy")</f>
        <v/>
      </c>
      <c r="B1054" s="23" t="str">
        <f>IF(ISNUMBER('Change in Employment'!L1061),'Change in Employment'!L1061, "")</f>
        <v/>
      </c>
      <c r="C1054" s="23" t="str">
        <f>IFERROR(IF(ISNUMBER('Change in Employment'!M1061),TEXT('Change in Employment'!M1061, "0"), ""), "")</f>
        <v/>
      </c>
    </row>
    <row r="1055" spans="1:3">
      <c r="A1055" s="23" t="str">
        <f>TEXT(IF('Change in Employment'!B1062&lt;&gt;0,DATE(YEAR('Change in Employment'!B1062), MONTH('Change in Employment'!B1062), 1), ""), "mm/dd/yyyy")</f>
        <v/>
      </c>
      <c r="B1055" s="23" t="str">
        <f>IF(ISNUMBER('Change in Employment'!L1062),'Change in Employment'!L1062, "")</f>
        <v/>
      </c>
      <c r="C1055" s="23" t="str">
        <f>IFERROR(IF(ISNUMBER('Change in Employment'!M1062),TEXT('Change in Employment'!M1062, "0"), ""), "")</f>
        <v/>
      </c>
    </row>
    <row r="1056" spans="1:3">
      <c r="A1056" s="23" t="str">
        <f>TEXT(IF('Change in Employment'!B1063&lt;&gt;0,DATE(YEAR('Change in Employment'!B1063), MONTH('Change in Employment'!B1063), 1), ""), "mm/dd/yyyy")</f>
        <v/>
      </c>
      <c r="B1056" s="23" t="str">
        <f>IF(ISNUMBER('Change in Employment'!L1063),'Change in Employment'!L1063, "")</f>
        <v/>
      </c>
      <c r="C1056" s="23" t="str">
        <f>IFERROR(IF(ISNUMBER('Change in Employment'!M1063),TEXT('Change in Employment'!M1063, "0"), ""), "")</f>
        <v/>
      </c>
    </row>
    <row r="1057" spans="1:3">
      <c r="A1057" s="23" t="str">
        <f>TEXT(IF('Change in Employment'!B1064&lt;&gt;0,DATE(YEAR('Change in Employment'!B1064), MONTH('Change in Employment'!B1064), 1), ""), "mm/dd/yyyy")</f>
        <v/>
      </c>
      <c r="B1057" s="23" t="str">
        <f>IF(ISNUMBER('Change in Employment'!L1064),'Change in Employment'!L1064, "")</f>
        <v/>
      </c>
      <c r="C1057" s="23" t="str">
        <f>IFERROR(IF(ISNUMBER('Change in Employment'!M1064),TEXT('Change in Employment'!M1064, "0"), ""), "")</f>
        <v/>
      </c>
    </row>
    <row r="1058" spans="1:3">
      <c r="A1058" s="23" t="str">
        <f>TEXT(IF('Change in Employment'!B1065&lt;&gt;0,DATE(YEAR('Change in Employment'!B1065), MONTH('Change in Employment'!B1065), 1), ""), "mm/dd/yyyy")</f>
        <v/>
      </c>
      <c r="B1058" s="23" t="str">
        <f>IF(ISNUMBER('Change in Employment'!L1065),'Change in Employment'!L1065, "")</f>
        <v/>
      </c>
      <c r="C1058" s="23" t="str">
        <f>IFERROR(IF(ISNUMBER('Change in Employment'!M1065),TEXT('Change in Employment'!M1065, "0"), ""), "")</f>
        <v/>
      </c>
    </row>
    <row r="1059" spans="1:3">
      <c r="A1059" s="23" t="str">
        <f>TEXT(IF('Change in Employment'!B1066&lt;&gt;0,DATE(YEAR('Change in Employment'!B1066), MONTH('Change in Employment'!B1066), 1), ""), "mm/dd/yyyy")</f>
        <v/>
      </c>
      <c r="B1059" s="23" t="str">
        <f>IF(ISNUMBER('Change in Employment'!L1066),'Change in Employment'!L1066, "")</f>
        <v/>
      </c>
      <c r="C1059" s="23" t="str">
        <f>IFERROR(IF(ISNUMBER('Change in Employment'!M1066),TEXT('Change in Employment'!M1066, "0"), ""), "")</f>
        <v/>
      </c>
    </row>
    <row r="1060" spans="1:3">
      <c r="A1060" s="23" t="str">
        <f>TEXT(IF('Change in Employment'!B1067&lt;&gt;0,DATE(YEAR('Change in Employment'!B1067), MONTH('Change in Employment'!B1067), 1), ""), "mm/dd/yyyy")</f>
        <v/>
      </c>
      <c r="B1060" s="23" t="str">
        <f>IF(ISNUMBER('Change in Employment'!L1067),'Change in Employment'!L1067, "")</f>
        <v/>
      </c>
      <c r="C1060" s="23" t="str">
        <f>IFERROR(IF(ISNUMBER('Change in Employment'!M1067),TEXT('Change in Employment'!M1067, "0"), ""), "")</f>
        <v/>
      </c>
    </row>
    <row r="1061" spans="1:3">
      <c r="A1061" s="23" t="str">
        <f>TEXT(IF('Change in Employment'!B1068&lt;&gt;0,DATE(YEAR('Change in Employment'!B1068), MONTH('Change in Employment'!B1068), 1), ""), "mm/dd/yyyy")</f>
        <v/>
      </c>
      <c r="B1061" s="23" t="str">
        <f>IF(ISNUMBER('Change in Employment'!L1068),'Change in Employment'!L1068, "")</f>
        <v/>
      </c>
      <c r="C1061" s="23" t="str">
        <f>IFERROR(IF(ISNUMBER('Change in Employment'!M1068),TEXT('Change in Employment'!M1068, "0"), ""), "")</f>
        <v/>
      </c>
    </row>
    <row r="1062" spans="1:3">
      <c r="A1062" s="23" t="str">
        <f>TEXT(IF('Change in Employment'!B1069&lt;&gt;0,DATE(YEAR('Change in Employment'!B1069), MONTH('Change in Employment'!B1069), 1), ""), "mm/dd/yyyy")</f>
        <v/>
      </c>
      <c r="B1062" s="23" t="str">
        <f>IF(ISNUMBER('Change in Employment'!L1069),'Change in Employment'!L1069, "")</f>
        <v/>
      </c>
      <c r="C1062" s="23" t="str">
        <f>IFERROR(IF(ISNUMBER('Change in Employment'!M1069),TEXT('Change in Employment'!M1069, "0"), ""), "")</f>
        <v/>
      </c>
    </row>
    <row r="1063" spans="1:3">
      <c r="A1063" s="23" t="str">
        <f>TEXT(IF('Change in Employment'!B1070&lt;&gt;0,DATE(YEAR('Change in Employment'!B1070), MONTH('Change in Employment'!B1070), 1), ""), "mm/dd/yyyy")</f>
        <v/>
      </c>
      <c r="B1063" s="23" t="str">
        <f>IF(ISNUMBER('Change in Employment'!L1070),'Change in Employment'!L1070, "")</f>
        <v/>
      </c>
      <c r="C1063" s="23" t="str">
        <f>IFERROR(IF(ISNUMBER('Change in Employment'!M1070),TEXT('Change in Employment'!M1070, "0"), ""), "")</f>
        <v/>
      </c>
    </row>
    <row r="1064" spans="1:3">
      <c r="A1064" s="23" t="str">
        <f>TEXT(IF('Change in Employment'!B1071&lt;&gt;0,DATE(YEAR('Change in Employment'!B1071), MONTH('Change in Employment'!B1071), 1), ""), "mm/dd/yyyy")</f>
        <v/>
      </c>
      <c r="B1064" s="23" t="str">
        <f>IF(ISNUMBER('Change in Employment'!L1071),'Change in Employment'!L1071, "")</f>
        <v/>
      </c>
      <c r="C1064" s="23" t="str">
        <f>IFERROR(IF(ISNUMBER('Change in Employment'!M1071),TEXT('Change in Employment'!M1071, "0"), ""), "")</f>
        <v/>
      </c>
    </row>
    <row r="1065" spans="1:3">
      <c r="A1065" s="23" t="str">
        <f>TEXT(IF('Change in Employment'!B1072&lt;&gt;0,DATE(YEAR('Change in Employment'!B1072), MONTH('Change in Employment'!B1072), 1), ""), "mm/dd/yyyy")</f>
        <v/>
      </c>
      <c r="B1065" s="23" t="str">
        <f>IF(ISNUMBER('Change in Employment'!L1072),'Change in Employment'!L1072, "")</f>
        <v/>
      </c>
      <c r="C1065" s="23" t="str">
        <f>IFERROR(IF(ISNUMBER('Change in Employment'!M1072),TEXT('Change in Employment'!M1072, "0"), ""), "")</f>
        <v/>
      </c>
    </row>
    <row r="1066" spans="1:3">
      <c r="A1066" s="23" t="str">
        <f>TEXT(IF('Change in Employment'!B1073&lt;&gt;0,DATE(YEAR('Change in Employment'!B1073), MONTH('Change in Employment'!B1073), 1), ""), "mm/dd/yyyy")</f>
        <v/>
      </c>
      <c r="B1066" s="23" t="str">
        <f>IF(ISNUMBER('Change in Employment'!L1073),'Change in Employment'!L1073, "")</f>
        <v/>
      </c>
      <c r="C1066" s="23" t="str">
        <f>IFERROR(IF(ISNUMBER('Change in Employment'!M1073),TEXT('Change in Employment'!M1073, "0"), ""), "")</f>
        <v/>
      </c>
    </row>
    <row r="1067" spans="1:3">
      <c r="A1067" s="23" t="str">
        <f>TEXT(IF('Change in Employment'!B1074&lt;&gt;0,DATE(YEAR('Change in Employment'!B1074), MONTH('Change in Employment'!B1074), 1), ""), "mm/dd/yyyy")</f>
        <v/>
      </c>
      <c r="B1067" s="23" t="str">
        <f>IF(ISNUMBER('Change in Employment'!L1074),'Change in Employment'!L1074, "")</f>
        <v/>
      </c>
      <c r="C1067" s="23" t="str">
        <f>IFERROR(IF(ISNUMBER('Change in Employment'!M1074),TEXT('Change in Employment'!M1074, "0"), ""), "")</f>
        <v/>
      </c>
    </row>
    <row r="1068" spans="1:3">
      <c r="A1068" s="23" t="str">
        <f>TEXT(IF('Change in Employment'!B1075&lt;&gt;0,DATE(YEAR('Change in Employment'!B1075), MONTH('Change in Employment'!B1075), 1), ""), "mm/dd/yyyy")</f>
        <v/>
      </c>
      <c r="B1068" s="23" t="str">
        <f>IF(ISNUMBER('Change in Employment'!L1075),'Change in Employment'!L1075, "")</f>
        <v/>
      </c>
      <c r="C1068" s="23" t="str">
        <f>IFERROR(IF(ISNUMBER('Change in Employment'!M1075),TEXT('Change in Employment'!M1075, "0"), ""), "")</f>
        <v/>
      </c>
    </row>
    <row r="1069" spans="1:3">
      <c r="A1069" s="23" t="str">
        <f>TEXT(IF('Change in Employment'!B1076&lt;&gt;0,DATE(YEAR('Change in Employment'!B1076), MONTH('Change in Employment'!B1076), 1), ""), "mm/dd/yyyy")</f>
        <v/>
      </c>
      <c r="B1069" s="23" t="str">
        <f>IF(ISNUMBER('Change in Employment'!L1076),'Change in Employment'!L1076, "")</f>
        <v/>
      </c>
      <c r="C1069" s="23" t="str">
        <f>IFERROR(IF(ISNUMBER('Change in Employment'!M1076),TEXT('Change in Employment'!M1076, "0"), ""), "")</f>
        <v/>
      </c>
    </row>
    <row r="1070" spans="1:3">
      <c r="A1070" s="23" t="str">
        <f>TEXT(IF('Change in Employment'!B1077&lt;&gt;0,DATE(YEAR('Change in Employment'!B1077), MONTH('Change in Employment'!B1077), 1), ""), "mm/dd/yyyy")</f>
        <v/>
      </c>
      <c r="B1070" s="23" t="str">
        <f>IF(ISNUMBER('Change in Employment'!L1077),'Change in Employment'!L1077, "")</f>
        <v/>
      </c>
      <c r="C1070" s="23" t="str">
        <f>IFERROR(IF(ISNUMBER('Change in Employment'!M1077),TEXT('Change in Employment'!M1077, "0"), ""), "")</f>
        <v/>
      </c>
    </row>
    <row r="1071" spans="1:3">
      <c r="A1071" s="23" t="str">
        <f>TEXT(IF('Change in Employment'!B1078&lt;&gt;0,DATE(YEAR('Change in Employment'!B1078), MONTH('Change in Employment'!B1078), 1), ""), "mm/dd/yyyy")</f>
        <v/>
      </c>
      <c r="B1071" s="23" t="str">
        <f>IF(ISNUMBER('Change in Employment'!L1078),'Change in Employment'!L1078, "")</f>
        <v/>
      </c>
      <c r="C1071" s="23" t="str">
        <f>IFERROR(IF(ISNUMBER('Change in Employment'!M1078),TEXT('Change in Employment'!M1078, "0"), ""), "")</f>
        <v/>
      </c>
    </row>
    <row r="1072" spans="1:3">
      <c r="A1072" s="23" t="str">
        <f>TEXT(IF('Change in Employment'!B1079&lt;&gt;0,DATE(YEAR('Change in Employment'!B1079), MONTH('Change in Employment'!B1079), 1), ""), "mm/dd/yyyy")</f>
        <v/>
      </c>
      <c r="B1072" s="23" t="str">
        <f>IF(ISNUMBER('Change in Employment'!L1079),'Change in Employment'!L1079, "")</f>
        <v/>
      </c>
      <c r="C1072" s="23" t="str">
        <f>IFERROR(IF(ISNUMBER('Change in Employment'!M1079),TEXT('Change in Employment'!M1079, "0"), ""), "")</f>
        <v/>
      </c>
    </row>
    <row r="1073" spans="1:3">
      <c r="A1073" s="23" t="str">
        <f>TEXT(IF('Change in Employment'!B1080&lt;&gt;0,DATE(YEAR('Change in Employment'!B1080), MONTH('Change in Employment'!B1080), 1), ""), "mm/dd/yyyy")</f>
        <v/>
      </c>
      <c r="B1073" s="23" t="str">
        <f>IF(ISNUMBER('Change in Employment'!L1080),'Change in Employment'!L1080, "")</f>
        <v/>
      </c>
      <c r="C1073" s="23" t="str">
        <f>IFERROR(IF(ISNUMBER('Change in Employment'!M1080),TEXT('Change in Employment'!M1080, "0"), ""), "")</f>
        <v/>
      </c>
    </row>
    <row r="1074" spans="1:3">
      <c r="A1074" s="23" t="str">
        <f>TEXT(IF('Change in Employment'!B1081&lt;&gt;0,DATE(YEAR('Change in Employment'!B1081), MONTH('Change in Employment'!B1081), 1), ""), "mm/dd/yyyy")</f>
        <v/>
      </c>
      <c r="B1074" s="23" t="str">
        <f>IF(ISNUMBER('Change in Employment'!L1081),'Change in Employment'!L1081, "")</f>
        <v/>
      </c>
      <c r="C1074" s="23" t="str">
        <f>IFERROR(IF(ISNUMBER('Change in Employment'!M1081),TEXT('Change in Employment'!M1081, "0"), ""), "")</f>
        <v/>
      </c>
    </row>
    <row r="1075" spans="1:3">
      <c r="A1075" s="23" t="str">
        <f>TEXT(IF('Change in Employment'!B1082&lt;&gt;0,DATE(YEAR('Change in Employment'!B1082), MONTH('Change in Employment'!B1082), 1), ""), "mm/dd/yyyy")</f>
        <v/>
      </c>
      <c r="B1075" s="23" t="str">
        <f>IF(ISNUMBER('Change in Employment'!L1082),'Change in Employment'!L1082, "")</f>
        <v/>
      </c>
      <c r="C1075" s="23" t="str">
        <f>IFERROR(IF(ISNUMBER('Change in Employment'!M1082),TEXT('Change in Employment'!M1082, "0"), ""), "")</f>
        <v/>
      </c>
    </row>
    <row r="1076" spans="1:3">
      <c r="A1076" s="23" t="str">
        <f>TEXT(IF('Change in Employment'!B1083&lt;&gt;0,DATE(YEAR('Change in Employment'!B1083), MONTH('Change in Employment'!B1083), 1), ""), "mm/dd/yyyy")</f>
        <v/>
      </c>
      <c r="B1076" s="23" t="str">
        <f>IF(ISNUMBER('Change in Employment'!L1083),'Change in Employment'!L1083, "")</f>
        <v/>
      </c>
      <c r="C1076" s="23" t="str">
        <f>IFERROR(IF(ISNUMBER('Change in Employment'!M1083),TEXT('Change in Employment'!M1083, "0"), ""), "")</f>
        <v/>
      </c>
    </row>
    <row r="1077" spans="1:3">
      <c r="A1077" s="23" t="str">
        <f>TEXT(IF('Change in Employment'!B1084&lt;&gt;0,DATE(YEAR('Change in Employment'!B1084), MONTH('Change in Employment'!B1084), 1), ""), "mm/dd/yyyy")</f>
        <v/>
      </c>
      <c r="B1077" s="23" t="str">
        <f>IF(ISNUMBER('Change in Employment'!L1084),'Change in Employment'!L1084, "")</f>
        <v/>
      </c>
      <c r="C1077" s="23" t="str">
        <f>IFERROR(IF(ISNUMBER('Change in Employment'!M1084),TEXT('Change in Employment'!M1084, "0"), ""), "")</f>
        <v/>
      </c>
    </row>
    <row r="1078" spans="1:3">
      <c r="A1078" s="23" t="str">
        <f>TEXT(IF('Change in Employment'!B1085&lt;&gt;0,DATE(YEAR('Change in Employment'!B1085), MONTH('Change in Employment'!B1085), 1), ""), "mm/dd/yyyy")</f>
        <v/>
      </c>
      <c r="B1078" s="23" t="str">
        <f>IF(ISNUMBER('Change in Employment'!L1085),'Change in Employment'!L1085, "")</f>
        <v/>
      </c>
      <c r="C1078" s="23" t="str">
        <f>IFERROR(IF(ISNUMBER('Change in Employment'!M1085),TEXT('Change in Employment'!M1085, "0"), ""), "")</f>
        <v/>
      </c>
    </row>
    <row r="1079" spans="1:3">
      <c r="A1079" s="23" t="str">
        <f>TEXT(IF('Change in Employment'!B1086&lt;&gt;0,DATE(YEAR('Change in Employment'!B1086), MONTH('Change in Employment'!B1086), 1), ""), "mm/dd/yyyy")</f>
        <v/>
      </c>
      <c r="B1079" s="23" t="str">
        <f>IF(ISNUMBER('Change in Employment'!L1086),'Change in Employment'!L1086, "")</f>
        <v/>
      </c>
      <c r="C1079" s="23" t="str">
        <f>IFERROR(IF(ISNUMBER('Change in Employment'!M1086),TEXT('Change in Employment'!M1086, "0"), ""), "")</f>
        <v/>
      </c>
    </row>
    <row r="1080" spans="1:3">
      <c r="A1080" s="23" t="str">
        <f>TEXT(IF('Change in Employment'!B1087&lt;&gt;0,DATE(YEAR('Change in Employment'!B1087), MONTH('Change in Employment'!B1087), 1), ""), "mm/dd/yyyy")</f>
        <v/>
      </c>
      <c r="B1080" s="23" t="str">
        <f>IF(ISNUMBER('Change in Employment'!L1087),'Change in Employment'!L1087, "")</f>
        <v/>
      </c>
      <c r="C1080" s="23" t="str">
        <f>IFERROR(IF(ISNUMBER('Change in Employment'!M1087),TEXT('Change in Employment'!M1087, "0"), ""), "")</f>
        <v/>
      </c>
    </row>
    <row r="1081" spans="1:3">
      <c r="A1081" s="23" t="str">
        <f>TEXT(IF('Change in Employment'!B1088&lt;&gt;0,DATE(YEAR('Change in Employment'!B1088), MONTH('Change in Employment'!B1088), 1), ""), "mm/dd/yyyy")</f>
        <v/>
      </c>
      <c r="B1081" s="23" t="str">
        <f>IF(ISNUMBER('Change in Employment'!L1088),'Change in Employment'!L1088, "")</f>
        <v/>
      </c>
      <c r="C1081" s="23" t="str">
        <f>IFERROR(IF(ISNUMBER('Change in Employment'!M1088),TEXT('Change in Employment'!M1088, "0"), ""), "")</f>
        <v/>
      </c>
    </row>
    <row r="1082" spans="1:3">
      <c r="A1082" s="23" t="str">
        <f>TEXT(IF('Change in Employment'!B1089&lt;&gt;0,DATE(YEAR('Change in Employment'!B1089), MONTH('Change in Employment'!B1089), 1), ""), "mm/dd/yyyy")</f>
        <v/>
      </c>
      <c r="B1082" s="23" t="str">
        <f>IF(ISNUMBER('Change in Employment'!L1089),'Change in Employment'!L1089, "")</f>
        <v/>
      </c>
      <c r="C1082" s="23" t="str">
        <f>IFERROR(IF(ISNUMBER('Change in Employment'!M1089),TEXT('Change in Employment'!M1089, "0"), ""), "")</f>
        <v/>
      </c>
    </row>
    <row r="1083" spans="1:3">
      <c r="A1083" s="23" t="str">
        <f>TEXT(IF('Change in Employment'!B1090&lt;&gt;0,DATE(YEAR('Change in Employment'!B1090), MONTH('Change in Employment'!B1090), 1), ""), "mm/dd/yyyy")</f>
        <v/>
      </c>
      <c r="B1083" s="23" t="str">
        <f>IF(ISNUMBER('Change in Employment'!L1090),'Change in Employment'!L1090, "")</f>
        <v/>
      </c>
      <c r="C1083" s="23" t="str">
        <f>IFERROR(IF(ISNUMBER('Change in Employment'!M1090),TEXT('Change in Employment'!M1090, "0"), ""), "")</f>
        <v/>
      </c>
    </row>
    <row r="1084" spans="1:3">
      <c r="A1084" s="23" t="str">
        <f>TEXT(IF('Change in Employment'!B1091&lt;&gt;0,DATE(YEAR('Change in Employment'!B1091), MONTH('Change in Employment'!B1091), 1), ""), "mm/dd/yyyy")</f>
        <v/>
      </c>
      <c r="B1084" s="23" t="str">
        <f>IF(ISNUMBER('Change in Employment'!L1091),'Change in Employment'!L1091, "")</f>
        <v/>
      </c>
      <c r="C1084" s="23" t="str">
        <f>IFERROR(IF(ISNUMBER('Change in Employment'!M1091),TEXT('Change in Employment'!M1091, "0"), ""), "")</f>
        <v/>
      </c>
    </row>
    <row r="1085" spans="1:3">
      <c r="A1085" s="23" t="str">
        <f>TEXT(IF('Change in Employment'!B1092&lt;&gt;0,DATE(YEAR('Change in Employment'!B1092), MONTH('Change in Employment'!B1092), 1), ""), "mm/dd/yyyy")</f>
        <v/>
      </c>
      <c r="B1085" s="23" t="str">
        <f>IF(ISNUMBER('Change in Employment'!L1092),'Change in Employment'!L1092, "")</f>
        <v/>
      </c>
      <c r="C1085" s="23" t="str">
        <f>IFERROR(IF(ISNUMBER('Change in Employment'!M1092),TEXT('Change in Employment'!M1092, "0"), ""), "")</f>
        <v/>
      </c>
    </row>
    <row r="1086" spans="1:3">
      <c r="A1086" s="23" t="str">
        <f>TEXT(IF('Change in Employment'!B1093&lt;&gt;0,DATE(YEAR('Change in Employment'!B1093), MONTH('Change in Employment'!B1093), 1), ""), "mm/dd/yyyy")</f>
        <v/>
      </c>
      <c r="B1086" s="23" t="str">
        <f>IF(ISNUMBER('Change in Employment'!L1093),'Change in Employment'!L1093, "")</f>
        <v/>
      </c>
      <c r="C1086" s="23" t="str">
        <f>IFERROR(IF(ISNUMBER('Change in Employment'!M1093),TEXT('Change in Employment'!M1093, "0"), ""), "")</f>
        <v/>
      </c>
    </row>
    <row r="1087" spans="1:3">
      <c r="A1087" s="23" t="str">
        <f>TEXT(IF('Change in Employment'!B1094&lt;&gt;0,DATE(YEAR('Change in Employment'!B1094), MONTH('Change in Employment'!B1094), 1), ""), "mm/dd/yyyy")</f>
        <v/>
      </c>
      <c r="B1087" s="23" t="str">
        <f>IF(ISNUMBER('Change in Employment'!L1094),'Change in Employment'!L1094, "")</f>
        <v/>
      </c>
      <c r="C1087" s="23" t="str">
        <f>IFERROR(IF(ISNUMBER('Change in Employment'!M1094),TEXT('Change in Employment'!M1094, "0"), ""), "")</f>
        <v/>
      </c>
    </row>
    <row r="1088" spans="1:3">
      <c r="A1088" s="23" t="str">
        <f>TEXT(IF('Change in Employment'!B1095&lt;&gt;0,DATE(YEAR('Change in Employment'!B1095), MONTH('Change in Employment'!B1095), 1), ""), "mm/dd/yyyy")</f>
        <v/>
      </c>
      <c r="B1088" s="23" t="str">
        <f>IF(ISNUMBER('Change in Employment'!L1095),'Change in Employment'!L1095, "")</f>
        <v/>
      </c>
      <c r="C1088" s="23" t="str">
        <f>IFERROR(IF(ISNUMBER('Change in Employment'!M1095),TEXT('Change in Employment'!M1095, "0"), ""), 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C372"/>
  <sheetViews>
    <sheetView workbookViewId="0"/>
  </sheetViews>
  <sheetFormatPr defaultRowHeight="15"/>
  <cols>
    <col min="1" max="1" width="10.42578125" style="23" bestFit="1" customWidth="1"/>
    <col min="2" max="2" width="13.5703125" style="23" bestFit="1" customWidth="1"/>
    <col min="3" max="3" width="13.7109375" style="23" bestFit="1" customWidth="1"/>
    <col min="4" max="16384" width="9.140625" style="23"/>
  </cols>
  <sheetData>
    <row r="1" spans="1:3">
      <c r="A1" s="23" t="s">
        <v>143</v>
      </c>
      <c r="B1" s="23" t="s">
        <v>368</v>
      </c>
    </row>
    <row r="2" spans="1:3">
      <c r="A2" s="23" t="str">
        <f>TEXT(IF('Real Structures'!A8&lt;&gt;0,'Real Structures'!A8, ""), "mm-dd-yyyy")</f>
        <v>01-01-2009</v>
      </c>
      <c r="B2" s="23">
        <f>IF(ISNUMBER('Real Structures'!B8),'Real Structures'!B8, "")</f>
        <v>288.7</v>
      </c>
      <c r="C2" s="23" t="str">
        <f>IF('Real Structures'!C8&lt;&gt;0,'Real Structures'!C8, "")</f>
        <v/>
      </c>
    </row>
    <row r="3" spans="1:3">
      <c r="A3" s="23" t="str">
        <f>TEXT(IF('Real Structures'!A9&lt;&gt;0,'Real Structures'!A9, ""), "mm-dd-yyyy")</f>
        <v>04-01-2009</v>
      </c>
      <c r="B3" s="23">
        <f>IF(ISNUMBER('Real Structures'!B9),'Real Structures'!B9, "")</f>
        <v>294.7</v>
      </c>
      <c r="C3" s="23" t="str">
        <f>IF('Real Structures'!C9&lt;&gt;0,'Real Structures'!C9, "")</f>
        <v/>
      </c>
    </row>
    <row r="4" spans="1:3">
      <c r="A4" s="23" t="str">
        <f>TEXT(IF('Real Structures'!A10&lt;&gt;0,'Real Structures'!A10, ""), "mm-dd-yyyy")</f>
        <v>07-01-2009</v>
      </c>
      <c r="B4" s="23">
        <f>IF(ISNUMBER('Real Structures'!B10),'Real Structures'!B10, "")</f>
        <v>293.3</v>
      </c>
      <c r="C4" s="23" t="str">
        <f>IF('Real Structures'!C10&lt;&gt;0,'Real Structures'!C10, "")</f>
        <v/>
      </c>
    </row>
    <row r="5" spans="1:3">
      <c r="A5" s="23" t="str">
        <f>TEXT(IF('Real Structures'!A11&lt;&gt;0,'Real Structures'!A11, ""), "mm-dd-yyyy")</f>
        <v>10-01-2009</v>
      </c>
      <c r="B5" s="23">
        <f>IF(ISNUMBER('Real Structures'!B11),'Real Structures'!B11, "")</f>
        <v>282.39999999999998</v>
      </c>
      <c r="C5" s="23" t="str">
        <f>IF('Real Structures'!C11&lt;&gt;0,'Real Structures'!C11, "")</f>
        <v/>
      </c>
    </row>
    <row r="6" spans="1:3">
      <c r="A6" s="23" t="str">
        <f>TEXT(IF('Real Structures'!A12&lt;&gt;0,'Real Structures'!A12, ""), "mm-dd-yyyy")</f>
        <v>01-01-2010</v>
      </c>
      <c r="B6" s="23">
        <f>IF(ISNUMBER('Real Structures'!B12),'Real Structures'!B12, "")</f>
        <v>273.60000000000002</v>
      </c>
      <c r="C6" s="23" t="str">
        <f>IF('Real Structures'!C12&lt;&gt;0,'Real Structures'!C12, "")</f>
        <v/>
      </c>
    </row>
    <row r="7" spans="1:3">
      <c r="A7" s="23" t="str">
        <f>TEXT(IF('Real Structures'!A13&lt;&gt;0,'Real Structures'!A13, ""), "mm-dd-yyyy")</f>
        <v>04-01-2010</v>
      </c>
      <c r="B7" s="23">
        <f>IF(ISNUMBER('Real Structures'!B13),'Real Structures'!B13, "")</f>
        <v>284.2</v>
      </c>
      <c r="C7" s="23" t="str">
        <f>IF('Real Structures'!C13&lt;&gt;0,'Real Structures'!C13, "")</f>
        <v/>
      </c>
    </row>
    <row r="8" spans="1:3">
      <c r="A8" s="23" t="str">
        <f>TEXT(IF('Real Structures'!A14&lt;&gt;0,'Real Structures'!A14, ""), "mm-dd-yyyy")</f>
        <v>07-01-2010</v>
      </c>
      <c r="B8" s="23">
        <f>IF(ISNUMBER('Real Structures'!B14),'Real Structures'!B14, "")</f>
        <v>285.60000000000002</v>
      </c>
      <c r="C8" s="23" t="str">
        <f>IF('Real Structures'!C14&lt;&gt;0,'Real Structures'!C14, "")</f>
        <v/>
      </c>
    </row>
    <row r="9" spans="1:3">
      <c r="A9" s="23" t="str">
        <f>TEXT(IF('Real Structures'!A15&lt;&gt;0,'Real Structures'!A15, ""), "mm-dd-yyyy")</f>
        <v>10-01-2010</v>
      </c>
      <c r="B9" s="23">
        <f>IF(ISNUMBER('Real Structures'!B15),'Real Structures'!B15, "")</f>
        <v>274.5</v>
      </c>
      <c r="C9" s="23" t="str">
        <f>IF('Real Structures'!C15&lt;&gt;0,'Real Structures'!C15, "")</f>
        <v/>
      </c>
    </row>
    <row r="10" spans="1:3">
      <c r="A10" s="23" t="str">
        <f>TEXT(IF('Real Structures'!A16&lt;&gt;0,'Real Structures'!A16, ""), "mm-dd-yyyy")</f>
        <v>01-01-2011</v>
      </c>
      <c r="B10" s="23">
        <f>IF(ISNUMBER('Real Structures'!B16),'Real Structures'!B16, "")</f>
        <v>265.7</v>
      </c>
      <c r="C10" s="23" t="str">
        <f>IF('Real Structures'!C16&lt;&gt;0,'Real Structures'!C16, "")</f>
        <v/>
      </c>
    </row>
    <row r="11" spans="1:3">
      <c r="A11" s="23" t="str">
        <f>TEXT(IF('Real Structures'!A17&lt;&gt;0,'Real Structures'!A17, ""), "mm-dd-yyyy")</f>
        <v>04-01-2011</v>
      </c>
      <c r="B11" s="23">
        <f>IF(ISNUMBER('Real Structures'!B17),'Real Structures'!B17, "")</f>
        <v>261.39999999999998</v>
      </c>
      <c r="C11" s="23" t="str">
        <f>IF('Real Structures'!C17&lt;&gt;0,'Real Structures'!C17, "")</f>
        <v/>
      </c>
    </row>
    <row r="12" spans="1:3">
      <c r="A12" s="23" t="str">
        <f>TEXT(IF('Real Structures'!A18&lt;&gt;0,'Real Structures'!A18, ""), "mm-dd-yyyy")</f>
        <v>07-01-2011</v>
      </c>
      <c r="B12" s="23">
        <f>IF(ISNUMBER('Real Structures'!B18),'Real Structures'!B18, "")</f>
        <v>258.60000000000002</v>
      </c>
      <c r="C12" s="23" t="str">
        <f>IF('Real Structures'!C18&lt;&gt;0,'Real Structures'!C18, "")</f>
        <v/>
      </c>
    </row>
    <row r="13" spans="1:3">
      <c r="A13" s="23" t="str">
        <f>TEXT(IF('Real Structures'!A19&lt;&gt;0,'Real Structures'!A19, ""), "mm-dd-yyyy")</f>
        <v>10-01-2011</v>
      </c>
      <c r="B13" s="23">
        <f>IF(ISNUMBER('Real Structures'!B19),'Real Structures'!B19, "")</f>
        <v>257.89999999999998</v>
      </c>
      <c r="C13" s="23" t="str">
        <f>IF('Real Structures'!C19&lt;&gt;0,'Real Structures'!C19, "")</f>
        <v/>
      </c>
    </row>
    <row r="14" spans="1:3">
      <c r="A14" s="23" t="str">
        <f>TEXT(IF('Real Structures'!A20&lt;&gt;0,'Real Structures'!A20, ""), "mm-dd-yyyy")</f>
        <v>01-01-2012</v>
      </c>
      <c r="B14" s="23">
        <f>IF(ISNUMBER('Real Structures'!B20),'Real Structures'!B20, "")</f>
        <v>249.2</v>
      </c>
      <c r="C14" s="23" t="str">
        <f>IF('Real Structures'!C20&lt;&gt;0,'Real Structures'!C20, "")</f>
        <v/>
      </c>
    </row>
    <row r="15" spans="1:3">
      <c r="A15" s="23" t="str">
        <f>TEXT(IF('Real Structures'!A21&lt;&gt;0,'Real Structures'!A21, ""), "mm-dd-yyyy")</f>
        <v>04-01-2012</v>
      </c>
      <c r="B15" s="23">
        <f>IF(ISNUMBER('Real Structures'!B21),'Real Structures'!B21, "")</f>
        <v>247.1</v>
      </c>
      <c r="C15" s="23" t="str">
        <f>IF('Real Structures'!C21&lt;&gt;0,'Real Structures'!C21, "")</f>
        <v/>
      </c>
    </row>
    <row r="16" spans="1:3">
      <c r="A16" s="23" t="str">
        <f>TEXT(IF('Real Structures'!A22&lt;&gt;0,'Real Structures'!A22, ""), "mm-dd-yyyy")</f>
        <v>07-01-2012</v>
      </c>
      <c r="B16" s="23">
        <f>IF(ISNUMBER('Real Structures'!B22),'Real Structures'!B22, "")</f>
        <v>240.5</v>
      </c>
      <c r="C16" s="23" t="str">
        <f>IF('Real Structures'!C22&lt;&gt;0,'Real Structures'!C22, "")</f>
        <v/>
      </c>
    </row>
    <row r="17" spans="1:3">
      <c r="A17" s="23" t="str">
        <f>TEXT(IF('Real Structures'!A23&lt;&gt;0,'Real Structures'!A23, ""), "mm-dd-yyyy")</f>
        <v>10-01-2012</v>
      </c>
      <c r="B17" s="23">
        <f>IF(ISNUMBER('Real Structures'!B23),'Real Structures'!B23, "")</f>
        <v>233.4</v>
      </c>
      <c r="C17" s="23" t="str">
        <f>IF('Real Structures'!C23&lt;&gt;0,'Real Structures'!C23, "")</f>
        <v/>
      </c>
    </row>
    <row r="18" spans="1:3">
      <c r="A18" s="23" t="str">
        <f>TEXT(IF('Real Structures'!A24&lt;&gt;0,'Real Structures'!A24, ""), "mm-dd-yyyy")</f>
        <v>01-01-2013</v>
      </c>
      <c r="B18" s="23">
        <f>IF(ISNUMBER('Real Structures'!B24),'Real Structures'!B24, "")</f>
        <v>228.6</v>
      </c>
      <c r="C18" s="23" t="str">
        <f>IF('Real Structures'!C24&lt;&gt;0,'Real Structures'!C24, "")</f>
        <v/>
      </c>
    </row>
    <row r="19" spans="1:3">
      <c r="A19" s="23" t="str">
        <f>TEXT(IF('Real Structures'!A25&lt;&gt;0,'Real Structures'!A25, ""), "mm-dd-yyyy")</f>
        <v>04-01-2013</v>
      </c>
      <c r="B19" s="23">
        <f>IF(ISNUMBER('Real Structures'!B25),'Real Structures'!B25, "")</f>
        <v>233.7</v>
      </c>
      <c r="C19" s="23" t="str">
        <f>IF('Real Structures'!C25&lt;&gt;0,'Real Structures'!C25, "")</f>
        <v/>
      </c>
    </row>
    <row r="20" spans="1:3">
      <c r="A20" s="23" t="str">
        <f>TEXT(IF('Real Structures'!A26&lt;&gt;0,'Real Structures'!A26, ""), "mm-dd-yyyy")</f>
        <v>07-01-2013</v>
      </c>
      <c r="B20" s="23">
        <f>IF(ISNUMBER('Real Structures'!B26),'Real Structures'!B26, "")</f>
        <v>233</v>
      </c>
      <c r="C20" s="23" t="str">
        <f>IF('Real Structures'!C26&lt;&gt;0,'Real Structures'!C26, "")</f>
        <v/>
      </c>
    </row>
    <row r="21" spans="1:3">
      <c r="A21" s="23" t="str">
        <f>TEXT(IF('Real Structures'!A27&lt;&gt;0,'Real Structures'!A27, ""), "mm-dd-yyyy")</f>
        <v>10-01-2013</v>
      </c>
      <c r="B21" s="23">
        <f>IF(ISNUMBER('Real Structures'!B27),'Real Structures'!B27, "")</f>
        <v>231.2</v>
      </c>
      <c r="C21" s="23" t="str">
        <f>IF('Real Structures'!C27&lt;&gt;0,'Real Structures'!C27, "")</f>
        <v/>
      </c>
    </row>
    <row r="22" spans="1:3">
      <c r="A22" s="23" t="str">
        <f>TEXT(IF('Real Structures'!A28&lt;&gt;0,'Real Structures'!A28, ""), "mm-dd-yyyy")</f>
        <v>01-01-2014</v>
      </c>
      <c r="B22" s="23">
        <f>IF(ISNUMBER('Real Structures'!B28),'Real Structures'!B28, "")</f>
        <v>223.6</v>
      </c>
      <c r="C22" s="23" t="str">
        <f>IF('Real Structures'!C28&lt;&gt;0,'Real Structures'!C28, "")</f>
        <v/>
      </c>
    </row>
    <row r="23" spans="1:3">
      <c r="A23" s="23" t="str">
        <f>TEXT(IF('Real Structures'!A29&lt;&gt;0,'Real Structures'!A29, ""), "mm-dd-yyyy")</f>
        <v>04-01-2014</v>
      </c>
      <c r="B23" s="23">
        <f>IF(ISNUMBER('Real Structures'!B29),'Real Structures'!B29, "")</f>
        <v>232.1</v>
      </c>
      <c r="C23" s="23" t="str">
        <f>IF('Real Structures'!C29&lt;&gt;0,'Real Structures'!C29, "")</f>
        <v/>
      </c>
    </row>
    <row r="24" spans="1:3">
      <c r="A24" s="23" t="str">
        <f>TEXT(IF('Real Structures'!A30&lt;&gt;0,'Real Structures'!A30, ""), "mm-dd-yyyy")</f>
        <v/>
      </c>
      <c r="B24" s="23" t="str">
        <f>IF(ISNUMBER('Real Structures'!B30),'Real Structures'!B30, "")</f>
        <v/>
      </c>
      <c r="C24" s="23" t="str">
        <f>IF('Real Structures'!C30&lt;&gt;0,'Real Structures'!C30, "")</f>
        <v/>
      </c>
    </row>
    <row r="25" spans="1:3">
      <c r="A25" s="23" t="str">
        <f>TEXT(IF('Real Structures'!A31&lt;&gt;0,'Real Structures'!A31, ""), "mm-dd-yyyy")</f>
        <v/>
      </c>
      <c r="B25" s="23" t="str">
        <f>IF(ISNUMBER('Real Structures'!B31),'Real Structures'!B31, "")</f>
        <v/>
      </c>
      <c r="C25" s="23" t="str">
        <f>IF('Real Structures'!C31&lt;&gt;0,'Real Structures'!C31, "")</f>
        <v/>
      </c>
    </row>
    <row r="26" spans="1:3">
      <c r="A26" s="23" t="str">
        <f>TEXT(IF('Real Structures'!A32&lt;&gt;0,'Real Structures'!A32, ""), "mm-dd-yyyy")</f>
        <v/>
      </c>
      <c r="B26" s="23" t="str">
        <f>IF(ISNUMBER('Real Structures'!B32),'Real Structures'!B32, "")</f>
        <v/>
      </c>
      <c r="C26" s="23" t="str">
        <f>IF('Real Structures'!C32&lt;&gt;0,'Real Structures'!C32, "")</f>
        <v/>
      </c>
    </row>
    <row r="27" spans="1:3">
      <c r="A27" s="23" t="str">
        <f>TEXT(IF('Real Structures'!A33&lt;&gt;0,'Real Structures'!A33, ""), "mm-dd-yyyy")</f>
        <v/>
      </c>
      <c r="B27" s="23" t="str">
        <f>IF(ISNUMBER('Real Structures'!B33),'Real Structures'!B33, "")</f>
        <v/>
      </c>
      <c r="C27" s="23" t="str">
        <f>IF('Real Structures'!C33&lt;&gt;0,'Real Structures'!C33, "")</f>
        <v/>
      </c>
    </row>
    <row r="28" spans="1:3">
      <c r="A28" s="23" t="str">
        <f>TEXT(IF('Real Structures'!A34&lt;&gt;0,'Real Structures'!A34, ""), "mm-dd-yyyy")</f>
        <v/>
      </c>
      <c r="B28" s="23" t="str">
        <f>IF(ISNUMBER('Real Structures'!B34),'Real Structures'!B34, "")</f>
        <v/>
      </c>
      <c r="C28" s="23" t="str">
        <f>IF('Real Structures'!C34&lt;&gt;0,'Real Structures'!C34, "")</f>
        <v/>
      </c>
    </row>
    <row r="29" spans="1:3">
      <c r="A29" s="23" t="str">
        <f>TEXT(IF('Real Structures'!A35&lt;&gt;0,'Real Structures'!A35, ""), "mm-dd-yyyy")</f>
        <v/>
      </c>
      <c r="B29" s="23" t="str">
        <f>IF(ISNUMBER('Real Structures'!B35),'Real Structures'!B35, "")</f>
        <v/>
      </c>
      <c r="C29" s="23" t="str">
        <f>IF('Real Structures'!C35&lt;&gt;0,'Real Structures'!C35, "")</f>
        <v/>
      </c>
    </row>
    <row r="30" spans="1:3">
      <c r="A30" s="23" t="str">
        <f>TEXT(IF('Real Structures'!A36&lt;&gt;0,'Real Structures'!A36, ""), "mm-dd-yyyy")</f>
        <v/>
      </c>
      <c r="B30" s="23" t="str">
        <f>IF(ISNUMBER('Real Structures'!B36),'Real Structures'!B36, "")</f>
        <v/>
      </c>
      <c r="C30" s="23" t="str">
        <f>IF('Real Structures'!C36&lt;&gt;0,'Real Structures'!C36, "")</f>
        <v/>
      </c>
    </row>
    <row r="31" spans="1:3">
      <c r="A31" s="23" t="str">
        <f>TEXT(IF('Real Structures'!A37&lt;&gt;0,'Real Structures'!A37, ""), "mm-dd-yyyy")</f>
        <v/>
      </c>
      <c r="B31" s="23" t="str">
        <f>IF(ISNUMBER('Real Structures'!B37),'Real Structures'!B37, "")</f>
        <v/>
      </c>
      <c r="C31" s="23" t="str">
        <f>IF('Real Structures'!C37&lt;&gt;0,'Real Structures'!C37, "")</f>
        <v/>
      </c>
    </row>
    <row r="32" spans="1:3">
      <c r="A32" s="23" t="str">
        <f>TEXT(IF('Real Structures'!A38&lt;&gt;0,'Real Structures'!A38, ""), "mm-dd-yyyy")</f>
        <v/>
      </c>
      <c r="B32" s="23" t="str">
        <f>IF(ISNUMBER('Real Structures'!B38),'Real Structures'!B38, "")</f>
        <v/>
      </c>
      <c r="C32" s="23" t="str">
        <f>IF('Real Structures'!C38&lt;&gt;0,'Real Structures'!C38, "")</f>
        <v/>
      </c>
    </row>
    <row r="33" spans="1:3">
      <c r="A33" s="23" t="str">
        <f>TEXT(IF('Real Structures'!A39&lt;&gt;0,'Real Structures'!A39, ""), "mm-dd-yyyy")</f>
        <v/>
      </c>
      <c r="B33" s="23" t="str">
        <f>IF(ISNUMBER('Real Structures'!B39),'Real Structures'!B39, "")</f>
        <v/>
      </c>
      <c r="C33" s="23" t="str">
        <f>IF('Real Structures'!C39&lt;&gt;0,'Real Structures'!C39, "")</f>
        <v/>
      </c>
    </row>
    <row r="34" spans="1:3">
      <c r="A34" s="23" t="str">
        <f>TEXT(IF('Real Structures'!A40&lt;&gt;0,'Real Structures'!A40, ""), "mm-dd-yyyy")</f>
        <v/>
      </c>
      <c r="B34" s="23" t="str">
        <f>IF(ISNUMBER('Real Structures'!B40),'Real Structures'!B40, "")</f>
        <v/>
      </c>
      <c r="C34" s="23" t="str">
        <f>IF('Real Structures'!C40&lt;&gt;0,'Real Structures'!C40, "")</f>
        <v/>
      </c>
    </row>
    <row r="35" spans="1:3">
      <c r="A35" s="23" t="str">
        <f>TEXT(IF('Real Structures'!A41&lt;&gt;0,'Real Structures'!A41, ""), "mm-dd-yyyy")</f>
        <v/>
      </c>
      <c r="B35" s="23" t="str">
        <f>IF(ISNUMBER('Real Structures'!B41),'Real Structures'!B41, "")</f>
        <v/>
      </c>
      <c r="C35" s="23" t="str">
        <f>IF('Real Structures'!C41&lt;&gt;0,'Real Structures'!C41, "")</f>
        <v/>
      </c>
    </row>
    <row r="36" spans="1:3">
      <c r="A36" s="23" t="str">
        <f>TEXT(IF('Real Structures'!A42&lt;&gt;0,'Real Structures'!A42, ""), "mm-dd-yyyy")</f>
        <v/>
      </c>
      <c r="B36" s="23" t="str">
        <f>IF(ISNUMBER('Real Structures'!B42),'Real Structures'!B42, "")</f>
        <v/>
      </c>
      <c r="C36" s="23" t="str">
        <f>IF('Real Structures'!C42&lt;&gt;0,'Real Structures'!C42, "")</f>
        <v/>
      </c>
    </row>
    <row r="37" spans="1:3">
      <c r="A37" s="23" t="str">
        <f>TEXT(IF('Real Structures'!A43&lt;&gt;0,'Real Structures'!A43, ""), "mm-dd-yyyy")</f>
        <v/>
      </c>
      <c r="B37" s="23" t="str">
        <f>IF(ISNUMBER('Real Structures'!B43),'Real Structures'!B43, "")</f>
        <v/>
      </c>
      <c r="C37" s="23" t="str">
        <f>IF('Real Structures'!C43&lt;&gt;0,'Real Structures'!C43, "")</f>
        <v/>
      </c>
    </row>
    <row r="38" spans="1:3">
      <c r="A38" s="23" t="str">
        <f>TEXT(IF('Real Structures'!A44&lt;&gt;0,'Real Structures'!A44, ""), "mm-dd-yyyy")</f>
        <v/>
      </c>
      <c r="B38" s="23" t="str">
        <f>IF(ISNUMBER('Real Structures'!B44),'Real Structures'!B44, "")</f>
        <v/>
      </c>
      <c r="C38" s="23" t="str">
        <f>IF('Real Structures'!C44&lt;&gt;0,'Real Structures'!C44, "")</f>
        <v/>
      </c>
    </row>
    <row r="39" spans="1:3">
      <c r="A39" s="23" t="str">
        <f>TEXT(IF('Real Structures'!A45&lt;&gt;0,'Real Structures'!A45, ""), "mm-dd-yyyy")</f>
        <v/>
      </c>
      <c r="B39" s="23" t="str">
        <f>IF(ISNUMBER('Real Structures'!B45),'Real Structures'!B45, "")</f>
        <v/>
      </c>
      <c r="C39" s="23" t="str">
        <f>IF('Real Structures'!C45&lt;&gt;0,'Real Structures'!C45, "")</f>
        <v/>
      </c>
    </row>
    <row r="40" spans="1:3">
      <c r="A40" s="23" t="str">
        <f>TEXT(IF('Real Structures'!A46&lt;&gt;0,'Real Structures'!A46, ""), "mm-dd-yyyy")</f>
        <v/>
      </c>
      <c r="B40" s="23" t="str">
        <f>IF(ISNUMBER('Real Structures'!B46),'Real Structures'!B46, "")</f>
        <v/>
      </c>
      <c r="C40" s="23" t="str">
        <f>IF('Real Structures'!C46&lt;&gt;0,'Real Structures'!C46, "")</f>
        <v/>
      </c>
    </row>
    <row r="41" spans="1:3">
      <c r="A41" s="23" t="str">
        <f>TEXT(IF('Real Structures'!A47&lt;&gt;0,'Real Structures'!A47, ""), "mm-dd-yyyy")</f>
        <v/>
      </c>
      <c r="B41" s="23" t="str">
        <f>IF(ISNUMBER('Real Structures'!B47),'Real Structures'!B47, "")</f>
        <v/>
      </c>
      <c r="C41" s="23" t="str">
        <f>IF('Real Structures'!C47&lt;&gt;0,'Real Structures'!C47, "")</f>
        <v/>
      </c>
    </row>
    <row r="42" spans="1:3">
      <c r="A42" s="23" t="str">
        <f>TEXT(IF('Real Structures'!A48&lt;&gt;0,'Real Structures'!A48, ""), "mm-dd-yyyy")</f>
        <v/>
      </c>
      <c r="B42" s="23" t="str">
        <f>IF(ISNUMBER('Real Structures'!B48),'Real Structures'!B48, "")</f>
        <v/>
      </c>
      <c r="C42" s="23" t="str">
        <f>IF('Real Structures'!C48&lt;&gt;0,'Real Structures'!C48, "")</f>
        <v/>
      </c>
    </row>
    <row r="43" spans="1:3">
      <c r="A43" s="23" t="str">
        <f>TEXT(IF('Real Structures'!A49&lt;&gt;0,'Real Structures'!A49, ""), "mm-dd-yyyy")</f>
        <v/>
      </c>
      <c r="B43" s="23" t="str">
        <f>IF(ISNUMBER('Real Structures'!B49),'Real Structures'!B49, "")</f>
        <v/>
      </c>
      <c r="C43" s="23" t="str">
        <f>IF('Real Structures'!C49&lt;&gt;0,'Real Structures'!C49, "")</f>
        <v/>
      </c>
    </row>
    <row r="44" spans="1:3">
      <c r="A44" s="23" t="str">
        <f>TEXT(IF('Real Structures'!A50&lt;&gt;0,'Real Structures'!A50, ""), "mm-dd-yyyy")</f>
        <v/>
      </c>
      <c r="B44" s="23" t="str">
        <f>IF(ISNUMBER('Real Structures'!B50),'Real Structures'!B50, "")</f>
        <v/>
      </c>
      <c r="C44" s="23" t="str">
        <f>IF('Real Structures'!C50&lt;&gt;0,'Real Structures'!C50, "")</f>
        <v/>
      </c>
    </row>
    <row r="45" spans="1:3">
      <c r="A45" s="23" t="str">
        <f>TEXT(IF('Real Structures'!A51&lt;&gt;0,'Real Structures'!A51, ""), "mm-dd-yyyy")</f>
        <v/>
      </c>
      <c r="B45" s="23" t="str">
        <f>IF(ISNUMBER('Real Structures'!B51),'Real Structures'!B51, "")</f>
        <v/>
      </c>
      <c r="C45" s="23" t="str">
        <f>IF('Real Structures'!C51&lt;&gt;0,'Real Structures'!C51, "")</f>
        <v/>
      </c>
    </row>
    <row r="46" spans="1:3">
      <c r="A46" s="23" t="str">
        <f>TEXT(IF('Real Structures'!A52&lt;&gt;0,'Real Structures'!A52, ""), "mm-dd-yyyy")</f>
        <v/>
      </c>
      <c r="B46" s="23" t="str">
        <f>IF(ISNUMBER('Real Structures'!B52),'Real Structures'!B52, "")</f>
        <v/>
      </c>
      <c r="C46" s="23" t="str">
        <f>IF('Real Structures'!C52&lt;&gt;0,'Real Structures'!C52, "")</f>
        <v/>
      </c>
    </row>
    <row r="47" spans="1:3">
      <c r="A47" s="23" t="str">
        <f>TEXT(IF('Real Structures'!A53&lt;&gt;0,'Real Structures'!A53, ""), "mm-dd-yyyy")</f>
        <v/>
      </c>
      <c r="B47" s="23" t="str">
        <f>IF(ISNUMBER('Real Structures'!B53),'Real Structures'!B53, "")</f>
        <v/>
      </c>
      <c r="C47" s="23" t="str">
        <f>IF('Real Structures'!C53&lt;&gt;0,'Real Structures'!C53, "")</f>
        <v/>
      </c>
    </row>
    <row r="48" spans="1:3">
      <c r="A48" s="23" t="str">
        <f>TEXT(IF('Real Structures'!A54&lt;&gt;0,'Real Structures'!A54, ""), "mm-dd-yyyy")</f>
        <v/>
      </c>
      <c r="B48" s="23" t="str">
        <f>IF(ISNUMBER('Real Structures'!B54),'Real Structures'!B54, "")</f>
        <v/>
      </c>
      <c r="C48" s="23" t="str">
        <f>IF('Real Structures'!C54&lt;&gt;0,'Real Structures'!C54, "")</f>
        <v/>
      </c>
    </row>
    <row r="49" spans="1:3">
      <c r="A49" s="23" t="str">
        <f>TEXT(IF('Real Structures'!A55&lt;&gt;0,'Real Structures'!A55, ""), "mm-dd-yyyy")</f>
        <v/>
      </c>
      <c r="B49" s="23" t="str">
        <f>IF(ISNUMBER('Real Structures'!B55),'Real Structures'!B55, "")</f>
        <v/>
      </c>
      <c r="C49" s="23" t="str">
        <f>IF('Real Structures'!C55&lt;&gt;0,'Real Structures'!C55, "")</f>
        <v/>
      </c>
    </row>
    <row r="50" spans="1:3">
      <c r="A50" s="23" t="str">
        <f>TEXT(IF('Real Structures'!A56&lt;&gt;0,'Real Structures'!A56, ""), "mm-dd-yyyy")</f>
        <v/>
      </c>
      <c r="B50" s="23" t="str">
        <f>IF(ISNUMBER('Real Structures'!B56),'Real Structures'!B56, "")</f>
        <v/>
      </c>
      <c r="C50" s="23" t="str">
        <f>IF('Real Structures'!C56&lt;&gt;0,'Real Structures'!C56, "")</f>
        <v/>
      </c>
    </row>
    <row r="51" spans="1:3">
      <c r="A51" s="23" t="str">
        <f>TEXT(IF('Real Structures'!A57&lt;&gt;0,'Real Structures'!A57, ""), "mm-dd-yyyy")</f>
        <v/>
      </c>
      <c r="B51" s="23" t="str">
        <f>IF(ISNUMBER('Real Structures'!B57),'Real Structures'!B57, "")</f>
        <v/>
      </c>
      <c r="C51" s="23" t="str">
        <f>IF('Real Structures'!C57&lt;&gt;0,'Real Structures'!C57, "")</f>
        <v/>
      </c>
    </row>
    <row r="52" spans="1:3">
      <c r="A52" s="23" t="str">
        <f>TEXT(IF('Real Structures'!A58&lt;&gt;0,'Real Structures'!A58, ""), "mm-dd-yyyy")</f>
        <v/>
      </c>
      <c r="B52" s="23" t="str">
        <f>IF(ISNUMBER('Real Structures'!B58),'Real Structures'!B58, "")</f>
        <v/>
      </c>
      <c r="C52" s="23" t="str">
        <f>IF('Real Structures'!C58&lt;&gt;0,'Real Structures'!C58, "")</f>
        <v/>
      </c>
    </row>
    <row r="53" spans="1:3">
      <c r="A53" s="23" t="str">
        <f>TEXT(IF('Real Structures'!A59&lt;&gt;0,'Real Structures'!A59, ""), "mm-dd-yyyy")</f>
        <v/>
      </c>
      <c r="B53" s="23" t="str">
        <f>IF(ISNUMBER('Real Structures'!B59),'Real Structures'!B59, "")</f>
        <v/>
      </c>
      <c r="C53" s="23" t="str">
        <f>IF('Real Structures'!C59&lt;&gt;0,'Real Structures'!C59, "")</f>
        <v/>
      </c>
    </row>
    <row r="54" spans="1:3">
      <c r="A54" s="23" t="str">
        <f>TEXT(IF('Real Structures'!A60&lt;&gt;0,'Real Structures'!A60, ""), "mm-dd-yyyy")</f>
        <v/>
      </c>
      <c r="B54" s="23" t="str">
        <f>IF(ISNUMBER('Real Structures'!B60),'Real Structures'!B60, "")</f>
        <v/>
      </c>
      <c r="C54" s="23" t="str">
        <f>IF('Real Structures'!C60&lt;&gt;0,'Real Structures'!C60, "")</f>
        <v/>
      </c>
    </row>
    <row r="55" spans="1:3">
      <c r="A55" s="23" t="str">
        <f>TEXT(IF('Real Structures'!A61&lt;&gt;0,'Real Structures'!A61, ""), "mm-dd-yyyy")</f>
        <v/>
      </c>
      <c r="B55" s="23" t="str">
        <f>IF(ISNUMBER('Real Structures'!B61),'Real Structures'!B61, "")</f>
        <v/>
      </c>
      <c r="C55" s="23" t="str">
        <f>IF('Real Structures'!C61&lt;&gt;0,'Real Structures'!C61, "")</f>
        <v/>
      </c>
    </row>
    <row r="56" spans="1:3">
      <c r="A56" s="23" t="str">
        <f>TEXT(IF('Real Structures'!A62&lt;&gt;0,'Real Structures'!A62, ""), "mm-dd-yyyy")</f>
        <v/>
      </c>
      <c r="B56" s="23" t="str">
        <f>IF(ISNUMBER('Real Structures'!B62),'Real Structures'!B62, "")</f>
        <v/>
      </c>
      <c r="C56" s="23" t="str">
        <f>IF('Real Structures'!C62&lt;&gt;0,'Real Structures'!C62, "")</f>
        <v/>
      </c>
    </row>
    <row r="57" spans="1:3">
      <c r="A57" s="23" t="str">
        <f>TEXT(IF('Real Structures'!A63&lt;&gt;0,'Real Structures'!A63, ""), "mm-dd-yyyy")</f>
        <v/>
      </c>
      <c r="B57" s="23" t="str">
        <f>IF(ISNUMBER('Real Structures'!B63),'Real Structures'!B63, "")</f>
        <v/>
      </c>
      <c r="C57" s="23" t="str">
        <f>IF('Real Structures'!C63&lt;&gt;0,'Real Structures'!C63, "")</f>
        <v/>
      </c>
    </row>
    <row r="58" spans="1:3">
      <c r="A58" s="23" t="str">
        <f>TEXT(IF('Real Structures'!A64&lt;&gt;0,'Real Structures'!A64, ""), "mm-dd-yyyy")</f>
        <v/>
      </c>
      <c r="B58" s="23" t="str">
        <f>IF(ISNUMBER('Real Structures'!B64),'Real Structures'!B64, "")</f>
        <v/>
      </c>
      <c r="C58" s="23" t="str">
        <f>IF('Real Structures'!C64&lt;&gt;0,'Real Structures'!C64, "")</f>
        <v/>
      </c>
    </row>
    <row r="59" spans="1:3">
      <c r="A59" s="23" t="str">
        <f>TEXT(IF('Real Structures'!A65&lt;&gt;0,'Real Structures'!A65, ""), "mm-dd-yyyy")</f>
        <v/>
      </c>
      <c r="B59" s="23" t="str">
        <f>IF(ISNUMBER('Real Structures'!B65),'Real Structures'!B65, "")</f>
        <v/>
      </c>
      <c r="C59" s="23" t="str">
        <f>IF('Real Structures'!C65&lt;&gt;0,'Real Structures'!C65, "")</f>
        <v/>
      </c>
    </row>
    <row r="60" spans="1:3">
      <c r="A60" s="23" t="str">
        <f>TEXT(IF('Real Structures'!A66&lt;&gt;0,'Real Structures'!A66, ""), "mm-dd-yyyy")</f>
        <v/>
      </c>
      <c r="B60" s="23" t="str">
        <f>IF(ISNUMBER('Real Structures'!B66),'Real Structures'!B66, "")</f>
        <v/>
      </c>
      <c r="C60" s="23" t="str">
        <f>IF('Real Structures'!C66&lt;&gt;0,'Real Structures'!C66, "")</f>
        <v/>
      </c>
    </row>
    <row r="61" spans="1:3">
      <c r="A61" s="23" t="str">
        <f>TEXT(IF('Real Structures'!A67&lt;&gt;0,'Real Structures'!A67, ""), "mm-dd-yyyy")</f>
        <v/>
      </c>
      <c r="B61" s="23" t="str">
        <f>IF(ISNUMBER('Real Structures'!B67),'Real Structures'!B67, "")</f>
        <v/>
      </c>
      <c r="C61" s="23" t="str">
        <f>IF('Real Structures'!C67&lt;&gt;0,'Real Structures'!C67, "")</f>
        <v/>
      </c>
    </row>
    <row r="62" spans="1:3">
      <c r="A62" s="23" t="str">
        <f>TEXT(IF('Real Structures'!A68&lt;&gt;0,'Real Structures'!A68, ""), "mm-dd-yyyy")</f>
        <v/>
      </c>
      <c r="B62" s="23" t="str">
        <f>IF(ISNUMBER('Real Structures'!B68),'Real Structures'!B68, "")</f>
        <v/>
      </c>
      <c r="C62" s="23" t="str">
        <f>IF('Real Structures'!C68&lt;&gt;0,'Real Structures'!C68, "")</f>
        <v/>
      </c>
    </row>
    <row r="63" spans="1:3">
      <c r="A63" s="23" t="str">
        <f>TEXT(IF('Real Structures'!A69&lt;&gt;0,'Real Structures'!A69, ""), "mm-dd-yyyy")</f>
        <v/>
      </c>
      <c r="B63" s="23" t="str">
        <f>IF(ISNUMBER('Real Structures'!B69),'Real Structures'!B69, "")</f>
        <v/>
      </c>
      <c r="C63" s="23" t="str">
        <f>IF('Real Structures'!C69&lt;&gt;0,'Real Structures'!C69, "")</f>
        <v/>
      </c>
    </row>
    <row r="64" spans="1:3">
      <c r="A64" s="23" t="str">
        <f>TEXT(IF('Real Structures'!A70&lt;&gt;0,'Real Structures'!A70, ""), "mm-dd-yyyy")</f>
        <v/>
      </c>
      <c r="B64" s="23" t="str">
        <f>IF(ISNUMBER('Real Structures'!B70),'Real Structures'!B70, "")</f>
        <v/>
      </c>
      <c r="C64" s="23" t="str">
        <f>IF('Real Structures'!C70&lt;&gt;0,'Real Structures'!C70, "")</f>
        <v/>
      </c>
    </row>
    <row r="65" spans="1:3">
      <c r="A65" s="23" t="str">
        <f>TEXT(IF('Real Structures'!A71&lt;&gt;0,'Real Structures'!A71, ""), "mm-dd-yyyy")</f>
        <v/>
      </c>
      <c r="B65" s="23" t="str">
        <f>IF(ISNUMBER('Real Structures'!B71),'Real Structures'!B71, "")</f>
        <v/>
      </c>
      <c r="C65" s="23" t="str">
        <f>IF('Real Structures'!C71&lt;&gt;0,'Real Structures'!C71, "")</f>
        <v/>
      </c>
    </row>
    <row r="66" spans="1:3">
      <c r="A66" s="23" t="str">
        <f>TEXT(IF('Real Structures'!A72&lt;&gt;0,'Real Structures'!A72, ""), "mm-dd-yyyy")</f>
        <v/>
      </c>
      <c r="B66" s="23" t="str">
        <f>IF(ISNUMBER('Real Structures'!B72),'Real Structures'!B72, "")</f>
        <v/>
      </c>
      <c r="C66" s="23" t="str">
        <f>IF('Real Structures'!C72&lt;&gt;0,'Real Structures'!C72, "")</f>
        <v/>
      </c>
    </row>
    <row r="67" spans="1:3">
      <c r="A67" s="23" t="str">
        <f>TEXT(IF('Real Structures'!A73&lt;&gt;0,'Real Structures'!A73, ""), "mm-dd-yyyy")</f>
        <v/>
      </c>
      <c r="B67" s="23" t="str">
        <f>IF(ISNUMBER('Real Structures'!B73),'Real Structures'!B73, "")</f>
        <v/>
      </c>
      <c r="C67" s="23" t="str">
        <f>IF('Real Structures'!C73&lt;&gt;0,'Real Structures'!C73, "")</f>
        <v/>
      </c>
    </row>
    <row r="68" spans="1:3">
      <c r="A68" s="23" t="str">
        <f>TEXT(IF('Real Structures'!A74&lt;&gt;0,'Real Structures'!A74, ""), "mm-dd-yyyy")</f>
        <v/>
      </c>
      <c r="B68" s="23" t="str">
        <f>IF(ISNUMBER('Real Structures'!B74),'Real Structures'!B74, "")</f>
        <v/>
      </c>
      <c r="C68" s="23" t="str">
        <f>IF('Real Structures'!C74&lt;&gt;0,'Real Structures'!C74, "")</f>
        <v/>
      </c>
    </row>
    <row r="69" spans="1:3">
      <c r="A69" s="23" t="str">
        <f>TEXT(IF('Real Structures'!A75&lt;&gt;0,'Real Structures'!A75, ""), "mm-dd-yyyy")</f>
        <v/>
      </c>
      <c r="B69" s="23" t="str">
        <f>IF(ISNUMBER('Real Structures'!B75),'Real Structures'!B75, "")</f>
        <v/>
      </c>
      <c r="C69" s="23" t="str">
        <f>IF('Real Structures'!C75&lt;&gt;0,'Real Structures'!C75, "")</f>
        <v/>
      </c>
    </row>
    <row r="70" spans="1:3">
      <c r="A70" s="23" t="str">
        <f>TEXT(IF('Real Structures'!A76&lt;&gt;0,'Real Structures'!A76, ""), "mm-dd-yyyy")</f>
        <v/>
      </c>
      <c r="B70" s="23" t="str">
        <f>IF(ISNUMBER('Real Structures'!B76),'Real Structures'!B76, "")</f>
        <v/>
      </c>
      <c r="C70" s="23" t="str">
        <f>IF('Real Structures'!C76&lt;&gt;0,'Real Structures'!C76, "")</f>
        <v/>
      </c>
    </row>
    <row r="71" spans="1:3">
      <c r="A71" s="23" t="str">
        <f>TEXT(IF('Real Structures'!A77&lt;&gt;0,'Real Structures'!A77, ""), "mm-dd-yyyy")</f>
        <v/>
      </c>
      <c r="B71" s="23" t="str">
        <f>IF(ISNUMBER('Real Structures'!B77),'Real Structures'!B77, "")</f>
        <v/>
      </c>
      <c r="C71" s="23" t="str">
        <f>IF('Real Structures'!C77&lt;&gt;0,'Real Structures'!C77, "")</f>
        <v/>
      </c>
    </row>
    <row r="72" spans="1:3">
      <c r="A72" s="23" t="str">
        <f>TEXT(IF('Real Structures'!A78&lt;&gt;0,'Real Structures'!A78, ""), "mm-dd-yyyy")</f>
        <v/>
      </c>
      <c r="B72" s="23" t="str">
        <f>IF(ISNUMBER('Real Structures'!B78),'Real Structures'!B78, "")</f>
        <v/>
      </c>
      <c r="C72" s="23" t="str">
        <f>IF('Real Structures'!C78&lt;&gt;0,'Real Structures'!C78, "")</f>
        <v/>
      </c>
    </row>
    <row r="73" spans="1:3">
      <c r="A73" s="23" t="str">
        <f>TEXT(IF('Real Structures'!A79&lt;&gt;0,'Real Structures'!A79, ""), "mm-dd-yyyy")</f>
        <v/>
      </c>
      <c r="B73" s="23" t="str">
        <f>IF(ISNUMBER('Real Structures'!B79),'Real Structures'!B79, "")</f>
        <v/>
      </c>
      <c r="C73" s="23" t="str">
        <f>IF('Real Structures'!C79&lt;&gt;0,'Real Structures'!C79, "")</f>
        <v/>
      </c>
    </row>
    <row r="74" spans="1:3">
      <c r="A74" s="23" t="str">
        <f>TEXT(IF('Real Structures'!A80&lt;&gt;0,'Real Structures'!A80, ""), "mm-dd-yyyy")</f>
        <v/>
      </c>
      <c r="B74" s="23" t="str">
        <f>IF(ISNUMBER('Real Structures'!B80),'Real Structures'!B80, "")</f>
        <v/>
      </c>
      <c r="C74" s="23" t="str">
        <f>IF('Real Structures'!C80&lt;&gt;0,'Real Structures'!C80, "")</f>
        <v/>
      </c>
    </row>
    <row r="75" spans="1:3">
      <c r="A75" s="23" t="str">
        <f>TEXT(IF('Real Structures'!A81&lt;&gt;0,'Real Structures'!A81, ""), "mm-dd-yyyy")</f>
        <v/>
      </c>
      <c r="B75" s="23" t="str">
        <f>IF(ISNUMBER('Real Structures'!B81),'Real Structures'!B81, "")</f>
        <v/>
      </c>
      <c r="C75" s="23" t="str">
        <f>IF('Real Structures'!C81&lt;&gt;0,'Real Structures'!C81, "")</f>
        <v/>
      </c>
    </row>
    <row r="76" spans="1:3">
      <c r="A76" s="23" t="str">
        <f>TEXT(IF('Real Structures'!A82&lt;&gt;0,'Real Structures'!A82, ""), "mm-dd-yyyy")</f>
        <v/>
      </c>
      <c r="B76" s="23" t="str">
        <f>IF(ISNUMBER('Real Structures'!B82),'Real Structures'!B82, "")</f>
        <v/>
      </c>
      <c r="C76" s="23" t="str">
        <f>IF('Real Structures'!C82&lt;&gt;0,'Real Structures'!C82, "")</f>
        <v/>
      </c>
    </row>
    <row r="77" spans="1:3">
      <c r="A77" s="23" t="str">
        <f>TEXT(IF('Real Structures'!A83&lt;&gt;0,'Real Structures'!A83, ""), "mm-dd-yyyy")</f>
        <v/>
      </c>
      <c r="B77" s="23" t="str">
        <f>IF(ISNUMBER('Real Structures'!B83),'Real Structures'!B83, "")</f>
        <v/>
      </c>
      <c r="C77" s="23" t="str">
        <f>IF('Real Structures'!C83&lt;&gt;0,'Real Structures'!C83, "")</f>
        <v/>
      </c>
    </row>
    <row r="78" spans="1:3">
      <c r="A78" s="23" t="str">
        <f>TEXT(IF('Real Structures'!A84&lt;&gt;0,'Real Structures'!A84, ""), "mm-dd-yyyy")</f>
        <v/>
      </c>
      <c r="B78" s="23" t="str">
        <f>IF(ISNUMBER('Real Structures'!B84),'Real Structures'!B84, "")</f>
        <v/>
      </c>
      <c r="C78" s="23" t="str">
        <f>IF('Real Structures'!C84&lt;&gt;0,'Real Structures'!C84, "")</f>
        <v/>
      </c>
    </row>
    <row r="79" spans="1:3">
      <c r="A79" s="23" t="str">
        <f>TEXT(IF('Real Structures'!A85&lt;&gt;0,'Real Structures'!A85, ""), "mm-dd-yyyy")</f>
        <v/>
      </c>
      <c r="B79" s="23" t="str">
        <f>IF(ISNUMBER('Real Structures'!B85),'Real Structures'!B85, "")</f>
        <v/>
      </c>
      <c r="C79" s="23" t="str">
        <f>IF('Real Structures'!C85&lt;&gt;0,'Real Structures'!C85, "")</f>
        <v/>
      </c>
    </row>
    <row r="80" spans="1:3">
      <c r="A80" s="23" t="str">
        <f>TEXT(IF('Real Structures'!A86&lt;&gt;0,'Real Structures'!A86, ""), "mm-dd-yyyy")</f>
        <v/>
      </c>
      <c r="B80" s="23" t="str">
        <f>IF(ISNUMBER('Real Structures'!B86),'Real Structures'!B86, "")</f>
        <v/>
      </c>
      <c r="C80" s="23" t="str">
        <f>IF('Real Structures'!C86&lt;&gt;0,'Real Structures'!C86, "")</f>
        <v/>
      </c>
    </row>
    <row r="81" spans="1:3">
      <c r="A81" s="23" t="str">
        <f>TEXT(IF('Real Structures'!A87&lt;&gt;0,'Real Structures'!A87, ""), "mm-dd-yyyy")</f>
        <v/>
      </c>
      <c r="B81" s="23" t="str">
        <f>IF(ISNUMBER('Real Structures'!B87),'Real Structures'!B87, "")</f>
        <v/>
      </c>
      <c r="C81" s="23" t="str">
        <f>IF('Real Structures'!C87&lt;&gt;0,'Real Structures'!C87, "")</f>
        <v/>
      </c>
    </row>
    <row r="82" spans="1:3">
      <c r="A82" s="23" t="str">
        <f>TEXT(IF('Real Structures'!A88&lt;&gt;0,'Real Structures'!A88, ""), "mm-dd-yyyy")</f>
        <v/>
      </c>
      <c r="B82" s="23" t="str">
        <f>IF(ISNUMBER('Real Structures'!B88),'Real Structures'!B88, "")</f>
        <v/>
      </c>
      <c r="C82" s="23" t="str">
        <f>IF('Real Structures'!C88&lt;&gt;0,'Real Structures'!C88, "")</f>
        <v/>
      </c>
    </row>
    <row r="83" spans="1:3">
      <c r="A83" s="23" t="str">
        <f>TEXT(IF('Real Structures'!A89&lt;&gt;0,'Real Structures'!A89, ""), "mm-dd-yyyy")</f>
        <v/>
      </c>
      <c r="B83" s="23" t="str">
        <f>IF(ISNUMBER('Real Structures'!B89),'Real Structures'!B89, "")</f>
        <v/>
      </c>
      <c r="C83" s="23" t="str">
        <f>IF('Real Structures'!C89&lt;&gt;0,'Real Structures'!C89, "")</f>
        <v/>
      </c>
    </row>
    <row r="84" spans="1:3">
      <c r="A84" s="23" t="str">
        <f>TEXT(IF('Real Structures'!A90&lt;&gt;0,'Real Structures'!A90, ""), "mm-dd-yyyy")</f>
        <v/>
      </c>
      <c r="B84" s="23" t="str">
        <f>IF(ISNUMBER('Real Structures'!B90),'Real Structures'!B90, "")</f>
        <v/>
      </c>
      <c r="C84" s="23" t="str">
        <f>IF('Real Structures'!C90&lt;&gt;0,'Real Structures'!C90, "")</f>
        <v/>
      </c>
    </row>
    <row r="85" spans="1:3">
      <c r="A85" s="23" t="str">
        <f>TEXT(IF('Real Structures'!A91&lt;&gt;0,'Real Structures'!A91, ""), "mm-dd-yyyy")</f>
        <v/>
      </c>
      <c r="B85" s="23" t="str">
        <f>IF(ISNUMBER('Real Structures'!B91),'Real Structures'!B91, "")</f>
        <v/>
      </c>
      <c r="C85" s="23" t="str">
        <f>IF('Real Structures'!C91&lt;&gt;0,'Real Structures'!C91, "")</f>
        <v/>
      </c>
    </row>
    <row r="86" spans="1:3">
      <c r="A86" s="23" t="str">
        <f>TEXT(IF('Real Structures'!A92&lt;&gt;0,'Real Structures'!A92, ""), "mm-dd-yyyy")</f>
        <v/>
      </c>
      <c r="B86" s="23" t="str">
        <f>IF(ISNUMBER('Real Structures'!B92),'Real Structures'!B92, "")</f>
        <v/>
      </c>
      <c r="C86" s="23" t="str">
        <f>IF('Real Structures'!C92&lt;&gt;0,'Real Structures'!C92, "")</f>
        <v/>
      </c>
    </row>
    <row r="87" spans="1:3">
      <c r="A87" s="23" t="str">
        <f>TEXT(IF('Real Structures'!A93&lt;&gt;0,'Real Structures'!A93, ""), "mm-dd-yyyy")</f>
        <v/>
      </c>
      <c r="B87" s="23" t="str">
        <f>IF(ISNUMBER('Real Structures'!B93),'Real Structures'!B93, "")</f>
        <v/>
      </c>
      <c r="C87" s="23" t="str">
        <f>IF('Real Structures'!C93&lt;&gt;0,'Real Structures'!C93, "")</f>
        <v/>
      </c>
    </row>
    <row r="88" spans="1:3">
      <c r="A88" s="23" t="str">
        <f>TEXT(IF('Real Structures'!A94&lt;&gt;0,'Real Structures'!A94, ""), "mm-dd-yyyy")</f>
        <v/>
      </c>
      <c r="B88" s="23" t="str">
        <f>IF(ISNUMBER('Real Structures'!B94),'Real Structures'!B94, "")</f>
        <v/>
      </c>
      <c r="C88" s="23" t="str">
        <f>IF('Real Structures'!C94&lt;&gt;0,'Real Structures'!C94, "")</f>
        <v/>
      </c>
    </row>
    <row r="89" spans="1:3">
      <c r="A89" s="23" t="str">
        <f>TEXT(IF('Real Structures'!A95&lt;&gt;0,'Real Structures'!A95, ""), "mm-dd-yyyy")</f>
        <v/>
      </c>
      <c r="B89" s="23" t="str">
        <f>IF(ISNUMBER('Real Structures'!B95),'Real Structures'!B95, "")</f>
        <v/>
      </c>
      <c r="C89" s="23" t="str">
        <f>IF('Real Structures'!C95&lt;&gt;0,'Real Structures'!C95, "")</f>
        <v/>
      </c>
    </row>
    <row r="90" spans="1:3">
      <c r="A90" s="23" t="str">
        <f>TEXT(IF('Real Structures'!A96&lt;&gt;0,'Real Structures'!A96, ""), "mm-dd-yyyy")</f>
        <v/>
      </c>
      <c r="B90" s="23" t="str">
        <f>IF(ISNUMBER('Real Structures'!B96),'Real Structures'!B96, "")</f>
        <v/>
      </c>
      <c r="C90" s="23" t="str">
        <f>IF('Real Structures'!C96&lt;&gt;0,'Real Structures'!C96, "")</f>
        <v/>
      </c>
    </row>
    <row r="91" spans="1:3">
      <c r="A91" s="23" t="str">
        <f>TEXT(IF('Real Structures'!A97&lt;&gt;0,'Real Structures'!A97, ""), "mm-dd-yyyy")</f>
        <v/>
      </c>
      <c r="B91" s="23" t="str">
        <f>IF(ISNUMBER('Real Structures'!B97),'Real Structures'!B97, "")</f>
        <v/>
      </c>
      <c r="C91" s="23" t="str">
        <f>IF('Real Structures'!C97&lt;&gt;0,'Real Structures'!C97, "")</f>
        <v/>
      </c>
    </row>
    <row r="92" spans="1:3">
      <c r="A92" s="23" t="str">
        <f>TEXT(IF('Real Structures'!A98&lt;&gt;0,'Real Structures'!A98, ""), "mm-dd-yyyy")</f>
        <v/>
      </c>
      <c r="B92" s="23" t="str">
        <f>IF(ISNUMBER('Real Structures'!B98),'Real Structures'!B98, "")</f>
        <v/>
      </c>
      <c r="C92" s="23" t="str">
        <f>IF('Real Structures'!C98&lt;&gt;0,'Real Structures'!C98, "")</f>
        <v/>
      </c>
    </row>
    <row r="93" spans="1:3">
      <c r="A93" s="23" t="str">
        <f>TEXT(IF('Real Structures'!A99&lt;&gt;0,'Real Structures'!A99, ""), "mm-dd-yyyy")</f>
        <v/>
      </c>
      <c r="B93" s="23" t="str">
        <f>IF(ISNUMBER('Real Structures'!B99),'Real Structures'!B99, "")</f>
        <v/>
      </c>
      <c r="C93" s="23" t="str">
        <f>IF('Real Structures'!C99&lt;&gt;0,'Real Structures'!C99, "")</f>
        <v/>
      </c>
    </row>
    <row r="94" spans="1:3">
      <c r="A94" s="23" t="str">
        <f>TEXT(IF('Real Structures'!A100&lt;&gt;0,'Real Structures'!A100, ""), "mm-dd-yyyy")</f>
        <v/>
      </c>
      <c r="B94" s="23" t="str">
        <f>IF(ISNUMBER('Real Structures'!B100),'Real Structures'!B100, "")</f>
        <v/>
      </c>
      <c r="C94" s="23" t="str">
        <f>IF('Real Structures'!C100&lt;&gt;0,'Real Structures'!C100, "")</f>
        <v/>
      </c>
    </row>
    <row r="95" spans="1:3">
      <c r="A95" s="23" t="str">
        <f>TEXT(IF('Real Structures'!A101&lt;&gt;0,'Real Structures'!A101, ""), "mm-dd-yyyy")</f>
        <v/>
      </c>
      <c r="B95" s="23" t="str">
        <f>IF(ISNUMBER('Real Structures'!B101),'Real Structures'!B101, "")</f>
        <v/>
      </c>
      <c r="C95" s="23" t="str">
        <f>IF('Real Structures'!C101&lt;&gt;0,'Real Structures'!C101, "")</f>
        <v/>
      </c>
    </row>
    <row r="96" spans="1:3">
      <c r="A96" s="23" t="str">
        <f>TEXT(IF('Real Structures'!A102&lt;&gt;0,'Real Structures'!A102, ""), "mm-dd-yyyy")</f>
        <v/>
      </c>
      <c r="B96" s="23" t="str">
        <f>IF(ISNUMBER('Real Structures'!B102),'Real Structures'!B102, "")</f>
        <v/>
      </c>
      <c r="C96" s="23" t="str">
        <f>IF('Real Structures'!C102&lt;&gt;0,'Real Structures'!C102, "")</f>
        <v/>
      </c>
    </row>
    <row r="97" spans="1:3">
      <c r="A97" s="23" t="str">
        <f>TEXT(IF('Real Structures'!A103&lt;&gt;0,'Real Structures'!A103, ""), "mm-dd-yyyy")</f>
        <v/>
      </c>
      <c r="B97" s="23" t="str">
        <f>IF(ISNUMBER('Real Structures'!B103),'Real Structures'!B103, "")</f>
        <v/>
      </c>
      <c r="C97" s="23" t="str">
        <f>IF('Real Structures'!C103&lt;&gt;0,'Real Structures'!C103, "")</f>
        <v/>
      </c>
    </row>
    <row r="98" spans="1:3">
      <c r="A98" s="23" t="str">
        <f>TEXT(IF('Real Structures'!A104&lt;&gt;0,'Real Structures'!A104, ""), "mm-dd-yyyy")</f>
        <v/>
      </c>
      <c r="B98" s="23" t="str">
        <f>IF(ISNUMBER('Real Structures'!B104),'Real Structures'!B104, "")</f>
        <v/>
      </c>
      <c r="C98" s="23" t="str">
        <f>IF('Real Structures'!C104&lt;&gt;0,'Real Structures'!C104, "")</f>
        <v/>
      </c>
    </row>
    <row r="99" spans="1:3">
      <c r="A99" s="23" t="str">
        <f>TEXT(IF('Real Structures'!A105&lt;&gt;0,'Real Structures'!A105, ""), "mm-dd-yyyy")</f>
        <v/>
      </c>
      <c r="B99" s="23" t="str">
        <f>IF(ISNUMBER('Real Structures'!B105),'Real Structures'!B105, "")</f>
        <v/>
      </c>
      <c r="C99" s="23" t="str">
        <f>IF('Real Structures'!C105&lt;&gt;0,'Real Structures'!C105, "")</f>
        <v/>
      </c>
    </row>
    <row r="100" spans="1:3">
      <c r="A100" s="23" t="str">
        <f>TEXT(IF('Real Structures'!A106&lt;&gt;0,'Real Structures'!A106, ""), "mm-dd-yyyy")</f>
        <v/>
      </c>
      <c r="B100" s="23" t="str">
        <f>IF(ISNUMBER('Real Structures'!B106),'Real Structures'!B106, "")</f>
        <v/>
      </c>
      <c r="C100" s="23" t="str">
        <f>IF('Real Structures'!C106&lt;&gt;0,'Real Structures'!C106, "")</f>
        <v/>
      </c>
    </row>
    <row r="101" spans="1:3">
      <c r="A101" s="23" t="str">
        <f>TEXT(IF('Real Structures'!A107&lt;&gt;0,'Real Structures'!A107, ""), "mm-dd-yyyy")</f>
        <v/>
      </c>
      <c r="B101" s="23" t="str">
        <f>IF(ISNUMBER('Real Structures'!B107),'Real Structures'!B107, "")</f>
        <v/>
      </c>
      <c r="C101" s="23" t="str">
        <f>IF('Real Structures'!C107&lt;&gt;0,'Real Structures'!C107, "")</f>
        <v/>
      </c>
    </row>
    <row r="102" spans="1:3">
      <c r="A102" s="23" t="str">
        <f>TEXT(IF('Real Structures'!A108&lt;&gt;0,'Real Structures'!A108, ""), "mm-dd-yyyy")</f>
        <v/>
      </c>
      <c r="B102" s="23" t="str">
        <f>IF(ISNUMBER('Real Structures'!B108),'Real Structures'!B108, "")</f>
        <v/>
      </c>
      <c r="C102" s="23" t="str">
        <f>IF('Real Structures'!C108&lt;&gt;0,'Real Structures'!C108, "")</f>
        <v/>
      </c>
    </row>
    <row r="103" spans="1:3">
      <c r="A103" s="23" t="str">
        <f>TEXT(IF('Real Structures'!A109&lt;&gt;0,'Real Structures'!A109, ""), "mm-dd-yyyy")</f>
        <v/>
      </c>
      <c r="B103" s="23" t="str">
        <f>IF(ISNUMBER('Real Structures'!B109),'Real Structures'!B109, "")</f>
        <v/>
      </c>
      <c r="C103" s="23" t="str">
        <f>IF('Real Structures'!C109&lt;&gt;0,'Real Structures'!C109, "")</f>
        <v/>
      </c>
    </row>
    <row r="104" spans="1:3">
      <c r="A104" s="23" t="str">
        <f>TEXT(IF('Real Structures'!A110&lt;&gt;0,'Real Structures'!A110, ""), "mm-dd-yyyy")</f>
        <v/>
      </c>
      <c r="B104" s="23" t="str">
        <f>IF(ISNUMBER('Real Structures'!B110),'Real Structures'!B110, "")</f>
        <v/>
      </c>
      <c r="C104" s="23" t="str">
        <f>IF('Real Structures'!C110&lt;&gt;0,'Real Structures'!C110, "")</f>
        <v/>
      </c>
    </row>
    <row r="105" spans="1:3">
      <c r="A105" s="23" t="str">
        <f>TEXT(IF('Real Structures'!A111&lt;&gt;0,'Real Structures'!A111, ""), "mm-dd-yyyy")</f>
        <v/>
      </c>
      <c r="B105" s="23" t="str">
        <f>IF(ISNUMBER('Real Structures'!B111),'Real Structures'!B111, "")</f>
        <v/>
      </c>
      <c r="C105" s="23" t="str">
        <f>IF('Real Structures'!C111&lt;&gt;0,'Real Structures'!C111, "")</f>
        <v/>
      </c>
    </row>
    <row r="106" spans="1:3">
      <c r="A106" s="23" t="str">
        <f>TEXT(IF('Real Structures'!A112&lt;&gt;0,'Real Structures'!A112, ""), "mm-dd-yyyy")</f>
        <v/>
      </c>
      <c r="B106" s="23" t="str">
        <f>IF(ISNUMBER('Real Structures'!B112),'Real Structures'!B112, "")</f>
        <v/>
      </c>
      <c r="C106" s="23" t="str">
        <f>IF('Real Structures'!C112&lt;&gt;0,'Real Structures'!C112, "")</f>
        <v/>
      </c>
    </row>
    <row r="107" spans="1:3">
      <c r="A107" s="23" t="str">
        <f>TEXT(IF('Real Structures'!A113&lt;&gt;0,'Real Structures'!A113, ""), "mm-dd-yyyy")</f>
        <v/>
      </c>
      <c r="B107" s="23" t="str">
        <f>IF(ISNUMBER('Real Structures'!B113),'Real Structures'!B113, "")</f>
        <v/>
      </c>
      <c r="C107" s="23" t="str">
        <f>IF('Real Structures'!C113&lt;&gt;0,'Real Structures'!C113, "")</f>
        <v/>
      </c>
    </row>
    <row r="108" spans="1:3">
      <c r="A108" s="23" t="str">
        <f>TEXT(IF('Real Structures'!A114&lt;&gt;0,'Real Structures'!A114, ""), "mm-dd-yyyy")</f>
        <v/>
      </c>
      <c r="B108" s="23" t="str">
        <f>IF(ISNUMBER('Real Structures'!B114),'Real Structures'!B114, "")</f>
        <v/>
      </c>
      <c r="C108" s="23" t="str">
        <f>IF('Real Structures'!C114&lt;&gt;0,'Real Structures'!C114, "")</f>
        <v/>
      </c>
    </row>
    <row r="109" spans="1:3">
      <c r="A109" s="23" t="str">
        <f>TEXT(IF('Real Structures'!A115&lt;&gt;0,'Real Structures'!A115, ""), "mm-dd-yyyy")</f>
        <v/>
      </c>
      <c r="B109" s="23" t="str">
        <f>IF(ISNUMBER('Real Structures'!B115),'Real Structures'!B115, "")</f>
        <v/>
      </c>
      <c r="C109" s="23" t="str">
        <f>IF('Real Structures'!C115&lt;&gt;0,'Real Structures'!C115, "")</f>
        <v/>
      </c>
    </row>
    <row r="110" spans="1:3">
      <c r="A110" s="23" t="str">
        <f>TEXT(IF('Real Structures'!A116&lt;&gt;0,'Real Structures'!A116, ""), "mm-dd-yyyy")</f>
        <v/>
      </c>
      <c r="B110" s="23" t="str">
        <f>IF(ISNUMBER('Real Structures'!B116),'Real Structures'!B116, "")</f>
        <v/>
      </c>
      <c r="C110" s="23" t="str">
        <f>IF('Real Structures'!C116&lt;&gt;0,'Real Structures'!C116, "")</f>
        <v/>
      </c>
    </row>
    <row r="111" spans="1:3">
      <c r="A111" s="23" t="str">
        <f>TEXT(IF('Real Structures'!A117&lt;&gt;0,'Real Structures'!A117, ""), "mm-dd-yyyy")</f>
        <v/>
      </c>
      <c r="B111" s="23" t="str">
        <f>IF(ISNUMBER('Real Structures'!B117),'Real Structures'!B117, "")</f>
        <v/>
      </c>
      <c r="C111" s="23" t="str">
        <f>IF('Real Structures'!C117&lt;&gt;0,'Real Structures'!C117, "")</f>
        <v/>
      </c>
    </row>
    <row r="112" spans="1:3">
      <c r="A112" s="23" t="str">
        <f>TEXT(IF('Real Structures'!A118&lt;&gt;0,'Real Structures'!A118, ""), "mm-dd-yyyy")</f>
        <v/>
      </c>
      <c r="B112" s="23" t="str">
        <f>IF(ISNUMBER('Real Structures'!B118),'Real Structures'!B118, "")</f>
        <v/>
      </c>
      <c r="C112" s="23" t="str">
        <f>IF('Real Structures'!C118&lt;&gt;0,'Real Structures'!C118, "")</f>
        <v/>
      </c>
    </row>
    <row r="113" spans="1:3">
      <c r="A113" s="23" t="str">
        <f>TEXT(IF('Real Structures'!A119&lt;&gt;0,'Real Structures'!A119, ""), "mm-dd-yyyy")</f>
        <v/>
      </c>
      <c r="B113" s="23" t="str">
        <f>IF(ISNUMBER('Real Structures'!B119),'Real Structures'!B119, "")</f>
        <v/>
      </c>
      <c r="C113" s="23" t="str">
        <f>IF('Real Structures'!C119&lt;&gt;0,'Real Structures'!C119, "")</f>
        <v/>
      </c>
    </row>
    <row r="114" spans="1:3">
      <c r="A114" s="23" t="str">
        <f>TEXT(IF('Real Structures'!A120&lt;&gt;0,'Real Structures'!A120, ""), "mm-dd-yyyy")</f>
        <v/>
      </c>
      <c r="B114" s="23" t="str">
        <f>IF(ISNUMBER('Real Structures'!B120),'Real Structures'!B120, "")</f>
        <v/>
      </c>
      <c r="C114" s="23" t="str">
        <f>IF('Real Structures'!C120&lt;&gt;0,'Real Structures'!C120, "")</f>
        <v/>
      </c>
    </row>
    <row r="115" spans="1:3">
      <c r="A115" s="23" t="str">
        <f>TEXT(IF('Real Structures'!A121&lt;&gt;0,'Real Structures'!A121, ""), "mm-dd-yyyy")</f>
        <v/>
      </c>
      <c r="B115" s="23" t="str">
        <f>IF(ISNUMBER('Real Structures'!B121),'Real Structures'!B121, "")</f>
        <v/>
      </c>
      <c r="C115" s="23" t="str">
        <f>IF('Real Structures'!C121&lt;&gt;0,'Real Structures'!C121, "")</f>
        <v/>
      </c>
    </row>
    <row r="116" spans="1:3">
      <c r="A116" s="23" t="str">
        <f>TEXT(IF('Real Structures'!A122&lt;&gt;0,'Real Structures'!A122, ""), "mm-dd-yyyy")</f>
        <v/>
      </c>
      <c r="B116" s="23" t="str">
        <f>IF(ISNUMBER('Real Structures'!B122),'Real Structures'!B122, "")</f>
        <v/>
      </c>
      <c r="C116" s="23" t="str">
        <f>IF('Real Structures'!C122&lt;&gt;0,'Real Structures'!C122, "")</f>
        <v/>
      </c>
    </row>
    <row r="117" spans="1:3">
      <c r="A117" s="23" t="str">
        <f>TEXT(IF('Real Structures'!A123&lt;&gt;0,'Real Structures'!A123, ""), "mm-dd-yyyy")</f>
        <v/>
      </c>
      <c r="B117" s="23" t="str">
        <f>IF(ISNUMBER('Real Structures'!B123),'Real Structures'!B123, "")</f>
        <v/>
      </c>
      <c r="C117" s="23" t="str">
        <f>IF('Real Structures'!C123&lt;&gt;0,'Real Structures'!C123, "")</f>
        <v/>
      </c>
    </row>
    <row r="118" spans="1:3">
      <c r="A118" s="23" t="str">
        <f>TEXT(IF('Real Structures'!A124&lt;&gt;0,'Real Structures'!A124, ""), "mm-dd-yyyy")</f>
        <v/>
      </c>
      <c r="B118" s="23" t="str">
        <f>IF(ISNUMBER('Real Structures'!B124),'Real Structures'!B124, "")</f>
        <v/>
      </c>
      <c r="C118" s="23" t="str">
        <f>IF('Real Structures'!C124&lt;&gt;0,'Real Structures'!C124, "")</f>
        <v/>
      </c>
    </row>
    <row r="119" spans="1:3">
      <c r="A119" s="23" t="str">
        <f>TEXT(IF('Real Structures'!A125&lt;&gt;0,'Real Structures'!A125, ""), "mm-dd-yyyy")</f>
        <v/>
      </c>
      <c r="B119" s="23" t="str">
        <f>IF(ISNUMBER('Real Structures'!B125),'Real Structures'!B125, "")</f>
        <v/>
      </c>
      <c r="C119" s="23" t="str">
        <f>IF('Real Structures'!C125&lt;&gt;0,'Real Structures'!C125, "")</f>
        <v/>
      </c>
    </row>
    <row r="120" spans="1:3">
      <c r="A120" s="23" t="str">
        <f>TEXT(IF('Real Structures'!A126&lt;&gt;0,'Real Structures'!A126, ""), "mm-dd-yyyy")</f>
        <v/>
      </c>
      <c r="B120" s="23" t="str">
        <f>IF(ISNUMBER('Real Structures'!B126),'Real Structures'!B126, "")</f>
        <v/>
      </c>
      <c r="C120" s="23" t="str">
        <f>IF('Real Structures'!C126&lt;&gt;0,'Real Structures'!C126, "")</f>
        <v/>
      </c>
    </row>
    <row r="121" spans="1:3">
      <c r="A121" s="23" t="str">
        <f>TEXT(IF('Real Structures'!A127&lt;&gt;0,'Real Structures'!A127, ""), "mm-dd-yyyy")</f>
        <v/>
      </c>
      <c r="B121" s="23" t="str">
        <f>IF(ISNUMBER('Real Structures'!B127),'Real Structures'!B127, "")</f>
        <v/>
      </c>
      <c r="C121" s="23" t="str">
        <f>IF('Real Structures'!C127&lt;&gt;0,'Real Structures'!C127, "")</f>
        <v/>
      </c>
    </row>
    <row r="122" spans="1:3">
      <c r="A122" s="23" t="str">
        <f>TEXT(IF('Real Structures'!A128&lt;&gt;0,'Real Structures'!A128, ""), "mm-dd-yyyy")</f>
        <v/>
      </c>
      <c r="B122" s="23" t="str">
        <f>IF(ISNUMBER('Real Structures'!B128),'Real Structures'!B128, "")</f>
        <v/>
      </c>
      <c r="C122" s="23" t="str">
        <f>IF('Real Structures'!C128&lt;&gt;0,'Real Structures'!C128, "")</f>
        <v/>
      </c>
    </row>
    <row r="123" spans="1:3">
      <c r="A123" s="23" t="str">
        <f>TEXT(IF('Real Structures'!A129&lt;&gt;0,'Real Structures'!A129, ""), "mm-dd-yyyy")</f>
        <v/>
      </c>
      <c r="B123" s="23" t="str">
        <f>IF(ISNUMBER('Real Structures'!B129),'Real Structures'!B129, "")</f>
        <v/>
      </c>
      <c r="C123" s="23" t="str">
        <f>IF('Real Structures'!C129&lt;&gt;0,'Real Structures'!C129, "")</f>
        <v/>
      </c>
    </row>
    <row r="124" spans="1:3">
      <c r="A124" s="23" t="str">
        <f>TEXT(IF('Real Structures'!A130&lt;&gt;0,'Real Structures'!A130, ""), "mm-dd-yyyy")</f>
        <v/>
      </c>
      <c r="B124" s="23" t="str">
        <f>IF(ISNUMBER('Real Structures'!B130),'Real Structures'!B130, "")</f>
        <v/>
      </c>
      <c r="C124" s="23" t="str">
        <f>IF('Real Structures'!C130&lt;&gt;0,'Real Structures'!C130, "")</f>
        <v/>
      </c>
    </row>
    <row r="125" spans="1:3">
      <c r="A125" s="23" t="str">
        <f>TEXT(IF('Real Structures'!A131&lt;&gt;0,'Real Structures'!A131, ""), "mm-dd-yyyy")</f>
        <v/>
      </c>
      <c r="B125" s="23" t="str">
        <f>IF(ISNUMBER('Real Structures'!B131),'Real Structures'!B131, "")</f>
        <v/>
      </c>
      <c r="C125" s="23" t="str">
        <f>IF('Real Structures'!C131&lt;&gt;0,'Real Structures'!C131, "")</f>
        <v/>
      </c>
    </row>
    <row r="126" spans="1:3">
      <c r="A126" s="23" t="str">
        <f>TEXT(IF('Real Structures'!A132&lt;&gt;0,'Real Structures'!A132, ""), "mm-dd-yyyy")</f>
        <v/>
      </c>
      <c r="B126" s="23" t="str">
        <f>IF(ISNUMBER('Real Structures'!B132),'Real Structures'!B132, "")</f>
        <v/>
      </c>
      <c r="C126" s="23" t="str">
        <f>IF('Real Structures'!C132&lt;&gt;0,'Real Structures'!C132, "")</f>
        <v/>
      </c>
    </row>
    <row r="127" spans="1:3">
      <c r="A127" s="23" t="str">
        <f>TEXT(IF('Real Structures'!A133&lt;&gt;0,'Real Structures'!A133, ""), "mm-dd-yyyy")</f>
        <v/>
      </c>
      <c r="B127" s="23" t="str">
        <f>IF(ISNUMBER('Real Structures'!B133),'Real Structures'!B133, "")</f>
        <v/>
      </c>
      <c r="C127" s="23" t="str">
        <f>IF('Real Structures'!C133&lt;&gt;0,'Real Structures'!C133, "")</f>
        <v/>
      </c>
    </row>
    <row r="128" spans="1:3">
      <c r="A128" s="23" t="str">
        <f>TEXT(IF('Real Structures'!A134&lt;&gt;0,'Real Structures'!A134, ""), "mm-dd-yyyy")</f>
        <v/>
      </c>
      <c r="B128" s="23" t="str">
        <f>IF(ISNUMBER('Real Structures'!B134),'Real Structures'!B134, "")</f>
        <v/>
      </c>
      <c r="C128" s="23" t="str">
        <f>IF('Real Structures'!C134&lt;&gt;0,'Real Structures'!C134, "")</f>
        <v/>
      </c>
    </row>
    <row r="129" spans="1:3">
      <c r="A129" s="23" t="str">
        <f>TEXT(IF('Real Structures'!A135&lt;&gt;0,'Real Structures'!A135, ""), "mm-dd-yyyy")</f>
        <v/>
      </c>
      <c r="B129" s="23" t="str">
        <f>IF(ISNUMBER('Real Structures'!B135),'Real Structures'!B135, "")</f>
        <v/>
      </c>
      <c r="C129" s="23" t="str">
        <f>IF('Real Structures'!C135&lt;&gt;0,'Real Structures'!C135, "")</f>
        <v/>
      </c>
    </row>
    <row r="130" spans="1:3">
      <c r="A130" s="23" t="str">
        <f>TEXT(IF('Real Structures'!A136&lt;&gt;0,'Real Structures'!A136, ""), "mm-dd-yyyy")</f>
        <v/>
      </c>
      <c r="B130" s="23" t="str">
        <f>IF(ISNUMBER('Real Structures'!B136),'Real Structures'!B136, "")</f>
        <v/>
      </c>
      <c r="C130" s="23" t="str">
        <f>IF('Real Structures'!C136&lt;&gt;0,'Real Structures'!C136, "")</f>
        <v/>
      </c>
    </row>
    <row r="131" spans="1:3">
      <c r="A131" s="23" t="str">
        <f>TEXT(IF('Real Structures'!A137&lt;&gt;0,'Real Structures'!A137, ""), "mm-dd-yyyy")</f>
        <v/>
      </c>
      <c r="B131" s="23" t="str">
        <f>IF(ISNUMBER('Real Structures'!B137),'Real Structures'!B137, "")</f>
        <v/>
      </c>
      <c r="C131" s="23" t="str">
        <f>IF('Real Structures'!C137&lt;&gt;0,'Real Structures'!C137, "")</f>
        <v/>
      </c>
    </row>
    <row r="132" spans="1:3">
      <c r="A132" s="23" t="str">
        <f>TEXT(IF('Real Structures'!A138&lt;&gt;0,'Real Structures'!A138, ""), "mm-dd-yyyy")</f>
        <v/>
      </c>
      <c r="B132" s="23" t="str">
        <f>IF(ISNUMBER('Real Structures'!B138),'Real Structures'!B138, "")</f>
        <v/>
      </c>
      <c r="C132" s="23" t="str">
        <f>IF('Real Structures'!C138&lt;&gt;0,'Real Structures'!C138, "")</f>
        <v/>
      </c>
    </row>
    <row r="133" spans="1:3">
      <c r="A133" s="23" t="str">
        <f>TEXT(IF('Real Structures'!A139&lt;&gt;0,'Real Structures'!A139, ""), "mm-dd-yyyy")</f>
        <v/>
      </c>
      <c r="B133" s="23" t="str">
        <f>IF(ISNUMBER('Real Structures'!B139),'Real Structures'!B139, "")</f>
        <v/>
      </c>
      <c r="C133" s="23" t="str">
        <f>IF('Real Structures'!C139&lt;&gt;0,'Real Structures'!C139, "")</f>
        <v/>
      </c>
    </row>
    <row r="134" spans="1:3">
      <c r="A134" s="23" t="str">
        <f>TEXT(IF('Real Structures'!A140&lt;&gt;0,'Real Structures'!A140, ""), "mm-dd-yyyy")</f>
        <v/>
      </c>
      <c r="B134" s="23" t="str">
        <f>IF(ISNUMBER('Real Structures'!B140),'Real Structures'!B140, "")</f>
        <v/>
      </c>
      <c r="C134" s="23" t="str">
        <f>IF('Real Structures'!C140&lt;&gt;0,'Real Structures'!C140, "")</f>
        <v/>
      </c>
    </row>
    <row r="135" spans="1:3">
      <c r="A135" s="23" t="str">
        <f>TEXT(IF('Real Structures'!A141&lt;&gt;0,'Real Structures'!A141, ""), "mm-dd-yyyy")</f>
        <v/>
      </c>
      <c r="B135" s="23" t="str">
        <f>IF(ISNUMBER('Real Structures'!B141),'Real Structures'!B141, "")</f>
        <v/>
      </c>
      <c r="C135" s="23" t="str">
        <f>IF('Real Structures'!C141&lt;&gt;0,'Real Structures'!C141, "")</f>
        <v/>
      </c>
    </row>
    <row r="136" spans="1:3">
      <c r="A136" s="23" t="str">
        <f>TEXT(IF('Real Structures'!A142&lt;&gt;0,'Real Structures'!A142, ""), "mm-dd-yyyy")</f>
        <v/>
      </c>
      <c r="B136" s="23" t="str">
        <f>IF(ISNUMBER('Real Structures'!B142),'Real Structures'!B142, "")</f>
        <v/>
      </c>
      <c r="C136" s="23" t="str">
        <f>IF('Real Structures'!C142&lt;&gt;0,'Real Structures'!C142, "")</f>
        <v/>
      </c>
    </row>
    <row r="137" spans="1:3">
      <c r="A137" s="23" t="str">
        <f>TEXT(IF('Real Structures'!A143&lt;&gt;0,'Real Structures'!A143, ""), "mm-dd-yyyy")</f>
        <v/>
      </c>
      <c r="B137" s="23" t="str">
        <f>IF(ISNUMBER('Real Structures'!B143),'Real Structures'!B143, "")</f>
        <v/>
      </c>
      <c r="C137" s="23" t="str">
        <f>IF('Real Structures'!C143&lt;&gt;0,'Real Structures'!C143, "")</f>
        <v/>
      </c>
    </row>
    <row r="138" spans="1:3">
      <c r="A138" s="23" t="str">
        <f>TEXT(IF('Real Structures'!A144&lt;&gt;0,'Real Structures'!A144, ""), "mm-dd-yyyy")</f>
        <v/>
      </c>
      <c r="B138" s="23" t="str">
        <f>IF(ISNUMBER('Real Structures'!B144),'Real Structures'!B144, "")</f>
        <v/>
      </c>
      <c r="C138" s="23" t="str">
        <f>IF('Real Structures'!C144&lt;&gt;0,'Real Structures'!C144, "")</f>
        <v/>
      </c>
    </row>
    <row r="139" spans="1:3">
      <c r="A139" s="23" t="str">
        <f>TEXT(IF('Real Structures'!A145&lt;&gt;0,'Real Structures'!A145, ""), "mm-dd-yyyy")</f>
        <v/>
      </c>
      <c r="B139" s="23" t="str">
        <f>IF(ISNUMBER('Real Structures'!B145),'Real Structures'!B145, "")</f>
        <v/>
      </c>
      <c r="C139" s="23" t="str">
        <f>IF('Real Structures'!C145&lt;&gt;0,'Real Structures'!C145, "")</f>
        <v/>
      </c>
    </row>
    <row r="140" spans="1:3">
      <c r="A140" s="23" t="str">
        <f>TEXT(IF('Real Structures'!A146&lt;&gt;0,'Real Structures'!A146, ""), "mm-dd-yyyy")</f>
        <v/>
      </c>
      <c r="B140" s="23" t="str">
        <f>IF(ISNUMBER('Real Structures'!B146),'Real Structures'!B146, "")</f>
        <v/>
      </c>
      <c r="C140" s="23" t="str">
        <f>IF('Real Structures'!C146&lt;&gt;0,'Real Structures'!C146, "")</f>
        <v/>
      </c>
    </row>
    <row r="141" spans="1:3">
      <c r="A141" s="23" t="str">
        <f>TEXT(IF('Real Structures'!A147&lt;&gt;0,'Real Structures'!A147, ""), "mm-dd-yyyy")</f>
        <v/>
      </c>
      <c r="B141" s="23" t="str">
        <f>IF(ISNUMBER('Real Structures'!B147),'Real Structures'!B147, "")</f>
        <v/>
      </c>
      <c r="C141" s="23" t="str">
        <f>IF('Real Structures'!C147&lt;&gt;0,'Real Structures'!C147, "")</f>
        <v/>
      </c>
    </row>
    <row r="142" spans="1:3">
      <c r="A142" s="23" t="str">
        <f>TEXT(IF('Real Structures'!A148&lt;&gt;0,'Real Structures'!A148, ""), "mm-dd-yyyy")</f>
        <v/>
      </c>
      <c r="B142" s="23" t="str">
        <f>IF(ISNUMBER('Real Structures'!B148),'Real Structures'!B148, "")</f>
        <v/>
      </c>
      <c r="C142" s="23" t="str">
        <f>IF('Real Structures'!C148&lt;&gt;0,'Real Structures'!C148, "")</f>
        <v/>
      </c>
    </row>
    <row r="143" spans="1:3">
      <c r="A143" s="23" t="str">
        <f>TEXT(IF('Real Structures'!A149&lt;&gt;0,'Real Structures'!A149, ""), "mm-dd-yyyy")</f>
        <v/>
      </c>
      <c r="B143" s="23" t="str">
        <f>IF(ISNUMBER('Real Structures'!B149),'Real Structures'!B149, "")</f>
        <v/>
      </c>
      <c r="C143" s="23" t="str">
        <f>IF('Real Structures'!C149&lt;&gt;0,'Real Structures'!C149, "")</f>
        <v/>
      </c>
    </row>
    <row r="144" spans="1:3">
      <c r="A144" s="23" t="str">
        <f>TEXT(IF('Real Structures'!A150&lt;&gt;0,'Real Structures'!A150, ""), "mm-dd-yyyy")</f>
        <v/>
      </c>
      <c r="B144" s="23" t="str">
        <f>IF(ISNUMBER('Real Structures'!B150),'Real Structures'!B150, "")</f>
        <v/>
      </c>
      <c r="C144" s="23" t="str">
        <f>IF('Real Structures'!C150&lt;&gt;0,'Real Structures'!C150, "")</f>
        <v/>
      </c>
    </row>
    <row r="145" spans="1:3">
      <c r="A145" s="23" t="str">
        <f>TEXT(IF('Real Structures'!A151&lt;&gt;0,'Real Structures'!A151, ""), "mm-dd-yyyy")</f>
        <v/>
      </c>
      <c r="B145" s="23" t="str">
        <f>IF(ISNUMBER('Real Structures'!B151),'Real Structures'!B151, "")</f>
        <v/>
      </c>
      <c r="C145" s="23" t="str">
        <f>IF('Real Structures'!C151&lt;&gt;0,'Real Structures'!C151, "")</f>
        <v/>
      </c>
    </row>
    <row r="146" spans="1:3">
      <c r="A146" s="23" t="str">
        <f>TEXT(IF('Real Structures'!A152&lt;&gt;0,'Real Structures'!A152, ""), "mm-dd-yyyy")</f>
        <v/>
      </c>
      <c r="B146" s="23" t="str">
        <f>IF(ISNUMBER('Real Structures'!B152),'Real Structures'!B152, "")</f>
        <v/>
      </c>
      <c r="C146" s="23" t="str">
        <f>IF('Real Structures'!C152&lt;&gt;0,'Real Structures'!C152, "")</f>
        <v/>
      </c>
    </row>
    <row r="147" spans="1:3">
      <c r="A147" s="23" t="str">
        <f>TEXT(IF('Real Structures'!A153&lt;&gt;0,'Real Structures'!A153, ""), "mm-dd-yyyy")</f>
        <v/>
      </c>
      <c r="B147" s="23" t="str">
        <f>IF(ISNUMBER('Real Structures'!B153),'Real Structures'!B153, "")</f>
        <v/>
      </c>
      <c r="C147" s="23" t="str">
        <f>IF('Real Structures'!C153&lt;&gt;0,'Real Structures'!C153, "")</f>
        <v/>
      </c>
    </row>
    <row r="148" spans="1:3">
      <c r="A148" s="23" t="str">
        <f>TEXT(IF('Real Structures'!A154&lt;&gt;0,'Real Structures'!A154, ""), "mm-dd-yyyy")</f>
        <v/>
      </c>
      <c r="B148" s="23" t="str">
        <f>IF(ISNUMBER('Real Structures'!B154),'Real Structures'!B154, "")</f>
        <v/>
      </c>
      <c r="C148" s="23" t="str">
        <f>IF('Real Structures'!C154&lt;&gt;0,'Real Structures'!C154, "")</f>
        <v/>
      </c>
    </row>
    <row r="149" spans="1:3">
      <c r="A149" s="23" t="str">
        <f>TEXT(IF('Real Structures'!A155&lt;&gt;0,'Real Structures'!A155, ""), "mm-dd-yyyy")</f>
        <v/>
      </c>
      <c r="B149" s="23" t="str">
        <f>IF(ISNUMBER('Real Structures'!B155),'Real Structures'!B155, "")</f>
        <v/>
      </c>
      <c r="C149" s="23" t="str">
        <f>IF('Real Structures'!C155&lt;&gt;0,'Real Structures'!C155, "")</f>
        <v/>
      </c>
    </row>
    <row r="150" spans="1:3">
      <c r="A150" s="23" t="str">
        <f>TEXT(IF('Real Structures'!A156&lt;&gt;0,'Real Structures'!A156, ""), "mm-dd-yyyy")</f>
        <v/>
      </c>
      <c r="B150" s="23" t="str">
        <f>IF(ISNUMBER('Real Structures'!B156),'Real Structures'!B156, "")</f>
        <v/>
      </c>
      <c r="C150" s="23" t="str">
        <f>IF('Real Structures'!C156&lt;&gt;0,'Real Structures'!C156, "")</f>
        <v/>
      </c>
    </row>
    <row r="151" spans="1:3">
      <c r="A151" s="23" t="str">
        <f>TEXT(IF('Real Structures'!A157&lt;&gt;0,'Real Structures'!A157, ""), "mm-dd-yyyy")</f>
        <v/>
      </c>
      <c r="B151" s="23" t="str">
        <f>IF(ISNUMBER('Real Structures'!B157),'Real Structures'!B157, "")</f>
        <v/>
      </c>
      <c r="C151" s="23" t="str">
        <f>IF('Real Structures'!C157&lt;&gt;0,'Real Structures'!C157, "")</f>
        <v/>
      </c>
    </row>
    <row r="152" spans="1:3">
      <c r="A152" s="23" t="str">
        <f>TEXT(IF('Real Structures'!A158&lt;&gt;0,'Real Structures'!A158, ""), "mm-dd-yyyy")</f>
        <v/>
      </c>
      <c r="B152" s="23" t="str">
        <f>IF(ISNUMBER('Real Structures'!B158),'Real Structures'!B158, "")</f>
        <v/>
      </c>
      <c r="C152" s="23" t="str">
        <f>IF('Real Structures'!C158&lt;&gt;0,'Real Structures'!C158, "")</f>
        <v/>
      </c>
    </row>
    <row r="153" spans="1:3">
      <c r="A153" s="23" t="str">
        <f>TEXT(IF('Real Structures'!A159&lt;&gt;0,'Real Structures'!A159, ""), "mm-dd-yyyy")</f>
        <v/>
      </c>
      <c r="B153" s="23" t="str">
        <f>IF(ISNUMBER('Real Structures'!B159),'Real Structures'!B159, "")</f>
        <v/>
      </c>
      <c r="C153" s="23" t="str">
        <f>IF('Real Structures'!C159&lt;&gt;0,'Real Structures'!C159, "")</f>
        <v/>
      </c>
    </row>
    <row r="154" spans="1:3">
      <c r="A154" s="23" t="str">
        <f>TEXT(IF('Real Structures'!A160&lt;&gt;0,'Real Structures'!A160, ""), "mm-dd-yyyy")</f>
        <v/>
      </c>
      <c r="B154" s="23" t="str">
        <f>IF(ISNUMBER('Real Structures'!B160),'Real Structures'!B160, "")</f>
        <v/>
      </c>
      <c r="C154" s="23" t="str">
        <f>IF('Real Structures'!C160&lt;&gt;0,'Real Structures'!C160, "")</f>
        <v/>
      </c>
    </row>
    <row r="155" spans="1:3">
      <c r="A155" s="23" t="str">
        <f>TEXT(IF('Real Structures'!A161&lt;&gt;0,'Real Structures'!A161, ""), "mm-dd-yyyy")</f>
        <v/>
      </c>
      <c r="B155" s="23" t="str">
        <f>IF(ISNUMBER('Real Structures'!B161),'Real Structures'!B161, "")</f>
        <v/>
      </c>
      <c r="C155" s="23" t="str">
        <f>IF('Real Structures'!C161&lt;&gt;0,'Real Structures'!C161, "")</f>
        <v/>
      </c>
    </row>
    <row r="156" spans="1:3">
      <c r="A156" s="23" t="str">
        <f>TEXT(IF('Real Structures'!A162&lt;&gt;0,'Real Structures'!A162, ""), "mm-dd-yyyy")</f>
        <v/>
      </c>
      <c r="B156" s="23" t="str">
        <f>IF(ISNUMBER('Real Structures'!B162),'Real Structures'!B162, "")</f>
        <v/>
      </c>
      <c r="C156" s="23" t="str">
        <f>IF('Real Structures'!C162&lt;&gt;0,'Real Structures'!C162, "")</f>
        <v/>
      </c>
    </row>
    <row r="157" spans="1:3">
      <c r="A157" s="23" t="str">
        <f>TEXT(IF('Real Structures'!A163&lt;&gt;0,'Real Structures'!A163, ""), "mm-dd-yyyy")</f>
        <v/>
      </c>
      <c r="B157" s="23" t="str">
        <f>IF(ISNUMBER('Real Structures'!B163),'Real Structures'!B163, "")</f>
        <v/>
      </c>
      <c r="C157" s="23" t="str">
        <f>IF('Real Structures'!C163&lt;&gt;0,'Real Structures'!C163, "")</f>
        <v/>
      </c>
    </row>
    <row r="158" spans="1:3">
      <c r="A158" s="23" t="str">
        <f>TEXT(IF('Real Structures'!A164&lt;&gt;0,'Real Structures'!A164, ""), "mm-dd-yyyy")</f>
        <v/>
      </c>
      <c r="B158" s="23" t="str">
        <f>IF(ISNUMBER('Real Structures'!B164),'Real Structures'!B164, "")</f>
        <v/>
      </c>
      <c r="C158" s="23" t="str">
        <f>IF('Real Structures'!C164&lt;&gt;0,'Real Structures'!C164, "")</f>
        <v/>
      </c>
    </row>
    <row r="159" spans="1:3">
      <c r="A159" s="23" t="str">
        <f>TEXT(IF('Real Structures'!A165&lt;&gt;0,'Real Structures'!A165, ""), "mm-dd-yyyy")</f>
        <v/>
      </c>
      <c r="B159" s="23" t="str">
        <f>IF(ISNUMBER('Real Structures'!B165),'Real Structures'!B165, "")</f>
        <v/>
      </c>
      <c r="C159" s="23" t="str">
        <f>IF('Real Structures'!C165&lt;&gt;0,'Real Structures'!C165, "")</f>
        <v/>
      </c>
    </row>
    <row r="160" spans="1:3">
      <c r="A160" s="23" t="str">
        <f>TEXT(IF('Real Structures'!A166&lt;&gt;0,'Real Structures'!A166, ""), "mm-dd-yyyy")</f>
        <v/>
      </c>
      <c r="B160" s="23" t="str">
        <f>IF(ISNUMBER('Real Structures'!B166),'Real Structures'!B166, "")</f>
        <v/>
      </c>
      <c r="C160" s="23" t="str">
        <f>IF('Real Structures'!C166&lt;&gt;0,'Real Structures'!C166, "")</f>
        <v/>
      </c>
    </row>
    <row r="161" spans="1:3">
      <c r="A161" s="23" t="str">
        <f>TEXT(IF('Real Structures'!A167&lt;&gt;0,'Real Structures'!A167, ""), "mm-dd-yyyy")</f>
        <v/>
      </c>
      <c r="B161" s="23" t="str">
        <f>IF(ISNUMBER('Real Structures'!B167),'Real Structures'!B167, "")</f>
        <v/>
      </c>
      <c r="C161" s="23" t="str">
        <f>IF('Real Structures'!C167&lt;&gt;0,'Real Structures'!C167, "")</f>
        <v/>
      </c>
    </row>
    <row r="162" spans="1:3">
      <c r="A162" s="23" t="str">
        <f>TEXT(IF('Real Structures'!A168&lt;&gt;0,'Real Structures'!A168, ""), "mm-dd-yyyy")</f>
        <v/>
      </c>
      <c r="B162" s="23" t="str">
        <f>IF(ISNUMBER('Real Structures'!B168),'Real Structures'!B168, "")</f>
        <v/>
      </c>
      <c r="C162" s="23" t="str">
        <f>IF('Real Structures'!C168&lt;&gt;0,'Real Structures'!C168, "")</f>
        <v/>
      </c>
    </row>
    <row r="163" spans="1:3">
      <c r="A163" s="23" t="str">
        <f>TEXT(IF('Real Structures'!A169&lt;&gt;0,'Real Structures'!A169, ""), "mm-dd-yyyy")</f>
        <v/>
      </c>
      <c r="B163" s="23" t="str">
        <f>IF(ISNUMBER('Real Structures'!B169),'Real Structures'!B169, "")</f>
        <v/>
      </c>
      <c r="C163" s="23" t="str">
        <f>IF('Real Structures'!C169&lt;&gt;0,'Real Structures'!C169, "")</f>
        <v/>
      </c>
    </row>
    <row r="164" spans="1:3">
      <c r="A164" s="23" t="str">
        <f>TEXT(IF('Real Structures'!A170&lt;&gt;0,'Real Structures'!A170, ""), "mm-dd-yyyy")</f>
        <v/>
      </c>
      <c r="B164" s="23" t="str">
        <f>IF(ISNUMBER('Real Structures'!B170),'Real Structures'!B170, "")</f>
        <v/>
      </c>
      <c r="C164" s="23" t="str">
        <f>IF('Real Structures'!C170&lt;&gt;0,'Real Structures'!C170, "")</f>
        <v/>
      </c>
    </row>
    <row r="165" spans="1:3">
      <c r="A165" s="23" t="str">
        <f>TEXT(IF('Real Structures'!A171&lt;&gt;0,'Real Structures'!A171, ""), "mm-dd-yyyy")</f>
        <v/>
      </c>
      <c r="B165" s="23" t="str">
        <f>IF(ISNUMBER('Real Structures'!B171),'Real Structures'!B171, "")</f>
        <v/>
      </c>
      <c r="C165" s="23" t="str">
        <f>IF('Real Structures'!C171&lt;&gt;0,'Real Structures'!C171, "")</f>
        <v/>
      </c>
    </row>
    <row r="166" spans="1:3">
      <c r="A166" s="23" t="str">
        <f>TEXT(IF('Real Structures'!A172&lt;&gt;0,'Real Structures'!A172, ""), "mm-dd-yyyy")</f>
        <v/>
      </c>
      <c r="B166" s="23" t="str">
        <f>IF(ISNUMBER('Real Structures'!B172),'Real Structures'!B172, "")</f>
        <v/>
      </c>
      <c r="C166" s="23" t="str">
        <f>IF('Real Structures'!C172&lt;&gt;0,'Real Structures'!C172, "")</f>
        <v/>
      </c>
    </row>
    <row r="167" spans="1:3">
      <c r="A167" s="23" t="str">
        <f>TEXT(IF('Real Structures'!A173&lt;&gt;0,'Real Structures'!A173, ""), "mm-dd-yyyy")</f>
        <v/>
      </c>
      <c r="B167" s="23" t="str">
        <f>IF(ISNUMBER('Real Structures'!B173),'Real Structures'!B173, "")</f>
        <v/>
      </c>
      <c r="C167" s="23" t="str">
        <f>IF('Real Structures'!C173&lt;&gt;0,'Real Structures'!C173, "")</f>
        <v/>
      </c>
    </row>
    <row r="168" spans="1:3">
      <c r="A168" s="23" t="str">
        <f>TEXT(IF('Real Structures'!A174&lt;&gt;0,'Real Structures'!A174, ""), "mm-dd-yyyy")</f>
        <v/>
      </c>
      <c r="B168" s="23" t="str">
        <f>IF(ISNUMBER('Real Structures'!B174),'Real Structures'!B174, "")</f>
        <v/>
      </c>
      <c r="C168" s="23" t="str">
        <f>IF('Real Structures'!C174&lt;&gt;0,'Real Structures'!C174, "")</f>
        <v/>
      </c>
    </row>
    <row r="169" spans="1:3">
      <c r="A169" s="23" t="str">
        <f>TEXT(IF('Real Structures'!A175&lt;&gt;0,'Real Structures'!A175, ""), "mm-dd-yyyy")</f>
        <v/>
      </c>
      <c r="B169" s="23" t="str">
        <f>IF(ISNUMBER('Real Structures'!B175),'Real Structures'!B175, "")</f>
        <v/>
      </c>
      <c r="C169" s="23" t="str">
        <f>IF('Real Structures'!C175&lt;&gt;0,'Real Structures'!C175, "")</f>
        <v/>
      </c>
    </row>
    <row r="170" spans="1:3">
      <c r="A170" s="23" t="str">
        <f>TEXT(IF('Real Structures'!A176&lt;&gt;0,'Real Structures'!A176, ""), "mm-dd-yyyy")</f>
        <v/>
      </c>
      <c r="B170" s="23" t="str">
        <f>IF(ISNUMBER('Real Structures'!B176),'Real Structures'!B176, "")</f>
        <v/>
      </c>
      <c r="C170" s="23" t="str">
        <f>IF('Real Structures'!C176&lt;&gt;0,'Real Structures'!C176, "")</f>
        <v/>
      </c>
    </row>
    <row r="171" spans="1:3">
      <c r="A171" s="23" t="str">
        <f>TEXT(IF('Real Structures'!A177&lt;&gt;0,'Real Structures'!A177, ""), "mm-dd-yyyy")</f>
        <v/>
      </c>
      <c r="B171" s="23" t="str">
        <f>IF(ISNUMBER('Real Structures'!B177),'Real Structures'!B177, "")</f>
        <v/>
      </c>
      <c r="C171" s="23" t="str">
        <f>IF('Real Structures'!C177&lt;&gt;0,'Real Structures'!C177, "")</f>
        <v/>
      </c>
    </row>
    <row r="172" spans="1:3">
      <c r="A172" s="23" t="str">
        <f>TEXT(IF('Real Structures'!A178&lt;&gt;0,'Real Structures'!A178, ""), "mm-dd-yyyy")</f>
        <v/>
      </c>
      <c r="B172" s="23" t="str">
        <f>IF(ISNUMBER('Real Structures'!B178),'Real Structures'!B178, "")</f>
        <v/>
      </c>
      <c r="C172" s="23" t="str">
        <f>IF('Real Structures'!C178&lt;&gt;0,'Real Structures'!C178, "")</f>
        <v/>
      </c>
    </row>
    <row r="173" spans="1:3">
      <c r="A173" s="23" t="str">
        <f>TEXT(IF('Real Structures'!A179&lt;&gt;0,'Real Structures'!A179, ""), "mm-dd-yyyy")</f>
        <v/>
      </c>
      <c r="B173" s="23" t="str">
        <f>IF(ISNUMBER('Real Structures'!B179),'Real Structures'!B179, "")</f>
        <v/>
      </c>
      <c r="C173" s="23" t="str">
        <f>IF('Real Structures'!C179&lt;&gt;0,'Real Structures'!C179, "")</f>
        <v/>
      </c>
    </row>
    <row r="174" spans="1:3">
      <c r="A174" s="23" t="str">
        <f>TEXT(IF('Real Structures'!A180&lt;&gt;0,'Real Structures'!A180, ""), "mm-dd-yyyy")</f>
        <v/>
      </c>
      <c r="B174" s="23" t="str">
        <f>IF(ISNUMBER('Real Structures'!B180),'Real Structures'!B180, "")</f>
        <v/>
      </c>
      <c r="C174" s="23" t="str">
        <f>IF('Real Structures'!C180&lt;&gt;0,'Real Structures'!C180, "")</f>
        <v/>
      </c>
    </row>
    <row r="175" spans="1:3">
      <c r="A175" s="23" t="str">
        <f>TEXT(IF('Real Structures'!A181&lt;&gt;0,'Real Structures'!A181, ""), "mm-dd-yyyy")</f>
        <v/>
      </c>
      <c r="B175" s="23" t="str">
        <f>IF(ISNUMBER('Real Structures'!B181),'Real Structures'!B181, "")</f>
        <v/>
      </c>
      <c r="C175" s="23" t="str">
        <f>IF('Real Structures'!C181&lt;&gt;0,'Real Structures'!C181, "")</f>
        <v/>
      </c>
    </row>
    <row r="176" spans="1:3">
      <c r="A176" s="23" t="str">
        <f>TEXT(IF('Real Structures'!A182&lt;&gt;0,'Real Structures'!A182, ""), "mm-dd-yyyy")</f>
        <v/>
      </c>
      <c r="B176" s="23" t="str">
        <f>IF(ISNUMBER('Real Structures'!B182),'Real Structures'!B182, "")</f>
        <v/>
      </c>
      <c r="C176" s="23" t="str">
        <f>IF('Real Structures'!C182&lt;&gt;0,'Real Structures'!C182, "")</f>
        <v/>
      </c>
    </row>
    <row r="177" spans="1:3">
      <c r="A177" s="23" t="str">
        <f>TEXT(IF('Real Structures'!A183&lt;&gt;0,'Real Structures'!A183, ""), "mm-dd-yyyy")</f>
        <v/>
      </c>
      <c r="B177" s="23" t="str">
        <f>IF(ISNUMBER('Real Structures'!B183),'Real Structures'!B183, "")</f>
        <v/>
      </c>
      <c r="C177" s="23" t="str">
        <f>IF('Real Structures'!C183&lt;&gt;0,'Real Structures'!C183, "")</f>
        <v/>
      </c>
    </row>
    <row r="178" spans="1:3">
      <c r="A178" s="23" t="str">
        <f>TEXT(IF('Real Structures'!A184&lt;&gt;0,'Real Structures'!A184, ""), "mm-dd-yyyy")</f>
        <v/>
      </c>
      <c r="B178" s="23" t="str">
        <f>IF(ISNUMBER('Real Structures'!B184),'Real Structures'!B184, "")</f>
        <v/>
      </c>
      <c r="C178" s="23" t="str">
        <f>IF('Real Structures'!C184&lt;&gt;0,'Real Structures'!C184, "")</f>
        <v/>
      </c>
    </row>
    <row r="179" spans="1:3">
      <c r="A179" s="23" t="str">
        <f>TEXT(IF('Real Structures'!A185&lt;&gt;0,'Real Structures'!A185, ""), "mm-dd-yyyy")</f>
        <v/>
      </c>
      <c r="B179" s="23" t="str">
        <f>IF(ISNUMBER('Real Structures'!B185),'Real Structures'!B185, "")</f>
        <v/>
      </c>
      <c r="C179" s="23" t="str">
        <f>IF('Real Structures'!C185&lt;&gt;0,'Real Structures'!C185, "")</f>
        <v/>
      </c>
    </row>
    <row r="180" spans="1:3">
      <c r="A180" s="23" t="str">
        <f>TEXT(IF('Real Structures'!A186&lt;&gt;0,'Real Structures'!A186, ""), "mm-dd-yyyy")</f>
        <v/>
      </c>
      <c r="B180" s="23" t="str">
        <f>IF(ISNUMBER('Real Structures'!B186),'Real Structures'!B186, "")</f>
        <v/>
      </c>
      <c r="C180" s="23" t="str">
        <f>IF('Real Structures'!C186&lt;&gt;0,'Real Structures'!C186, "")</f>
        <v/>
      </c>
    </row>
    <row r="181" spans="1:3">
      <c r="A181" s="23" t="str">
        <f>TEXT(IF('Real Structures'!A187&lt;&gt;0,'Real Structures'!A187, ""), "mm-dd-yyyy")</f>
        <v/>
      </c>
      <c r="B181" s="23" t="str">
        <f>IF(ISNUMBER('Real Structures'!B187),'Real Structures'!B187, "")</f>
        <v/>
      </c>
      <c r="C181" s="23" t="str">
        <f>IF('Real Structures'!C187&lt;&gt;0,'Real Structures'!C187, "")</f>
        <v/>
      </c>
    </row>
    <row r="182" spans="1:3">
      <c r="A182" s="23" t="str">
        <f>TEXT(IF('Real Structures'!A188&lt;&gt;0,'Real Structures'!A188, ""), "mm-dd-yyyy")</f>
        <v/>
      </c>
      <c r="B182" s="23" t="str">
        <f>IF(ISNUMBER('Real Structures'!B188),'Real Structures'!B188, "")</f>
        <v/>
      </c>
      <c r="C182" s="23" t="str">
        <f>IF('Real Structures'!C188&lt;&gt;0,'Real Structures'!C188, "")</f>
        <v/>
      </c>
    </row>
    <row r="183" spans="1:3">
      <c r="A183" s="23" t="str">
        <f>TEXT(IF('Real Structures'!A189&lt;&gt;0,'Real Structures'!A189, ""), "mm-dd-yyyy")</f>
        <v/>
      </c>
      <c r="B183" s="23" t="str">
        <f>IF(ISNUMBER('Real Structures'!B189),'Real Structures'!B189, "")</f>
        <v/>
      </c>
      <c r="C183" s="23" t="str">
        <f>IF('Real Structures'!C189&lt;&gt;0,'Real Structures'!C189, "")</f>
        <v/>
      </c>
    </row>
    <row r="184" spans="1:3">
      <c r="A184" s="23" t="str">
        <f>TEXT(IF('Real Structures'!A190&lt;&gt;0,'Real Structures'!A190, ""), "mm-dd-yyyy")</f>
        <v/>
      </c>
      <c r="B184" s="23" t="str">
        <f>IF(ISNUMBER('Real Structures'!B190),'Real Structures'!B190, "")</f>
        <v/>
      </c>
      <c r="C184" s="23" t="str">
        <f>IF('Real Structures'!C190&lt;&gt;0,'Real Structures'!C190, "")</f>
        <v/>
      </c>
    </row>
    <row r="185" spans="1:3">
      <c r="A185" s="23" t="str">
        <f>TEXT(IF('Real Structures'!A191&lt;&gt;0,'Real Structures'!A191, ""), "mm-dd-yyyy")</f>
        <v/>
      </c>
      <c r="B185" s="23" t="str">
        <f>IF(ISNUMBER('Real Structures'!B191),'Real Structures'!B191, "")</f>
        <v/>
      </c>
      <c r="C185" s="23" t="str">
        <f>IF('Real Structures'!C191&lt;&gt;0,'Real Structures'!C191, "")</f>
        <v/>
      </c>
    </row>
    <row r="186" spans="1:3">
      <c r="A186" s="23" t="str">
        <f>TEXT(IF('Real Structures'!A192&lt;&gt;0,'Real Structures'!A192, ""), "mm-dd-yyyy")</f>
        <v/>
      </c>
      <c r="B186" s="23" t="str">
        <f>IF(ISNUMBER('Real Structures'!B192),'Real Structures'!B192, "")</f>
        <v/>
      </c>
      <c r="C186" s="23" t="str">
        <f>IF('Real Structures'!C192&lt;&gt;0,'Real Structures'!C192, "")</f>
        <v/>
      </c>
    </row>
    <row r="187" spans="1:3">
      <c r="A187" s="23" t="str">
        <f>TEXT(IF('Real Structures'!A193&lt;&gt;0,'Real Structures'!A193, ""), "mm-dd-yyyy")</f>
        <v/>
      </c>
      <c r="B187" s="23" t="str">
        <f>IF(ISNUMBER('Real Structures'!B193),'Real Structures'!B193, "")</f>
        <v/>
      </c>
      <c r="C187" s="23" t="str">
        <f>IF('Real Structures'!C193&lt;&gt;0,'Real Structures'!C193, "")</f>
        <v/>
      </c>
    </row>
    <row r="188" spans="1:3">
      <c r="A188" s="23" t="str">
        <f>TEXT(IF('Real Structures'!A194&lt;&gt;0,'Real Structures'!A194, ""), "mm-dd-yyyy")</f>
        <v/>
      </c>
      <c r="B188" s="23" t="str">
        <f>IF(ISNUMBER('Real Structures'!B194),'Real Structures'!B194, "")</f>
        <v/>
      </c>
      <c r="C188" s="23" t="str">
        <f>IF('Real Structures'!C194&lt;&gt;0,'Real Structures'!C194, "")</f>
        <v/>
      </c>
    </row>
    <row r="189" spans="1:3">
      <c r="A189" s="23" t="str">
        <f>TEXT(IF('Real Structures'!A195&lt;&gt;0,'Real Structures'!A195, ""), "mm-dd-yyyy")</f>
        <v/>
      </c>
      <c r="B189" s="23" t="str">
        <f>IF(ISNUMBER('Real Structures'!B195),'Real Structures'!B195, "")</f>
        <v/>
      </c>
      <c r="C189" s="23" t="str">
        <f>IF('Real Structures'!C195&lt;&gt;0,'Real Structures'!C195, "")</f>
        <v/>
      </c>
    </row>
    <row r="190" spans="1:3">
      <c r="A190" s="23" t="str">
        <f>TEXT(IF('Real Structures'!A196&lt;&gt;0,'Real Structures'!A196, ""), "mm-dd-yyyy")</f>
        <v/>
      </c>
      <c r="B190" s="23" t="str">
        <f>IF(ISNUMBER('Real Structures'!B196),'Real Structures'!B196, "")</f>
        <v/>
      </c>
      <c r="C190" s="23" t="str">
        <f>IF('Real Structures'!C196&lt;&gt;0,'Real Structures'!C196, "")</f>
        <v/>
      </c>
    </row>
    <row r="191" spans="1:3">
      <c r="A191" s="23" t="str">
        <f>TEXT(IF('Real Structures'!A197&lt;&gt;0,'Real Structures'!A197, ""), "mm-dd-yyyy")</f>
        <v/>
      </c>
      <c r="B191" s="23" t="str">
        <f>IF(ISNUMBER('Real Structures'!B197),'Real Structures'!B197, "")</f>
        <v/>
      </c>
      <c r="C191" s="23" t="str">
        <f>IF('Real Structures'!C197&lt;&gt;0,'Real Structures'!C197, "")</f>
        <v/>
      </c>
    </row>
    <row r="192" spans="1:3">
      <c r="A192" s="23" t="str">
        <f>TEXT(IF('Real Structures'!A198&lt;&gt;0,'Real Structures'!A198, ""), "mm-dd-yyyy")</f>
        <v/>
      </c>
      <c r="B192" s="23" t="str">
        <f>IF(ISNUMBER('Real Structures'!B198),'Real Structures'!B198, "")</f>
        <v/>
      </c>
      <c r="C192" s="23" t="str">
        <f>IF('Real Structures'!C198&lt;&gt;0,'Real Structures'!C198, "")</f>
        <v/>
      </c>
    </row>
    <row r="193" spans="1:3">
      <c r="A193" s="23" t="str">
        <f>TEXT(IF('Real Structures'!A199&lt;&gt;0,'Real Structures'!A199, ""), "mm-dd-yyyy")</f>
        <v/>
      </c>
      <c r="B193" s="23" t="str">
        <f>IF(ISNUMBER('Real Structures'!B199),'Real Structures'!B199, "")</f>
        <v/>
      </c>
      <c r="C193" s="23" t="str">
        <f>IF('Real Structures'!C199&lt;&gt;0,'Real Structures'!C199, "")</f>
        <v/>
      </c>
    </row>
    <row r="194" spans="1:3">
      <c r="A194" s="23" t="str">
        <f>TEXT(IF('Real Structures'!A200&lt;&gt;0,'Real Structures'!A200, ""), "mm-dd-yyyy")</f>
        <v/>
      </c>
      <c r="B194" s="23" t="str">
        <f>IF(ISNUMBER('Real Structures'!B200),'Real Structures'!B200, "")</f>
        <v/>
      </c>
      <c r="C194" s="23" t="str">
        <f>IF('Real Structures'!C200&lt;&gt;0,'Real Structures'!C200, "")</f>
        <v/>
      </c>
    </row>
    <row r="195" spans="1:3">
      <c r="A195" s="23" t="str">
        <f>TEXT(IF('Real Structures'!A201&lt;&gt;0,'Real Structures'!A201, ""), "mm-dd-yyyy")</f>
        <v/>
      </c>
      <c r="B195" s="23" t="str">
        <f>IF(ISNUMBER('Real Structures'!B201),'Real Structures'!B201, "")</f>
        <v/>
      </c>
      <c r="C195" s="23" t="str">
        <f>IF('Real Structures'!C201&lt;&gt;0,'Real Structures'!C201, "")</f>
        <v/>
      </c>
    </row>
    <row r="196" spans="1:3">
      <c r="A196" s="23" t="str">
        <f>TEXT(IF('Real Structures'!A202&lt;&gt;0,'Real Structures'!A202, ""), "mm-dd-yyyy")</f>
        <v/>
      </c>
      <c r="B196" s="23" t="str">
        <f>IF(ISNUMBER('Real Structures'!B202),'Real Structures'!B202, "")</f>
        <v/>
      </c>
      <c r="C196" s="23" t="str">
        <f>IF('Real Structures'!C202&lt;&gt;0,'Real Structures'!C202, "")</f>
        <v/>
      </c>
    </row>
    <row r="197" spans="1:3">
      <c r="A197" s="23" t="str">
        <f>TEXT(IF('Real Structures'!A203&lt;&gt;0,'Real Structures'!A203, ""), "mm-dd-yyyy")</f>
        <v/>
      </c>
      <c r="B197" s="23" t="str">
        <f>IF(ISNUMBER('Real Structures'!B203),'Real Structures'!B203, "")</f>
        <v/>
      </c>
      <c r="C197" s="23" t="str">
        <f>IF('Real Structures'!C203&lt;&gt;0,'Real Structures'!C203, "")</f>
        <v/>
      </c>
    </row>
    <row r="198" spans="1:3">
      <c r="A198" s="23" t="str">
        <f>TEXT(IF('Real Structures'!A204&lt;&gt;0,'Real Structures'!A204, ""), "mm-dd-yyyy")</f>
        <v/>
      </c>
      <c r="B198" s="23" t="str">
        <f>IF(ISNUMBER('Real Structures'!B204),'Real Structures'!B204, "")</f>
        <v/>
      </c>
      <c r="C198" s="23" t="str">
        <f>IF('Real Structures'!C204&lt;&gt;0,'Real Structures'!C204, "")</f>
        <v/>
      </c>
    </row>
    <row r="199" spans="1:3">
      <c r="A199" s="23" t="str">
        <f>TEXT(IF('Real Structures'!A205&lt;&gt;0,'Real Structures'!A205, ""), "mm-dd-yyyy")</f>
        <v/>
      </c>
      <c r="B199" s="23" t="str">
        <f>IF(ISNUMBER('Real Structures'!B205),'Real Structures'!B205, "")</f>
        <v/>
      </c>
      <c r="C199" s="23" t="str">
        <f>IF('Real Structures'!C205&lt;&gt;0,'Real Structures'!C205, "")</f>
        <v/>
      </c>
    </row>
    <row r="200" spans="1:3">
      <c r="A200" s="23" t="str">
        <f>TEXT(IF('Real Structures'!A206&lt;&gt;0,'Real Structures'!A206, ""), "mm-dd-yyyy")</f>
        <v/>
      </c>
      <c r="B200" s="23" t="str">
        <f>IF(ISNUMBER('Real Structures'!B206),'Real Structures'!B206, "")</f>
        <v/>
      </c>
      <c r="C200" s="23" t="str">
        <f>IF('Real Structures'!C206&lt;&gt;0,'Real Structures'!C206, "")</f>
        <v/>
      </c>
    </row>
    <row r="201" spans="1:3">
      <c r="A201" s="23" t="str">
        <f>TEXT(IF('Real Structures'!A207&lt;&gt;0,'Real Structures'!A207, ""), "mm-dd-yyyy")</f>
        <v/>
      </c>
      <c r="B201" s="23" t="str">
        <f>IF(ISNUMBER('Real Structures'!B207),'Real Structures'!B207, "")</f>
        <v/>
      </c>
      <c r="C201" s="23" t="str">
        <f>IF('Real Structures'!C207&lt;&gt;0,'Real Structures'!C207, "")</f>
        <v/>
      </c>
    </row>
    <row r="202" spans="1:3">
      <c r="A202" s="23" t="str">
        <f>TEXT(IF('Real Structures'!A208&lt;&gt;0,'Real Structures'!A208, ""), "mm-dd-yyyy")</f>
        <v/>
      </c>
      <c r="B202" s="23" t="str">
        <f>IF(ISNUMBER('Real Structures'!B208),'Real Structures'!B208, "")</f>
        <v/>
      </c>
      <c r="C202" s="23" t="str">
        <f>IF('Real Structures'!C208&lt;&gt;0,'Real Structures'!C208, "")</f>
        <v/>
      </c>
    </row>
    <row r="203" spans="1:3">
      <c r="A203" s="23" t="str">
        <f>TEXT(IF('Real Structures'!A209&lt;&gt;0,'Real Structures'!A209, ""), "mm-dd-yyyy")</f>
        <v/>
      </c>
      <c r="B203" s="23" t="str">
        <f>IF(ISNUMBER('Real Structures'!B209),'Real Structures'!B209, "")</f>
        <v/>
      </c>
      <c r="C203" s="23" t="str">
        <f>IF('Real Structures'!C209&lt;&gt;0,'Real Structures'!C209, "")</f>
        <v/>
      </c>
    </row>
    <row r="204" spans="1:3">
      <c r="A204" s="23" t="str">
        <f>TEXT(IF('Real Structures'!A210&lt;&gt;0,'Real Structures'!A210, ""), "mm-dd-yyyy")</f>
        <v/>
      </c>
      <c r="B204" s="23" t="str">
        <f>IF(ISNUMBER('Real Structures'!B210),'Real Structures'!B210, "")</f>
        <v/>
      </c>
      <c r="C204" s="23" t="str">
        <f>IF('Real Structures'!C210&lt;&gt;0,'Real Structures'!C210, "")</f>
        <v/>
      </c>
    </row>
    <row r="205" spans="1:3">
      <c r="A205" s="23" t="str">
        <f>TEXT(IF('Real Structures'!A211&lt;&gt;0,'Real Structures'!A211, ""), "mm-dd-yyyy")</f>
        <v/>
      </c>
      <c r="B205" s="23" t="str">
        <f>IF(ISNUMBER('Real Structures'!B211),'Real Structures'!B211, "")</f>
        <v/>
      </c>
      <c r="C205" s="23" t="str">
        <f>IF('Real Structures'!C211&lt;&gt;0,'Real Structures'!C211, "")</f>
        <v/>
      </c>
    </row>
    <row r="206" spans="1:3">
      <c r="A206" s="23" t="str">
        <f>TEXT(IF('Real Structures'!A212&lt;&gt;0,'Real Structures'!A212, ""), "mm-dd-yyyy")</f>
        <v/>
      </c>
      <c r="B206" s="23" t="str">
        <f>IF(ISNUMBER('Real Structures'!B212),'Real Structures'!B212, "")</f>
        <v/>
      </c>
      <c r="C206" s="23" t="str">
        <f>IF('Real Structures'!C212&lt;&gt;0,'Real Structures'!C212, "")</f>
        <v/>
      </c>
    </row>
    <row r="207" spans="1:3">
      <c r="A207" s="23" t="str">
        <f>TEXT(IF('Real Structures'!A213&lt;&gt;0,'Real Structures'!A213, ""), "mm-dd-yyyy")</f>
        <v/>
      </c>
      <c r="B207" s="23" t="str">
        <f>IF(ISNUMBER('Real Structures'!B213),'Real Structures'!B213, "")</f>
        <v/>
      </c>
      <c r="C207" s="23" t="str">
        <f>IF('Real Structures'!C213&lt;&gt;0,'Real Structures'!C213, "")</f>
        <v/>
      </c>
    </row>
    <row r="208" spans="1:3">
      <c r="A208" s="23" t="str">
        <f>TEXT(IF('Real Structures'!A214&lt;&gt;0,'Real Structures'!A214, ""), "mm-dd-yyyy")</f>
        <v/>
      </c>
      <c r="B208" s="23" t="str">
        <f>IF(ISNUMBER('Real Structures'!B214),'Real Structures'!B214, "")</f>
        <v/>
      </c>
      <c r="C208" s="23" t="str">
        <f>IF('Real Structures'!C214&lt;&gt;0,'Real Structures'!C214, "")</f>
        <v/>
      </c>
    </row>
    <row r="209" spans="1:3">
      <c r="A209" s="23" t="str">
        <f>TEXT(IF('Real Structures'!A215&lt;&gt;0,'Real Structures'!A215, ""), "mm-dd-yyyy")</f>
        <v/>
      </c>
      <c r="B209" s="23" t="str">
        <f>IF(ISNUMBER('Real Structures'!B215),'Real Structures'!B215, "")</f>
        <v/>
      </c>
      <c r="C209" s="23" t="str">
        <f>IF('Real Structures'!C215&lt;&gt;0,'Real Structures'!C215, "")</f>
        <v/>
      </c>
    </row>
    <row r="210" spans="1:3">
      <c r="A210" s="23" t="str">
        <f>TEXT(IF('Real Structures'!A216&lt;&gt;0,'Real Structures'!A216, ""), "mm-dd-yyyy")</f>
        <v/>
      </c>
      <c r="B210" s="23" t="str">
        <f>IF(ISNUMBER('Real Structures'!B216),'Real Structures'!B216, "")</f>
        <v/>
      </c>
      <c r="C210" s="23" t="str">
        <f>IF('Real Structures'!C216&lt;&gt;0,'Real Structures'!C216, "")</f>
        <v/>
      </c>
    </row>
    <row r="211" spans="1:3">
      <c r="A211" s="23" t="str">
        <f>TEXT(IF('Real Structures'!A217&lt;&gt;0,'Real Structures'!A217, ""), "mm-dd-yyyy")</f>
        <v/>
      </c>
      <c r="B211" s="23" t="str">
        <f>IF(ISNUMBER('Real Structures'!B217),'Real Structures'!B217, "")</f>
        <v/>
      </c>
      <c r="C211" s="23" t="str">
        <f>IF('Real Structures'!C217&lt;&gt;0,'Real Structures'!C217, "")</f>
        <v/>
      </c>
    </row>
    <row r="212" spans="1:3">
      <c r="A212" s="23" t="str">
        <f>TEXT(IF('Real Structures'!A218&lt;&gt;0,'Real Structures'!A218, ""), "mm-dd-yyyy")</f>
        <v/>
      </c>
      <c r="B212" s="23" t="str">
        <f>IF(ISNUMBER('Real Structures'!B218),'Real Structures'!B218, "")</f>
        <v/>
      </c>
      <c r="C212" s="23" t="str">
        <f>IF('Real Structures'!C218&lt;&gt;0,'Real Structures'!C218, "")</f>
        <v/>
      </c>
    </row>
    <row r="213" spans="1:3">
      <c r="A213" s="23" t="str">
        <f>TEXT(IF('Real Structures'!A219&lt;&gt;0,'Real Structures'!A219, ""), "mm-dd-yyyy")</f>
        <v/>
      </c>
      <c r="B213" s="23" t="str">
        <f>IF(ISNUMBER('Real Structures'!B219),'Real Structures'!B219, "")</f>
        <v/>
      </c>
      <c r="C213" s="23" t="str">
        <f>IF('Real Structures'!C219&lt;&gt;0,'Real Structures'!C219, "")</f>
        <v/>
      </c>
    </row>
    <row r="214" spans="1:3">
      <c r="A214" s="23" t="str">
        <f>TEXT(IF('Real Structures'!A220&lt;&gt;0,'Real Structures'!A220, ""), "mm-dd-yyyy")</f>
        <v/>
      </c>
      <c r="B214" s="23" t="str">
        <f>IF(ISNUMBER('Real Structures'!B220),'Real Structures'!B220, "")</f>
        <v/>
      </c>
      <c r="C214" s="23" t="str">
        <f>IF('Real Structures'!C220&lt;&gt;0,'Real Structures'!C220, "")</f>
        <v/>
      </c>
    </row>
    <row r="215" spans="1:3">
      <c r="A215" s="23" t="str">
        <f>TEXT(IF('Real Structures'!A221&lt;&gt;0,'Real Structures'!A221, ""), "mm-dd-yyyy")</f>
        <v/>
      </c>
      <c r="B215" s="23" t="str">
        <f>IF(ISNUMBER('Real Structures'!B221),'Real Structures'!B221, "")</f>
        <v/>
      </c>
      <c r="C215" s="23" t="str">
        <f>IF('Real Structures'!C221&lt;&gt;0,'Real Structures'!C221, "")</f>
        <v/>
      </c>
    </row>
    <row r="216" spans="1:3">
      <c r="A216" s="23" t="str">
        <f>TEXT(IF('Real Structures'!A222&lt;&gt;0,'Real Structures'!A222, ""), "mm-dd-yyyy")</f>
        <v/>
      </c>
      <c r="B216" s="23" t="str">
        <f>IF(ISNUMBER('Real Structures'!B222),'Real Structures'!B222, "")</f>
        <v/>
      </c>
      <c r="C216" s="23" t="str">
        <f>IF('Real Structures'!C222&lt;&gt;0,'Real Structures'!C222, "")</f>
        <v/>
      </c>
    </row>
    <row r="217" spans="1:3">
      <c r="A217" s="23" t="str">
        <f>TEXT(IF('Real Structures'!A223&lt;&gt;0,'Real Structures'!A223, ""), "mm-dd-yyyy")</f>
        <v/>
      </c>
      <c r="B217" s="23" t="str">
        <f>IF(ISNUMBER('Real Structures'!B223),'Real Structures'!B223, "")</f>
        <v/>
      </c>
      <c r="C217" s="23" t="str">
        <f>IF('Real Structures'!C223&lt;&gt;0,'Real Structures'!C223, "")</f>
        <v/>
      </c>
    </row>
    <row r="218" spans="1:3">
      <c r="A218" s="23" t="str">
        <f>TEXT(IF('Real Structures'!A224&lt;&gt;0,'Real Structures'!A224, ""), "mm-dd-yyyy")</f>
        <v/>
      </c>
      <c r="B218" s="23" t="str">
        <f>IF(ISNUMBER('Real Structures'!B224),'Real Structures'!B224, "")</f>
        <v/>
      </c>
      <c r="C218" s="23" t="str">
        <f>IF('Real Structures'!C224&lt;&gt;0,'Real Structures'!C224, "")</f>
        <v/>
      </c>
    </row>
    <row r="219" spans="1:3">
      <c r="A219" s="23" t="str">
        <f>TEXT(IF('Real Structures'!A225&lt;&gt;0,'Real Structures'!A225, ""), "mm-dd-yyyy")</f>
        <v/>
      </c>
      <c r="B219" s="23" t="str">
        <f>IF(ISNUMBER('Real Structures'!B225),'Real Structures'!B225, "")</f>
        <v/>
      </c>
      <c r="C219" s="23" t="str">
        <f>IF('Real Structures'!C225&lt;&gt;0,'Real Structures'!C225, "")</f>
        <v/>
      </c>
    </row>
    <row r="220" spans="1:3">
      <c r="A220" s="23" t="str">
        <f>TEXT(IF('Real Structures'!A226&lt;&gt;0,'Real Structures'!A226, ""), "mm-dd-yyyy")</f>
        <v/>
      </c>
      <c r="B220" s="23" t="str">
        <f>IF(ISNUMBER('Real Structures'!B226),'Real Structures'!B226, "")</f>
        <v/>
      </c>
      <c r="C220" s="23" t="str">
        <f>IF('Real Structures'!C226&lt;&gt;0,'Real Structures'!C226, "")</f>
        <v/>
      </c>
    </row>
    <row r="221" spans="1:3">
      <c r="A221" s="23" t="str">
        <f>TEXT(IF('Real Structures'!A227&lt;&gt;0,'Real Structures'!A227, ""), "mm-dd-yyyy")</f>
        <v/>
      </c>
      <c r="B221" s="23" t="str">
        <f>IF(ISNUMBER('Real Structures'!B227),'Real Structures'!B227, "")</f>
        <v/>
      </c>
      <c r="C221" s="23" t="str">
        <f>IF('Real Structures'!C227&lt;&gt;0,'Real Structures'!C227, "")</f>
        <v/>
      </c>
    </row>
    <row r="222" spans="1:3">
      <c r="A222" s="23" t="str">
        <f>TEXT(IF('Real Structures'!A228&lt;&gt;0,'Real Structures'!A228, ""), "mm-dd-yyyy")</f>
        <v/>
      </c>
      <c r="B222" s="23" t="str">
        <f>IF(ISNUMBER('Real Structures'!B228),'Real Structures'!B228, "")</f>
        <v/>
      </c>
      <c r="C222" s="23" t="str">
        <f>IF('Real Structures'!C228&lt;&gt;0,'Real Structures'!C228, "")</f>
        <v/>
      </c>
    </row>
    <row r="223" spans="1:3">
      <c r="A223" s="23" t="str">
        <f>TEXT(IF('Real Structures'!A229&lt;&gt;0,'Real Structures'!A229, ""), "mm-dd-yyyy")</f>
        <v/>
      </c>
      <c r="B223" s="23" t="str">
        <f>IF(ISNUMBER('Real Structures'!B229),'Real Structures'!B229, "")</f>
        <v/>
      </c>
      <c r="C223" s="23" t="str">
        <f>IF('Real Structures'!C229&lt;&gt;0,'Real Structures'!C229, "")</f>
        <v/>
      </c>
    </row>
    <row r="224" spans="1:3">
      <c r="A224" s="23" t="str">
        <f>TEXT(IF('Real Structures'!A230&lt;&gt;0,'Real Structures'!A230, ""), "mm-dd-yyyy")</f>
        <v/>
      </c>
      <c r="B224" s="23" t="str">
        <f>IF(ISNUMBER('Real Structures'!B230),'Real Structures'!B230, "")</f>
        <v/>
      </c>
      <c r="C224" s="23" t="str">
        <f>IF('Real Structures'!C230&lt;&gt;0,'Real Structures'!C230, "")</f>
        <v/>
      </c>
    </row>
    <row r="225" spans="1:3">
      <c r="A225" s="23" t="str">
        <f>TEXT(IF('Real Structures'!A231&lt;&gt;0,'Real Structures'!A231, ""), "mm-dd-yyyy")</f>
        <v/>
      </c>
      <c r="B225" s="23" t="str">
        <f>IF(ISNUMBER('Real Structures'!B231),'Real Structures'!B231, "")</f>
        <v/>
      </c>
      <c r="C225" s="23" t="str">
        <f>IF('Real Structures'!C231&lt;&gt;0,'Real Structures'!C231, "")</f>
        <v/>
      </c>
    </row>
    <row r="226" spans="1:3">
      <c r="A226" s="23" t="str">
        <f>TEXT(IF('Real Structures'!A232&lt;&gt;0,'Real Structures'!A232, ""), "mm-dd-yyyy")</f>
        <v/>
      </c>
      <c r="B226" s="23" t="str">
        <f>IF(ISNUMBER('Real Structures'!B232),'Real Structures'!B232, "")</f>
        <v/>
      </c>
      <c r="C226" s="23" t="str">
        <f>IF('Real Structures'!C232&lt;&gt;0,'Real Structures'!C232, "")</f>
        <v/>
      </c>
    </row>
    <row r="227" spans="1:3">
      <c r="A227" s="23" t="str">
        <f>TEXT(IF('Real Structures'!A233&lt;&gt;0,'Real Structures'!A233, ""), "mm-dd-yyyy")</f>
        <v/>
      </c>
      <c r="B227" s="23" t="str">
        <f>IF(ISNUMBER('Real Structures'!B233),'Real Structures'!B233, "")</f>
        <v/>
      </c>
      <c r="C227" s="23" t="str">
        <f>IF('Real Structures'!C233&lt;&gt;0,'Real Structures'!C233, "")</f>
        <v/>
      </c>
    </row>
    <row r="228" spans="1:3">
      <c r="A228" s="23" t="str">
        <f>TEXT(IF('Real Structures'!A234&lt;&gt;0,'Real Structures'!A234, ""), "mm-dd-yyyy")</f>
        <v/>
      </c>
      <c r="B228" s="23" t="str">
        <f>IF(ISNUMBER('Real Structures'!B234),'Real Structures'!B234, "")</f>
        <v/>
      </c>
      <c r="C228" s="23" t="str">
        <f>IF('Real Structures'!C234&lt;&gt;0,'Real Structures'!C234, "")</f>
        <v/>
      </c>
    </row>
    <row r="229" spans="1:3">
      <c r="A229" s="23" t="str">
        <f>TEXT(IF('Real Structures'!A235&lt;&gt;0,'Real Structures'!A235, ""), "mm-dd-yyyy")</f>
        <v/>
      </c>
      <c r="B229" s="23" t="str">
        <f>IF(ISNUMBER('Real Structures'!B235),'Real Structures'!B235, "")</f>
        <v/>
      </c>
      <c r="C229" s="23" t="str">
        <f>IF('Real Structures'!C235&lt;&gt;0,'Real Structures'!C235, "")</f>
        <v/>
      </c>
    </row>
    <row r="230" spans="1:3">
      <c r="A230" s="23" t="str">
        <f>TEXT(IF('Real Structures'!A236&lt;&gt;0,'Real Structures'!A236, ""), "mm-dd-yyyy")</f>
        <v/>
      </c>
      <c r="B230" s="23" t="str">
        <f>IF(ISNUMBER('Real Structures'!B236),'Real Structures'!B236, "")</f>
        <v/>
      </c>
      <c r="C230" s="23" t="str">
        <f>IF('Real Structures'!C236&lt;&gt;0,'Real Structures'!C236, "")</f>
        <v/>
      </c>
    </row>
    <row r="231" spans="1:3">
      <c r="A231" s="23" t="str">
        <f>TEXT(IF('Real Structures'!A237&lt;&gt;0,'Real Structures'!A237, ""), "mm-dd-yyyy")</f>
        <v/>
      </c>
      <c r="B231" s="23" t="str">
        <f>IF(ISNUMBER('Real Structures'!B237),'Real Structures'!B237, "")</f>
        <v/>
      </c>
      <c r="C231" s="23" t="str">
        <f>IF('Real Structures'!C237&lt;&gt;0,'Real Structures'!C237, "")</f>
        <v/>
      </c>
    </row>
    <row r="232" spans="1:3">
      <c r="A232" s="23" t="str">
        <f>TEXT(IF('Real Structures'!A238&lt;&gt;0,'Real Structures'!A238, ""), "mm-dd-yyyy")</f>
        <v/>
      </c>
      <c r="B232" s="23" t="str">
        <f>IF(ISNUMBER('Real Structures'!B238),'Real Structures'!B238, "")</f>
        <v/>
      </c>
      <c r="C232" s="23" t="str">
        <f>IF('Real Structures'!C238&lt;&gt;0,'Real Structures'!C238, "")</f>
        <v/>
      </c>
    </row>
    <row r="233" spans="1:3">
      <c r="A233" s="23" t="str">
        <f>TEXT(IF('Real Structures'!A239&lt;&gt;0,'Real Structures'!A239, ""), "mm-dd-yyyy")</f>
        <v/>
      </c>
      <c r="B233" s="23" t="str">
        <f>IF(ISNUMBER('Real Structures'!B239),'Real Structures'!B239, "")</f>
        <v/>
      </c>
      <c r="C233" s="23" t="str">
        <f>IF('Real Structures'!C239&lt;&gt;0,'Real Structures'!C239, "")</f>
        <v/>
      </c>
    </row>
    <row r="234" spans="1:3">
      <c r="A234" s="23" t="str">
        <f>TEXT(IF('Real Structures'!A240&lt;&gt;0,'Real Structures'!A240, ""), "mm-dd-yyyy")</f>
        <v/>
      </c>
      <c r="B234" s="23" t="str">
        <f>IF(ISNUMBER('Real Structures'!B240),'Real Structures'!B240, "")</f>
        <v/>
      </c>
      <c r="C234" s="23" t="str">
        <f>IF('Real Structures'!C240&lt;&gt;0,'Real Structures'!C240, "")</f>
        <v/>
      </c>
    </row>
    <row r="235" spans="1:3">
      <c r="A235" s="23" t="str">
        <f>TEXT(IF('Real Structures'!A241&lt;&gt;0,'Real Structures'!A241, ""), "mm-dd-yyyy")</f>
        <v/>
      </c>
      <c r="B235" s="23" t="str">
        <f>IF(ISNUMBER('Real Structures'!B241),'Real Structures'!B241, "")</f>
        <v/>
      </c>
      <c r="C235" s="23" t="str">
        <f>IF('Real Structures'!C241&lt;&gt;0,'Real Structures'!C241, "")</f>
        <v/>
      </c>
    </row>
    <row r="236" spans="1:3">
      <c r="A236" s="23" t="str">
        <f>TEXT(IF('Real Structures'!A242&lt;&gt;0,'Real Structures'!A242, ""), "mm-dd-yyyy")</f>
        <v/>
      </c>
      <c r="B236" s="23" t="str">
        <f>IF(ISNUMBER('Real Structures'!B242),'Real Structures'!B242, "")</f>
        <v/>
      </c>
      <c r="C236" s="23" t="str">
        <f>IF('Real Structures'!C242&lt;&gt;0,'Real Structures'!C242, "")</f>
        <v/>
      </c>
    </row>
    <row r="237" spans="1:3">
      <c r="A237" s="23" t="str">
        <f>TEXT(IF('Real Structures'!A243&lt;&gt;0,'Real Structures'!A243, ""), "mm-dd-yyyy")</f>
        <v/>
      </c>
      <c r="B237" s="23" t="str">
        <f>IF(ISNUMBER('Real Structures'!B243),'Real Structures'!B243, "")</f>
        <v/>
      </c>
      <c r="C237" s="23" t="str">
        <f>IF('Real Structures'!C243&lt;&gt;0,'Real Structures'!C243, "")</f>
        <v/>
      </c>
    </row>
    <row r="238" spans="1:3">
      <c r="A238" s="23" t="str">
        <f>TEXT(IF('Real Structures'!A244&lt;&gt;0,'Real Structures'!A244, ""), "mm-dd-yyyy")</f>
        <v/>
      </c>
      <c r="B238" s="23" t="str">
        <f>IF(ISNUMBER('Real Structures'!B244),'Real Structures'!B244, "")</f>
        <v/>
      </c>
      <c r="C238" s="23" t="str">
        <f>IF('Real Structures'!C244&lt;&gt;0,'Real Structures'!C244, "")</f>
        <v/>
      </c>
    </row>
    <row r="239" spans="1:3">
      <c r="A239" s="23" t="str">
        <f>TEXT(IF('Real Structures'!A245&lt;&gt;0,'Real Structures'!A245, ""), "mm-dd-yyyy")</f>
        <v/>
      </c>
      <c r="B239" s="23" t="str">
        <f>IF(ISNUMBER('Real Structures'!B245),'Real Structures'!B245, "")</f>
        <v/>
      </c>
      <c r="C239" s="23" t="str">
        <f>IF('Real Structures'!C245&lt;&gt;0,'Real Structures'!C245, "")</f>
        <v/>
      </c>
    </row>
    <row r="240" spans="1:3">
      <c r="A240" s="23" t="str">
        <f>TEXT(IF('Real Structures'!A246&lt;&gt;0,'Real Structures'!A246, ""), "mm-dd-yyyy")</f>
        <v/>
      </c>
      <c r="B240" s="23" t="str">
        <f>IF(ISNUMBER('Real Structures'!B246),'Real Structures'!B246, "")</f>
        <v/>
      </c>
      <c r="C240" s="23" t="str">
        <f>IF('Real Structures'!C246&lt;&gt;0,'Real Structures'!C246, "")</f>
        <v/>
      </c>
    </row>
    <row r="241" spans="1:3">
      <c r="A241" s="23" t="str">
        <f>TEXT(IF('Real Structures'!A247&lt;&gt;0,'Real Structures'!A247, ""), "mm-dd-yyyy")</f>
        <v/>
      </c>
      <c r="B241" s="23" t="str">
        <f>IF(ISNUMBER('Real Structures'!B247),'Real Structures'!B247, "")</f>
        <v/>
      </c>
      <c r="C241" s="23" t="str">
        <f>IF('Real Structures'!C247&lt;&gt;0,'Real Structures'!C247, "")</f>
        <v/>
      </c>
    </row>
    <row r="242" spans="1:3">
      <c r="A242" s="23" t="str">
        <f>TEXT(IF('Real Structures'!A248&lt;&gt;0,'Real Structures'!A248, ""), "mm-dd-yyyy")</f>
        <v/>
      </c>
      <c r="B242" s="23" t="str">
        <f>IF(ISNUMBER('Real Structures'!B248),'Real Structures'!B248, "")</f>
        <v/>
      </c>
      <c r="C242" s="23" t="str">
        <f>IF('Real Structures'!C248&lt;&gt;0,'Real Structures'!C248, "")</f>
        <v/>
      </c>
    </row>
    <row r="243" spans="1:3">
      <c r="A243" s="23" t="str">
        <f>TEXT(IF('Real Structures'!A249&lt;&gt;0,'Real Structures'!A249, ""), "mm-dd-yyyy")</f>
        <v/>
      </c>
      <c r="B243" s="23" t="str">
        <f>IF(ISNUMBER('Real Structures'!B249),'Real Structures'!B249, "")</f>
        <v/>
      </c>
      <c r="C243" s="23" t="str">
        <f>IF('Real Structures'!C249&lt;&gt;0,'Real Structures'!C249, "")</f>
        <v/>
      </c>
    </row>
    <row r="244" spans="1:3">
      <c r="A244" s="23" t="str">
        <f>TEXT(IF('Real Structures'!A250&lt;&gt;0,'Real Structures'!A250, ""), "mm-dd-yyyy")</f>
        <v/>
      </c>
      <c r="B244" s="23" t="str">
        <f>IF(ISNUMBER('Real Structures'!B250),'Real Structures'!B250, "")</f>
        <v/>
      </c>
      <c r="C244" s="23" t="str">
        <f>IF('Real Structures'!C250&lt;&gt;0,'Real Structures'!C250, "")</f>
        <v/>
      </c>
    </row>
    <row r="245" spans="1:3">
      <c r="A245" s="23" t="str">
        <f>TEXT(IF('Real Structures'!A251&lt;&gt;0,'Real Structures'!A251, ""), "mm-dd-yyyy")</f>
        <v/>
      </c>
      <c r="B245" s="23" t="str">
        <f>IF(ISNUMBER('Real Structures'!B251),'Real Structures'!B251, "")</f>
        <v/>
      </c>
      <c r="C245" s="23" t="str">
        <f>IF('Real Structures'!C251&lt;&gt;0,'Real Structures'!C251, "")</f>
        <v/>
      </c>
    </row>
    <row r="246" spans="1:3">
      <c r="A246" s="23" t="str">
        <f>TEXT(IF('Real Structures'!A252&lt;&gt;0,'Real Structures'!A252, ""), "mm-dd-yyyy")</f>
        <v/>
      </c>
      <c r="B246" s="23" t="str">
        <f>IF(ISNUMBER('Real Structures'!B252),'Real Structures'!B252, "")</f>
        <v/>
      </c>
      <c r="C246" s="23" t="str">
        <f>IF('Real Structures'!C252&lt;&gt;0,'Real Structures'!C252, "")</f>
        <v/>
      </c>
    </row>
    <row r="247" spans="1:3">
      <c r="A247" s="23" t="str">
        <f>TEXT(IF('Real Structures'!A253&lt;&gt;0,'Real Structures'!A253, ""), "mm-dd-yyyy")</f>
        <v/>
      </c>
      <c r="B247" s="23" t="str">
        <f>IF(ISNUMBER('Real Structures'!B253),'Real Structures'!B253, "")</f>
        <v/>
      </c>
      <c r="C247" s="23" t="str">
        <f>IF('Real Structures'!C253&lt;&gt;0,'Real Structures'!C253, "")</f>
        <v/>
      </c>
    </row>
    <row r="248" spans="1:3">
      <c r="A248" s="23" t="str">
        <f>TEXT(IF('Real Structures'!A254&lt;&gt;0,'Real Structures'!A254, ""), "mm-dd-yyyy")</f>
        <v/>
      </c>
      <c r="B248" s="23" t="str">
        <f>IF(ISNUMBER('Real Structures'!B254),'Real Structures'!B254, "")</f>
        <v/>
      </c>
      <c r="C248" s="23" t="str">
        <f>IF('Real Structures'!C254&lt;&gt;0,'Real Structures'!C254, "")</f>
        <v/>
      </c>
    </row>
    <row r="249" spans="1:3">
      <c r="A249" s="23" t="str">
        <f>TEXT(IF('Real Structures'!A255&lt;&gt;0,'Real Structures'!A255, ""), "mm-dd-yyyy")</f>
        <v/>
      </c>
      <c r="B249" s="23" t="str">
        <f>IF(ISNUMBER('Real Structures'!B255),'Real Structures'!B255, "")</f>
        <v/>
      </c>
      <c r="C249" s="23" t="str">
        <f>IF('Real Structures'!C255&lt;&gt;0,'Real Structures'!C255, "")</f>
        <v/>
      </c>
    </row>
    <row r="250" spans="1:3">
      <c r="A250" s="23" t="str">
        <f>TEXT(IF('Real Structures'!A256&lt;&gt;0,'Real Structures'!A256, ""), "mm-dd-yyyy")</f>
        <v/>
      </c>
      <c r="B250" s="23" t="str">
        <f>IF(ISNUMBER('Real Structures'!B256),'Real Structures'!B256, "")</f>
        <v/>
      </c>
      <c r="C250" s="23" t="str">
        <f>IF('Real Structures'!C256&lt;&gt;0,'Real Structures'!C256, "")</f>
        <v/>
      </c>
    </row>
    <row r="251" spans="1:3">
      <c r="A251" s="23" t="str">
        <f>TEXT(IF('Real Structures'!A257&lt;&gt;0,'Real Structures'!A257, ""), "mm-dd-yyyy")</f>
        <v/>
      </c>
      <c r="B251" s="23" t="str">
        <f>IF(ISNUMBER('Real Structures'!B257),'Real Structures'!B257, "")</f>
        <v/>
      </c>
      <c r="C251" s="23" t="str">
        <f>IF('Real Structures'!C257&lt;&gt;0,'Real Structures'!C257, "")</f>
        <v/>
      </c>
    </row>
    <row r="252" spans="1:3">
      <c r="A252" s="23" t="str">
        <f>TEXT(IF('Real Structures'!A258&lt;&gt;0,'Real Structures'!A258, ""), "mm-dd-yyyy")</f>
        <v/>
      </c>
      <c r="B252" s="23" t="str">
        <f>IF(ISNUMBER('Real Structures'!B258),'Real Structures'!B258, "")</f>
        <v/>
      </c>
      <c r="C252" s="23" t="str">
        <f>IF('Real Structures'!C258&lt;&gt;0,'Real Structures'!C258, "")</f>
        <v/>
      </c>
    </row>
    <row r="253" spans="1:3">
      <c r="A253" s="23" t="str">
        <f>TEXT(IF('Real Structures'!A259&lt;&gt;0,'Real Structures'!A259, ""), "mm-dd-yyyy")</f>
        <v/>
      </c>
      <c r="B253" s="23" t="str">
        <f>IF(ISNUMBER('Real Structures'!B259),'Real Structures'!B259, "")</f>
        <v/>
      </c>
      <c r="C253" s="23" t="str">
        <f>IF('Real Structures'!C259&lt;&gt;0,'Real Structures'!C259, "")</f>
        <v/>
      </c>
    </row>
    <row r="254" spans="1:3">
      <c r="A254" s="23" t="str">
        <f>TEXT(IF('Real Structures'!A260&lt;&gt;0,'Real Structures'!A260, ""), "mm-dd-yyyy")</f>
        <v/>
      </c>
      <c r="B254" s="23" t="str">
        <f>IF(ISNUMBER('Real Structures'!B260),'Real Structures'!B260, "")</f>
        <v/>
      </c>
      <c r="C254" s="23" t="str">
        <f>IF('Real Structures'!C260&lt;&gt;0,'Real Structures'!C260, "")</f>
        <v/>
      </c>
    </row>
    <row r="255" spans="1:3">
      <c r="A255" s="23" t="str">
        <f>TEXT(IF('Real Structures'!A261&lt;&gt;0,'Real Structures'!A261, ""), "mm-dd-yyyy")</f>
        <v/>
      </c>
      <c r="B255" s="23" t="str">
        <f>IF(ISNUMBER('Real Structures'!B261),'Real Structures'!B261, "")</f>
        <v/>
      </c>
      <c r="C255" s="23" t="str">
        <f>IF('Real Structures'!C261&lt;&gt;0,'Real Structures'!C261, "")</f>
        <v/>
      </c>
    </row>
    <row r="256" spans="1:3">
      <c r="A256" s="23" t="str">
        <f>TEXT(IF('Real Structures'!A262&lt;&gt;0,'Real Structures'!A262, ""), "mm-dd-yyyy")</f>
        <v/>
      </c>
      <c r="B256" s="23" t="str">
        <f>IF(ISNUMBER('Real Structures'!B262),'Real Structures'!B262, "")</f>
        <v/>
      </c>
      <c r="C256" s="23" t="str">
        <f>IF('Real Structures'!C262&lt;&gt;0,'Real Structures'!C262, "")</f>
        <v/>
      </c>
    </row>
    <row r="257" spans="1:3">
      <c r="A257" s="23" t="str">
        <f>TEXT(IF('Real Structures'!A263&lt;&gt;0,'Real Structures'!A263, ""), "mm-dd-yyyy")</f>
        <v/>
      </c>
      <c r="B257" s="23" t="str">
        <f>IF(ISNUMBER('Real Structures'!B263),'Real Structures'!B263, "")</f>
        <v/>
      </c>
      <c r="C257" s="23" t="str">
        <f>IF('Real Structures'!C263&lt;&gt;0,'Real Structures'!C263, "")</f>
        <v/>
      </c>
    </row>
    <row r="258" spans="1:3">
      <c r="A258" s="23" t="str">
        <f>TEXT(IF('Real Structures'!A264&lt;&gt;0,'Real Structures'!A264, ""), "mm-dd-yyyy")</f>
        <v/>
      </c>
      <c r="B258" s="23" t="str">
        <f>IF(ISNUMBER('Real Structures'!B264),'Real Structures'!B264, "")</f>
        <v/>
      </c>
      <c r="C258" s="23" t="str">
        <f>IF('Real Structures'!C264&lt;&gt;0,'Real Structures'!C264, "")</f>
        <v/>
      </c>
    </row>
    <row r="259" spans="1:3">
      <c r="A259" s="23" t="str">
        <f>TEXT(IF('Real Structures'!A265&lt;&gt;0,'Real Structures'!A265, ""), "mm-dd-yyyy")</f>
        <v/>
      </c>
      <c r="B259" s="23" t="str">
        <f>IF(ISNUMBER('Real Structures'!B265),'Real Structures'!B265, "")</f>
        <v/>
      </c>
      <c r="C259" s="23" t="str">
        <f>IF('Real Structures'!C265&lt;&gt;0,'Real Structures'!C265, "")</f>
        <v/>
      </c>
    </row>
    <row r="260" spans="1:3">
      <c r="A260" s="23" t="str">
        <f>TEXT(IF('Real Structures'!A266&lt;&gt;0,'Real Structures'!A266, ""), "mm-dd-yyyy")</f>
        <v/>
      </c>
      <c r="B260" s="23" t="str">
        <f>IF(ISNUMBER('Real Structures'!B266),'Real Structures'!B266, "")</f>
        <v/>
      </c>
      <c r="C260" s="23" t="str">
        <f>IF('Real Structures'!C266&lt;&gt;0,'Real Structures'!C266, "")</f>
        <v/>
      </c>
    </row>
    <row r="261" spans="1:3">
      <c r="A261" s="23" t="str">
        <f>TEXT(IF('Real Structures'!A267&lt;&gt;0,'Real Structures'!A267, ""), "mm-dd-yyyy")</f>
        <v/>
      </c>
      <c r="B261" s="23" t="str">
        <f>IF(ISNUMBER('Real Structures'!B267),'Real Structures'!B267, "")</f>
        <v/>
      </c>
      <c r="C261" s="23" t="str">
        <f>IF('Real Structures'!C267&lt;&gt;0,'Real Structures'!C267, "")</f>
        <v/>
      </c>
    </row>
    <row r="262" spans="1:3">
      <c r="A262" s="23" t="str">
        <f>TEXT(IF('Real Structures'!A268&lt;&gt;0,'Real Structures'!A268, ""), "mm-dd-yyyy")</f>
        <v/>
      </c>
      <c r="B262" s="23" t="str">
        <f>IF(ISNUMBER('Real Structures'!B268),'Real Structures'!B268, "")</f>
        <v/>
      </c>
      <c r="C262" s="23" t="str">
        <f>IF('Real Structures'!C268&lt;&gt;0,'Real Structures'!C268, "")</f>
        <v/>
      </c>
    </row>
    <row r="263" spans="1:3">
      <c r="A263" s="23" t="str">
        <f>TEXT(IF('Real Structures'!A269&lt;&gt;0,'Real Structures'!A269, ""), "mm-dd-yyyy")</f>
        <v/>
      </c>
      <c r="B263" s="23" t="str">
        <f>IF(ISNUMBER('Real Structures'!B269),'Real Structures'!B269, "")</f>
        <v/>
      </c>
      <c r="C263" s="23" t="str">
        <f>IF('Real Structures'!C269&lt;&gt;0,'Real Structures'!C269, "")</f>
        <v/>
      </c>
    </row>
    <row r="264" spans="1:3">
      <c r="A264" s="23" t="str">
        <f>TEXT(IF('Real Structures'!A270&lt;&gt;0,'Real Structures'!A270, ""), "mm-dd-yyyy")</f>
        <v/>
      </c>
      <c r="B264" s="23" t="str">
        <f>IF(ISNUMBER('Real Structures'!B270),'Real Structures'!B270, "")</f>
        <v/>
      </c>
      <c r="C264" s="23" t="str">
        <f>IF('Real Structures'!C270&lt;&gt;0,'Real Structures'!C270, "")</f>
        <v/>
      </c>
    </row>
    <row r="265" spans="1:3">
      <c r="A265" s="23" t="str">
        <f>TEXT(IF('Real Structures'!A271&lt;&gt;0,'Real Structures'!A271, ""), "mm-dd-yyyy")</f>
        <v/>
      </c>
      <c r="B265" s="23" t="str">
        <f>IF(ISNUMBER('Real Structures'!B271),'Real Structures'!B271, "")</f>
        <v/>
      </c>
      <c r="C265" s="23" t="str">
        <f>IF('Real Structures'!C271&lt;&gt;0,'Real Structures'!C271, "")</f>
        <v/>
      </c>
    </row>
    <row r="266" spans="1:3">
      <c r="A266" s="23" t="str">
        <f>TEXT(IF('Real Structures'!A272&lt;&gt;0,'Real Structures'!A272, ""), "mm-dd-yyyy")</f>
        <v/>
      </c>
      <c r="B266" s="23" t="str">
        <f>IF(ISNUMBER('Real Structures'!B272),'Real Structures'!B272, "")</f>
        <v/>
      </c>
      <c r="C266" s="23" t="str">
        <f>IF('Real Structures'!C272&lt;&gt;0,'Real Structures'!C272, "")</f>
        <v/>
      </c>
    </row>
    <row r="267" spans="1:3">
      <c r="A267" s="23" t="str">
        <f>TEXT(IF('Real Structures'!A273&lt;&gt;0,'Real Structures'!A273, ""), "mm-dd-yyyy")</f>
        <v/>
      </c>
      <c r="B267" s="23" t="str">
        <f>IF(ISNUMBER('Real Structures'!B273),'Real Structures'!B273, "")</f>
        <v/>
      </c>
      <c r="C267" s="23" t="str">
        <f>IF('Real Structures'!C273&lt;&gt;0,'Real Structures'!C273, "")</f>
        <v/>
      </c>
    </row>
    <row r="268" spans="1:3">
      <c r="A268" s="23" t="str">
        <f>TEXT(IF('Real Structures'!A274&lt;&gt;0,'Real Structures'!A274, ""), "mm-dd-yyyy")</f>
        <v/>
      </c>
      <c r="B268" s="23" t="str">
        <f>IF(ISNUMBER('Real Structures'!B274),'Real Structures'!B274, "")</f>
        <v/>
      </c>
      <c r="C268" s="23" t="str">
        <f>IF('Real Structures'!C274&lt;&gt;0,'Real Structures'!C274, "")</f>
        <v/>
      </c>
    </row>
    <row r="269" spans="1:3">
      <c r="A269" s="23" t="str">
        <f>TEXT(IF('Real Structures'!A275&lt;&gt;0,'Real Structures'!A275, ""), "mm-dd-yyyy")</f>
        <v/>
      </c>
      <c r="B269" s="23" t="str">
        <f>IF(ISNUMBER('Real Structures'!B275),'Real Structures'!B275, "")</f>
        <v/>
      </c>
      <c r="C269" s="23" t="str">
        <f>IF('Real Structures'!C275&lt;&gt;0,'Real Structures'!C275, "")</f>
        <v/>
      </c>
    </row>
    <row r="270" spans="1:3">
      <c r="A270" s="23" t="str">
        <f>TEXT(IF('Real Structures'!A276&lt;&gt;0,'Real Structures'!A276, ""), "mm-dd-yyyy")</f>
        <v/>
      </c>
      <c r="B270" s="23" t="str">
        <f>IF(ISNUMBER('Real Structures'!B276),'Real Structures'!B276, "")</f>
        <v/>
      </c>
      <c r="C270" s="23" t="str">
        <f>IF('Real Structures'!C276&lt;&gt;0,'Real Structures'!C276, "")</f>
        <v/>
      </c>
    </row>
    <row r="271" spans="1:3">
      <c r="A271" s="23" t="str">
        <f>TEXT(IF('Real Structures'!A277&lt;&gt;0,'Real Structures'!A277, ""), "mm-dd-yyyy")</f>
        <v/>
      </c>
      <c r="B271" s="23" t="str">
        <f>IF(ISNUMBER('Real Structures'!B277),'Real Structures'!B277, "")</f>
        <v/>
      </c>
      <c r="C271" s="23" t="str">
        <f>IF('Real Structures'!C277&lt;&gt;0,'Real Structures'!C277, "")</f>
        <v/>
      </c>
    </row>
    <row r="272" spans="1:3">
      <c r="A272" s="23" t="str">
        <f>TEXT(IF('Real Structures'!A278&lt;&gt;0,'Real Structures'!A278, ""), "mm-dd-yyyy")</f>
        <v/>
      </c>
      <c r="B272" s="23" t="str">
        <f>IF(ISNUMBER('Real Structures'!B278),'Real Structures'!B278, "")</f>
        <v/>
      </c>
      <c r="C272" s="23" t="str">
        <f>IF('Real Structures'!C278&lt;&gt;0,'Real Structures'!C278, "")</f>
        <v/>
      </c>
    </row>
    <row r="273" spans="1:3">
      <c r="A273" s="23" t="str">
        <f>TEXT(IF('Real Structures'!A279&lt;&gt;0,'Real Structures'!A279, ""), "mm-dd-yyyy")</f>
        <v/>
      </c>
      <c r="B273" s="23" t="str">
        <f>IF(ISNUMBER('Real Structures'!B279),'Real Structures'!B279, "")</f>
        <v/>
      </c>
      <c r="C273" s="23" t="str">
        <f>IF('Real Structures'!C279&lt;&gt;0,'Real Structures'!C279, "")</f>
        <v/>
      </c>
    </row>
    <row r="274" spans="1:3">
      <c r="A274" s="23" t="str">
        <f>TEXT(IF('Real Structures'!A280&lt;&gt;0,'Real Structures'!A280, ""), "mm-dd-yyyy")</f>
        <v/>
      </c>
      <c r="B274" s="23" t="str">
        <f>IF(ISNUMBER('Real Structures'!B280),'Real Structures'!B280, "")</f>
        <v/>
      </c>
      <c r="C274" s="23" t="str">
        <f>IF('Real Structures'!C280&lt;&gt;0,'Real Structures'!C280, "")</f>
        <v/>
      </c>
    </row>
    <row r="275" spans="1:3">
      <c r="A275" s="23" t="str">
        <f>TEXT(IF('Real Structures'!A281&lt;&gt;0,'Real Structures'!A281, ""), "mm-dd-yyyy")</f>
        <v/>
      </c>
      <c r="B275" s="23" t="str">
        <f>IF(ISNUMBER('Real Structures'!B281),'Real Structures'!B281, "")</f>
        <v/>
      </c>
      <c r="C275" s="23" t="str">
        <f>IF('Real Structures'!C281&lt;&gt;0,'Real Structures'!C281, "")</f>
        <v/>
      </c>
    </row>
    <row r="276" spans="1:3">
      <c r="A276" s="23" t="str">
        <f>TEXT(IF('Real Structures'!A282&lt;&gt;0,'Real Structures'!A282, ""), "mm-dd-yyyy")</f>
        <v/>
      </c>
      <c r="B276" s="23" t="str">
        <f>IF(ISNUMBER('Real Structures'!B282),'Real Structures'!B282, "")</f>
        <v/>
      </c>
      <c r="C276" s="23" t="str">
        <f>IF('Real Structures'!C282&lt;&gt;0,'Real Structures'!C282, "")</f>
        <v/>
      </c>
    </row>
    <row r="277" spans="1:3">
      <c r="A277" s="23" t="str">
        <f>TEXT(IF('Real Structures'!A283&lt;&gt;0,'Real Structures'!A283, ""), "mm-dd-yyyy")</f>
        <v/>
      </c>
      <c r="B277" s="23" t="str">
        <f>IF(ISNUMBER('Real Structures'!B283),'Real Structures'!B283, "")</f>
        <v/>
      </c>
      <c r="C277" s="23" t="str">
        <f>IF('Real Structures'!C283&lt;&gt;0,'Real Structures'!C283, "")</f>
        <v/>
      </c>
    </row>
    <row r="278" spans="1:3">
      <c r="A278" s="23" t="str">
        <f>TEXT(IF('Real Structures'!A284&lt;&gt;0,'Real Structures'!A284, ""), "mm-dd-yyyy")</f>
        <v/>
      </c>
      <c r="B278" s="23" t="str">
        <f>IF(ISNUMBER('Real Structures'!B284),'Real Structures'!B284, "")</f>
        <v/>
      </c>
      <c r="C278" s="23" t="str">
        <f>IF('Real Structures'!C284&lt;&gt;0,'Real Structures'!C284, "")</f>
        <v/>
      </c>
    </row>
    <row r="279" spans="1:3">
      <c r="A279" s="23" t="str">
        <f>TEXT(IF('Real Structures'!A285&lt;&gt;0,'Real Structures'!A285, ""), "mm-dd-yyyy")</f>
        <v/>
      </c>
      <c r="B279" s="23" t="str">
        <f>IF(ISNUMBER('Real Structures'!B285),'Real Structures'!B285, "")</f>
        <v/>
      </c>
      <c r="C279" s="23" t="str">
        <f>IF('Real Structures'!C285&lt;&gt;0,'Real Structures'!C285, "")</f>
        <v/>
      </c>
    </row>
    <row r="280" spans="1:3">
      <c r="A280" s="23" t="str">
        <f>TEXT(IF('Real Structures'!A286&lt;&gt;0,'Real Structures'!A286, ""), "mm-dd-yyyy")</f>
        <v/>
      </c>
      <c r="B280" s="23" t="str">
        <f>IF(ISNUMBER('Real Structures'!B286),'Real Structures'!B286, "")</f>
        <v/>
      </c>
      <c r="C280" s="23" t="str">
        <f>IF('Real Structures'!C286&lt;&gt;0,'Real Structures'!C286, "")</f>
        <v/>
      </c>
    </row>
    <row r="281" spans="1:3">
      <c r="A281" s="23" t="str">
        <f>TEXT(IF('Real Structures'!A287&lt;&gt;0,'Real Structures'!A287, ""), "mm-dd-yyyy")</f>
        <v/>
      </c>
      <c r="B281" s="23" t="str">
        <f>IF(ISNUMBER('Real Structures'!B287),'Real Structures'!B287, "")</f>
        <v/>
      </c>
      <c r="C281" s="23" t="str">
        <f>IF('Real Structures'!C287&lt;&gt;0,'Real Structures'!C287, "")</f>
        <v/>
      </c>
    </row>
    <row r="282" spans="1:3">
      <c r="A282" s="23" t="str">
        <f>TEXT(IF('Real Structures'!A288&lt;&gt;0,'Real Structures'!A288, ""), "mm-dd-yyyy")</f>
        <v/>
      </c>
      <c r="B282" s="23" t="str">
        <f>IF(ISNUMBER('Real Structures'!B288),'Real Structures'!B288, "")</f>
        <v/>
      </c>
      <c r="C282" s="23" t="str">
        <f>IF('Real Structures'!C288&lt;&gt;0,'Real Structures'!C288, "")</f>
        <v/>
      </c>
    </row>
    <row r="283" spans="1:3">
      <c r="A283" s="23" t="str">
        <f>TEXT(IF('Real Structures'!A289&lt;&gt;0,'Real Structures'!A289, ""), "mm-dd-yyyy")</f>
        <v/>
      </c>
      <c r="B283" s="23" t="str">
        <f>IF(ISNUMBER('Real Structures'!B289),'Real Structures'!B289, "")</f>
        <v/>
      </c>
      <c r="C283" s="23" t="str">
        <f>IF('Real Structures'!C289&lt;&gt;0,'Real Structures'!C289, "")</f>
        <v/>
      </c>
    </row>
    <row r="284" spans="1:3">
      <c r="A284" s="23" t="str">
        <f>TEXT(IF('Real Structures'!A290&lt;&gt;0,'Real Structures'!A290, ""), "mm-dd-yyyy")</f>
        <v/>
      </c>
      <c r="B284" s="23" t="str">
        <f>IF(ISNUMBER('Real Structures'!B290),'Real Structures'!B290, "")</f>
        <v/>
      </c>
      <c r="C284" s="23" t="str">
        <f>IF('Real Structures'!C290&lt;&gt;0,'Real Structures'!C290, "")</f>
        <v/>
      </c>
    </row>
    <row r="285" spans="1:3">
      <c r="A285" s="23" t="str">
        <f>TEXT(IF('Real Structures'!A291&lt;&gt;0,'Real Structures'!A291, ""), "mm-dd-yyyy")</f>
        <v/>
      </c>
      <c r="B285" s="23" t="str">
        <f>IF(ISNUMBER('Real Structures'!B291),'Real Structures'!B291, "")</f>
        <v/>
      </c>
      <c r="C285" s="23" t="str">
        <f>IF('Real Structures'!C291&lt;&gt;0,'Real Structures'!C291, "")</f>
        <v/>
      </c>
    </row>
    <row r="286" spans="1:3">
      <c r="A286" s="23" t="str">
        <f>TEXT(IF('Real Structures'!A292&lt;&gt;0,'Real Structures'!A292, ""), "mm-dd-yyyy")</f>
        <v/>
      </c>
      <c r="B286" s="23" t="str">
        <f>IF(ISNUMBER('Real Structures'!B292),'Real Structures'!B292, "")</f>
        <v/>
      </c>
      <c r="C286" s="23" t="str">
        <f>IF('Real Structures'!C292&lt;&gt;0,'Real Structures'!C292, "")</f>
        <v/>
      </c>
    </row>
    <row r="287" spans="1:3">
      <c r="A287" s="23" t="str">
        <f>TEXT(IF('Real Structures'!A293&lt;&gt;0,'Real Structures'!A293, ""), "mm-dd-yyyy")</f>
        <v/>
      </c>
      <c r="B287" s="23" t="str">
        <f>IF(ISNUMBER('Real Structures'!B293),'Real Structures'!B293, "")</f>
        <v/>
      </c>
      <c r="C287" s="23" t="str">
        <f>IF('Real Structures'!C293&lt;&gt;0,'Real Structures'!C293, "")</f>
        <v/>
      </c>
    </row>
    <row r="288" spans="1:3">
      <c r="A288" s="23" t="str">
        <f>TEXT(IF('Real Structures'!A294&lt;&gt;0,'Real Structures'!A294, ""), "mm-dd-yyyy")</f>
        <v/>
      </c>
      <c r="B288" s="23" t="str">
        <f>IF(ISNUMBER('Real Structures'!B294),'Real Structures'!B294, "")</f>
        <v/>
      </c>
      <c r="C288" s="23" t="str">
        <f>IF('Real Structures'!C294&lt;&gt;0,'Real Structures'!C294, "")</f>
        <v/>
      </c>
    </row>
    <row r="289" spans="1:3">
      <c r="A289" s="23" t="str">
        <f>TEXT(IF('Real Structures'!A295&lt;&gt;0,'Real Structures'!A295, ""), "mm-dd-yyyy")</f>
        <v/>
      </c>
      <c r="B289" s="23" t="str">
        <f>IF(ISNUMBER('Real Structures'!B295),'Real Structures'!B295, "")</f>
        <v/>
      </c>
      <c r="C289" s="23" t="str">
        <f>IF('Real Structures'!C295&lt;&gt;0,'Real Structures'!C295, "")</f>
        <v/>
      </c>
    </row>
    <row r="290" spans="1:3">
      <c r="A290" s="23" t="str">
        <f>TEXT(IF('Real Structures'!A296&lt;&gt;0,'Real Structures'!A296, ""), "mm-dd-yyyy")</f>
        <v/>
      </c>
      <c r="B290" s="23" t="str">
        <f>IF(ISNUMBER('Real Structures'!B296),'Real Structures'!B296, "")</f>
        <v/>
      </c>
      <c r="C290" s="23" t="str">
        <f>IF('Real Structures'!C296&lt;&gt;0,'Real Structures'!C296, "")</f>
        <v/>
      </c>
    </row>
    <row r="291" spans="1:3">
      <c r="A291" s="23" t="str">
        <f>TEXT(IF('Real Structures'!A297&lt;&gt;0,'Real Structures'!A297, ""), "mm-dd-yyyy")</f>
        <v/>
      </c>
      <c r="B291" s="23" t="str">
        <f>IF(ISNUMBER('Real Structures'!B297),'Real Structures'!B297, "")</f>
        <v/>
      </c>
      <c r="C291" s="23" t="str">
        <f>IF('Real Structures'!C297&lt;&gt;0,'Real Structures'!C297, "")</f>
        <v/>
      </c>
    </row>
    <row r="292" spans="1:3">
      <c r="A292" s="23" t="str">
        <f>TEXT(IF('Real Structures'!A298&lt;&gt;0,'Real Structures'!A298, ""), "mm-dd-yyyy")</f>
        <v/>
      </c>
      <c r="B292" s="23" t="str">
        <f>IF(ISNUMBER('Real Structures'!B298),'Real Structures'!B298, "")</f>
        <v/>
      </c>
      <c r="C292" s="23" t="str">
        <f>IF('Real Structures'!C298&lt;&gt;0,'Real Structures'!C298, "")</f>
        <v/>
      </c>
    </row>
    <row r="293" spans="1:3">
      <c r="A293" s="23" t="str">
        <f>TEXT(IF('Real Structures'!A299&lt;&gt;0,'Real Structures'!A299, ""), "mm-dd-yyyy")</f>
        <v/>
      </c>
      <c r="B293" s="23" t="str">
        <f>IF(ISNUMBER('Real Structures'!B299),'Real Structures'!B299, "")</f>
        <v/>
      </c>
      <c r="C293" s="23" t="str">
        <f>IF('Real Structures'!C299&lt;&gt;0,'Real Structures'!C299, "")</f>
        <v/>
      </c>
    </row>
    <row r="294" spans="1:3">
      <c r="A294" s="23" t="str">
        <f>TEXT(IF('Real Structures'!A300&lt;&gt;0,'Real Structures'!A300, ""), "mm-dd-yyyy")</f>
        <v/>
      </c>
      <c r="B294" s="23" t="str">
        <f>IF(ISNUMBER('Real Structures'!B300),'Real Structures'!B300, "")</f>
        <v/>
      </c>
      <c r="C294" s="23" t="str">
        <f>IF('Real Structures'!C300&lt;&gt;0,'Real Structures'!C300, "")</f>
        <v/>
      </c>
    </row>
    <row r="295" spans="1:3">
      <c r="A295" s="23" t="str">
        <f>TEXT(IF('Real Structures'!A301&lt;&gt;0,'Real Structures'!A301, ""), "mm-dd-yyyy")</f>
        <v/>
      </c>
      <c r="B295" s="23" t="str">
        <f>IF(ISNUMBER('Real Structures'!B301),'Real Structures'!B301, "")</f>
        <v/>
      </c>
      <c r="C295" s="23" t="str">
        <f>IF('Real Structures'!C301&lt;&gt;0,'Real Structures'!C301, "")</f>
        <v/>
      </c>
    </row>
    <row r="296" spans="1:3">
      <c r="A296" s="23" t="str">
        <f>TEXT(IF('Real Structures'!A302&lt;&gt;0,'Real Structures'!A302, ""), "mm-dd-yyyy")</f>
        <v/>
      </c>
      <c r="B296" s="23" t="str">
        <f>IF(ISNUMBER('Real Structures'!B302),'Real Structures'!B302, "")</f>
        <v/>
      </c>
      <c r="C296" s="23" t="str">
        <f>IF('Real Structures'!C302&lt;&gt;0,'Real Structures'!C302, "")</f>
        <v/>
      </c>
    </row>
    <row r="297" spans="1:3">
      <c r="A297" s="23" t="str">
        <f>TEXT(IF('Real Structures'!A303&lt;&gt;0,'Real Structures'!A303, ""), "mm-dd-yyyy")</f>
        <v/>
      </c>
      <c r="B297" s="23" t="str">
        <f>IF(ISNUMBER('Real Structures'!B303),'Real Structures'!B303, "")</f>
        <v/>
      </c>
      <c r="C297" s="23" t="str">
        <f>IF('Real Structures'!C303&lt;&gt;0,'Real Structures'!C303, "")</f>
        <v/>
      </c>
    </row>
    <row r="298" spans="1:3">
      <c r="A298" s="23" t="str">
        <f>TEXT(IF('Real Structures'!A304&lt;&gt;0,'Real Structures'!A304, ""), "mm-dd-yyyy")</f>
        <v/>
      </c>
      <c r="B298" s="23" t="str">
        <f>IF(ISNUMBER('Real Structures'!B304),'Real Structures'!B304, "")</f>
        <v/>
      </c>
      <c r="C298" s="23" t="str">
        <f>IF('Real Structures'!C304&lt;&gt;0,'Real Structures'!C304, "")</f>
        <v/>
      </c>
    </row>
    <row r="299" spans="1:3">
      <c r="A299" s="23" t="str">
        <f>TEXT(IF('Real Structures'!A305&lt;&gt;0,'Real Structures'!A305, ""), "mm-dd-yyyy")</f>
        <v/>
      </c>
      <c r="B299" s="23" t="str">
        <f>IF(ISNUMBER('Real Structures'!B305),'Real Structures'!B305, "")</f>
        <v/>
      </c>
      <c r="C299" s="23" t="str">
        <f>IF('Real Structures'!C305&lt;&gt;0,'Real Structures'!C305, "")</f>
        <v/>
      </c>
    </row>
    <row r="300" spans="1:3">
      <c r="A300" s="23" t="str">
        <f>TEXT(IF('Real Structures'!A306&lt;&gt;0,'Real Structures'!A306, ""), "mm-dd-yyyy")</f>
        <v/>
      </c>
      <c r="B300" s="23" t="str">
        <f>IF(ISNUMBER('Real Structures'!B306),'Real Structures'!B306, "")</f>
        <v/>
      </c>
      <c r="C300" s="23" t="str">
        <f>IF('Real Structures'!C306&lt;&gt;0,'Real Structures'!C306, "")</f>
        <v/>
      </c>
    </row>
    <row r="301" spans="1:3">
      <c r="A301" s="23" t="str">
        <f>TEXT(IF('Real Structures'!A307&lt;&gt;0,'Real Structures'!A307, ""), "mm-dd-yyyy")</f>
        <v/>
      </c>
      <c r="B301" s="23" t="str">
        <f>IF(ISNUMBER('Real Structures'!B307),'Real Structures'!B307, "")</f>
        <v/>
      </c>
      <c r="C301" s="23" t="str">
        <f>IF('Real Structures'!C307&lt;&gt;0,'Real Structures'!C307, "")</f>
        <v/>
      </c>
    </row>
    <row r="302" spans="1:3">
      <c r="A302" s="23" t="str">
        <f>TEXT(IF('Real Structures'!A308&lt;&gt;0,'Real Structures'!A308, ""), "mm-dd-yyyy")</f>
        <v/>
      </c>
      <c r="B302" s="23" t="str">
        <f>IF(ISNUMBER('Real Structures'!B308),'Real Structures'!B308, "")</f>
        <v/>
      </c>
      <c r="C302" s="23" t="str">
        <f>IF('Real Structures'!C308&lt;&gt;0,'Real Structures'!C308, "")</f>
        <v/>
      </c>
    </row>
    <row r="303" spans="1:3">
      <c r="A303" s="23" t="str">
        <f>TEXT(IF('Real Structures'!A309&lt;&gt;0,'Real Structures'!A309, ""), "mm-dd-yyyy")</f>
        <v/>
      </c>
      <c r="B303" s="23" t="str">
        <f>IF(ISNUMBER('Real Structures'!B309),'Real Structures'!B309, "")</f>
        <v/>
      </c>
      <c r="C303" s="23" t="str">
        <f>IF('Real Structures'!C309&lt;&gt;0,'Real Structures'!C309, "")</f>
        <v/>
      </c>
    </row>
    <row r="304" spans="1:3">
      <c r="A304" s="23" t="str">
        <f>TEXT(IF('Real Structures'!A310&lt;&gt;0,'Real Structures'!A310, ""), "mm-dd-yyyy")</f>
        <v/>
      </c>
      <c r="B304" s="23" t="str">
        <f>IF(ISNUMBER('Real Structures'!B310),'Real Structures'!B310, "")</f>
        <v/>
      </c>
      <c r="C304" s="23" t="str">
        <f>IF('Real Structures'!C310&lt;&gt;0,'Real Structures'!C310, "")</f>
        <v/>
      </c>
    </row>
    <row r="305" spans="1:3">
      <c r="A305" s="23" t="str">
        <f>TEXT(IF('Real Structures'!A311&lt;&gt;0,'Real Structures'!A311, ""), "mm-dd-yyyy")</f>
        <v/>
      </c>
      <c r="B305" s="23" t="str">
        <f>IF(ISNUMBER('Real Structures'!B311),'Real Structures'!B311, "")</f>
        <v/>
      </c>
      <c r="C305" s="23" t="str">
        <f>IF('Real Structures'!C311&lt;&gt;0,'Real Structures'!C311, "")</f>
        <v/>
      </c>
    </row>
    <row r="306" spans="1:3">
      <c r="A306" s="23" t="str">
        <f>TEXT(IF('Real Structures'!A312&lt;&gt;0,'Real Structures'!A312, ""), "mm-dd-yyyy")</f>
        <v/>
      </c>
      <c r="B306" s="23" t="str">
        <f>IF(ISNUMBER('Real Structures'!B312),'Real Structures'!B312, "")</f>
        <v/>
      </c>
      <c r="C306" s="23" t="str">
        <f>IF('Real Structures'!C312&lt;&gt;0,'Real Structures'!C312, "")</f>
        <v/>
      </c>
    </row>
    <row r="307" spans="1:3">
      <c r="A307" s="23" t="str">
        <f>TEXT(IF('Real Structures'!A313&lt;&gt;0,'Real Structures'!A313, ""), "mm-dd-yyyy")</f>
        <v/>
      </c>
      <c r="B307" s="23" t="str">
        <f>IF(ISNUMBER('Real Structures'!B313),'Real Structures'!B313, "")</f>
        <v/>
      </c>
      <c r="C307" s="23" t="str">
        <f>IF('Real Structures'!C313&lt;&gt;0,'Real Structures'!C313, "")</f>
        <v/>
      </c>
    </row>
    <row r="308" spans="1:3">
      <c r="A308" s="23" t="str">
        <f>TEXT(IF('Real Structures'!A314&lt;&gt;0,'Real Structures'!A314, ""), "mm-dd-yyyy")</f>
        <v/>
      </c>
      <c r="B308" s="23" t="str">
        <f>IF(ISNUMBER('Real Structures'!B314),'Real Structures'!B314, "")</f>
        <v/>
      </c>
      <c r="C308" s="23" t="str">
        <f>IF('Real Structures'!C314&lt;&gt;0,'Real Structures'!C314, "")</f>
        <v/>
      </c>
    </row>
    <row r="309" spans="1:3">
      <c r="A309" s="23" t="str">
        <f>TEXT(IF('Real Structures'!A315&lt;&gt;0,'Real Structures'!A315, ""), "mm-dd-yyyy")</f>
        <v/>
      </c>
      <c r="B309" s="23" t="str">
        <f>IF(ISNUMBER('Real Structures'!B315),'Real Structures'!B315, "")</f>
        <v/>
      </c>
      <c r="C309" s="23" t="str">
        <f>IF('Real Structures'!C315&lt;&gt;0,'Real Structures'!C315, "")</f>
        <v/>
      </c>
    </row>
    <row r="310" spans="1:3">
      <c r="A310" s="23" t="str">
        <f>TEXT(IF('Real Structures'!A316&lt;&gt;0,'Real Structures'!A316, ""), "mm-dd-yyyy")</f>
        <v/>
      </c>
      <c r="B310" s="23" t="str">
        <f>IF(ISNUMBER('Real Structures'!B316),'Real Structures'!B316, "")</f>
        <v/>
      </c>
      <c r="C310" s="23" t="str">
        <f>IF('Real Structures'!C316&lt;&gt;0,'Real Structures'!C316, "")</f>
        <v/>
      </c>
    </row>
    <row r="311" spans="1:3">
      <c r="A311" s="23" t="str">
        <f>TEXT(IF('Real Structures'!A317&lt;&gt;0,'Real Structures'!A317, ""), "mm-dd-yyyy")</f>
        <v/>
      </c>
      <c r="B311" s="23" t="str">
        <f>IF(ISNUMBER('Real Structures'!B317),'Real Structures'!B317, "")</f>
        <v/>
      </c>
      <c r="C311" s="23" t="str">
        <f>IF('Real Structures'!C317&lt;&gt;0,'Real Structures'!C317, "")</f>
        <v/>
      </c>
    </row>
    <row r="312" spans="1:3">
      <c r="A312" s="23" t="str">
        <f>TEXT(IF('Real Structures'!A318&lt;&gt;0,'Real Structures'!A318, ""), "mm-dd-yyyy")</f>
        <v/>
      </c>
      <c r="B312" s="23" t="str">
        <f>IF(ISNUMBER('Real Structures'!B318),'Real Structures'!B318, "")</f>
        <v/>
      </c>
      <c r="C312" s="23" t="str">
        <f>IF('Real Structures'!C318&lt;&gt;0,'Real Structures'!C318, "")</f>
        <v/>
      </c>
    </row>
    <row r="313" spans="1:3">
      <c r="A313" s="23" t="str">
        <f>TEXT(IF('Real Structures'!A319&lt;&gt;0,'Real Structures'!A319, ""), "mm-dd-yyyy")</f>
        <v/>
      </c>
      <c r="B313" s="23" t="str">
        <f>IF(ISNUMBER('Real Structures'!B319),'Real Structures'!B319, "")</f>
        <v/>
      </c>
      <c r="C313" s="23" t="str">
        <f>IF('Real Structures'!C319&lt;&gt;0,'Real Structures'!C319, "")</f>
        <v/>
      </c>
    </row>
    <row r="314" spans="1:3">
      <c r="A314" s="23" t="str">
        <f>TEXT(IF('Real Structures'!A320&lt;&gt;0,'Real Structures'!A320, ""), "mm-dd-yyyy")</f>
        <v/>
      </c>
      <c r="B314" s="23" t="str">
        <f>IF(ISNUMBER('Real Structures'!B320),'Real Structures'!B320, "")</f>
        <v/>
      </c>
      <c r="C314" s="23" t="str">
        <f>IF('Real Structures'!C320&lt;&gt;0,'Real Structures'!C320, "")</f>
        <v/>
      </c>
    </row>
    <row r="315" spans="1:3">
      <c r="A315" s="23" t="str">
        <f>TEXT(IF('Real Structures'!A321&lt;&gt;0,'Real Structures'!A321, ""), "mm-dd-yyyy")</f>
        <v/>
      </c>
      <c r="B315" s="23" t="str">
        <f>IF(ISNUMBER('Real Structures'!B321),'Real Structures'!B321, "")</f>
        <v/>
      </c>
      <c r="C315" s="23" t="str">
        <f>IF('Real Structures'!C321&lt;&gt;0,'Real Structures'!C321, "")</f>
        <v/>
      </c>
    </row>
    <row r="316" spans="1:3">
      <c r="A316" s="23" t="str">
        <f>TEXT(IF('Real Structures'!A322&lt;&gt;0,'Real Structures'!A322, ""), "mm-dd-yyyy")</f>
        <v/>
      </c>
      <c r="B316" s="23" t="str">
        <f>IF(ISNUMBER('Real Structures'!B322),'Real Structures'!B322, "")</f>
        <v/>
      </c>
      <c r="C316" s="23" t="str">
        <f>IF('Real Structures'!C322&lt;&gt;0,'Real Structures'!C322, "")</f>
        <v/>
      </c>
    </row>
    <row r="317" spans="1:3">
      <c r="A317" s="23" t="str">
        <f>TEXT(IF('Real Structures'!A323&lt;&gt;0,'Real Structures'!A323, ""), "mm-dd-yyyy")</f>
        <v/>
      </c>
      <c r="B317" s="23" t="str">
        <f>IF(ISNUMBER('Real Structures'!B323),'Real Structures'!B323, "")</f>
        <v/>
      </c>
      <c r="C317" s="23" t="str">
        <f>IF('Real Structures'!C323&lt;&gt;0,'Real Structures'!C323, "")</f>
        <v/>
      </c>
    </row>
    <row r="318" spans="1:3">
      <c r="A318" s="23" t="str">
        <f>TEXT(IF('Real Structures'!A324&lt;&gt;0,'Real Structures'!A324, ""), "mm-dd-yyyy")</f>
        <v/>
      </c>
      <c r="B318" s="23" t="str">
        <f>IF(ISNUMBER('Real Structures'!B324),'Real Structures'!B324, "")</f>
        <v/>
      </c>
      <c r="C318" s="23" t="str">
        <f>IF('Real Structures'!C324&lt;&gt;0,'Real Structures'!C324, "")</f>
        <v/>
      </c>
    </row>
    <row r="319" spans="1:3">
      <c r="A319" s="23" t="str">
        <f>TEXT(IF('Real Structures'!A325&lt;&gt;0,'Real Structures'!A325, ""), "mm-dd-yyyy")</f>
        <v/>
      </c>
      <c r="B319" s="23" t="str">
        <f>IF(ISNUMBER('Real Structures'!B325),'Real Structures'!B325, "")</f>
        <v/>
      </c>
      <c r="C319" s="23" t="str">
        <f>IF('Real Structures'!C325&lt;&gt;0,'Real Structures'!C325, "")</f>
        <v/>
      </c>
    </row>
    <row r="320" spans="1:3">
      <c r="A320" s="23" t="str">
        <f>TEXT(IF('Real Structures'!A326&lt;&gt;0,'Real Structures'!A326, ""), "mm-dd-yyyy")</f>
        <v/>
      </c>
      <c r="B320" s="23" t="str">
        <f>IF(ISNUMBER('Real Structures'!B326),'Real Structures'!B326, "")</f>
        <v/>
      </c>
      <c r="C320" s="23" t="str">
        <f>IF('Real Structures'!C326&lt;&gt;0,'Real Structures'!C326, "")</f>
        <v/>
      </c>
    </row>
    <row r="321" spans="1:3">
      <c r="A321" s="23" t="str">
        <f>TEXT(IF('Real Structures'!A327&lt;&gt;0,'Real Structures'!A327, ""), "mm-dd-yyyy")</f>
        <v/>
      </c>
      <c r="B321" s="23" t="str">
        <f>IF(ISNUMBER('Real Structures'!B327),'Real Structures'!B327, "")</f>
        <v/>
      </c>
      <c r="C321" s="23" t="str">
        <f>IF('Real Structures'!C327&lt;&gt;0,'Real Structures'!C327, "")</f>
        <v/>
      </c>
    </row>
    <row r="322" spans="1:3">
      <c r="A322" s="23" t="str">
        <f>TEXT(IF('Real Structures'!A328&lt;&gt;0,'Real Structures'!A328, ""), "mm-dd-yyyy")</f>
        <v/>
      </c>
      <c r="B322" s="23" t="str">
        <f>IF(ISNUMBER('Real Structures'!B328),'Real Structures'!B328, "")</f>
        <v/>
      </c>
      <c r="C322" s="23" t="str">
        <f>IF('Real Structures'!C328&lt;&gt;0,'Real Structures'!C328, "")</f>
        <v/>
      </c>
    </row>
    <row r="323" spans="1:3">
      <c r="A323" s="23" t="str">
        <f>TEXT(IF('Real Structures'!A329&lt;&gt;0,'Real Structures'!A329, ""), "mm-dd-yyyy")</f>
        <v/>
      </c>
      <c r="B323" s="23" t="str">
        <f>IF(ISNUMBER('Real Structures'!B329),'Real Structures'!B329, "")</f>
        <v/>
      </c>
      <c r="C323" s="23" t="str">
        <f>IF('Real Structures'!C329&lt;&gt;0,'Real Structures'!C329, "")</f>
        <v/>
      </c>
    </row>
    <row r="324" spans="1:3">
      <c r="A324" s="23" t="str">
        <f>TEXT(IF('Real Structures'!A330&lt;&gt;0,'Real Structures'!A330, ""), "mm-dd-yyyy")</f>
        <v/>
      </c>
      <c r="B324" s="23" t="str">
        <f>IF(ISNUMBER('Real Structures'!B330),'Real Structures'!B330, "")</f>
        <v/>
      </c>
      <c r="C324" s="23" t="str">
        <f>IF('Real Structures'!C330&lt;&gt;0,'Real Structures'!C330, "")</f>
        <v/>
      </c>
    </row>
    <row r="325" spans="1:3">
      <c r="A325" s="23" t="str">
        <f>TEXT(IF('Real Structures'!A331&lt;&gt;0,'Real Structures'!A331, ""), "mm-dd-yyyy")</f>
        <v/>
      </c>
      <c r="B325" s="23" t="str">
        <f>IF(ISNUMBER('Real Structures'!B331),'Real Structures'!B331, "")</f>
        <v/>
      </c>
      <c r="C325" s="23" t="str">
        <f>IF('Real Structures'!C331&lt;&gt;0,'Real Structures'!C331, "")</f>
        <v/>
      </c>
    </row>
    <row r="326" spans="1:3">
      <c r="A326" s="23" t="str">
        <f>TEXT(IF('Real Structures'!A332&lt;&gt;0,'Real Structures'!A332, ""), "mm-dd-yyyy")</f>
        <v/>
      </c>
      <c r="B326" s="23" t="str">
        <f>IF(ISNUMBER('Real Structures'!B332),'Real Structures'!B332, "")</f>
        <v/>
      </c>
      <c r="C326" s="23" t="str">
        <f>IF('Real Structures'!C332&lt;&gt;0,'Real Structures'!C332, "")</f>
        <v/>
      </c>
    </row>
    <row r="327" spans="1:3">
      <c r="A327" s="23" t="str">
        <f>TEXT(IF('Real Structures'!A333&lt;&gt;0,'Real Structures'!A333, ""), "mm-dd-yyyy")</f>
        <v/>
      </c>
      <c r="B327" s="23" t="str">
        <f>IF(ISNUMBER('Real Structures'!B333),'Real Structures'!B333, "")</f>
        <v/>
      </c>
      <c r="C327" s="23" t="str">
        <f>IF('Real Structures'!C333&lt;&gt;0,'Real Structures'!C333, "")</f>
        <v/>
      </c>
    </row>
    <row r="328" spans="1:3">
      <c r="A328" s="23" t="str">
        <f>TEXT(IF('Real Structures'!A334&lt;&gt;0,'Real Structures'!A334, ""), "mm-dd-yyyy")</f>
        <v/>
      </c>
      <c r="B328" s="23" t="str">
        <f>IF(ISNUMBER('Real Structures'!B334),'Real Structures'!B334, "")</f>
        <v/>
      </c>
      <c r="C328" s="23" t="str">
        <f>IF('Real Structures'!C334&lt;&gt;0,'Real Structures'!C334, "")</f>
        <v/>
      </c>
    </row>
    <row r="329" spans="1:3">
      <c r="A329" s="23" t="str">
        <f>TEXT(IF('Real Structures'!A335&lt;&gt;0,'Real Structures'!A335, ""), "mm-dd-yyyy")</f>
        <v/>
      </c>
      <c r="B329" s="23" t="str">
        <f>IF(ISNUMBER('Real Structures'!B335),'Real Structures'!B335, "")</f>
        <v/>
      </c>
      <c r="C329" s="23" t="str">
        <f>IF('Real Structures'!C335&lt;&gt;0,'Real Structures'!C335, "")</f>
        <v/>
      </c>
    </row>
    <row r="330" spans="1:3">
      <c r="A330" s="23" t="str">
        <f>TEXT(IF('Real Structures'!A336&lt;&gt;0,'Real Structures'!A336, ""), "mm-dd-yyyy")</f>
        <v/>
      </c>
      <c r="B330" s="23" t="str">
        <f>IF(ISNUMBER('Real Structures'!B336),'Real Structures'!B336, "")</f>
        <v/>
      </c>
      <c r="C330" s="23" t="str">
        <f>IF('Real Structures'!C336&lt;&gt;0,'Real Structures'!C336, "")</f>
        <v/>
      </c>
    </row>
    <row r="331" spans="1:3">
      <c r="A331" s="23" t="str">
        <f>TEXT(IF('Real Structures'!A337&lt;&gt;0,'Real Structures'!A337, ""), "mm-dd-yyyy")</f>
        <v/>
      </c>
      <c r="B331" s="23" t="str">
        <f>IF(ISNUMBER('Real Structures'!B337),'Real Structures'!B337, "")</f>
        <v/>
      </c>
      <c r="C331" s="23" t="str">
        <f>IF('Real Structures'!C337&lt;&gt;0,'Real Structures'!C337, "")</f>
        <v/>
      </c>
    </row>
    <row r="332" spans="1:3">
      <c r="A332" s="23" t="str">
        <f>TEXT(IF('Real Structures'!A338&lt;&gt;0,'Real Structures'!A338, ""), "mm-dd-yyyy")</f>
        <v/>
      </c>
      <c r="B332" s="23" t="str">
        <f>IF(ISNUMBER('Real Structures'!B338),'Real Structures'!B338, "")</f>
        <v/>
      </c>
      <c r="C332" s="23" t="str">
        <f>IF('Real Structures'!C338&lt;&gt;0,'Real Structures'!C338, "")</f>
        <v/>
      </c>
    </row>
    <row r="333" spans="1:3">
      <c r="A333" s="23" t="str">
        <f>TEXT(IF('Real Structures'!A339&lt;&gt;0,'Real Structures'!A339, ""), "mm-dd-yyyy")</f>
        <v/>
      </c>
      <c r="B333" s="23" t="str">
        <f>IF(ISNUMBER('Real Structures'!B339),'Real Structures'!B339, "")</f>
        <v/>
      </c>
      <c r="C333" s="23" t="str">
        <f>IF('Real Structures'!C339&lt;&gt;0,'Real Structures'!C339, "")</f>
        <v/>
      </c>
    </row>
    <row r="334" spans="1:3">
      <c r="A334" s="23" t="str">
        <f>TEXT(IF('Real Structures'!A340&lt;&gt;0,'Real Structures'!A340, ""), "mm-dd-yyyy")</f>
        <v/>
      </c>
      <c r="B334" s="23" t="str">
        <f>IF(ISNUMBER('Real Structures'!B340),'Real Structures'!B340, "")</f>
        <v/>
      </c>
      <c r="C334" s="23" t="str">
        <f>IF('Real Structures'!C340&lt;&gt;0,'Real Structures'!C340, "")</f>
        <v/>
      </c>
    </row>
    <row r="335" spans="1:3">
      <c r="A335" s="23" t="str">
        <f>TEXT(IF('Real Structures'!A341&lt;&gt;0,'Real Structures'!A341, ""), "mm-dd-yyyy")</f>
        <v/>
      </c>
      <c r="B335" s="23" t="str">
        <f>IF(ISNUMBER('Real Structures'!B341),'Real Structures'!B341, "")</f>
        <v/>
      </c>
      <c r="C335" s="23" t="str">
        <f>IF('Real Structures'!C341&lt;&gt;0,'Real Structures'!C341, "")</f>
        <v/>
      </c>
    </row>
    <row r="336" spans="1:3">
      <c r="A336" s="23" t="str">
        <f>TEXT(IF('Real Structures'!A342&lt;&gt;0,'Real Structures'!A342, ""), "mm-dd-yyyy")</f>
        <v/>
      </c>
      <c r="B336" s="23" t="str">
        <f>IF(ISNUMBER('Real Structures'!B342),'Real Structures'!B342, "")</f>
        <v/>
      </c>
      <c r="C336" s="23" t="str">
        <f>IF('Real Structures'!C342&lt;&gt;0,'Real Structures'!C342, "")</f>
        <v/>
      </c>
    </row>
    <row r="337" spans="1:3">
      <c r="A337" s="23" t="str">
        <f>TEXT(IF('Real Structures'!A343&lt;&gt;0,'Real Structures'!A343, ""), "mm-dd-yyyy")</f>
        <v/>
      </c>
      <c r="B337" s="23" t="str">
        <f>IF(ISNUMBER('Real Structures'!B343),'Real Structures'!B343, "")</f>
        <v/>
      </c>
      <c r="C337" s="23" t="str">
        <f>IF('Real Structures'!C343&lt;&gt;0,'Real Structures'!C343, "")</f>
        <v/>
      </c>
    </row>
    <row r="338" spans="1:3">
      <c r="A338" s="23" t="str">
        <f>TEXT(IF('Real Structures'!A344&lt;&gt;0,'Real Structures'!A344, ""), "mm-dd-yyyy")</f>
        <v/>
      </c>
      <c r="B338" s="23" t="str">
        <f>IF(ISNUMBER('Real Structures'!B344),'Real Structures'!B344, "")</f>
        <v/>
      </c>
      <c r="C338" s="23" t="str">
        <f>IF('Real Structures'!C344&lt;&gt;0,'Real Structures'!C344, "")</f>
        <v/>
      </c>
    </row>
    <row r="339" spans="1:3">
      <c r="A339" s="23" t="str">
        <f>TEXT(IF('Real Structures'!A345&lt;&gt;0,'Real Structures'!A345, ""), "mm-dd-yyyy")</f>
        <v/>
      </c>
      <c r="B339" s="23" t="str">
        <f>IF(ISNUMBER('Real Structures'!B345),'Real Structures'!B345, "")</f>
        <v/>
      </c>
      <c r="C339" s="23" t="str">
        <f>IF('Real Structures'!C345&lt;&gt;0,'Real Structures'!C345, "")</f>
        <v/>
      </c>
    </row>
    <row r="340" spans="1:3">
      <c r="A340" s="23" t="str">
        <f>TEXT(IF('Real Structures'!A346&lt;&gt;0,'Real Structures'!A346, ""), "mm-dd-yyyy")</f>
        <v/>
      </c>
      <c r="B340" s="23" t="str">
        <f>IF(ISNUMBER('Real Structures'!B346),'Real Structures'!B346, "")</f>
        <v/>
      </c>
      <c r="C340" s="23" t="str">
        <f>IF('Real Structures'!C346&lt;&gt;0,'Real Structures'!C346, "")</f>
        <v/>
      </c>
    </row>
    <row r="341" spans="1:3">
      <c r="A341" s="23" t="str">
        <f>TEXT(IF('Real Structures'!A347&lt;&gt;0,'Real Structures'!A347, ""), "mm-dd-yyyy")</f>
        <v/>
      </c>
      <c r="B341" s="23" t="str">
        <f>IF(ISNUMBER('Real Structures'!B347),'Real Structures'!B347, "")</f>
        <v/>
      </c>
      <c r="C341" s="23" t="str">
        <f>IF('Real Structures'!C347&lt;&gt;0,'Real Structures'!C347, "")</f>
        <v/>
      </c>
    </row>
    <row r="342" spans="1:3">
      <c r="A342" s="23" t="str">
        <f>TEXT(IF('Real Structures'!A348&lt;&gt;0,'Real Structures'!A348, ""), "mm-dd-yyyy")</f>
        <v/>
      </c>
      <c r="B342" s="23" t="str">
        <f>IF(ISNUMBER('Real Structures'!B348),'Real Structures'!B348, "")</f>
        <v/>
      </c>
      <c r="C342" s="23" t="str">
        <f>IF('Real Structures'!C348&lt;&gt;0,'Real Structures'!C348, "")</f>
        <v/>
      </c>
    </row>
    <row r="343" spans="1:3">
      <c r="A343" s="23" t="str">
        <f>TEXT(IF('Real Structures'!A349&lt;&gt;0,'Real Structures'!A349, ""), "mm-dd-yyyy")</f>
        <v/>
      </c>
      <c r="B343" s="23" t="str">
        <f>IF(ISNUMBER('Real Structures'!B349),'Real Structures'!B349, "")</f>
        <v/>
      </c>
      <c r="C343" s="23" t="str">
        <f>IF('Real Structures'!C349&lt;&gt;0,'Real Structures'!C349, "")</f>
        <v/>
      </c>
    </row>
    <row r="344" spans="1:3">
      <c r="A344" s="23" t="str">
        <f>TEXT(IF('Real Structures'!A350&lt;&gt;0,'Real Structures'!A350, ""), "mm-dd-yyyy")</f>
        <v/>
      </c>
      <c r="B344" s="23" t="str">
        <f>IF(ISNUMBER('Real Structures'!B350),'Real Structures'!B350, "")</f>
        <v/>
      </c>
      <c r="C344" s="23" t="str">
        <f>IF('Real Structures'!C350&lt;&gt;0,'Real Structures'!C350, "")</f>
        <v/>
      </c>
    </row>
    <row r="345" spans="1:3">
      <c r="A345" s="23" t="str">
        <f>TEXT(IF('Real Structures'!A351&lt;&gt;0,'Real Structures'!A351, ""), "mm-dd-yyyy")</f>
        <v/>
      </c>
      <c r="B345" s="23" t="str">
        <f>IF(ISNUMBER('Real Structures'!B351),'Real Structures'!B351, "")</f>
        <v/>
      </c>
      <c r="C345" s="23" t="str">
        <f>IF('Real Structures'!C351&lt;&gt;0,'Real Structures'!C351, "")</f>
        <v/>
      </c>
    </row>
    <row r="346" spans="1:3">
      <c r="A346" s="23" t="str">
        <f>TEXT(IF('Real Structures'!A352&lt;&gt;0,'Real Structures'!A352, ""), "mm-dd-yyyy")</f>
        <v/>
      </c>
      <c r="B346" s="23" t="str">
        <f>IF(ISNUMBER('Real Structures'!B352),'Real Structures'!B352, "")</f>
        <v/>
      </c>
      <c r="C346" s="23" t="str">
        <f>IF('Real Structures'!C352&lt;&gt;0,'Real Structures'!C352, "")</f>
        <v/>
      </c>
    </row>
    <row r="347" spans="1:3">
      <c r="A347" s="23" t="str">
        <f>TEXT(IF('Real Structures'!A353&lt;&gt;0,'Real Structures'!A353, ""), "mm-dd-yyyy")</f>
        <v/>
      </c>
      <c r="B347" s="23" t="str">
        <f>IF(ISNUMBER('Real Structures'!B353),'Real Structures'!B353, "")</f>
        <v/>
      </c>
      <c r="C347" s="23" t="str">
        <f>IF('Real Structures'!C353&lt;&gt;0,'Real Structures'!C353, "")</f>
        <v/>
      </c>
    </row>
    <row r="348" spans="1:3">
      <c r="A348" s="23" t="str">
        <f>TEXT(IF('Real Structures'!A354&lt;&gt;0,'Real Structures'!A354, ""), "mm-dd-yyyy")</f>
        <v/>
      </c>
      <c r="B348" s="23" t="str">
        <f>IF(ISNUMBER('Real Structures'!B354),'Real Structures'!B354, "")</f>
        <v/>
      </c>
      <c r="C348" s="23" t="str">
        <f>IF('Real Structures'!C354&lt;&gt;0,'Real Structures'!C354, "")</f>
        <v/>
      </c>
    </row>
    <row r="349" spans="1:3">
      <c r="A349" s="23" t="str">
        <f>TEXT(IF('Real Structures'!A355&lt;&gt;0,'Real Structures'!A355, ""), "mm-dd-yyyy")</f>
        <v/>
      </c>
      <c r="B349" s="23" t="str">
        <f>IF(ISNUMBER('Real Structures'!B355),'Real Structures'!B355, "")</f>
        <v/>
      </c>
      <c r="C349" s="23" t="str">
        <f>IF('Real Structures'!C355&lt;&gt;0,'Real Structures'!C355, "")</f>
        <v/>
      </c>
    </row>
    <row r="350" spans="1:3">
      <c r="A350" s="23" t="str">
        <f>TEXT(IF('Real Structures'!A356&lt;&gt;0,'Real Structures'!A356, ""), "mm-dd-yyyy")</f>
        <v/>
      </c>
      <c r="B350" s="23" t="str">
        <f>IF(ISNUMBER('Real Structures'!B356),'Real Structures'!B356, "")</f>
        <v/>
      </c>
      <c r="C350" s="23" t="str">
        <f>IF('Real Structures'!C356&lt;&gt;0,'Real Structures'!C356, "")</f>
        <v/>
      </c>
    </row>
    <row r="351" spans="1:3">
      <c r="A351" s="23" t="str">
        <f>TEXT(IF('Real Structures'!A357&lt;&gt;0,'Real Structures'!A357, ""), "mm-dd-yyyy")</f>
        <v/>
      </c>
      <c r="B351" s="23" t="str">
        <f>IF(ISNUMBER('Real Structures'!B357),'Real Structures'!B357, "")</f>
        <v/>
      </c>
      <c r="C351" s="23" t="str">
        <f>IF('Real Structures'!C357&lt;&gt;0,'Real Structures'!C357, "")</f>
        <v/>
      </c>
    </row>
    <row r="352" spans="1:3">
      <c r="A352" s="23" t="str">
        <f>TEXT(IF('Real Structures'!A358&lt;&gt;0,'Real Structures'!A358, ""), "mm-dd-yyyy")</f>
        <v/>
      </c>
      <c r="B352" s="23" t="str">
        <f>IF(ISNUMBER('Real Structures'!B358),'Real Structures'!B358, "")</f>
        <v/>
      </c>
      <c r="C352" s="23" t="str">
        <f>IF('Real Structures'!C358&lt;&gt;0,'Real Structures'!C358, "")</f>
        <v/>
      </c>
    </row>
    <row r="353" spans="1:3">
      <c r="A353" s="23" t="str">
        <f>TEXT(IF('Real Structures'!A359&lt;&gt;0,'Real Structures'!A359, ""), "mm-dd-yyyy")</f>
        <v/>
      </c>
      <c r="B353" s="23" t="str">
        <f>IF(ISNUMBER('Real Structures'!B359),'Real Structures'!B359, "")</f>
        <v/>
      </c>
      <c r="C353" s="23" t="str">
        <f>IF('Real Structures'!C359&lt;&gt;0,'Real Structures'!C359, "")</f>
        <v/>
      </c>
    </row>
    <row r="354" spans="1:3">
      <c r="A354" s="23" t="str">
        <f>TEXT(IF('Real Structures'!A360&lt;&gt;0,'Real Structures'!A360, ""), "mm-dd-yyyy")</f>
        <v/>
      </c>
      <c r="B354" s="23" t="str">
        <f>IF(ISNUMBER('Real Structures'!B360),'Real Structures'!B360, "")</f>
        <v/>
      </c>
      <c r="C354" s="23" t="str">
        <f>IF('Real Structures'!C360&lt;&gt;0,'Real Structures'!C360, "")</f>
        <v/>
      </c>
    </row>
    <row r="355" spans="1:3">
      <c r="A355" s="23" t="str">
        <f>TEXT(IF('Real Structures'!A361&lt;&gt;0,'Real Structures'!A361, ""), "mm-dd-yyyy")</f>
        <v/>
      </c>
      <c r="B355" s="23" t="str">
        <f>IF(ISNUMBER('Real Structures'!B361),'Real Structures'!B361, "")</f>
        <v/>
      </c>
      <c r="C355" s="23" t="str">
        <f>IF('Real Structures'!C361&lt;&gt;0,'Real Structures'!C361, "")</f>
        <v/>
      </c>
    </row>
    <row r="356" spans="1:3">
      <c r="A356" s="23" t="str">
        <f>TEXT(IF('Real Structures'!A362&lt;&gt;0,'Real Structures'!A362, ""), "mm-dd-yyyy")</f>
        <v/>
      </c>
      <c r="B356" s="23" t="str">
        <f>IF(ISNUMBER('Real Structures'!B362),'Real Structures'!B362, "")</f>
        <v/>
      </c>
      <c r="C356" s="23" t="str">
        <f>IF('Real Structures'!C362&lt;&gt;0,'Real Structures'!C362, "")</f>
        <v/>
      </c>
    </row>
    <row r="357" spans="1:3">
      <c r="A357" s="23" t="str">
        <f>TEXT(IF('Real Structures'!A363&lt;&gt;0,'Real Structures'!A363, ""), "mm-dd-yyyy")</f>
        <v/>
      </c>
      <c r="B357" s="23" t="str">
        <f>IF(ISNUMBER('Real Structures'!B363),'Real Structures'!B363, "")</f>
        <v/>
      </c>
      <c r="C357" s="23" t="str">
        <f>IF('Real Structures'!C363&lt;&gt;0,'Real Structures'!C363, "")</f>
        <v/>
      </c>
    </row>
    <row r="358" spans="1:3">
      <c r="A358" s="23" t="str">
        <f>TEXT(IF('Real Structures'!A364&lt;&gt;0,'Real Structures'!A364, ""), "mm-dd-yyyy")</f>
        <v/>
      </c>
      <c r="B358" s="23" t="str">
        <f>IF(ISNUMBER('Real Structures'!B364),'Real Structures'!B364, "")</f>
        <v/>
      </c>
      <c r="C358" s="23" t="str">
        <f>IF('Real Structures'!C364&lt;&gt;0,'Real Structures'!C364, "")</f>
        <v/>
      </c>
    </row>
    <row r="359" spans="1:3">
      <c r="A359" s="23" t="str">
        <f>TEXT(IF('Real Structures'!A365&lt;&gt;0,'Real Structures'!A365, ""), "mm-dd-yyyy")</f>
        <v/>
      </c>
      <c r="B359" s="23" t="str">
        <f>IF(ISNUMBER('Real Structures'!B365),'Real Structures'!B365, "")</f>
        <v/>
      </c>
      <c r="C359" s="23" t="str">
        <f>IF('Real Structures'!C365&lt;&gt;0,'Real Structures'!C365, "")</f>
        <v/>
      </c>
    </row>
    <row r="360" spans="1:3">
      <c r="A360" s="23" t="str">
        <f>TEXT(IF('Real Structures'!A366&lt;&gt;0,'Real Structures'!A366, ""), "mm-dd-yyyy")</f>
        <v/>
      </c>
      <c r="B360" s="23" t="str">
        <f>IF(ISNUMBER('Real Structures'!B366),'Real Structures'!B366, "")</f>
        <v/>
      </c>
      <c r="C360" s="23" t="str">
        <f>IF('Real Structures'!C366&lt;&gt;0,'Real Structures'!C366, "")</f>
        <v/>
      </c>
    </row>
    <row r="361" spans="1:3">
      <c r="A361" s="23" t="str">
        <f>TEXT(IF('Real Structures'!A367&lt;&gt;0,'Real Structures'!A367, ""), "mm-dd-yyyy")</f>
        <v/>
      </c>
      <c r="B361" s="23" t="str">
        <f>IF(ISNUMBER('Real Structures'!B367),'Real Structures'!B367, "")</f>
        <v/>
      </c>
      <c r="C361" s="23" t="str">
        <f>IF('Real Structures'!C367&lt;&gt;0,'Real Structures'!C367, "")</f>
        <v/>
      </c>
    </row>
    <row r="362" spans="1:3">
      <c r="A362" s="23" t="str">
        <f>TEXT(IF('Real Structures'!A368&lt;&gt;0,'Real Structures'!A368, ""), "mm-dd-yyyy")</f>
        <v/>
      </c>
      <c r="B362" s="23" t="str">
        <f>IF(ISNUMBER('Real Structures'!B368),'Real Structures'!B368, "")</f>
        <v/>
      </c>
      <c r="C362" s="23" t="str">
        <f>IF('Real Structures'!C368&lt;&gt;0,'Real Structures'!C368, "")</f>
        <v/>
      </c>
    </row>
    <row r="363" spans="1:3">
      <c r="A363" s="23" t="str">
        <f>TEXT(IF('Real Structures'!A369&lt;&gt;0,'Real Structures'!A369, ""), "mm-dd-yyyy")</f>
        <v/>
      </c>
      <c r="B363" s="23" t="str">
        <f>IF(ISNUMBER('Real Structures'!B369),'Real Structures'!B369, "")</f>
        <v/>
      </c>
      <c r="C363" s="23" t="str">
        <f>IF('Real Structures'!C369&lt;&gt;0,'Real Structures'!C369, "")</f>
        <v/>
      </c>
    </row>
    <row r="364" spans="1:3">
      <c r="A364" s="23" t="str">
        <f>TEXT(IF('Real Structures'!A370&lt;&gt;0,'Real Structures'!A370, ""), "mm-dd-yyyy")</f>
        <v/>
      </c>
      <c r="B364" s="23" t="str">
        <f>IF(ISNUMBER('Real Structures'!B370),'Real Structures'!B370, "")</f>
        <v/>
      </c>
      <c r="C364" s="23" t="str">
        <f>IF('Real Structures'!C370&lt;&gt;0,'Real Structures'!C370, "")</f>
        <v/>
      </c>
    </row>
    <row r="365" spans="1:3">
      <c r="A365" s="23" t="str">
        <f>TEXT(IF('Real Structures'!A371&lt;&gt;0,'Real Structures'!A371, ""), "mm-dd-yyyy")</f>
        <v/>
      </c>
      <c r="B365" s="23" t="str">
        <f>IF(ISNUMBER('Real Structures'!B371),'Real Structures'!B371, "")</f>
        <v/>
      </c>
      <c r="C365" s="23" t="str">
        <f>IF('Real Structures'!C371&lt;&gt;0,'Real Structures'!C371, "")</f>
        <v/>
      </c>
    </row>
    <row r="366" spans="1:3">
      <c r="A366" s="23" t="str">
        <f>TEXT(IF('Real Structures'!A372&lt;&gt;0,'Real Structures'!A372, ""), "mm-dd-yyyy")</f>
        <v/>
      </c>
      <c r="B366" s="23" t="str">
        <f>IF(ISNUMBER('Real Structures'!B372),'Real Structures'!B372, "")</f>
        <v/>
      </c>
      <c r="C366" s="23" t="str">
        <f>IF('Real Structures'!C372&lt;&gt;0,'Real Structures'!C372, "")</f>
        <v/>
      </c>
    </row>
    <row r="367" spans="1:3">
      <c r="A367" s="23" t="str">
        <f>TEXT(IF('Real Structures'!A373&lt;&gt;0,'Real Structures'!A373, ""), "mm-dd-yyyy")</f>
        <v/>
      </c>
      <c r="B367" s="23" t="str">
        <f>IF(ISNUMBER('Real Structures'!B373),'Real Structures'!B373, "")</f>
        <v/>
      </c>
      <c r="C367" s="23" t="str">
        <f>IF('Real Structures'!C373&lt;&gt;0,'Real Structures'!C373, "")</f>
        <v/>
      </c>
    </row>
    <row r="368" spans="1:3">
      <c r="A368" s="23" t="str">
        <f>TEXT(IF('Real Structures'!A374&lt;&gt;0,'Real Structures'!A374, ""), "mm-dd-yyyy")</f>
        <v/>
      </c>
      <c r="B368" s="23" t="str">
        <f>IF(ISNUMBER('Real Structures'!B374),'Real Structures'!B374, "")</f>
        <v/>
      </c>
      <c r="C368" s="23" t="str">
        <f>IF('Real Structures'!C374&lt;&gt;0,'Real Structures'!C374, "")</f>
        <v/>
      </c>
    </row>
    <row r="369" spans="1:3">
      <c r="A369" s="23" t="str">
        <f>TEXT(IF('Real Structures'!A375&lt;&gt;0,'Real Structures'!A375, ""), "mm-dd-yyyy")</f>
        <v/>
      </c>
      <c r="B369" s="23" t="str">
        <f>IF(ISNUMBER('Real Structures'!B375),'Real Structures'!B375, "")</f>
        <v/>
      </c>
      <c r="C369" s="23" t="str">
        <f>IF('Real Structures'!C375&lt;&gt;0,'Real Structures'!C375, "")</f>
        <v/>
      </c>
    </row>
    <row r="370" spans="1:3">
      <c r="A370" s="23" t="str">
        <f>TEXT(IF('Real Structures'!A376&lt;&gt;0,'Real Structures'!A376, ""), "mm-dd-yyyy")</f>
        <v/>
      </c>
      <c r="B370" s="23" t="str">
        <f>IF(ISNUMBER('Real Structures'!B376),'Real Structures'!B376, "")</f>
        <v/>
      </c>
      <c r="C370" s="23" t="str">
        <f>IF('Real Structures'!C376&lt;&gt;0,'Real Structures'!C376, "")</f>
        <v/>
      </c>
    </row>
    <row r="371" spans="1:3">
      <c r="A371" s="23" t="str">
        <f>TEXT(IF('Real Structures'!A377&lt;&gt;0,'Real Structures'!A377, ""), "mm-dd-yyyy")</f>
        <v/>
      </c>
      <c r="B371" s="23" t="str">
        <f>IF(ISNUMBER('Real Structures'!B377),'Real Structures'!B377, "")</f>
        <v/>
      </c>
      <c r="C371" s="23" t="str">
        <f>IF('Real Structures'!C377&lt;&gt;0,'Real Structures'!C377, "")</f>
        <v/>
      </c>
    </row>
    <row r="372" spans="1:3">
      <c r="A372" s="23" t="str">
        <f>TEXT(IF('Real Structures'!A378&lt;&gt;0,'Real Structures'!A378, ""), "mm-dd-yyyy")</f>
        <v/>
      </c>
      <c r="B372" s="23" t="str">
        <f>IF(ISNUMBER('Real Structures'!B378),'Real Structures'!B378, "")</f>
        <v/>
      </c>
      <c r="C372" s="23" t="str">
        <f>IF('Real Structures'!C378&lt;&gt;0,'Real Structures'!C378, 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B225"/>
  <sheetViews>
    <sheetView workbookViewId="0"/>
  </sheetViews>
  <sheetFormatPr defaultRowHeight="15"/>
  <cols>
    <col min="1" max="1" width="10.42578125" bestFit="1" customWidth="1"/>
  </cols>
  <sheetData>
    <row r="1" spans="1:2">
      <c r="A1" t="s">
        <v>143</v>
      </c>
      <c r="B1" t="s">
        <v>173</v>
      </c>
    </row>
    <row r="2" spans="1:2">
      <c r="A2" t="str">
        <f>TEXT(IF('State and Local Taxes'!B16&lt;&gt;0,DATE(YEAR('State and Local Taxes'!B16), MONTH('State and Local Taxes'!B16)-2, 1), ""), "mm/dd/yyyy")</f>
        <v>04/01/2004</v>
      </c>
      <c r="B2" s="23" t="str">
        <f>IF(ISNUMBER('State and Local Taxes'!I16),TEXT('State and Local Taxes'!I16, "0.000"), "")</f>
        <v>0.085</v>
      </c>
    </row>
    <row r="3" spans="1:2">
      <c r="A3" s="23" t="str">
        <f>TEXT(IF('State and Local Taxes'!B17&lt;&gt;0,DATE(YEAR('State and Local Taxes'!B17), MONTH('State and Local Taxes'!B17)-2, 1), ""), "mm/dd/yyyy")</f>
        <v>07/01/2004</v>
      </c>
      <c r="B3" s="23" t="str">
        <f>IF(ISNUMBER('State and Local Taxes'!I17),TEXT('State and Local Taxes'!I17, "0.000"), "")</f>
        <v>0.077</v>
      </c>
    </row>
    <row r="4" spans="1:2">
      <c r="A4" s="23" t="str">
        <f>TEXT(IF('State and Local Taxes'!B18&lt;&gt;0,DATE(YEAR('State and Local Taxes'!B18), MONTH('State and Local Taxes'!B18)-2, 1), ""), "mm/dd/yyyy")</f>
        <v>10/01/2004</v>
      </c>
      <c r="B4" s="23" t="str">
        <f>IF(ISNUMBER('State and Local Taxes'!I18),TEXT('State and Local Taxes'!I18, "0.000"), "")</f>
        <v>0.087</v>
      </c>
    </row>
    <row r="5" spans="1:2">
      <c r="A5" s="23" t="str">
        <f>TEXT(IF('State and Local Taxes'!B19&lt;&gt;0,DATE(YEAR('State and Local Taxes'!B19), MONTH('State and Local Taxes'!B19)-2, 1), ""), "mm/dd/yyyy")</f>
        <v>01/01/2005</v>
      </c>
      <c r="B5" s="23" t="str">
        <f>IF(ISNUMBER('State and Local Taxes'!I19),TEXT('State and Local Taxes'!I19, "0.000"), "")</f>
        <v>0.092</v>
      </c>
    </row>
    <row r="6" spans="1:2">
      <c r="A6" s="23" t="str">
        <f>TEXT(IF('State and Local Taxes'!B20&lt;&gt;0,DATE(YEAR('State and Local Taxes'!B20), MONTH('State and Local Taxes'!B20)-2, 1), ""), "mm/dd/yyyy")</f>
        <v>04/01/2005</v>
      </c>
      <c r="B6" s="23" t="str">
        <f>IF(ISNUMBER('State and Local Taxes'!I20),TEXT('State and Local Taxes'!I20, "0.000"), "")</f>
        <v>0.106</v>
      </c>
    </row>
    <row r="7" spans="1:2">
      <c r="A7" s="23" t="str">
        <f>TEXT(IF('State and Local Taxes'!B21&lt;&gt;0,DATE(YEAR('State and Local Taxes'!B21), MONTH('State and Local Taxes'!B21)-2, 1), ""), "mm/dd/yyyy")</f>
        <v>07/01/2005</v>
      </c>
      <c r="B7" s="23" t="str">
        <f>IF(ISNUMBER('State and Local Taxes'!I21),TEXT('State and Local Taxes'!I21, "0.000"), "")</f>
        <v>0.113</v>
      </c>
    </row>
    <row r="8" spans="1:2">
      <c r="A8" s="23" t="str">
        <f>TEXT(IF('State and Local Taxes'!B22&lt;&gt;0,DATE(YEAR('State and Local Taxes'!B22), MONTH('State and Local Taxes'!B22)-2, 1), ""), "mm/dd/yyyy")</f>
        <v>10/01/2005</v>
      </c>
      <c r="B8" s="23" t="str">
        <f>IF(ISNUMBER('State and Local Taxes'!I22),TEXT('State and Local Taxes'!I22, "0.000"), "")</f>
        <v>0.107</v>
      </c>
    </row>
    <row r="9" spans="1:2">
      <c r="A9" s="23" t="str">
        <f>TEXT(IF('State and Local Taxes'!B23&lt;&gt;0,DATE(YEAR('State and Local Taxes'!B23), MONTH('State and Local Taxes'!B23)-2, 1), ""), "mm/dd/yyyy")</f>
        <v>01/01/2006</v>
      </c>
      <c r="B9" s="23" t="str">
        <f>IF(ISNUMBER('State and Local Taxes'!I23),TEXT('State and Local Taxes'!I23, "0.000"), "")</f>
        <v>0.104</v>
      </c>
    </row>
    <row r="10" spans="1:2">
      <c r="A10" s="23" t="str">
        <f>TEXT(IF('State and Local Taxes'!B24&lt;&gt;0,DATE(YEAR('State and Local Taxes'!B24), MONTH('State and Local Taxes'!B24)-2, 1), ""), "mm/dd/yyyy")</f>
        <v>04/01/2006</v>
      </c>
      <c r="B10" s="23" t="str">
        <f>IF(ISNUMBER('State and Local Taxes'!I24),TEXT('State and Local Taxes'!I24, "0.000"), "")</f>
        <v>0.090</v>
      </c>
    </row>
    <row r="11" spans="1:2">
      <c r="A11" s="23" t="str">
        <f>TEXT(IF('State and Local Taxes'!B25&lt;&gt;0,DATE(YEAR('State and Local Taxes'!B25), MONTH('State and Local Taxes'!B25)-2, 1), ""), "mm/dd/yyyy")</f>
        <v>07/01/2006</v>
      </c>
      <c r="B11" s="23" t="str">
        <f>IF(ISNUMBER('State and Local Taxes'!I25),TEXT('State and Local Taxes'!I25, "0.000"), "")</f>
        <v>0.081</v>
      </c>
    </row>
    <row r="12" spans="1:2">
      <c r="A12" s="23" t="str">
        <f>TEXT(IF('State and Local Taxes'!B26&lt;&gt;0,DATE(YEAR('State and Local Taxes'!B26), MONTH('State and Local Taxes'!B26)-2, 1), ""), "mm/dd/yyyy")</f>
        <v>10/01/2006</v>
      </c>
      <c r="B12" s="23" t="str">
        <f>IF(ISNUMBER('State and Local Taxes'!I26),TEXT('State and Local Taxes'!I26, "0.000"), "")</f>
        <v>0.078</v>
      </c>
    </row>
    <row r="13" spans="1:2">
      <c r="A13" s="23" t="str">
        <f>TEXT(IF('State and Local Taxes'!B27&lt;&gt;0,DATE(YEAR('State and Local Taxes'!B27), MONTH('State and Local Taxes'!B27)-2, 1), ""), "mm/dd/yyyy")</f>
        <v>01/01/2007</v>
      </c>
      <c r="B13" s="23" t="str">
        <f>IF(ISNUMBER('State and Local Taxes'!I27),TEXT('State and Local Taxes'!I27, "0.000"), "")</f>
        <v>0.074</v>
      </c>
    </row>
    <row r="14" spans="1:2">
      <c r="A14" s="23" t="str">
        <f>TEXT(IF('State and Local Taxes'!B28&lt;&gt;0,DATE(YEAR('State and Local Taxes'!B28), MONTH('State and Local Taxes'!B28)-2, 1), ""), "mm/dd/yyyy")</f>
        <v>04/01/2007</v>
      </c>
      <c r="B14" s="23" t="str">
        <f>IF(ISNUMBER('State and Local Taxes'!I28),TEXT('State and Local Taxes'!I28, "0.000"), "")</f>
        <v>0.067</v>
      </c>
    </row>
    <row r="15" spans="1:2">
      <c r="A15" s="23" t="str">
        <f>TEXT(IF('State and Local Taxes'!B29&lt;&gt;0,DATE(YEAR('State and Local Taxes'!B29), MONTH('State and Local Taxes'!B29)-2, 1), ""), "mm/dd/yyyy")</f>
        <v>07/01/2007</v>
      </c>
      <c r="B15" s="23" t="str">
        <f>IF(ISNUMBER('State and Local Taxes'!I29),TEXT('State and Local Taxes'!I29, "0.000"), "")</f>
        <v>0.061</v>
      </c>
    </row>
    <row r="16" spans="1:2">
      <c r="A16" s="23" t="str">
        <f>TEXT(IF('State and Local Taxes'!B30&lt;&gt;0,DATE(YEAR('State and Local Taxes'!B30), MONTH('State and Local Taxes'!B30)-2, 1), ""), "mm/dd/yyyy")</f>
        <v>10/01/2007</v>
      </c>
      <c r="B16" s="23" t="str">
        <f>IF(ISNUMBER('State and Local Taxes'!I30),TEXT('State and Local Taxes'!I30, "0.000"), "")</f>
        <v>0.056</v>
      </c>
    </row>
    <row r="17" spans="1:2">
      <c r="A17" s="23" t="str">
        <f>TEXT(IF('State and Local Taxes'!B31&lt;&gt;0,DATE(YEAR('State and Local Taxes'!B31), MONTH('State and Local Taxes'!B31)-2, 1), ""), "mm/dd/yyyy")</f>
        <v>01/01/2008</v>
      </c>
      <c r="B17" s="23" t="str">
        <f>IF(ISNUMBER('State and Local Taxes'!I31),TEXT('State and Local Taxes'!I31, "0.000"), "")</f>
        <v>0.043</v>
      </c>
    </row>
    <row r="18" spans="1:2">
      <c r="A18" s="23" t="str">
        <f>TEXT(IF('State and Local Taxes'!B32&lt;&gt;0,DATE(YEAR('State and Local Taxes'!B32), MONTH('State and Local Taxes'!B32)-2, 1), ""), "mm/dd/yyyy")</f>
        <v>04/01/2008</v>
      </c>
      <c r="B18" s="23" t="str">
        <f>IF(ISNUMBER('State and Local Taxes'!I32),TEXT('State and Local Taxes'!I32, "0.000"), "")</f>
        <v>0.033</v>
      </c>
    </row>
    <row r="19" spans="1:2">
      <c r="A19" s="23" t="str">
        <f>TEXT(IF('State and Local Taxes'!B33&lt;&gt;0,DATE(YEAR('State and Local Taxes'!B33), MONTH('State and Local Taxes'!B33)-2, 1), ""), "mm/dd/yyyy")</f>
        <v>07/01/2008</v>
      </c>
      <c r="B19" s="23" t="str">
        <f>IF(ISNUMBER('State and Local Taxes'!I33),TEXT('State and Local Taxes'!I33, "0.000"), "")</f>
        <v>0.034</v>
      </c>
    </row>
    <row r="20" spans="1:2">
      <c r="A20" s="23" t="str">
        <f>TEXT(IF('State and Local Taxes'!B34&lt;&gt;0,DATE(YEAR('State and Local Taxes'!B34), MONTH('State and Local Taxes'!B34)-2, 1), ""), "mm/dd/yyyy")</f>
        <v>10/01/2008</v>
      </c>
      <c r="B20" s="23" t="str">
        <f>IF(ISNUMBER('State and Local Taxes'!I34),TEXT('State and Local Taxes'!I34, "0.000"), "")</f>
        <v>0.032</v>
      </c>
    </row>
    <row r="21" spans="1:2">
      <c r="A21" s="23" t="str">
        <f>TEXT(IF('State and Local Taxes'!B35&lt;&gt;0,DATE(YEAR('State and Local Taxes'!B35), MONTH('State and Local Taxes'!B35)-2, 1), ""), "mm/dd/yyyy")</f>
        <v>01/01/2009</v>
      </c>
      <c r="B21" s="23" t="str">
        <f>IF(ISNUMBER('State and Local Taxes'!I35),TEXT('State and Local Taxes'!I35, "0.000"), "")</f>
        <v>0.025</v>
      </c>
    </row>
    <row r="22" spans="1:2">
      <c r="A22" s="23" t="str">
        <f>TEXT(IF('State and Local Taxes'!B36&lt;&gt;0,DATE(YEAR('State and Local Taxes'!B36), MONTH('State and Local Taxes'!B36)-2, 1), ""), "mm/dd/yyyy")</f>
        <v>04/01/2009</v>
      </c>
      <c r="B22" s="23" t="str">
        <f>IF(ISNUMBER('State and Local Taxes'!I36),TEXT('State and Local Taxes'!I36, "0.000"), "")</f>
        <v>-0.010</v>
      </c>
    </row>
    <row r="23" spans="1:2">
      <c r="A23" s="23" t="str">
        <f>TEXT(IF('State and Local Taxes'!B37&lt;&gt;0,DATE(YEAR('State and Local Taxes'!B37), MONTH('State and Local Taxes'!B37)-2, 1), ""), "mm/dd/yyyy")</f>
        <v>07/01/2009</v>
      </c>
      <c r="B23" s="23" t="str">
        <f>IF(ISNUMBER('State and Local Taxes'!I37),TEXT('State and Local Taxes'!I37, "0.000"), "")</f>
        <v>-0.031</v>
      </c>
    </row>
    <row r="24" spans="1:2">
      <c r="A24" s="23" t="str">
        <f>TEXT(IF('State and Local Taxes'!B38&lt;&gt;0,DATE(YEAR('State and Local Taxes'!B38), MONTH('State and Local Taxes'!B38)-2, 1), ""), "mm/dd/yyyy")</f>
        <v>10/01/2009</v>
      </c>
      <c r="B24" s="23" t="str">
        <f>IF(ISNUMBER('State and Local Taxes'!I38),TEXT('State and Local Taxes'!I38, "0.000"), "")</f>
        <v>-0.039</v>
      </c>
    </row>
    <row r="25" spans="1:2">
      <c r="A25" s="23" t="str">
        <f>TEXT(IF('State and Local Taxes'!B39&lt;&gt;0,DATE(YEAR('State and Local Taxes'!B39), MONTH('State and Local Taxes'!B39)-2, 1), ""), "mm/dd/yyyy")</f>
        <v>01/01/2010</v>
      </c>
      <c r="B25" s="23" t="str">
        <f>IF(ISNUMBER('State and Local Taxes'!I39),TEXT('State and Local Taxes'!I39, "0.000"), "")</f>
        <v>-0.038</v>
      </c>
    </row>
    <row r="26" spans="1:2">
      <c r="A26" s="23" t="str">
        <f>TEXT(IF('State and Local Taxes'!B40&lt;&gt;0,DATE(YEAR('State and Local Taxes'!B40), MONTH('State and Local Taxes'!B40)-2, 1), ""), "mm/dd/yyyy")</f>
        <v>04/01/2010</v>
      </c>
      <c r="B26" s="23" t="str">
        <f>IF(ISNUMBER('State and Local Taxes'!I40),TEXT('State and Local Taxes'!I40, "0.000"), "")</f>
        <v>-0.006</v>
      </c>
    </row>
    <row r="27" spans="1:2">
      <c r="A27" s="23" t="str">
        <f>TEXT(IF('State and Local Taxes'!B41&lt;&gt;0,DATE(YEAR('State and Local Taxes'!B41), MONTH('State and Local Taxes'!B41)-2, 1), ""), "mm/dd/yyyy")</f>
        <v>07/01/2010</v>
      </c>
      <c r="B27" s="23" t="str">
        <f>IF(ISNUMBER('State and Local Taxes'!I41),TEXT('State and Local Taxes'!I41, "0.000"), "")</f>
        <v>0.013</v>
      </c>
    </row>
    <row r="28" spans="1:2">
      <c r="A28" s="23" t="str">
        <f>TEXT(IF('State and Local Taxes'!B42&lt;&gt;0,DATE(YEAR('State and Local Taxes'!B42), MONTH('State and Local Taxes'!B42)-2, 1), ""), "mm/dd/yyyy")</f>
        <v>10/01/2010</v>
      </c>
      <c r="B28" s="23" t="str">
        <f>IF(ISNUMBER('State and Local Taxes'!I42),TEXT('State and Local Taxes'!I42, "0.000"), "")</f>
        <v>0.012</v>
      </c>
    </row>
    <row r="29" spans="1:2">
      <c r="A29" s="23" t="str">
        <f>TEXT(IF('State and Local Taxes'!B43&lt;&gt;0,DATE(YEAR('State and Local Taxes'!B43), MONTH('State and Local Taxes'!B43)-2, 1), ""), "mm/dd/yyyy")</f>
        <v>01/01/2011</v>
      </c>
      <c r="B29" s="23" t="str">
        <f>IF(ISNUMBER('State and Local Taxes'!I43),TEXT('State and Local Taxes'!I43, "0.000"), "")</f>
        <v>0.027</v>
      </c>
    </row>
    <row r="30" spans="1:2">
      <c r="A30" s="23" t="str">
        <f>TEXT(IF('State and Local Taxes'!B44&lt;&gt;0,DATE(YEAR('State and Local Taxes'!B44), MONTH('State and Local Taxes'!B44)-2, 1), ""), "mm/dd/yyyy")</f>
        <v>04/01/2011</v>
      </c>
      <c r="B30" s="23" t="str">
        <f>IF(ISNUMBER('State and Local Taxes'!I44),TEXT('State and Local Taxes'!I44, "0.000"), "")</f>
        <v>0.043</v>
      </c>
    </row>
    <row r="31" spans="1:2">
      <c r="A31" s="23" t="str">
        <f>TEXT(IF('State and Local Taxes'!B45&lt;&gt;0,DATE(YEAR('State and Local Taxes'!B45), MONTH('State and Local Taxes'!B45)-2, 1), ""), "mm/dd/yyyy")</f>
        <v>07/01/2011</v>
      </c>
      <c r="B31" s="23" t="str">
        <f>IF(ISNUMBER('State and Local Taxes'!I45),TEXT('State and Local Taxes'!I45, "0.000"), "")</f>
        <v>0.042</v>
      </c>
    </row>
    <row r="32" spans="1:2">
      <c r="A32" s="23" t="str">
        <f>TEXT(IF('State and Local Taxes'!B46&lt;&gt;0,DATE(YEAR('State and Local Taxes'!B46), MONTH('State and Local Taxes'!B46)-2, 1), ""), "mm/dd/yyyy")</f>
        <v>10/01/2011</v>
      </c>
      <c r="B32" s="23" t="str">
        <f>IF(ISNUMBER('State and Local Taxes'!I46),TEXT('State and Local Taxes'!I46, "0.000"), "")</f>
        <v>0.052</v>
      </c>
    </row>
    <row r="33" spans="1:2">
      <c r="A33" s="23" t="str">
        <f>TEXT(IF('State and Local Taxes'!B47&lt;&gt;0,DATE(YEAR('State and Local Taxes'!B47), MONTH('State and Local Taxes'!B47)-2, 1), ""), "mm/dd/yyyy")</f>
        <v>01/01/2012</v>
      </c>
      <c r="B33" s="23" t="str">
        <f>IF(ISNUMBER('State and Local Taxes'!I47),TEXT('State and Local Taxes'!I47, "0.000"), "")</f>
        <v>0.045</v>
      </c>
    </row>
    <row r="34" spans="1:2">
      <c r="A34" s="23" t="str">
        <f>TEXT(IF('State and Local Taxes'!B48&lt;&gt;0,DATE(YEAR('State and Local Taxes'!B48), MONTH('State and Local Taxes'!B48)-2, 1), ""), "mm/dd/yyyy")</f>
        <v>04/01/2012</v>
      </c>
      <c r="B34" s="23" t="str">
        <f>IF(ISNUMBER('State and Local Taxes'!I48),TEXT('State and Local Taxes'!I48, "0.000"), "")</f>
        <v>0.033</v>
      </c>
    </row>
    <row r="35" spans="1:2">
      <c r="A35" s="23" t="str">
        <f>TEXT(IF('State and Local Taxes'!B49&lt;&gt;0,DATE(YEAR('State and Local Taxes'!B49), MONTH('State and Local Taxes'!B49)-2, 1), ""), "mm/dd/yyyy")</f>
        <v>07/01/2012</v>
      </c>
      <c r="B35" s="23" t="str">
        <f>IF(ISNUMBER('State and Local Taxes'!I49),TEXT('State and Local Taxes'!I49, "0.000"), "")</f>
        <v>0.038</v>
      </c>
    </row>
    <row r="36" spans="1:2">
      <c r="A36" s="23" t="str">
        <f>TEXT(IF('State and Local Taxes'!B50&lt;&gt;0,DATE(YEAR('State and Local Taxes'!B50), MONTH('State and Local Taxes'!B50)-2, 1), ""), "mm/dd/yyyy")</f>
        <v>10/01/2012</v>
      </c>
      <c r="B36" s="23" t="str">
        <f>IF(ISNUMBER('State and Local Taxes'!I50),TEXT('State and Local Taxes'!I50, "0.000"), "")</f>
        <v>0.037</v>
      </c>
    </row>
    <row r="37" spans="1:2">
      <c r="A37" s="23" t="str">
        <f>TEXT(IF('State and Local Taxes'!B51&lt;&gt;0,DATE(YEAR('State and Local Taxes'!B51), MONTH('State and Local Taxes'!B51)-2, 1), ""), "mm/dd/yyyy")</f>
        <v>01/01/2013</v>
      </c>
      <c r="B37" s="23" t="str">
        <f>IF(ISNUMBER('State and Local Taxes'!I51),TEXT('State and Local Taxes'!I51, "0.000"), "")</f>
        <v>0.045</v>
      </c>
    </row>
    <row r="38" spans="1:2">
      <c r="A38" s="23" t="str">
        <f>TEXT(IF('State and Local Taxes'!B52&lt;&gt;0,DATE(YEAR('State and Local Taxes'!B52), MONTH('State and Local Taxes'!B52)-2, 1), ""), "mm/dd/yyyy")</f>
        <v>04/01/2013</v>
      </c>
      <c r="B38" s="23" t="str">
        <f>IF(ISNUMBER('State and Local Taxes'!I52),TEXT('State and Local Taxes'!I52, "0.000"), "")</f>
        <v>0.053</v>
      </c>
    </row>
    <row r="39" spans="1:2">
      <c r="A39" s="23" t="str">
        <f>TEXT(IF('State and Local Taxes'!B53&lt;&gt;0,DATE(YEAR('State and Local Taxes'!B53), MONTH('State and Local Taxes'!B53)-2, 1), ""), "mm/dd/yyyy")</f>
        <v>07/01/2013</v>
      </c>
      <c r="B39" s="23" t="str">
        <f>IF(ISNUMBER('State and Local Taxes'!I53),TEXT('State and Local Taxes'!I53, "0.000"), "")</f>
        <v>0.055</v>
      </c>
    </row>
    <row r="40" spans="1:2">
      <c r="A40" s="23" t="str">
        <f>TEXT(IF('State and Local Taxes'!B54&lt;&gt;0,DATE(YEAR('State and Local Taxes'!B54), MONTH('State and Local Taxes'!B54)-2, 1), ""), "mm/dd/yyyy")</f>
        <v>10/01/2013</v>
      </c>
      <c r="B40" s="23" t="str">
        <f>IF(ISNUMBER('State and Local Taxes'!I54),TEXT('State and Local Taxes'!I54, "0.000"), "")</f>
        <v>0.052</v>
      </c>
    </row>
    <row r="41" spans="1:2">
      <c r="A41" s="23" t="str">
        <f>TEXT(IF('State and Local Taxes'!B55&lt;&gt;0,DATE(YEAR('State and Local Taxes'!B55), MONTH('State and Local Taxes'!B55)-2, 1), ""), "mm/dd/yyyy")</f>
        <v>01/01/2014</v>
      </c>
      <c r="B41" s="23" t="str">
        <f>IF(ISNUMBER('State and Local Taxes'!I55),TEXT('State and Local Taxes'!I55, "0.000"), "")</f>
        <v>0.043</v>
      </c>
    </row>
    <row r="42" spans="1:2">
      <c r="A42" s="23" t="str">
        <f>TEXT(IF('State and Local Taxes'!B56&lt;&gt;0,DATE(YEAR('State and Local Taxes'!B56), MONTH('State and Local Taxes'!B56)-2, 1), ""), "mm/dd/yyyy")</f>
        <v>04/01/2014</v>
      </c>
      <c r="B42" s="23" t="str">
        <f>IF(ISNUMBER('State and Local Taxes'!I56),TEXT('State and Local Taxes'!I56, "0.000"), "")</f>
        <v>0.027</v>
      </c>
    </row>
    <row r="43" spans="1:2">
      <c r="A43" s="23" t="str">
        <f>TEXT(IF('State and Local Taxes'!B57&lt;&gt;0,DATE(YEAR('State and Local Taxes'!B57), MONTH('State and Local Taxes'!B57)-2, 1), ""), "mm/dd/yyyy")</f>
        <v/>
      </c>
      <c r="B43" s="23" t="str">
        <f>IF(ISNUMBER('State and Local Taxes'!I57),TEXT('State and Local Taxes'!I57, "0.000"), "")</f>
        <v/>
      </c>
    </row>
    <row r="44" spans="1:2">
      <c r="A44" s="23" t="str">
        <f>TEXT(IF('State and Local Taxes'!B58&lt;&gt;0,DATE(YEAR('State and Local Taxes'!B58), MONTH('State and Local Taxes'!B58)-2, 1), ""), "mm/dd/yyyy")</f>
        <v/>
      </c>
      <c r="B44" s="23" t="str">
        <f>IF(ISNUMBER('State and Local Taxes'!I58),TEXT('State and Local Taxes'!I58, "0.000"), "")</f>
        <v/>
      </c>
    </row>
    <row r="45" spans="1:2">
      <c r="A45" s="23" t="str">
        <f>TEXT(IF('State and Local Taxes'!B59&lt;&gt;0,DATE(YEAR('State and Local Taxes'!B59), MONTH('State and Local Taxes'!B59)-2, 1), ""), "mm/dd/yyyy")</f>
        <v/>
      </c>
      <c r="B45" s="23" t="str">
        <f>IF(ISNUMBER('State and Local Taxes'!I59),TEXT('State and Local Taxes'!I59, "0.000"), "")</f>
        <v/>
      </c>
    </row>
    <row r="46" spans="1:2">
      <c r="A46" s="23" t="str">
        <f>TEXT(IF('State and Local Taxes'!B60&lt;&gt;0,DATE(YEAR('State and Local Taxes'!B60), MONTH('State and Local Taxes'!B60)-2, 1), ""), "mm/dd/yyyy")</f>
        <v/>
      </c>
      <c r="B46" s="23" t="str">
        <f>IF(ISNUMBER('State and Local Taxes'!I60),TEXT('State and Local Taxes'!I60, "0.000"), "")</f>
        <v/>
      </c>
    </row>
    <row r="47" spans="1:2">
      <c r="A47" s="23" t="str">
        <f>TEXT(IF('State and Local Taxes'!B61&lt;&gt;0,DATE(YEAR('State and Local Taxes'!B61), MONTH('State and Local Taxes'!B61)-2, 1), ""), "mm/dd/yyyy")</f>
        <v/>
      </c>
      <c r="B47" s="23" t="str">
        <f>IF(ISNUMBER('State and Local Taxes'!I61),TEXT('State and Local Taxes'!I61, "0.000"), "")</f>
        <v/>
      </c>
    </row>
    <row r="48" spans="1:2">
      <c r="A48" s="23" t="str">
        <f>TEXT(IF('State and Local Taxes'!B62&lt;&gt;0,DATE(YEAR('State and Local Taxes'!B62), MONTH('State and Local Taxes'!B62)-2, 1), ""), "mm/dd/yyyy")</f>
        <v/>
      </c>
      <c r="B48" s="23" t="str">
        <f>IF(ISNUMBER('State and Local Taxes'!I62),TEXT('State and Local Taxes'!I62, "0.000"), "")</f>
        <v/>
      </c>
    </row>
    <row r="49" spans="1:2">
      <c r="A49" s="23" t="str">
        <f>TEXT(IF('State and Local Taxes'!B63&lt;&gt;0,DATE(YEAR('State and Local Taxes'!B63), MONTH('State and Local Taxes'!B63)-2, 1), ""), "mm/dd/yyyy")</f>
        <v/>
      </c>
      <c r="B49" s="23" t="str">
        <f>IF(ISNUMBER('State and Local Taxes'!I63),TEXT('State and Local Taxes'!I63, "0.000"), "")</f>
        <v/>
      </c>
    </row>
    <row r="50" spans="1:2">
      <c r="A50" s="23" t="str">
        <f>TEXT(IF('State and Local Taxes'!B64&lt;&gt;0,DATE(YEAR('State and Local Taxes'!B64), MONTH('State and Local Taxes'!B64)-2, 1), ""), "mm/dd/yyyy")</f>
        <v/>
      </c>
      <c r="B50" s="23" t="str">
        <f>IF(ISNUMBER('State and Local Taxes'!I64),TEXT('State and Local Taxes'!I64, "0.000"), "")</f>
        <v/>
      </c>
    </row>
    <row r="51" spans="1:2">
      <c r="A51" s="23" t="str">
        <f>TEXT(IF('State and Local Taxes'!B65&lt;&gt;0,DATE(YEAR('State and Local Taxes'!B65), MONTH('State and Local Taxes'!B65)-2, 1), ""), "mm/dd/yyyy")</f>
        <v/>
      </c>
      <c r="B51" s="23" t="str">
        <f>IF(ISNUMBER('State and Local Taxes'!I65),TEXT('State and Local Taxes'!I65, "0.000"), "")</f>
        <v/>
      </c>
    </row>
    <row r="52" spans="1:2">
      <c r="A52" s="23" t="str">
        <f>TEXT(IF('State and Local Taxes'!B66&lt;&gt;0,DATE(YEAR('State and Local Taxes'!B66), MONTH('State and Local Taxes'!B66)-2, 1), ""), "mm/dd/yyyy")</f>
        <v/>
      </c>
      <c r="B52" s="23" t="str">
        <f>IF(ISNUMBER('State and Local Taxes'!I66),TEXT('State and Local Taxes'!I66, "0.000"), "")</f>
        <v/>
      </c>
    </row>
    <row r="53" spans="1:2">
      <c r="A53" s="23" t="str">
        <f>TEXT(IF('State and Local Taxes'!B67&lt;&gt;0,DATE(YEAR('State and Local Taxes'!B67), MONTH('State and Local Taxes'!B67)-2, 1), ""), "mm/dd/yyyy")</f>
        <v/>
      </c>
      <c r="B53" s="23" t="str">
        <f>IF(ISNUMBER('State and Local Taxes'!I67),TEXT('State and Local Taxes'!I67, "0.000"), "")</f>
        <v/>
      </c>
    </row>
    <row r="54" spans="1:2">
      <c r="A54" s="23" t="str">
        <f>TEXT(IF('State and Local Taxes'!B68&lt;&gt;0,DATE(YEAR('State and Local Taxes'!B68), MONTH('State and Local Taxes'!B68)-2, 1), ""), "mm/dd/yyyy")</f>
        <v/>
      </c>
      <c r="B54" s="23" t="str">
        <f>IF(ISNUMBER('State and Local Taxes'!I68),TEXT('State and Local Taxes'!I68, "0.000"), "")</f>
        <v/>
      </c>
    </row>
    <row r="55" spans="1:2">
      <c r="A55" s="23" t="str">
        <f>TEXT(IF('State and Local Taxes'!B69&lt;&gt;0,DATE(YEAR('State and Local Taxes'!B69), MONTH('State and Local Taxes'!B69)-2, 1), ""), "mm/dd/yyyy")</f>
        <v/>
      </c>
      <c r="B55" s="23" t="str">
        <f>IF(ISNUMBER('State and Local Taxes'!I69),TEXT('State and Local Taxes'!I69, "0.000"), "")</f>
        <v/>
      </c>
    </row>
    <row r="56" spans="1:2">
      <c r="A56" s="23" t="str">
        <f>TEXT(IF('State and Local Taxes'!B70&lt;&gt;0,DATE(YEAR('State and Local Taxes'!B70), MONTH('State and Local Taxes'!B70)-2, 1), ""), "mm/dd/yyyy")</f>
        <v/>
      </c>
      <c r="B56" s="23" t="str">
        <f>IF(ISNUMBER('State and Local Taxes'!I70),TEXT('State and Local Taxes'!I70, "0.000"), "")</f>
        <v/>
      </c>
    </row>
    <row r="57" spans="1:2">
      <c r="A57" s="23" t="str">
        <f>TEXT(IF('State and Local Taxes'!B71&lt;&gt;0,DATE(YEAR('State and Local Taxes'!B71), MONTH('State and Local Taxes'!B71)-2, 1), ""), "mm/dd/yyyy")</f>
        <v/>
      </c>
      <c r="B57" s="23" t="str">
        <f>IF(ISNUMBER('State and Local Taxes'!I71),TEXT('State and Local Taxes'!I71, "0.000"), "")</f>
        <v/>
      </c>
    </row>
    <row r="58" spans="1:2">
      <c r="A58" s="23" t="str">
        <f>TEXT(IF('State and Local Taxes'!B72&lt;&gt;0,DATE(YEAR('State and Local Taxes'!B72), MONTH('State and Local Taxes'!B72)-2, 1), ""), "mm/dd/yyyy")</f>
        <v/>
      </c>
      <c r="B58" s="23" t="str">
        <f>IF(ISNUMBER('State and Local Taxes'!I72),TEXT('State and Local Taxes'!I72, "0.000"), "")</f>
        <v/>
      </c>
    </row>
    <row r="59" spans="1:2">
      <c r="A59" s="23" t="str">
        <f>TEXT(IF('State and Local Taxes'!B73&lt;&gt;0,DATE(YEAR('State and Local Taxes'!B73), MONTH('State and Local Taxes'!B73)-2, 1), ""), "mm/dd/yyyy")</f>
        <v/>
      </c>
      <c r="B59" s="23" t="str">
        <f>IF(ISNUMBER('State and Local Taxes'!I73),TEXT('State and Local Taxes'!I73, "0.000"), "")</f>
        <v/>
      </c>
    </row>
    <row r="60" spans="1:2">
      <c r="A60" s="23" t="str">
        <f>TEXT(IF('State and Local Taxes'!B74&lt;&gt;0,DATE(YEAR('State and Local Taxes'!B74), MONTH('State and Local Taxes'!B74)-2, 1), ""), "mm/dd/yyyy")</f>
        <v/>
      </c>
      <c r="B60" s="23" t="str">
        <f>IF(ISNUMBER('State and Local Taxes'!I74),TEXT('State and Local Taxes'!I74, "0.000"), "")</f>
        <v/>
      </c>
    </row>
    <row r="61" spans="1:2">
      <c r="A61" s="23" t="str">
        <f>TEXT(IF('State and Local Taxes'!B75&lt;&gt;0,DATE(YEAR('State and Local Taxes'!B75), MONTH('State and Local Taxes'!B75)-2, 1), ""), "mm/dd/yyyy")</f>
        <v/>
      </c>
      <c r="B61" s="23" t="str">
        <f>IF(ISNUMBER('State and Local Taxes'!I75),TEXT('State and Local Taxes'!I75, "0.000"), "")</f>
        <v/>
      </c>
    </row>
    <row r="62" spans="1:2">
      <c r="A62" s="23" t="str">
        <f>TEXT(IF('State and Local Taxes'!B76&lt;&gt;0,DATE(YEAR('State and Local Taxes'!B76), MONTH('State and Local Taxes'!B76)-2, 1), ""), "mm/dd/yyyy")</f>
        <v/>
      </c>
      <c r="B62" s="23" t="str">
        <f>IF(ISNUMBER('State and Local Taxes'!I76),TEXT('State and Local Taxes'!I76, "0.000"), "")</f>
        <v/>
      </c>
    </row>
    <row r="63" spans="1:2">
      <c r="A63" s="23" t="str">
        <f>TEXT(IF('State and Local Taxes'!B77&lt;&gt;0,DATE(YEAR('State and Local Taxes'!B77), MONTH('State and Local Taxes'!B77)-2, 1), ""), "mm/dd/yyyy")</f>
        <v/>
      </c>
      <c r="B63" s="23" t="str">
        <f>IF(ISNUMBER('State and Local Taxes'!I77),TEXT('State and Local Taxes'!I77, "0.000"), "")</f>
        <v/>
      </c>
    </row>
    <row r="64" spans="1:2">
      <c r="A64" s="23" t="str">
        <f>TEXT(IF('State and Local Taxes'!B78&lt;&gt;0,DATE(YEAR('State and Local Taxes'!B78), MONTH('State and Local Taxes'!B78)-2, 1), ""), "mm/dd/yyyy")</f>
        <v/>
      </c>
      <c r="B64" s="23" t="str">
        <f>IF(ISNUMBER('State and Local Taxes'!I78),TEXT('State and Local Taxes'!I78, "0.000"), "")</f>
        <v/>
      </c>
    </row>
    <row r="65" spans="1:2">
      <c r="A65" s="23" t="str">
        <f>TEXT(IF('State and Local Taxes'!B79&lt;&gt;0,DATE(YEAR('State and Local Taxes'!B79), MONTH('State and Local Taxes'!B79)-2, 1), ""), "mm/dd/yyyy")</f>
        <v/>
      </c>
      <c r="B65" s="23" t="str">
        <f>IF(ISNUMBER('State and Local Taxes'!I79),TEXT('State and Local Taxes'!I79, "0.000"), "")</f>
        <v/>
      </c>
    </row>
    <row r="66" spans="1:2">
      <c r="A66" s="23" t="str">
        <f>TEXT(IF('State and Local Taxes'!B80&lt;&gt;0,DATE(YEAR('State and Local Taxes'!B80), MONTH('State and Local Taxes'!B80)-2, 1), ""), "mm/dd/yyyy")</f>
        <v/>
      </c>
      <c r="B66" s="23" t="str">
        <f>IF(ISNUMBER('State and Local Taxes'!I80),TEXT('State and Local Taxes'!I80, "0.000"), "")</f>
        <v/>
      </c>
    </row>
    <row r="67" spans="1:2">
      <c r="A67" s="23" t="str">
        <f>TEXT(IF('State and Local Taxes'!B81&lt;&gt;0,DATE(YEAR('State and Local Taxes'!B81), MONTH('State and Local Taxes'!B81)-2, 1), ""), "mm/dd/yyyy")</f>
        <v/>
      </c>
      <c r="B67" s="23" t="str">
        <f>IF(ISNUMBER('State and Local Taxes'!I81),TEXT('State and Local Taxes'!I81, "0.000"), "")</f>
        <v/>
      </c>
    </row>
    <row r="68" spans="1:2">
      <c r="A68" s="23" t="str">
        <f>TEXT(IF('State and Local Taxes'!B82&lt;&gt;0,DATE(YEAR('State and Local Taxes'!B82), MONTH('State and Local Taxes'!B82)-2, 1), ""), "mm/dd/yyyy")</f>
        <v/>
      </c>
      <c r="B68" s="23" t="str">
        <f>IF(ISNUMBER('State and Local Taxes'!I82),TEXT('State and Local Taxes'!I82, "0.000"), "")</f>
        <v/>
      </c>
    </row>
    <row r="69" spans="1:2">
      <c r="A69" s="23" t="str">
        <f>TEXT(IF('State and Local Taxes'!B83&lt;&gt;0,DATE(YEAR('State and Local Taxes'!B83), MONTH('State and Local Taxes'!B83)-2, 1), ""), "mm/dd/yyyy")</f>
        <v/>
      </c>
      <c r="B69" s="23" t="str">
        <f>IF(ISNUMBER('State and Local Taxes'!I83),TEXT('State and Local Taxes'!I83, "0.000"), "")</f>
        <v/>
      </c>
    </row>
    <row r="70" spans="1:2">
      <c r="A70" s="23" t="str">
        <f>TEXT(IF('State and Local Taxes'!B84&lt;&gt;0,DATE(YEAR('State and Local Taxes'!B84), MONTH('State and Local Taxes'!B84)-2, 1), ""), "mm/dd/yyyy")</f>
        <v/>
      </c>
      <c r="B70" s="23" t="str">
        <f>IF(ISNUMBER('State and Local Taxes'!I84),TEXT('State and Local Taxes'!I84, "0.000"), "")</f>
        <v/>
      </c>
    </row>
    <row r="71" spans="1:2">
      <c r="A71" s="23" t="str">
        <f>TEXT(IF('State and Local Taxes'!B85&lt;&gt;0,DATE(YEAR('State and Local Taxes'!B85), MONTH('State and Local Taxes'!B85)-2, 1), ""), "mm/dd/yyyy")</f>
        <v/>
      </c>
      <c r="B71" s="23" t="str">
        <f>IF(ISNUMBER('State and Local Taxes'!I85),TEXT('State and Local Taxes'!I85, "0.000"), "")</f>
        <v/>
      </c>
    </row>
    <row r="72" spans="1:2">
      <c r="A72" s="23" t="str">
        <f>TEXT(IF('State and Local Taxes'!B86&lt;&gt;0,DATE(YEAR('State and Local Taxes'!B86), MONTH('State and Local Taxes'!B86)-2, 1), ""), "mm/dd/yyyy")</f>
        <v/>
      </c>
      <c r="B72" s="23" t="str">
        <f>IF(ISNUMBER('State and Local Taxes'!I86),TEXT('State and Local Taxes'!I86, "0.000"), "")</f>
        <v/>
      </c>
    </row>
    <row r="73" spans="1:2">
      <c r="A73" s="23" t="str">
        <f>TEXT(IF('State and Local Taxes'!B87&lt;&gt;0,DATE(YEAR('State and Local Taxes'!B87), MONTH('State and Local Taxes'!B87)-2, 1), ""), "mm/dd/yyyy")</f>
        <v/>
      </c>
      <c r="B73" s="23" t="str">
        <f>IF(ISNUMBER('State and Local Taxes'!I87),TEXT('State and Local Taxes'!I87, "0.000"), "")</f>
        <v/>
      </c>
    </row>
    <row r="74" spans="1:2">
      <c r="A74" s="23" t="str">
        <f>TEXT(IF('State and Local Taxes'!B88&lt;&gt;0,DATE(YEAR('State and Local Taxes'!B88), MONTH('State and Local Taxes'!B88)-2, 1), ""), "mm/dd/yyyy")</f>
        <v/>
      </c>
      <c r="B74" s="23" t="str">
        <f>IF(ISNUMBER('State and Local Taxes'!I88),TEXT('State and Local Taxes'!I88, "0.000"), "")</f>
        <v/>
      </c>
    </row>
    <row r="75" spans="1:2">
      <c r="A75" s="23" t="str">
        <f>TEXT(IF('State and Local Taxes'!B89&lt;&gt;0,DATE(YEAR('State and Local Taxes'!B89), MONTH('State and Local Taxes'!B89)-2, 1), ""), "mm/dd/yyyy")</f>
        <v/>
      </c>
      <c r="B75" s="23" t="str">
        <f>IF(ISNUMBER('State and Local Taxes'!I89),TEXT('State and Local Taxes'!I89, "0.000"), "")</f>
        <v/>
      </c>
    </row>
    <row r="76" spans="1:2">
      <c r="A76" s="23" t="str">
        <f>TEXT(IF('State and Local Taxes'!B90&lt;&gt;0,DATE(YEAR('State and Local Taxes'!B90), MONTH('State and Local Taxes'!B90)-2, 1), ""), "mm/dd/yyyy")</f>
        <v/>
      </c>
      <c r="B76" s="23" t="str">
        <f>IF(ISNUMBER('State and Local Taxes'!I90),TEXT('State and Local Taxes'!I90, "0.000"), "")</f>
        <v/>
      </c>
    </row>
    <row r="77" spans="1:2">
      <c r="A77" s="23" t="str">
        <f>TEXT(IF('State and Local Taxes'!B91&lt;&gt;0,DATE(YEAR('State and Local Taxes'!B91), MONTH('State and Local Taxes'!B91)-2, 1), ""), "mm/dd/yyyy")</f>
        <v/>
      </c>
      <c r="B77" s="23" t="str">
        <f>IF(ISNUMBER('State and Local Taxes'!I91),TEXT('State and Local Taxes'!I91, "0.000"), "")</f>
        <v/>
      </c>
    </row>
    <row r="78" spans="1:2">
      <c r="A78" s="23" t="str">
        <f>TEXT(IF('State and Local Taxes'!B92&lt;&gt;0,DATE(YEAR('State and Local Taxes'!B92), MONTH('State and Local Taxes'!B92)-2, 1), ""), "mm/dd/yyyy")</f>
        <v/>
      </c>
      <c r="B78" s="23" t="str">
        <f>IF(ISNUMBER('State and Local Taxes'!I92),TEXT('State and Local Taxes'!I92, "0.000"), "")</f>
        <v/>
      </c>
    </row>
    <row r="79" spans="1:2">
      <c r="A79" s="23" t="str">
        <f>TEXT(IF('State and Local Taxes'!B93&lt;&gt;0,DATE(YEAR('State and Local Taxes'!B93), MONTH('State and Local Taxes'!B93)-2, 1), ""), "mm/dd/yyyy")</f>
        <v/>
      </c>
      <c r="B79" s="23" t="str">
        <f>IF(ISNUMBER('State and Local Taxes'!I93),TEXT('State and Local Taxes'!I93, "0.000"), "")</f>
        <v/>
      </c>
    </row>
    <row r="80" spans="1:2">
      <c r="A80" s="23" t="str">
        <f>TEXT(IF('State and Local Taxes'!B94&lt;&gt;0,DATE(YEAR('State and Local Taxes'!B94), MONTH('State and Local Taxes'!B94)-2, 1), ""), "mm/dd/yyyy")</f>
        <v/>
      </c>
      <c r="B80" s="23" t="str">
        <f>IF(ISNUMBER('State and Local Taxes'!I94),TEXT('State and Local Taxes'!I94, "0.000"), "")</f>
        <v/>
      </c>
    </row>
    <row r="81" spans="1:2">
      <c r="A81" s="23" t="str">
        <f>TEXT(IF('State and Local Taxes'!B95&lt;&gt;0,DATE(YEAR('State and Local Taxes'!B95), MONTH('State and Local Taxes'!B95)-2, 1), ""), "mm/dd/yyyy")</f>
        <v/>
      </c>
      <c r="B81" s="23" t="str">
        <f>IF(ISNUMBER('State and Local Taxes'!I95),TEXT('State and Local Taxes'!I95, "0.000"), "")</f>
        <v/>
      </c>
    </row>
    <row r="82" spans="1:2">
      <c r="A82" s="23" t="str">
        <f>TEXT(IF('State and Local Taxes'!B96&lt;&gt;0,DATE(YEAR('State and Local Taxes'!B96), MONTH('State and Local Taxes'!B96)-2, 1), ""), "mm/dd/yyyy")</f>
        <v/>
      </c>
      <c r="B82" s="23" t="str">
        <f>IF(ISNUMBER('State and Local Taxes'!I96),TEXT('State and Local Taxes'!I96, "0.000"), "")</f>
        <v/>
      </c>
    </row>
    <row r="83" spans="1:2">
      <c r="A83" s="23" t="str">
        <f>TEXT(IF('State and Local Taxes'!B97&lt;&gt;0,DATE(YEAR('State and Local Taxes'!B97), MONTH('State and Local Taxes'!B97)-2, 1), ""), "mm/dd/yyyy")</f>
        <v/>
      </c>
      <c r="B83" s="23" t="str">
        <f>IF(ISNUMBER('State and Local Taxes'!I97),TEXT('State and Local Taxes'!I97, "0.000"), "")</f>
        <v/>
      </c>
    </row>
    <row r="84" spans="1:2">
      <c r="A84" s="23" t="str">
        <f>TEXT(IF('State and Local Taxes'!B98&lt;&gt;0,DATE(YEAR('State and Local Taxes'!B98), MONTH('State and Local Taxes'!B98)-2, 1), ""), "mm/dd/yyyy")</f>
        <v/>
      </c>
      <c r="B84" s="23" t="str">
        <f>IF(ISNUMBER('State and Local Taxes'!I98),TEXT('State and Local Taxes'!I98, "0.000"), "")</f>
        <v/>
      </c>
    </row>
    <row r="85" spans="1:2">
      <c r="A85" s="23" t="str">
        <f>TEXT(IF('State and Local Taxes'!B99&lt;&gt;0,DATE(YEAR('State and Local Taxes'!B99), MONTH('State and Local Taxes'!B99)-2, 1), ""), "mm/dd/yyyy")</f>
        <v/>
      </c>
      <c r="B85" s="23" t="str">
        <f>IF(ISNUMBER('State and Local Taxes'!I99),TEXT('State and Local Taxes'!I99, "0.000"), "")</f>
        <v/>
      </c>
    </row>
    <row r="86" spans="1:2">
      <c r="A86" s="23" t="str">
        <f>TEXT(IF('State and Local Taxes'!B100&lt;&gt;0,DATE(YEAR('State and Local Taxes'!B100), MONTH('State and Local Taxes'!B100)-2, 1), ""), "mm/dd/yyyy")</f>
        <v/>
      </c>
      <c r="B86" s="23" t="str">
        <f>IF(ISNUMBER('State and Local Taxes'!I100),TEXT('State and Local Taxes'!I100, "0.000"), "")</f>
        <v/>
      </c>
    </row>
    <row r="87" spans="1:2">
      <c r="A87" s="23" t="str">
        <f>TEXT(IF('State and Local Taxes'!B101&lt;&gt;0,DATE(YEAR('State and Local Taxes'!B101), MONTH('State and Local Taxes'!B101)-2, 1), ""), "mm/dd/yyyy")</f>
        <v/>
      </c>
      <c r="B87" s="23" t="str">
        <f>IF(ISNUMBER('State and Local Taxes'!I101),TEXT('State and Local Taxes'!I101, "0.000"), "")</f>
        <v/>
      </c>
    </row>
    <row r="88" spans="1:2">
      <c r="A88" s="23" t="str">
        <f>TEXT(IF('State and Local Taxes'!B102&lt;&gt;0,DATE(YEAR('State and Local Taxes'!B102), MONTH('State and Local Taxes'!B102)-2, 1), ""), "mm/dd/yyyy")</f>
        <v/>
      </c>
      <c r="B88" s="23" t="str">
        <f>IF(ISNUMBER('State and Local Taxes'!I102),TEXT('State and Local Taxes'!I102, "0.000"), "")</f>
        <v/>
      </c>
    </row>
    <row r="89" spans="1:2">
      <c r="A89" s="23" t="str">
        <f>TEXT(IF('State and Local Taxes'!B103&lt;&gt;0,DATE(YEAR('State and Local Taxes'!B103), MONTH('State and Local Taxes'!B103)-2, 1), ""), "mm/dd/yyyy")</f>
        <v/>
      </c>
      <c r="B89" s="23" t="str">
        <f>IF(ISNUMBER('State and Local Taxes'!I103),TEXT('State and Local Taxes'!I103, "0.000"), "")</f>
        <v/>
      </c>
    </row>
    <row r="90" spans="1:2">
      <c r="A90" s="23" t="str">
        <f>TEXT(IF('State and Local Taxes'!B104&lt;&gt;0,DATE(YEAR('State and Local Taxes'!B104), MONTH('State and Local Taxes'!B104)-2, 1), ""), "mm/dd/yyyy")</f>
        <v/>
      </c>
      <c r="B90" s="23" t="str">
        <f>IF(ISNUMBER('State and Local Taxes'!I104),TEXT('State and Local Taxes'!I104, "0.000"), "")</f>
        <v/>
      </c>
    </row>
    <row r="91" spans="1:2">
      <c r="A91" s="23" t="str">
        <f>TEXT(IF('State and Local Taxes'!B105&lt;&gt;0,DATE(YEAR('State and Local Taxes'!B105), MONTH('State and Local Taxes'!B105)-2, 1), ""), "mm/dd/yyyy")</f>
        <v/>
      </c>
      <c r="B91" s="23" t="str">
        <f>IF(ISNUMBER('State and Local Taxes'!I105),TEXT('State and Local Taxes'!I105, "0.000"), "")</f>
        <v/>
      </c>
    </row>
    <row r="92" spans="1:2">
      <c r="A92" s="23" t="str">
        <f>TEXT(IF('State and Local Taxes'!B106&lt;&gt;0,DATE(YEAR('State and Local Taxes'!B106), MONTH('State and Local Taxes'!B106)-2, 1), ""), "mm/dd/yyyy")</f>
        <v/>
      </c>
      <c r="B92" s="23" t="str">
        <f>IF(ISNUMBER('State and Local Taxes'!I106),TEXT('State and Local Taxes'!I106, "0.000"), "")</f>
        <v/>
      </c>
    </row>
    <row r="93" spans="1:2">
      <c r="A93" s="23" t="str">
        <f>TEXT(IF('State and Local Taxes'!B107&lt;&gt;0,DATE(YEAR('State and Local Taxes'!B107), MONTH('State and Local Taxes'!B107)-2, 1), ""), "mm/dd/yyyy")</f>
        <v/>
      </c>
      <c r="B93" s="23" t="str">
        <f>IF(ISNUMBER('State and Local Taxes'!I107),TEXT('State and Local Taxes'!I107, "0.000"), "")</f>
        <v/>
      </c>
    </row>
    <row r="94" spans="1:2">
      <c r="A94" s="23" t="str">
        <f>TEXT(IF('State and Local Taxes'!B108&lt;&gt;0,DATE(YEAR('State and Local Taxes'!B108), MONTH('State and Local Taxes'!B108)-2, 1), ""), "mm/dd/yyyy")</f>
        <v/>
      </c>
      <c r="B94" s="23" t="str">
        <f>IF(ISNUMBER('State and Local Taxes'!I108),TEXT('State and Local Taxes'!I108, "0.000"), "")</f>
        <v/>
      </c>
    </row>
    <row r="95" spans="1:2">
      <c r="A95" s="23" t="str">
        <f>TEXT(IF('State and Local Taxes'!B109&lt;&gt;0,DATE(YEAR('State and Local Taxes'!B109), MONTH('State and Local Taxes'!B109)-2, 1), ""), "mm/dd/yyyy")</f>
        <v/>
      </c>
      <c r="B95" s="23" t="str">
        <f>IF(ISNUMBER('State and Local Taxes'!I109),TEXT('State and Local Taxes'!I109, "0.000"), "")</f>
        <v/>
      </c>
    </row>
    <row r="96" spans="1:2">
      <c r="A96" s="23" t="str">
        <f>TEXT(IF('State and Local Taxes'!B110&lt;&gt;0,DATE(YEAR('State and Local Taxes'!B110), MONTH('State and Local Taxes'!B110)-2, 1), ""), "mm/dd/yyyy")</f>
        <v/>
      </c>
      <c r="B96" s="23" t="str">
        <f>IF(ISNUMBER('State and Local Taxes'!I110),TEXT('State and Local Taxes'!I110, "0.000"), "")</f>
        <v/>
      </c>
    </row>
    <row r="97" spans="1:2">
      <c r="A97" s="23" t="str">
        <f>TEXT(IF('State and Local Taxes'!B111&lt;&gt;0,DATE(YEAR('State and Local Taxes'!B111), MONTH('State and Local Taxes'!B111)-2, 1), ""), "mm/dd/yyyy")</f>
        <v/>
      </c>
      <c r="B97" s="23" t="str">
        <f>IF(ISNUMBER('State and Local Taxes'!I111),TEXT('State and Local Taxes'!I111, "0.000"), "")</f>
        <v/>
      </c>
    </row>
    <row r="98" spans="1:2">
      <c r="A98" s="23" t="str">
        <f>TEXT(IF('State and Local Taxes'!B112&lt;&gt;0,DATE(YEAR('State and Local Taxes'!B112), MONTH('State and Local Taxes'!B112)-2, 1), ""), "mm/dd/yyyy")</f>
        <v/>
      </c>
      <c r="B98" s="23" t="str">
        <f>IF(ISNUMBER('State and Local Taxes'!I112),TEXT('State and Local Taxes'!I112, "0.000"), "")</f>
        <v/>
      </c>
    </row>
    <row r="99" spans="1:2">
      <c r="A99" s="23" t="str">
        <f>TEXT(IF('State and Local Taxes'!B113&lt;&gt;0,DATE(YEAR('State and Local Taxes'!B113), MONTH('State and Local Taxes'!B113)-2, 1), ""), "mm/dd/yyyy")</f>
        <v/>
      </c>
      <c r="B99" s="23" t="str">
        <f>IF(ISNUMBER('State and Local Taxes'!I113),TEXT('State and Local Taxes'!I113, "0.000"), "")</f>
        <v/>
      </c>
    </row>
    <row r="100" spans="1:2">
      <c r="A100" s="23" t="str">
        <f>TEXT(IF('State and Local Taxes'!B114&lt;&gt;0,DATE(YEAR('State and Local Taxes'!B114), MONTH('State and Local Taxes'!B114)-2, 1), ""), "mm/dd/yyyy")</f>
        <v/>
      </c>
      <c r="B100" s="23" t="str">
        <f>IF(ISNUMBER('State and Local Taxes'!I114),TEXT('State and Local Taxes'!I114, "0.000"), "")</f>
        <v/>
      </c>
    </row>
    <row r="101" spans="1:2">
      <c r="A101" s="23" t="str">
        <f>TEXT(IF('State and Local Taxes'!B115&lt;&gt;0,DATE(YEAR('State and Local Taxes'!B115), MONTH('State and Local Taxes'!B115)-2, 1), ""), "mm/dd/yyyy")</f>
        <v/>
      </c>
      <c r="B101" s="23" t="str">
        <f>IF(ISNUMBER('State and Local Taxes'!I115),TEXT('State and Local Taxes'!I115, "0.000"), "")</f>
        <v/>
      </c>
    </row>
    <row r="102" spans="1:2">
      <c r="A102" s="23" t="str">
        <f>TEXT(IF('State and Local Taxes'!B116&lt;&gt;0,DATE(YEAR('State and Local Taxes'!B116), MONTH('State and Local Taxes'!B116)-2, 1), ""), "mm/dd/yyyy")</f>
        <v/>
      </c>
      <c r="B102" s="23" t="str">
        <f>IF(ISNUMBER('State and Local Taxes'!I116),TEXT('State and Local Taxes'!I116, "0.000"), "")</f>
        <v/>
      </c>
    </row>
    <row r="103" spans="1:2">
      <c r="A103" s="23" t="str">
        <f>TEXT(IF('State and Local Taxes'!B117&lt;&gt;0,DATE(YEAR('State and Local Taxes'!B117), MONTH('State and Local Taxes'!B117)-2, 1), ""), "mm/dd/yyyy")</f>
        <v/>
      </c>
      <c r="B103" s="23" t="str">
        <f>IF(ISNUMBER('State and Local Taxes'!I117),TEXT('State and Local Taxes'!I117, "0.000"), "")</f>
        <v/>
      </c>
    </row>
    <row r="104" spans="1:2">
      <c r="A104" s="23" t="str">
        <f>TEXT(IF('State and Local Taxes'!B118&lt;&gt;0,DATE(YEAR('State and Local Taxes'!B118), MONTH('State and Local Taxes'!B118)-2, 1), ""), "mm/dd/yyyy")</f>
        <v/>
      </c>
      <c r="B104" s="23" t="str">
        <f>IF(ISNUMBER('State and Local Taxes'!I118),TEXT('State and Local Taxes'!I118, "0.000"), "")</f>
        <v/>
      </c>
    </row>
    <row r="105" spans="1:2">
      <c r="A105" s="23" t="str">
        <f>TEXT(IF('State and Local Taxes'!B119&lt;&gt;0,DATE(YEAR('State and Local Taxes'!B119), MONTH('State and Local Taxes'!B119)-2, 1), ""), "mm/dd/yyyy")</f>
        <v/>
      </c>
      <c r="B105" s="23" t="str">
        <f>IF(ISNUMBER('State and Local Taxes'!I119),TEXT('State and Local Taxes'!I119, "0.000"), "")</f>
        <v/>
      </c>
    </row>
    <row r="106" spans="1:2">
      <c r="A106" s="23" t="str">
        <f>TEXT(IF('State and Local Taxes'!B120&lt;&gt;0,DATE(YEAR('State and Local Taxes'!B120), MONTH('State and Local Taxes'!B120)-2, 1), ""), "mm/dd/yyyy")</f>
        <v/>
      </c>
      <c r="B106" s="23" t="str">
        <f>IF(ISNUMBER('State and Local Taxes'!I120),TEXT('State and Local Taxes'!I120, "0.000"), "")</f>
        <v/>
      </c>
    </row>
    <row r="107" spans="1:2">
      <c r="A107" s="23" t="str">
        <f>TEXT(IF('State and Local Taxes'!B121&lt;&gt;0,DATE(YEAR('State and Local Taxes'!B121), MONTH('State and Local Taxes'!B121)-2, 1), ""), "mm/dd/yyyy")</f>
        <v/>
      </c>
      <c r="B107" s="23" t="str">
        <f>IF(ISNUMBER('State and Local Taxes'!I121),TEXT('State and Local Taxes'!I121, "0.000"), "")</f>
        <v/>
      </c>
    </row>
    <row r="108" spans="1:2">
      <c r="A108" s="23" t="str">
        <f>TEXT(IF('State and Local Taxes'!B122&lt;&gt;0,DATE(YEAR('State and Local Taxes'!B122), MONTH('State and Local Taxes'!B122)-2, 1), ""), "mm/dd/yyyy")</f>
        <v/>
      </c>
      <c r="B108" s="23" t="str">
        <f>IF(ISNUMBER('State and Local Taxes'!I122),TEXT('State and Local Taxes'!I122, "0.000"), "")</f>
        <v/>
      </c>
    </row>
    <row r="109" spans="1:2">
      <c r="A109" s="23" t="str">
        <f>TEXT(IF('State and Local Taxes'!B123&lt;&gt;0,DATE(YEAR('State and Local Taxes'!B123), MONTH('State and Local Taxes'!B123)-2, 1), ""), "mm/dd/yyyy")</f>
        <v/>
      </c>
      <c r="B109" s="23" t="str">
        <f>IF(ISNUMBER('State and Local Taxes'!I123),TEXT('State and Local Taxes'!I123, "0.000"), "")</f>
        <v/>
      </c>
    </row>
    <row r="110" spans="1:2">
      <c r="A110" s="23" t="str">
        <f>TEXT(IF('State and Local Taxes'!B124&lt;&gt;0,DATE(YEAR('State and Local Taxes'!B124), MONTH('State and Local Taxes'!B124)-2, 1), ""), "mm/dd/yyyy")</f>
        <v/>
      </c>
      <c r="B110" s="23" t="str">
        <f>IF(ISNUMBER('State and Local Taxes'!I124),TEXT('State and Local Taxes'!I124, "0.000"), "")</f>
        <v/>
      </c>
    </row>
    <row r="111" spans="1:2">
      <c r="A111" s="23" t="str">
        <f>TEXT(IF('State and Local Taxes'!B125&lt;&gt;0,DATE(YEAR('State and Local Taxes'!B125), MONTH('State and Local Taxes'!B125)-2, 1), ""), "mm/dd/yyyy")</f>
        <v/>
      </c>
      <c r="B111" s="23" t="str">
        <f>IF(ISNUMBER('State and Local Taxes'!I125),TEXT('State and Local Taxes'!I125, "0.000"), "")</f>
        <v/>
      </c>
    </row>
    <row r="112" spans="1:2">
      <c r="A112" s="23" t="str">
        <f>TEXT(IF('State and Local Taxes'!B126&lt;&gt;0,DATE(YEAR('State and Local Taxes'!B126), MONTH('State and Local Taxes'!B126)-2, 1), ""), "mm/dd/yyyy")</f>
        <v/>
      </c>
      <c r="B112" s="23" t="str">
        <f>IF(ISNUMBER('State and Local Taxes'!I126),TEXT('State and Local Taxes'!I126, "0.000"), "")</f>
        <v/>
      </c>
    </row>
    <row r="113" spans="1:2">
      <c r="A113" s="23" t="str">
        <f>TEXT(IF('State and Local Taxes'!B127&lt;&gt;0,DATE(YEAR('State and Local Taxes'!B127), MONTH('State and Local Taxes'!B127)-2, 1), ""), "mm/dd/yyyy")</f>
        <v/>
      </c>
      <c r="B113" s="23" t="str">
        <f>IF(ISNUMBER('State and Local Taxes'!I127),TEXT('State and Local Taxes'!I127, "0.000"), "")</f>
        <v/>
      </c>
    </row>
    <row r="114" spans="1:2">
      <c r="A114" s="23" t="str">
        <f>TEXT(IF('State and Local Taxes'!B128&lt;&gt;0,DATE(YEAR('State and Local Taxes'!B128), MONTH('State and Local Taxes'!B128)-2, 1), ""), "mm/dd/yyyy")</f>
        <v/>
      </c>
      <c r="B114" s="23" t="str">
        <f>IF(ISNUMBER('State and Local Taxes'!I128),TEXT('State and Local Taxes'!I128, "0.000"), "")</f>
        <v/>
      </c>
    </row>
    <row r="115" spans="1:2">
      <c r="A115" s="23" t="str">
        <f>TEXT(IF('State and Local Taxes'!B129&lt;&gt;0,DATE(YEAR('State and Local Taxes'!B129), MONTH('State and Local Taxes'!B129)-2, 1), ""), "mm/dd/yyyy")</f>
        <v/>
      </c>
      <c r="B115" s="23" t="str">
        <f>IF(ISNUMBER('State and Local Taxes'!I129),TEXT('State and Local Taxes'!I129, "0.000"), "")</f>
        <v/>
      </c>
    </row>
    <row r="116" spans="1:2">
      <c r="A116" s="23" t="str">
        <f>TEXT(IF('State and Local Taxes'!B130&lt;&gt;0,DATE(YEAR('State and Local Taxes'!B130), MONTH('State and Local Taxes'!B130)-2, 1), ""), "mm/dd/yyyy")</f>
        <v/>
      </c>
      <c r="B116" s="23" t="str">
        <f>IF(ISNUMBER('State and Local Taxes'!I130),TEXT('State and Local Taxes'!I130, "0.000"), "")</f>
        <v/>
      </c>
    </row>
    <row r="117" spans="1:2">
      <c r="A117" s="23" t="str">
        <f>TEXT(IF('State and Local Taxes'!B131&lt;&gt;0,DATE(YEAR('State and Local Taxes'!B131), MONTH('State and Local Taxes'!B131)-2, 1), ""), "mm/dd/yyyy")</f>
        <v/>
      </c>
      <c r="B117" s="23" t="str">
        <f>IF(ISNUMBER('State and Local Taxes'!I131),TEXT('State and Local Taxes'!I131, "0.000"), "")</f>
        <v/>
      </c>
    </row>
    <row r="118" spans="1:2">
      <c r="A118" s="23" t="str">
        <f>TEXT(IF('State and Local Taxes'!B132&lt;&gt;0,DATE(YEAR('State and Local Taxes'!B132), MONTH('State and Local Taxes'!B132)-2, 1), ""), "mm/dd/yyyy")</f>
        <v/>
      </c>
      <c r="B118" s="23" t="str">
        <f>IF(ISNUMBER('State and Local Taxes'!I132),TEXT('State and Local Taxes'!I132, "0.000"), "")</f>
        <v/>
      </c>
    </row>
    <row r="119" spans="1:2">
      <c r="A119" s="23" t="str">
        <f>TEXT(IF('State and Local Taxes'!B133&lt;&gt;0,DATE(YEAR('State and Local Taxes'!B133), MONTH('State and Local Taxes'!B133)-2, 1), ""), "mm/dd/yyyy")</f>
        <v/>
      </c>
      <c r="B119" s="23" t="str">
        <f>IF(ISNUMBER('State and Local Taxes'!I133),TEXT('State and Local Taxes'!I133, "0.000"), "")</f>
        <v/>
      </c>
    </row>
    <row r="120" spans="1:2">
      <c r="A120" s="23" t="str">
        <f>TEXT(IF('State and Local Taxes'!B134&lt;&gt;0,DATE(YEAR('State and Local Taxes'!B134), MONTH('State and Local Taxes'!B134)-2, 1), ""), "mm/dd/yyyy")</f>
        <v/>
      </c>
      <c r="B120" s="23" t="str">
        <f>IF(ISNUMBER('State and Local Taxes'!I134),TEXT('State and Local Taxes'!I134, "0.000"), "")</f>
        <v/>
      </c>
    </row>
    <row r="121" spans="1:2">
      <c r="A121" s="23" t="str">
        <f>TEXT(IF('State and Local Taxes'!B135&lt;&gt;0,DATE(YEAR('State and Local Taxes'!B135), MONTH('State and Local Taxes'!B135)-2, 1), ""), "mm/dd/yyyy")</f>
        <v/>
      </c>
      <c r="B121" s="23" t="str">
        <f>IF(ISNUMBER('State and Local Taxes'!I135),TEXT('State and Local Taxes'!I135, "0.000"), "")</f>
        <v/>
      </c>
    </row>
    <row r="122" spans="1:2">
      <c r="A122" s="23" t="str">
        <f>TEXT(IF('State and Local Taxes'!B136&lt;&gt;0,DATE(YEAR('State and Local Taxes'!B136), MONTH('State and Local Taxes'!B136)-2, 1), ""), "mm/dd/yyyy")</f>
        <v/>
      </c>
      <c r="B122" s="23" t="str">
        <f>IF(ISNUMBER('State and Local Taxes'!I136),TEXT('State and Local Taxes'!I136, "0.000"), "")</f>
        <v/>
      </c>
    </row>
    <row r="123" spans="1:2">
      <c r="A123" s="23" t="str">
        <f>TEXT(IF('State and Local Taxes'!B137&lt;&gt;0,DATE(YEAR('State and Local Taxes'!B137), MONTH('State and Local Taxes'!B137)-2, 1), ""), "mm/dd/yyyy")</f>
        <v/>
      </c>
      <c r="B123" s="23" t="str">
        <f>IF(ISNUMBER('State and Local Taxes'!I137),TEXT('State and Local Taxes'!I137, "0.000"), "")</f>
        <v/>
      </c>
    </row>
    <row r="124" spans="1:2">
      <c r="A124" s="23" t="str">
        <f>TEXT(IF('State and Local Taxes'!B138&lt;&gt;0,DATE(YEAR('State and Local Taxes'!B138), MONTH('State and Local Taxes'!B138)-2, 1), ""), "mm/dd/yyyy")</f>
        <v/>
      </c>
      <c r="B124" s="23" t="str">
        <f>IF(ISNUMBER('State and Local Taxes'!I138),TEXT('State and Local Taxes'!I138, "0.000"), "")</f>
        <v/>
      </c>
    </row>
    <row r="125" spans="1:2">
      <c r="A125" s="23" t="str">
        <f>TEXT(IF('State and Local Taxes'!B139&lt;&gt;0,DATE(YEAR('State and Local Taxes'!B139), MONTH('State and Local Taxes'!B139)-2, 1), ""), "mm/dd/yyyy")</f>
        <v/>
      </c>
      <c r="B125" s="23" t="str">
        <f>IF(ISNUMBER('State and Local Taxes'!I139),TEXT('State and Local Taxes'!I139, "0.000"), "")</f>
        <v/>
      </c>
    </row>
    <row r="126" spans="1:2">
      <c r="A126" s="23" t="str">
        <f>TEXT(IF('State and Local Taxes'!B140&lt;&gt;0,DATE(YEAR('State and Local Taxes'!B140), MONTH('State and Local Taxes'!B140)-2, 1), ""), "mm/dd/yyyy")</f>
        <v/>
      </c>
      <c r="B126" s="23" t="str">
        <f>IF(ISNUMBER('State and Local Taxes'!I140),TEXT('State and Local Taxes'!I140, "0.000"), "")</f>
        <v/>
      </c>
    </row>
    <row r="127" spans="1:2">
      <c r="A127" s="23" t="str">
        <f>TEXT(IF('State and Local Taxes'!B141&lt;&gt;0,DATE(YEAR('State and Local Taxes'!B141), MONTH('State and Local Taxes'!B141)-2, 1), ""), "mm/dd/yyyy")</f>
        <v/>
      </c>
      <c r="B127" s="23" t="str">
        <f>IF(ISNUMBER('State and Local Taxes'!I141),TEXT('State and Local Taxes'!I141, "0.000"), "")</f>
        <v/>
      </c>
    </row>
    <row r="128" spans="1:2">
      <c r="A128" s="23" t="str">
        <f>TEXT(IF('State and Local Taxes'!B142&lt;&gt;0,DATE(YEAR('State and Local Taxes'!B142), MONTH('State and Local Taxes'!B142)-2, 1), ""), "mm/dd/yyyy")</f>
        <v/>
      </c>
      <c r="B128" s="23" t="str">
        <f>IF(ISNUMBER('State and Local Taxes'!I142),TEXT('State and Local Taxes'!I142, "0.000"), "")</f>
        <v/>
      </c>
    </row>
    <row r="129" spans="1:2">
      <c r="A129" s="23" t="str">
        <f>TEXT(IF('State and Local Taxes'!B143&lt;&gt;0,DATE(YEAR('State and Local Taxes'!B143), MONTH('State and Local Taxes'!B143)-2, 1), ""), "mm/dd/yyyy")</f>
        <v/>
      </c>
      <c r="B129" s="23" t="str">
        <f>IF(ISNUMBER('State and Local Taxes'!I143),TEXT('State and Local Taxes'!I143, "0.000"), "")</f>
        <v/>
      </c>
    </row>
    <row r="130" spans="1:2">
      <c r="A130" s="23" t="str">
        <f>TEXT(IF('State and Local Taxes'!B144&lt;&gt;0,DATE(YEAR('State and Local Taxes'!B144), MONTH('State and Local Taxes'!B144)-2, 1), ""), "mm/dd/yyyy")</f>
        <v/>
      </c>
      <c r="B130" s="23" t="str">
        <f>IF(ISNUMBER('State and Local Taxes'!I144),TEXT('State and Local Taxes'!I144, "0.000"), "")</f>
        <v/>
      </c>
    </row>
    <row r="131" spans="1:2">
      <c r="A131" s="23" t="str">
        <f>TEXT(IF('State and Local Taxes'!B145&lt;&gt;0,DATE(YEAR('State and Local Taxes'!B145), MONTH('State and Local Taxes'!B145)-2, 1), ""), "mm/dd/yyyy")</f>
        <v/>
      </c>
      <c r="B131" s="23" t="str">
        <f>IF(ISNUMBER('State and Local Taxes'!I145),TEXT('State and Local Taxes'!I145, "0.000"), "")</f>
        <v/>
      </c>
    </row>
    <row r="132" spans="1:2">
      <c r="A132" s="23" t="str">
        <f>TEXT(IF('State and Local Taxes'!B146&lt;&gt;0,DATE(YEAR('State and Local Taxes'!B146), MONTH('State and Local Taxes'!B146)-2, 1), ""), "mm/dd/yyyy")</f>
        <v/>
      </c>
      <c r="B132" s="23" t="str">
        <f>IF(ISNUMBER('State and Local Taxes'!I146),TEXT('State and Local Taxes'!I146, "0.000"), "")</f>
        <v/>
      </c>
    </row>
    <row r="133" spans="1:2">
      <c r="A133" s="23" t="str">
        <f>TEXT(IF('State and Local Taxes'!B147&lt;&gt;0,DATE(YEAR('State and Local Taxes'!B147), MONTH('State and Local Taxes'!B147)-2, 1), ""), "mm/dd/yyyy")</f>
        <v/>
      </c>
      <c r="B133" s="23" t="str">
        <f>IF(ISNUMBER('State and Local Taxes'!I147),TEXT('State and Local Taxes'!I147, "0.000"), "")</f>
        <v/>
      </c>
    </row>
    <row r="134" spans="1:2">
      <c r="A134" s="23" t="str">
        <f>TEXT(IF('State and Local Taxes'!B148&lt;&gt;0,DATE(YEAR('State and Local Taxes'!B148), MONTH('State and Local Taxes'!B148)-2, 1), ""), "mm/dd/yyyy")</f>
        <v/>
      </c>
      <c r="B134" s="23" t="str">
        <f>IF(ISNUMBER('State and Local Taxes'!I148),TEXT('State and Local Taxes'!I148, "0.000"), "")</f>
        <v/>
      </c>
    </row>
    <row r="135" spans="1:2">
      <c r="A135" s="23" t="str">
        <f>TEXT(IF('State and Local Taxes'!B149&lt;&gt;0,DATE(YEAR('State and Local Taxes'!B149), MONTH('State and Local Taxes'!B149)-2, 1), ""), "mm/dd/yyyy")</f>
        <v/>
      </c>
      <c r="B135" s="23" t="str">
        <f>IF(ISNUMBER('State and Local Taxes'!I149),TEXT('State and Local Taxes'!I149, "0.000"), "")</f>
        <v/>
      </c>
    </row>
    <row r="136" spans="1:2">
      <c r="A136" s="23" t="str">
        <f>TEXT(IF('State and Local Taxes'!B150&lt;&gt;0,DATE(YEAR('State and Local Taxes'!B150), MONTH('State and Local Taxes'!B150)-2, 1), ""), "mm/dd/yyyy")</f>
        <v/>
      </c>
      <c r="B136" s="23" t="str">
        <f>IF(ISNUMBER('State and Local Taxes'!I150),TEXT('State and Local Taxes'!I150, "0.000"), "")</f>
        <v/>
      </c>
    </row>
    <row r="137" spans="1:2">
      <c r="A137" s="23" t="str">
        <f>TEXT(IF('State and Local Taxes'!B151&lt;&gt;0,DATE(YEAR('State and Local Taxes'!B151), MONTH('State and Local Taxes'!B151)-2, 1), ""), "mm/dd/yyyy")</f>
        <v/>
      </c>
      <c r="B137" s="23" t="str">
        <f>IF(ISNUMBER('State and Local Taxes'!I151),TEXT('State and Local Taxes'!I151, "0.000"), "")</f>
        <v/>
      </c>
    </row>
    <row r="138" spans="1:2">
      <c r="A138" s="23" t="str">
        <f>TEXT(IF('State and Local Taxes'!B152&lt;&gt;0,DATE(YEAR('State and Local Taxes'!B152), MONTH('State and Local Taxes'!B152)-2, 1), ""), "mm/dd/yyyy")</f>
        <v/>
      </c>
      <c r="B138" s="23" t="str">
        <f>IF(ISNUMBER('State and Local Taxes'!I152),TEXT('State and Local Taxes'!I152, "0.000"), "")</f>
        <v/>
      </c>
    </row>
    <row r="139" spans="1:2">
      <c r="A139" s="23" t="str">
        <f>TEXT(IF('State and Local Taxes'!B153&lt;&gt;0,DATE(YEAR('State and Local Taxes'!B153), MONTH('State and Local Taxes'!B153)-2, 1), ""), "mm/dd/yyyy")</f>
        <v/>
      </c>
      <c r="B139" s="23" t="str">
        <f>IF(ISNUMBER('State and Local Taxes'!I153),TEXT('State and Local Taxes'!I153, "0.000"), "")</f>
        <v/>
      </c>
    </row>
    <row r="140" spans="1:2">
      <c r="A140" s="23" t="str">
        <f>TEXT(IF('State and Local Taxes'!B154&lt;&gt;0,DATE(YEAR('State and Local Taxes'!B154), MONTH('State and Local Taxes'!B154)-2, 1), ""), "mm/dd/yyyy")</f>
        <v/>
      </c>
      <c r="B140" s="23" t="str">
        <f>IF(ISNUMBER('State and Local Taxes'!I154),TEXT('State and Local Taxes'!I154, "0.000"), "")</f>
        <v/>
      </c>
    </row>
    <row r="141" spans="1:2">
      <c r="A141" s="23" t="str">
        <f>TEXT(IF('State and Local Taxes'!B155&lt;&gt;0,DATE(YEAR('State and Local Taxes'!B155), MONTH('State and Local Taxes'!B155)-2, 1), ""), "mm/dd/yyyy")</f>
        <v/>
      </c>
      <c r="B141" s="23" t="str">
        <f>IF(ISNUMBER('State and Local Taxes'!I155),TEXT('State and Local Taxes'!I155, "0.000"), "")</f>
        <v/>
      </c>
    </row>
    <row r="142" spans="1:2">
      <c r="A142" s="23" t="str">
        <f>TEXT(IF('State and Local Taxes'!B156&lt;&gt;0,DATE(YEAR('State and Local Taxes'!B156), MONTH('State and Local Taxes'!B156)-2, 1), ""), "mm/dd/yyyy")</f>
        <v/>
      </c>
      <c r="B142" s="23" t="str">
        <f>IF(ISNUMBER('State and Local Taxes'!I156),TEXT('State and Local Taxes'!I156, "0.000"), "")</f>
        <v/>
      </c>
    </row>
    <row r="143" spans="1:2">
      <c r="A143" s="23" t="str">
        <f>TEXT(IF('State and Local Taxes'!B157&lt;&gt;0,DATE(YEAR('State and Local Taxes'!B157), MONTH('State and Local Taxes'!B157)-2, 1), ""), "mm/dd/yyyy")</f>
        <v/>
      </c>
      <c r="B143" s="23" t="str">
        <f>IF(ISNUMBER('State and Local Taxes'!I157),TEXT('State and Local Taxes'!I157, "0.000"), "")</f>
        <v/>
      </c>
    </row>
    <row r="144" spans="1:2">
      <c r="A144" s="23" t="str">
        <f>TEXT(IF('State and Local Taxes'!B158&lt;&gt;0,DATE(YEAR('State and Local Taxes'!B158), MONTH('State and Local Taxes'!B158)-2, 1), ""), "mm/dd/yyyy")</f>
        <v/>
      </c>
      <c r="B144" s="23" t="str">
        <f>IF(ISNUMBER('State and Local Taxes'!I158),TEXT('State and Local Taxes'!I158, "0.000"), "")</f>
        <v/>
      </c>
    </row>
    <row r="145" spans="1:2">
      <c r="A145" s="23" t="str">
        <f>TEXT(IF('State and Local Taxes'!B159&lt;&gt;0,DATE(YEAR('State and Local Taxes'!B159), MONTH('State and Local Taxes'!B159)-2, 1), ""), "mm/dd/yyyy")</f>
        <v/>
      </c>
      <c r="B145" s="23" t="str">
        <f>IF(ISNUMBER('State and Local Taxes'!I159),TEXT('State and Local Taxes'!I159, "0.000"), "")</f>
        <v/>
      </c>
    </row>
    <row r="146" spans="1:2">
      <c r="A146" s="23" t="str">
        <f>TEXT(IF('State and Local Taxes'!B160&lt;&gt;0,DATE(YEAR('State and Local Taxes'!B160), MONTH('State and Local Taxes'!B160)-2, 1), ""), "mm/dd/yyyy")</f>
        <v/>
      </c>
      <c r="B146" s="23" t="str">
        <f>IF(ISNUMBER('State and Local Taxes'!I160),TEXT('State and Local Taxes'!I160, "0.000"), "")</f>
        <v/>
      </c>
    </row>
    <row r="147" spans="1:2">
      <c r="A147" s="23" t="str">
        <f>TEXT(IF('State and Local Taxes'!B161&lt;&gt;0,DATE(YEAR('State and Local Taxes'!B161), MONTH('State and Local Taxes'!B161)-2, 1), ""), "mm/dd/yyyy")</f>
        <v/>
      </c>
      <c r="B147" s="23" t="str">
        <f>IF(ISNUMBER('State and Local Taxes'!I161),TEXT('State and Local Taxes'!I161, "0.000"), "")</f>
        <v/>
      </c>
    </row>
    <row r="148" spans="1:2">
      <c r="A148" s="23" t="str">
        <f>TEXT(IF('State and Local Taxes'!B162&lt;&gt;0,DATE(YEAR('State and Local Taxes'!B162), MONTH('State and Local Taxes'!B162)-2, 1), ""), "mm/dd/yyyy")</f>
        <v/>
      </c>
      <c r="B148" s="23" t="str">
        <f>IF(ISNUMBER('State and Local Taxes'!I162),TEXT('State and Local Taxes'!I162, "0.000"), "")</f>
        <v/>
      </c>
    </row>
    <row r="149" spans="1:2">
      <c r="A149" s="23" t="str">
        <f>TEXT(IF('State and Local Taxes'!B163&lt;&gt;0,DATE(YEAR('State and Local Taxes'!B163), MONTH('State and Local Taxes'!B163)-2, 1), ""), "mm/dd/yyyy")</f>
        <v/>
      </c>
      <c r="B149" s="23" t="str">
        <f>IF(ISNUMBER('State and Local Taxes'!I163),TEXT('State and Local Taxes'!I163, "0.000"), "")</f>
        <v/>
      </c>
    </row>
    <row r="150" spans="1:2">
      <c r="A150" s="23" t="str">
        <f>TEXT(IF('State and Local Taxes'!B164&lt;&gt;0,DATE(YEAR('State and Local Taxes'!B164), MONTH('State and Local Taxes'!B164)-2, 1), ""), "mm/dd/yyyy")</f>
        <v/>
      </c>
      <c r="B150" s="23" t="str">
        <f>IF(ISNUMBER('State and Local Taxes'!I164),TEXT('State and Local Taxes'!I164, "0.000"), "")</f>
        <v/>
      </c>
    </row>
    <row r="151" spans="1:2">
      <c r="A151" s="23" t="str">
        <f>TEXT(IF('State and Local Taxes'!B165&lt;&gt;0,DATE(YEAR('State and Local Taxes'!B165), MONTH('State and Local Taxes'!B165)-2, 1), ""), "mm/dd/yyyy")</f>
        <v/>
      </c>
      <c r="B151" s="23" t="str">
        <f>IF(ISNUMBER('State and Local Taxes'!I165),TEXT('State and Local Taxes'!I165, "0.000"), "")</f>
        <v/>
      </c>
    </row>
    <row r="152" spans="1:2">
      <c r="A152" s="23" t="str">
        <f>TEXT(IF('State and Local Taxes'!B166&lt;&gt;0,DATE(YEAR('State and Local Taxes'!B166), MONTH('State and Local Taxes'!B166)-2, 1), ""), "mm/dd/yyyy")</f>
        <v/>
      </c>
      <c r="B152" s="23" t="str">
        <f>IF(ISNUMBER('State and Local Taxes'!I166),TEXT('State and Local Taxes'!I166, "0.000"), "")</f>
        <v/>
      </c>
    </row>
    <row r="153" spans="1:2">
      <c r="A153" s="23" t="str">
        <f>TEXT(IF('State and Local Taxes'!B167&lt;&gt;0,DATE(YEAR('State and Local Taxes'!B167), MONTH('State and Local Taxes'!B167)-2, 1), ""), "mm/dd/yyyy")</f>
        <v/>
      </c>
      <c r="B153" s="23" t="str">
        <f>IF(ISNUMBER('State and Local Taxes'!I167),TEXT('State and Local Taxes'!I167, "0.000"), "")</f>
        <v/>
      </c>
    </row>
    <row r="154" spans="1:2">
      <c r="A154" s="23" t="str">
        <f>TEXT(IF('State and Local Taxes'!B168&lt;&gt;0,DATE(YEAR('State and Local Taxes'!B168), MONTH('State and Local Taxes'!B168)-2, 1), ""), "mm/dd/yyyy")</f>
        <v/>
      </c>
      <c r="B154" s="23" t="str">
        <f>IF(ISNUMBER('State and Local Taxes'!I168),TEXT('State and Local Taxes'!I168, "0.000"), "")</f>
        <v/>
      </c>
    </row>
    <row r="155" spans="1:2">
      <c r="A155" s="23" t="str">
        <f>TEXT(IF('State and Local Taxes'!B169&lt;&gt;0,DATE(YEAR('State and Local Taxes'!B169), MONTH('State and Local Taxes'!B169)-2, 1), ""), "mm/dd/yyyy")</f>
        <v/>
      </c>
      <c r="B155" s="23" t="str">
        <f>IF(ISNUMBER('State and Local Taxes'!I169),TEXT('State and Local Taxes'!I169, "0.000"), "")</f>
        <v/>
      </c>
    </row>
    <row r="156" spans="1:2">
      <c r="A156" s="23" t="str">
        <f>TEXT(IF('State and Local Taxes'!B170&lt;&gt;0,DATE(YEAR('State and Local Taxes'!B170), MONTH('State and Local Taxes'!B170)-2, 1), ""), "mm/dd/yyyy")</f>
        <v/>
      </c>
      <c r="B156" s="23" t="str">
        <f>IF(ISNUMBER('State and Local Taxes'!I170),TEXT('State and Local Taxes'!I170, "0.000"), "")</f>
        <v/>
      </c>
    </row>
    <row r="157" spans="1:2">
      <c r="A157" s="23" t="str">
        <f>TEXT(IF('State and Local Taxes'!B171&lt;&gt;0,DATE(YEAR('State and Local Taxes'!B171), MONTH('State and Local Taxes'!B171)-2, 1), ""), "mm/dd/yyyy")</f>
        <v/>
      </c>
      <c r="B157" s="23" t="str">
        <f>IF(ISNUMBER('State and Local Taxes'!I171),TEXT('State and Local Taxes'!I171, "0.000"), "")</f>
        <v/>
      </c>
    </row>
    <row r="158" spans="1:2">
      <c r="A158" s="23" t="str">
        <f>TEXT(IF('State and Local Taxes'!B172&lt;&gt;0,DATE(YEAR('State and Local Taxes'!B172), MONTH('State and Local Taxes'!B172)-2, 1), ""), "mm/dd/yyyy")</f>
        <v/>
      </c>
      <c r="B158" s="23" t="str">
        <f>IF(ISNUMBER('State and Local Taxes'!I172),TEXT('State and Local Taxes'!I172, "0.000"), "")</f>
        <v/>
      </c>
    </row>
    <row r="159" spans="1:2">
      <c r="A159" s="23" t="str">
        <f>TEXT(IF('State and Local Taxes'!B173&lt;&gt;0,DATE(YEAR('State and Local Taxes'!B173), MONTH('State and Local Taxes'!B173)-2, 1), ""), "mm/dd/yyyy")</f>
        <v/>
      </c>
      <c r="B159" s="23" t="str">
        <f>IF(ISNUMBER('State and Local Taxes'!I173),TEXT('State and Local Taxes'!I173, "0.000"), "")</f>
        <v/>
      </c>
    </row>
    <row r="160" spans="1:2">
      <c r="A160" s="23" t="str">
        <f>TEXT(IF('State and Local Taxes'!B174&lt;&gt;0,DATE(YEAR('State and Local Taxes'!B174), MONTH('State and Local Taxes'!B174)-2, 1), ""), "mm/dd/yyyy")</f>
        <v/>
      </c>
      <c r="B160" s="23" t="str">
        <f>IF(ISNUMBER('State and Local Taxes'!I174),TEXT('State and Local Taxes'!I174, "0.000"), "")</f>
        <v/>
      </c>
    </row>
    <row r="161" spans="1:2">
      <c r="A161" s="23" t="str">
        <f>TEXT(IF('State and Local Taxes'!B175&lt;&gt;0,DATE(YEAR('State and Local Taxes'!B175), MONTH('State and Local Taxes'!B175)-2, 1), ""), "mm/dd/yyyy")</f>
        <v/>
      </c>
      <c r="B161" s="23" t="str">
        <f>IF(ISNUMBER('State and Local Taxes'!I175),TEXT('State and Local Taxes'!I175, "0.000"), "")</f>
        <v/>
      </c>
    </row>
    <row r="162" spans="1:2">
      <c r="A162" s="23" t="str">
        <f>TEXT(IF('State and Local Taxes'!B176&lt;&gt;0,DATE(YEAR('State and Local Taxes'!B176), MONTH('State and Local Taxes'!B176)-2, 1), ""), "mm/dd/yyyy")</f>
        <v/>
      </c>
      <c r="B162" s="23" t="str">
        <f>IF(ISNUMBER('State and Local Taxes'!I176),TEXT('State and Local Taxes'!I176, "0.000"), "")</f>
        <v/>
      </c>
    </row>
    <row r="163" spans="1:2">
      <c r="A163" s="23" t="str">
        <f>TEXT(IF('State and Local Taxes'!B177&lt;&gt;0,DATE(YEAR('State and Local Taxes'!B177), MONTH('State and Local Taxes'!B177)-2, 1), ""), "mm/dd/yyyy")</f>
        <v/>
      </c>
      <c r="B163" s="23" t="str">
        <f>IF(ISNUMBER('State and Local Taxes'!I177),TEXT('State and Local Taxes'!I177, "0.000"), "")</f>
        <v/>
      </c>
    </row>
    <row r="164" spans="1:2">
      <c r="A164" s="23" t="str">
        <f>TEXT(IF('State and Local Taxes'!B178&lt;&gt;0,DATE(YEAR('State and Local Taxes'!B178), MONTH('State and Local Taxes'!B178)-2, 1), ""), "mm/dd/yyyy")</f>
        <v/>
      </c>
      <c r="B164" s="23" t="str">
        <f>IF(ISNUMBER('State and Local Taxes'!I178),TEXT('State and Local Taxes'!I178, "0.000"), "")</f>
        <v/>
      </c>
    </row>
    <row r="165" spans="1:2">
      <c r="A165" s="23" t="str">
        <f>TEXT(IF('State and Local Taxes'!B179&lt;&gt;0,DATE(YEAR('State and Local Taxes'!B179), MONTH('State and Local Taxes'!B179)-2, 1), ""), "mm/dd/yyyy")</f>
        <v/>
      </c>
      <c r="B165" s="23" t="str">
        <f>IF(ISNUMBER('State and Local Taxes'!I179),TEXT('State and Local Taxes'!I179, "0.000"), "")</f>
        <v/>
      </c>
    </row>
    <row r="166" spans="1:2">
      <c r="A166" s="23" t="str">
        <f>TEXT(IF('State and Local Taxes'!B180&lt;&gt;0,DATE(YEAR('State and Local Taxes'!B180), MONTH('State and Local Taxes'!B180)-2, 1), ""), "mm/dd/yyyy")</f>
        <v/>
      </c>
      <c r="B166" s="23" t="str">
        <f>IF(ISNUMBER('State and Local Taxes'!I180),TEXT('State and Local Taxes'!I180, "0.000"), "")</f>
        <v/>
      </c>
    </row>
    <row r="167" spans="1:2">
      <c r="A167" s="23" t="str">
        <f>TEXT(IF('State and Local Taxes'!B181&lt;&gt;0,DATE(YEAR('State and Local Taxes'!B181), MONTH('State and Local Taxes'!B181)-2, 1), ""), "mm/dd/yyyy")</f>
        <v/>
      </c>
      <c r="B167" s="23" t="str">
        <f>IF(ISNUMBER('State and Local Taxes'!I181),TEXT('State and Local Taxes'!I181, "0.000"), "")</f>
        <v/>
      </c>
    </row>
    <row r="168" spans="1:2">
      <c r="A168" s="23" t="str">
        <f>TEXT(IF('State and Local Taxes'!B182&lt;&gt;0,DATE(YEAR('State and Local Taxes'!B182), MONTH('State and Local Taxes'!B182)-2, 1), ""), "mm/dd/yyyy")</f>
        <v/>
      </c>
      <c r="B168" s="23" t="str">
        <f>IF(ISNUMBER('State and Local Taxes'!I182),TEXT('State and Local Taxes'!I182, "0.000"), "")</f>
        <v/>
      </c>
    </row>
    <row r="169" spans="1:2">
      <c r="A169" s="23" t="str">
        <f>TEXT(IF('State and Local Taxes'!B183&lt;&gt;0,DATE(YEAR('State and Local Taxes'!B183), MONTH('State and Local Taxes'!B183)-2, 1), ""), "mm/dd/yyyy")</f>
        <v/>
      </c>
      <c r="B169" s="23" t="str">
        <f>IF(ISNUMBER('State and Local Taxes'!I183),TEXT('State and Local Taxes'!I183, "0.000"), "")</f>
        <v/>
      </c>
    </row>
    <row r="170" spans="1:2">
      <c r="A170" s="23" t="str">
        <f>TEXT(IF('State and Local Taxes'!B184&lt;&gt;0,DATE(YEAR('State and Local Taxes'!B184), MONTH('State and Local Taxes'!B184)-2, 1), ""), "mm/dd/yyyy")</f>
        <v/>
      </c>
      <c r="B170" s="23" t="str">
        <f>IF(ISNUMBER('State and Local Taxes'!I184),TEXT('State and Local Taxes'!I184, "0.000"), "")</f>
        <v/>
      </c>
    </row>
    <row r="171" spans="1:2">
      <c r="A171" s="23" t="str">
        <f>TEXT(IF('State and Local Taxes'!B185&lt;&gt;0,DATE(YEAR('State and Local Taxes'!B185), MONTH('State and Local Taxes'!B185)-2, 1), ""), "mm/dd/yyyy")</f>
        <v/>
      </c>
      <c r="B171" s="23" t="str">
        <f>IF(ISNUMBER('State and Local Taxes'!I185),TEXT('State and Local Taxes'!I185, "0.000"), "")</f>
        <v/>
      </c>
    </row>
    <row r="172" spans="1:2">
      <c r="A172" s="23" t="str">
        <f>TEXT(IF('State and Local Taxes'!B186&lt;&gt;0,DATE(YEAR('State and Local Taxes'!B186), MONTH('State and Local Taxes'!B186)-2, 1), ""), "mm/dd/yyyy")</f>
        <v/>
      </c>
      <c r="B172" s="23" t="str">
        <f>IF(ISNUMBER('State and Local Taxes'!I186),TEXT('State and Local Taxes'!I186, "0.000"), "")</f>
        <v/>
      </c>
    </row>
    <row r="173" spans="1:2">
      <c r="A173" s="23" t="str">
        <f>TEXT(IF('State and Local Taxes'!B187&lt;&gt;0,DATE(YEAR('State and Local Taxes'!B187), MONTH('State and Local Taxes'!B187)-2, 1), ""), "mm/dd/yyyy")</f>
        <v/>
      </c>
      <c r="B173" s="23" t="str">
        <f>IF(ISNUMBER('State and Local Taxes'!I187),TEXT('State and Local Taxes'!I187, "0.000"), "")</f>
        <v/>
      </c>
    </row>
    <row r="174" spans="1:2">
      <c r="A174" s="23" t="str">
        <f>TEXT(IF('State and Local Taxes'!B188&lt;&gt;0,DATE(YEAR('State and Local Taxes'!B188), MONTH('State and Local Taxes'!B188)-2, 1), ""), "mm/dd/yyyy")</f>
        <v/>
      </c>
      <c r="B174" s="23" t="str">
        <f>IF(ISNUMBER('State and Local Taxes'!I188),TEXT('State and Local Taxes'!I188, "0.000"), "")</f>
        <v/>
      </c>
    </row>
    <row r="175" spans="1:2">
      <c r="A175" s="23" t="str">
        <f>TEXT(IF('State and Local Taxes'!B189&lt;&gt;0,DATE(YEAR('State and Local Taxes'!B189), MONTH('State and Local Taxes'!B189)-2, 1), ""), "mm/dd/yyyy")</f>
        <v/>
      </c>
      <c r="B175" s="23" t="str">
        <f>IF(ISNUMBER('State and Local Taxes'!I189),TEXT('State and Local Taxes'!I189, "0.000"), "")</f>
        <v/>
      </c>
    </row>
    <row r="176" spans="1:2">
      <c r="A176" s="23" t="str">
        <f>TEXT(IF('State and Local Taxes'!B190&lt;&gt;0,DATE(YEAR('State and Local Taxes'!B190), MONTH('State and Local Taxes'!B190)-2, 1), ""), "mm/dd/yyyy")</f>
        <v/>
      </c>
      <c r="B176" s="23" t="str">
        <f>IF(ISNUMBER('State and Local Taxes'!I190),TEXT('State and Local Taxes'!I190, "0.000"), "")</f>
        <v/>
      </c>
    </row>
    <row r="177" spans="1:2">
      <c r="A177" s="23" t="str">
        <f>TEXT(IF('State and Local Taxes'!B191&lt;&gt;0,DATE(YEAR('State and Local Taxes'!B191), MONTH('State and Local Taxes'!B191)-2, 1), ""), "mm/dd/yyyy")</f>
        <v/>
      </c>
      <c r="B177" s="23" t="str">
        <f>IF(ISNUMBER('State and Local Taxes'!I191),TEXT('State and Local Taxes'!I191, "0.000"), "")</f>
        <v/>
      </c>
    </row>
    <row r="178" spans="1:2">
      <c r="A178" s="23" t="str">
        <f>TEXT(IF('State and Local Taxes'!B192&lt;&gt;0,DATE(YEAR('State and Local Taxes'!B192), MONTH('State and Local Taxes'!B192)-2, 1), ""), "mm/dd/yyyy")</f>
        <v/>
      </c>
      <c r="B178" s="23" t="str">
        <f>IF(ISNUMBER('State and Local Taxes'!I192),TEXT('State and Local Taxes'!I192, "0.000"), "")</f>
        <v/>
      </c>
    </row>
    <row r="179" spans="1:2">
      <c r="A179" s="23" t="str">
        <f>TEXT(IF('State and Local Taxes'!B193&lt;&gt;0,DATE(YEAR('State and Local Taxes'!B193), MONTH('State and Local Taxes'!B193)-2, 1), ""), "mm/dd/yyyy")</f>
        <v/>
      </c>
      <c r="B179" s="23" t="str">
        <f>IF(ISNUMBER('State and Local Taxes'!I193),TEXT('State and Local Taxes'!I193, "0.000"), "")</f>
        <v/>
      </c>
    </row>
    <row r="180" spans="1:2">
      <c r="A180" s="23" t="str">
        <f>TEXT(IF('State and Local Taxes'!B194&lt;&gt;0,DATE(YEAR('State and Local Taxes'!B194), MONTH('State and Local Taxes'!B194)-2, 1), ""), "mm/dd/yyyy")</f>
        <v/>
      </c>
      <c r="B180" s="23" t="str">
        <f>IF(ISNUMBER('State and Local Taxes'!I194),TEXT('State and Local Taxes'!I194, "0.000"), "")</f>
        <v/>
      </c>
    </row>
    <row r="181" spans="1:2">
      <c r="A181" s="23" t="str">
        <f>TEXT(IF('State and Local Taxes'!B195&lt;&gt;0,DATE(YEAR('State and Local Taxes'!B195), MONTH('State and Local Taxes'!B195)-2, 1), ""), "mm/dd/yyyy")</f>
        <v/>
      </c>
      <c r="B181" s="23" t="str">
        <f>IF(ISNUMBER('State and Local Taxes'!I195),TEXT('State and Local Taxes'!I195, "0.000"), "")</f>
        <v/>
      </c>
    </row>
    <row r="182" spans="1:2">
      <c r="A182" s="23" t="str">
        <f>TEXT(IF('State and Local Taxes'!B196&lt;&gt;0,DATE(YEAR('State and Local Taxes'!B196), MONTH('State and Local Taxes'!B196)-2, 1), ""), "mm/dd/yyyy")</f>
        <v/>
      </c>
      <c r="B182" s="23" t="str">
        <f>IF(ISNUMBER('State and Local Taxes'!I196),TEXT('State and Local Taxes'!I196, "0.000"), "")</f>
        <v/>
      </c>
    </row>
    <row r="183" spans="1:2">
      <c r="A183" s="23" t="str">
        <f>TEXT(IF('State and Local Taxes'!B197&lt;&gt;0,DATE(YEAR('State and Local Taxes'!B197), MONTH('State and Local Taxes'!B197)-2, 1), ""), "mm/dd/yyyy")</f>
        <v/>
      </c>
      <c r="B183" s="23" t="str">
        <f>IF(ISNUMBER('State and Local Taxes'!I197),TEXT('State and Local Taxes'!I197, "0.000"), "")</f>
        <v/>
      </c>
    </row>
    <row r="184" spans="1:2">
      <c r="A184" s="23" t="str">
        <f>TEXT(IF('State and Local Taxes'!B198&lt;&gt;0,DATE(YEAR('State and Local Taxes'!B198), MONTH('State and Local Taxes'!B198)-2, 1), ""), "mm/dd/yyyy")</f>
        <v/>
      </c>
      <c r="B184" s="23" t="str">
        <f>IF(ISNUMBER('State and Local Taxes'!I198),TEXT('State and Local Taxes'!I198, "0.000"), "")</f>
        <v/>
      </c>
    </row>
    <row r="185" spans="1:2">
      <c r="A185" s="23" t="str">
        <f>TEXT(IF('State and Local Taxes'!B199&lt;&gt;0,DATE(YEAR('State and Local Taxes'!B199), MONTH('State and Local Taxes'!B199)-2, 1), ""), "mm/dd/yyyy")</f>
        <v/>
      </c>
      <c r="B185" s="23" t="str">
        <f>IF(ISNUMBER('State and Local Taxes'!I199),TEXT('State and Local Taxes'!I199, "0.000"), "")</f>
        <v/>
      </c>
    </row>
    <row r="186" spans="1:2">
      <c r="A186" s="23" t="str">
        <f>TEXT(IF('State and Local Taxes'!B200&lt;&gt;0,DATE(YEAR('State and Local Taxes'!B200), MONTH('State and Local Taxes'!B200)-2, 1), ""), "mm/dd/yyyy")</f>
        <v/>
      </c>
      <c r="B186" s="23" t="str">
        <f>IF(ISNUMBER('State and Local Taxes'!I200),TEXT('State and Local Taxes'!I200, "0.000"), "")</f>
        <v/>
      </c>
    </row>
    <row r="187" spans="1:2">
      <c r="A187" s="23" t="str">
        <f>TEXT(IF('State and Local Taxes'!B201&lt;&gt;0,DATE(YEAR('State and Local Taxes'!B201), MONTH('State and Local Taxes'!B201)-2, 1), ""), "mm/dd/yyyy")</f>
        <v/>
      </c>
      <c r="B187" s="23" t="str">
        <f>IF(ISNUMBER('State and Local Taxes'!I201),TEXT('State and Local Taxes'!I201, "0.000"), "")</f>
        <v/>
      </c>
    </row>
    <row r="188" spans="1:2">
      <c r="A188" s="23" t="str">
        <f>TEXT(IF('State and Local Taxes'!B202&lt;&gt;0,DATE(YEAR('State and Local Taxes'!B202), MONTH('State and Local Taxes'!B202)-2, 1), ""), "mm/dd/yyyy")</f>
        <v/>
      </c>
      <c r="B188" s="23" t="str">
        <f>IF(ISNUMBER('State and Local Taxes'!I202),TEXT('State and Local Taxes'!I202, "0.000"), "")</f>
        <v/>
      </c>
    </row>
    <row r="189" spans="1:2">
      <c r="A189" s="23" t="str">
        <f>TEXT(IF('State and Local Taxes'!B203&lt;&gt;0,DATE(YEAR('State and Local Taxes'!B203), MONTH('State and Local Taxes'!B203)-2, 1), ""), "mm/dd/yyyy")</f>
        <v/>
      </c>
      <c r="B189" s="23" t="str">
        <f>IF(ISNUMBER('State and Local Taxes'!I203),TEXT('State and Local Taxes'!I203, "0.000"), "")</f>
        <v/>
      </c>
    </row>
    <row r="190" spans="1:2">
      <c r="A190" s="23" t="str">
        <f>TEXT(IF('State and Local Taxes'!B204&lt;&gt;0,DATE(YEAR('State and Local Taxes'!B204), MONTH('State and Local Taxes'!B204)-2, 1), ""), "mm/dd/yyyy")</f>
        <v/>
      </c>
      <c r="B190" s="23" t="str">
        <f>IF(ISNUMBER('State and Local Taxes'!I204),TEXT('State and Local Taxes'!I204, "0.000"), "")</f>
        <v/>
      </c>
    </row>
    <row r="191" spans="1:2">
      <c r="A191" s="23" t="str">
        <f>TEXT(IF('State and Local Taxes'!B205&lt;&gt;0,DATE(YEAR('State and Local Taxes'!B205), MONTH('State and Local Taxes'!B205)-2, 1), ""), "mm/dd/yyyy")</f>
        <v/>
      </c>
      <c r="B191" s="23" t="str">
        <f>IF(ISNUMBER('State and Local Taxes'!I205),TEXT('State and Local Taxes'!I205, "0.000"), "")</f>
        <v/>
      </c>
    </row>
    <row r="192" spans="1:2">
      <c r="A192" s="23" t="str">
        <f>TEXT(IF('State and Local Taxes'!B206&lt;&gt;0,DATE(YEAR('State and Local Taxes'!B206), MONTH('State and Local Taxes'!B206)-2, 1), ""), "mm/dd/yyyy")</f>
        <v/>
      </c>
      <c r="B192" s="23" t="str">
        <f>IF(ISNUMBER('State and Local Taxes'!I206),TEXT('State and Local Taxes'!I206, "0.000"), "")</f>
        <v/>
      </c>
    </row>
    <row r="193" spans="1:2">
      <c r="A193" s="23" t="str">
        <f>TEXT(IF('State and Local Taxes'!B207&lt;&gt;0,DATE(YEAR('State and Local Taxes'!B207), MONTH('State and Local Taxes'!B207)-2, 1), ""), "mm/dd/yyyy")</f>
        <v/>
      </c>
      <c r="B193" s="23" t="str">
        <f>IF(ISNUMBER('State and Local Taxes'!I207),TEXT('State and Local Taxes'!I207, "0.000"), "")</f>
        <v/>
      </c>
    </row>
    <row r="194" spans="1:2">
      <c r="A194" s="23" t="str">
        <f>TEXT(IF('State and Local Taxes'!B208&lt;&gt;0,DATE(YEAR('State and Local Taxes'!B208), MONTH('State and Local Taxes'!B208)-2, 1), ""), "mm/dd/yyyy")</f>
        <v/>
      </c>
      <c r="B194" s="23" t="str">
        <f>IF(ISNUMBER('State and Local Taxes'!I208),TEXT('State and Local Taxes'!I208, "0.000"), "")</f>
        <v/>
      </c>
    </row>
    <row r="195" spans="1:2">
      <c r="A195" s="23" t="str">
        <f>TEXT(IF('State and Local Taxes'!B209&lt;&gt;0,DATE(YEAR('State and Local Taxes'!B209), MONTH('State and Local Taxes'!B209)-2, 1), ""), "mm/dd/yyyy")</f>
        <v/>
      </c>
      <c r="B195" s="23" t="str">
        <f>IF(ISNUMBER('State and Local Taxes'!I209),TEXT('State and Local Taxes'!I209, "0.000"), "")</f>
        <v/>
      </c>
    </row>
    <row r="196" spans="1:2">
      <c r="A196" s="23" t="str">
        <f>TEXT(IF('State and Local Taxes'!B210&lt;&gt;0,DATE(YEAR('State and Local Taxes'!B210), MONTH('State and Local Taxes'!B210)-2, 1), ""), "mm/dd/yyyy")</f>
        <v/>
      </c>
      <c r="B196" s="23" t="str">
        <f>IF(ISNUMBER('State and Local Taxes'!I210),TEXT('State and Local Taxes'!I210, "0.000"), "")</f>
        <v/>
      </c>
    </row>
    <row r="197" spans="1:2">
      <c r="A197" s="23" t="str">
        <f>TEXT(IF('State and Local Taxes'!B211&lt;&gt;0,DATE(YEAR('State and Local Taxes'!B211), MONTH('State and Local Taxes'!B211)-2, 1), ""), "mm/dd/yyyy")</f>
        <v/>
      </c>
      <c r="B197" s="23" t="str">
        <f>IF(ISNUMBER('State and Local Taxes'!I211),TEXT('State and Local Taxes'!I211, "0.000"), "")</f>
        <v/>
      </c>
    </row>
    <row r="198" spans="1:2">
      <c r="A198" s="23" t="str">
        <f>TEXT(IF('State and Local Taxes'!B212&lt;&gt;0,DATE(YEAR('State and Local Taxes'!B212), MONTH('State and Local Taxes'!B212)-2, 1), ""), "mm/dd/yyyy")</f>
        <v/>
      </c>
      <c r="B198" s="23" t="str">
        <f>IF(ISNUMBER('State and Local Taxes'!I212),TEXT('State and Local Taxes'!I212, "0.000"), "")</f>
        <v/>
      </c>
    </row>
    <row r="199" spans="1:2">
      <c r="A199" s="23" t="str">
        <f>TEXT(IF('State and Local Taxes'!B213&lt;&gt;0,DATE(YEAR('State and Local Taxes'!B213), MONTH('State and Local Taxes'!B213)-2, 1), ""), "mm/dd/yyyy")</f>
        <v/>
      </c>
      <c r="B199" s="23" t="str">
        <f>IF(ISNUMBER('State and Local Taxes'!I213),TEXT('State and Local Taxes'!I213, "0.000"), "")</f>
        <v/>
      </c>
    </row>
    <row r="200" spans="1:2">
      <c r="A200" s="23" t="str">
        <f>TEXT(IF('State and Local Taxes'!B214&lt;&gt;0,DATE(YEAR('State and Local Taxes'!B214), MONTH('State and Local Taxes'!B214)-2, 1), ""), "mm/dd/yyyy")</f>
        <v/>
      </c>
      <c r="B200" s="23" t="str">
        <f>IF(ISNUMBER('State and Local Taxes'!I214),TEXT('State and Local Taxes'!I214, "0.000"), "")</f>
        <v/>
      </c>
    </row>
    <row r="201" spans="1:2">
      <c r="A201" s="23" t="str">
        <f>TEXT(IF('State and Local Taxes'!B215&lt;&gt;0,DATE(YEAR('State and Local Taxes'!B215), MONTH('State and Local Taxes'!B215)-2, 1), ""), "mm/dd/yyyy")</f>
        <v/>
      </c>
      <c r="B201" s="23" t="str">
        <f>IF(ISNUMBER('State and Local Taxes'!I215),TEXT('State and Local Taxes'!I215, "0.000"), "")</f>
        <v/>
      </c>
    </row>
    <row r="202" spans="1:2">
      <c r="A202" s="23" t="str">
        <f>TEXT(IF('State and Local Taxes'!B216&lt;&gt;0,DATE(YEAR('State and Local Taxes'!B216), MONTH('State and Local Taxes'!B216)-2, 1), ""), "mm/dd/yyyy")</f>
        <v/>
      </c>
      <c r="B202" s="23" t="str">
        <f>IF(ISNUMBER('State and Local Taxes'!I216),TEXT('State and Local Taxes'!I216, "0.000"), "")</f>
        <v/>
      </c>
    </row>
    <row r="203" spans="1:2">
      <c r="A203" s="23" t="str">
        <f>TEXT(IF('State and Local Taxes'!B217&lt;&gt;0,DATE(YEAR('State and Local Taxes'!B217), MONTH('State and Local Taxes'!B217)-2, 1), ""), "mm/dd/yyyy")</f>
        <v/>
      </c>
      <c r="B203" s="23" t="str">
        <f>IF(ISNUMBER('State and Local Taxes'!I217),TEXT('State and Local Taxes'!I217, "0.000"), "")</f>
        <v/>
      </c>
    </row>
    <row r="204" spans="1:2">
      <c r="A204" s="23" t="str">
        <f>TEXT(IF('State and Local Taxes'!B218&lt;&gt;0,DATE(YEAR('State and Local Taxes'!B218), MONTH('State and Local Taxes'!B218)-2, 1), ""), "mm/dd/yyyy")</f>
        <v/>
      </c>
      <c r="B204" s="23" t="str">
        <f>IF(ISNUMBER('State and Local Taxes'!I218),TEXT('State and Local Taxes'!I218, "0.000"), "")</f>
        <v/>
      </c>
    </row>
    <row r="205" spans="1:2">
      <c r="A205" s="23" t="str">
        <f>TEXT(IF('State and Local Taxes'!B219&lt;&gt;0,DATE(YEAR('State and Local Taxes'!B219), MONTH('State and Local Taxes'!B219)-2, 1), ""), "mm/dd/yyyy")</f>
        <v/>
      </c>
      <c r="B205" s="23" t="str">
        <f>IF(ISNUMBER('State and Local Taxes'!I219),TEXT('State and Local Taxes'!I219, "0.000"), "")</f>
        <v/>
      </c>
    </row>
    <row r="206" spans="1:2">
      <c r="A206" s="23" t="str">
        <f>TEXT(IF('State and Local Taxes'!B220&lt;&gt;0,DATE(YEAR('State and Local Taxes'!B220), MONTH('State and Local Taxes'!B220)-2, 1), ""), "mm/dd/yyyy")</f>
        <v/>
      </c>
      <c r="B206" s="23" t="str">
        <f>IF(ISNUMBER('State and Local Taxes'!I220),TEXT('State and Local Taxes'!I220, "0.000"), "")</f>
        <v/>
      </c>
    </row>
    <row r="207" spans="1:2">
      <c r="A207" s="23" t="str">
        <f>TEXT(IF('State and Local Taxes'!B221&lt;&gt;0,DATE(YEAR('State and Local Taxes'!B221), MONTH('State and Local Taxes'!B221)-2, 1), ""), "mm/dd/yyyy")</f>
        <v/>
      </c>
      <c r="B207" s="23" t="str">
        <f>IF(ISNUMBER('State and Local Taxes'!I221),TEXT('State and Local Taxes'!I221, "0.000"), "")</f>
        <v/>
      </c>
    </row>
    <row r="208" spans="1:2">
      <c r="A208" s="23" t="str">
        <f>TEXT(IF('State and Local Taxes'!B222&lt;&gt;0,DATE(YEAR('State and Local Taxes'!B222), MONTH('State and Local Taxes'!B222)-2, 1), ""), "mm/dd/yyyy")</f>
        <v/>
      </c>
      <c r="B208" s="23" t="str">
        <f>IF(ISNUMBER('State and Local Taxes'!I222),TEXT('State and Local Taxes'!I222, "0.000"), "")</f>
        <v/>
      </c>
    </row>
    <row r="209" spans="1:2">
      <c r="A209" s="23" t="str">
        <f>TEXT(IF('State and Local Taxes'!B223&lt;&gt;0,DATE(YEAR('State and Local Taxes'!B223), MONTH('State and Local Taxes'!B223)-2, 1), ""), "mm/dd/yyyy")</f>
        <v/>
      </c>
      <c r="B209" s="23" t="str">
        <f>IF(ISNUMBER('State and Local Taxes'!I223),TEXT('State and Local Taxes'!I223, "0.000"), "")</f>
        <v/>
      </c>
    </row>
    <row r="210" spans="1:2">
      <c r="A210" s="23" t="str">
        <f>TEXT(IF('State and Local Taxes'!B224&lt;&gt;0,DATE(YEAR('State and Local Taxes'!B224), MONTH('State and Local Taxes'!B224)-2, 1), ""), "mm/dd/yyyy")</f>
        <v/>
      </c>
      <c r="B210" s="23" t="str">
        <f>IF(ISNUMBER('State and Local Taxes'!I224),TEXT('State and Local Taxes'!I224, "0.000"), "")</f>
        <v/>
      </c>
    </row>
    <row r="211" spans="1:2">
      <c r="A211" s="23" t="str">
        <f>TEXT(IF('State and Local Taxes'!B225&lt;&gt;0,DATE(YEAR('State and Local Taxes'!B225), MONTH('State and Local Taxes'!B225)-2, 1), ""), "mm/dd/yyyy")</f>
        <v/>
      </c>
      <c r="B211" s="23" t="str">
        <f>IF(ISNUMBER('State and Local Taxes'!I225),TEXT('State and Local Taxes'!I225, "0.000"), "")</f>
        <v/>
      </c>
    </row>
    <row r="212" spans="1:2">
      <c r="A212" s="23" t="str">
        <f>TEXT(IF('State and Local Taxes'!B226&lt;&gt;0,DATE(YEAR('State and Local Taxes'!B226), MONTH('State and Local Taxes'!B226)-2, 1), ""), "mm/dd/yyyy")</f>
        <v/>
      </c>
      <c r="B212" s="23" t="str">
        <f>IF(ISNUMBER('State and Local Taxes'!I226),TEXT('State and Local Taxes'!I226, "0.000"), "")</f>
        <v/>
      </c>
    </row>
    <row r="213" spans="1:2">
      <c r="A213" s="23" t="str">
        <f>TEXT(IF('State and Local Taxes'!B227&lt;&gt;0,DATE(YEAR('State and Local Taxes'!B227), MONTH('State and Local Taxes'!B227)-2, 1), ""), "mm/dd/yyyy")</f>
        <v/>
      </c>
      <c r="B213" s="23" t="str">
        <f>IF(ISNUMBER('State and Local Taxes'!I227),TEXT('State and Local Taxes'!I227, "0.000"), "")</f>
        <v/>
      </c>
    </row>
    <row r="214" spans="1:2">
      <c r="A214" s="23" t="str">
        <f>TEXT(IF('State and Local Taxes'!B228&lt;&gt;0,DATE(YEAR('State and Local Taxes'!B228), MONTH('State and Local Taxes'!B228)-2, 1), ""), "mm/dd/yyyy")</f>
        <v/>
      </c>
      <c r="B214" s="23" t="str">
        <f>IF(ISNUMBER('State and Local Taxes'!I228),TEXT('State and Local Taxes'!I228, "0.000"), "")</f>
        <v/>
      </c>
    </row>
    <row r="215" spans="1:2">
      <c r="A215" s="23" t="str">
        <f>TEXT(IF('State and Local Taxes'!B229&lt;&gt;0,DATE(YEAR('State and Local Taxes'!B229), MONTH('State and Local Taxes'!B229)-2, 1), ""), "mm/dd/yyyy")</f>
        <v/>
      </c>
      <c r="B215" s="23" t="str">
        <f>IF(ISNUMBER('State and Local Taxes'!I229),TEXT('State and Local Taxes'!I229, "0.000"), "")</f>
        <v/>
      </c>
    </row>
    <row r="216" spans="1:2">
      <c r="A216" s="23" t="str">
        <f>TEXT(IF('State and Local Taxes'!B230&lt;&gt;0,DATE(YEAR('State and Local Taxes'!B230), MONTH('State and Local Taxes'!B230)-2, 1), ""), "mm/dd/yyyy")</f>
        <v/>
      </c>
      <c r="B216" s="23" t="str">
        <f>IF(ISNUMBER('State and Local Taxes'!I230),TEXT('State and Local Taxes'!I230, "0.000"), "")</f>
        <v/>
      </c>
    </row>
    <row r="217" spans="1:2">
      <c r="A217" s="23" t="str">
        <f>TEXT(IF('State and Local Taxes'!B231&lt;&gt;0,DATE(YEAR('State and Local Taxes'!B231), MONTH('State and Local Taxes'!B231)-2, 1), ""), "mm/dd/yyyy")</f>
        <v/>
      </c>
      <c r="B217" s="23" t="str">
        <f>IF(ISNUMBER('State and Local Taxes'!I231),TEXT('State and Local Taxes'!I231, "0.000"), "")</f>
        <v/>
      </c>
    </row>
    <row r="218" spans="1:2">
      <c r="A218" s="23" t="str">
        <f>TEXT(IF('State and Local Taxes'!B232&lt;&gt;0,DATE(YEAR('State and Local Taxes'!B232), MONTH('State and Local Taxes'!B232)-2, 1), ""), "mm/dd/yyyy")</f>
        <v/>
      </c>
      <c r="B218" s="23" t="str">
        <f>IF(ISNUMBER('State and Local Taxes'!I232),TEXT('State and Local Taxes'!I232, "0.000"), "")</f>
        <v/>
      </c>
    </row>
    <row r="219" spans="1:2">
      <c r="A219" s="23" t="str">
        <f>TEXT(IF('State and Local Taxes'!B233&lt;&gt;0,DATE(YEAR('State and Local Taxes'!B233), MONTH('State and Local Taxes'!B233)-2, 1), ""), "mm/dd/yyyy")</f>
        <v/>
      </c>
      <c r="B219" s="23" t="str">
        <f>IF(ISNUMBER('State and Local Taxes'!I233),TEXT('State and Local Taxes'!I233, "0.000"), "")</f>
        <v/>
      </c>
    </row>
    <row r="220" spans="1:2">
      <c r="A220" s="23" t="str">
        <f>TEXT(IF('State and Local Taxes'!B234&lt;&gt;0,DATE(YEAR('State and Local Taxes'!B234), MONTH('State and Local Taxes'!B234)-2, 1), ""), "mm/dd/yyyy")</f>
        <v/>
      </c>
      <c r="B220" s="23" t="str">
        <f>IF(ISNUMBER('State and Local Taxes'!I234),TEXT('State and Local Taxes'!I234, "0.000"), "")</f>
        <v/>
      </c>
    </row>
    <row r="221" spans="1:2">
      <c r="A221" s="23" t="str">
        <f>TEXT(IF('State and Local Taxes'!B235&lt;&gt;0,DATE(YEAR('State and Local Taxes'!B235), MONTH('State and Local Taxes'!B235)-2, 1), ""), "mm/dd/yyyy")</f>
        <v/>
      </c>
      <c r="B221" s="23" t="str">
        <f>IF(ISNUMBER('State and Local Taxes'!I235),TEXT('State and Local Taxes'!I235, "0.000"), "")</f>
        <v/>
      </c>
    </row>
    <row r="222" spans="1:2">
      <c r="A222" s="23" t="str">
        <f>TEXT(IF('State and Local Taxes'!B236&lt;&gt;0,DATE(YEAR('State and Local Taxes'!B236), MONTH('State and Local Taxes'!B236)-2, 1), ""), "mm/dd/yyyy")</f>
        <v/>
      </c>
      <c r="B222" s="23" t="str">
        <f>IF(ISNUMBER('State and Local Taxes'!I236),TEXT('State and Local Taxes'!I236, "0.000"), "")</f>
        <v/>
      </c>
    </row>
    <row r="223" spans="1:2">
      <c r="A223" s="23" t="str">
        <f>TEXT(IF('State and Local Taxes'!B237&lt;&gt;0,DATE(YEAR('State and Local Taxes'!B237), MONTH('State and Local Taxes'!B237)-2, 1), ""), "mm/dd/yyyy")</f>
        <v/>
      </c>
      <c r="B223" s="23" t="str">
        <f>IF(ISNUMBER('State and Local Taxes'!I237),TEXT('State and Local Taxes'!I237, "0.000"), "")</f>
        <v/>
      </c>
    </row>
    <row r="224" spans="1:2">
      <c r="A224" s="23" t="str">
        <f>TEXT(IF('State and Local Taxes'!B238&lt;&gt;0,DATE(YEAR('State and Local Taxes'!B238), MONTH('State and Local Taxes'!B238)-2, 1), ""), "mm/dd/yyyy")</f>
        <v/>
      </c>
      <c r="B224" s="23" t="str">
        <f>IF(ISNUMBER('State and Local Taxes'!I238),TEXT('State and Local Taxes'!I238, "0.000"), "")</f>
        <v/>
      </c>
    </row>
    <row r="225" spans="1:2">
      <c r="A225" s="23" t="str">
        <f>TEXT(IF('State and Local Taxes'!B239&lt;&gt;0,DATE(YEAR('State and Local Taxes'!B239), MONTH('State and Local Taxes'!B239)-2, 1), ""), "mm/dd/yyyy")</f>
        <v/>
      </c>
      <c r="B225" s="23" t="str">
        <f>IF(ISNUMBER('State and Local Taxes'!I239),TEXT('State and Local Taxes'!I239, "0.000"), 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E843"/>
  <sheetViews>
    <sheetView topLeftCell="A25" workbookViewId="0">
      <selection activeCell="A2" sqref="A2:A843"/>
    </sheetView>
  </sheetViews>
  <sheetFormatPr defaultRowHeight="15"/>
  <cols>
    <col min="1" max="1" width="10.42578125" bestFit="1" customWidth="1"/>
  </cols>
  <sheetData>
    <row r="1" spans="1:5">
      <c r="A1" t="s">
        <v>143</v>
      </c>
      <c r="B1" t="s">
        <v>174</v>
      </c>
      <c r="C1" s="23" t="s">
        <v>175</v>
      </c>
      <c r="D1" t="s">
        <v>176</v>
      </c>
      <c r="E1" t="s">
        <v>177</v>
      </c>
    </row>
    <row r="2" spans="1:5" s="23" customFormat="1">
      <c r="A2" s="23" t="str">
        <f>TEXT(IF('Revenues &amp; Outlays in GDP'!B8&lt;&gt;0,'Revenues &amp; Outlays in GDP'!B8-364, ""), "mm/dd/yyyy")</f>
        <v>01/01/1975</v>
      </c>
      <c r="B2" s="23" t="str">
        <f>IFERROR(IF(ISNUMBER('Revenues &amp; Outlays in GDP'!E8),TEXT('Revenues &amp; Outlays in GDP'!E8, "0.00"),""), "")</f>
        <v>17.33</v>
      </c>
      <c r="C2" s="23" t="str">
        <f>IFERROR(IF(ISNUMBER('Revenues &amp; Outlays in GDP'!C8),TEXT('Revenues &amp; Outlays in GDP'!C8, "0.00"),""), "")</f>
        <v/>
      </c>
      <c r="D2" s="23" t="str">
        <f>IFERROR(IF(ISNUMBER('Revenues &amp; Outlays in GDP'!F8),TEXT('Revenues &amp; Outlays in GDP'!F8, "0.00"),""), "")</f>
        <v>20.63</v>
      </c>
      <c r="E2" s="23" t="str">
        <f>IFERROR(IF(ISNUMBER('Revenues &amp; Outlays in GDP'!D8),TEXT('Revenues &amp; Outlays in GDP'!D8, "0.00"),""), "")</f>
        <v/>
      </c>
    </row>
    <row r="3" spans="1:5">
      <c r="A3" s="23" t="str">
        <f>TEXT(IF('Revenues &amp; Outlays in GDP'!B9&lt;&gt;0,'Revenues &amp; Outlays in GDP'!B9-364, ""), "mm/dd/yyyy")</f>
        <v>01/02/1976</v>
      </c>
      <c r="B3" s="23" t="str">
        <f>IFERROR(IF(ISNUMBER('Revenues &amp; Outlays in GDP'!E9),TEXT('Revenues &amp; Outlays in GDP'!E9, "0.00"),""), "")</f>
        <v>16.65</v>
      </c>
      <c r="C3" s="23" t="str">
        <f>IFERROR(IF(ISNUMBER('Revenues &amp; Outlays in GDP'!C9),TEXT('Revenues &amp; Outlays in GDP'!C9, "0.00"),""), "")</f>
        <v/>
      </c>
      <c r="D3" s="23" t="str">
        <f>IFERROR(IF(ISNUMBER('Revenues &amp; Outlays in GDP'!F9),TEXT('Revenues &amp; Outlays in GDP'!F9, "0.00"),""), "")</f>
        <v>20.77</v>
      </c>
      <c r="E3" s="23" t="str">
        <f>IFERROR(IF(ISNUMBER('Revenues &amp; Outlays in GDP'!D9),TEXT('Revenues &amp; Outlays in GDP'!D9, "0.00"),""), "")</f>
        <v/>
      </c>
    </row>
    <row r="4" spans="1:5">
      <c r="A4" s="23" t="str">
        <f>TEXT(IF('Revenues &amp; Outlays in GDP'!B10&lt;&gt;0,'Revenues &amp; Outlays in GDP'!B10-364, ""), "mm/dd/yyyy")</f>
        <v>01/01/1977</v>
      </c>
      <c r="B4" s="23" t="str">
        <f>IFERROR(IF(ISNUMBER('Revenues &amp; Outlays in GDP'!E10),TEXT('Revenues &amp; Outlays in GDP'!E10, "0.00"),""), "")</f>
        <v>17.53</v>
      </c>
      <c r="C4" s="23" t="str">
        <f>IFERROR(IF(ISNUMBER('Revenues &amp; Outlays in GDP'!C10),TEXT('Revenues &amp; Outlays in GDP'!C10, "0.00"),""), "")</f>
        <v/>
      </c>
      <c r="D4" s="23" t="str">
        <f>IFERROR(IF(ISNUMBER('Revenues &amp; Outlays in GDP'!F10),TEXT('Revenues &amp; Outlays in GDP'!F10, "0.00"),""), "")</f>
        <v>20.18</v>
      </c>
      <c r="E4" s="23" t="str">
        <f>IFERROR(IF(ISNUMBER('Revenues &amp; Outlays in GDP'!D10),TEXT('Revenues &amp; Outlays in GDP'!D10, "0.00"),""), "")</f>
        <v/>
      </c>
    </row>
    <row r="5" spans="1:5">
      <c r="A5" s="23" t="str">
        <f>TEXT(IF('Revenues &amp; Outlays in GDP'!B11&lt;&gt;0,'Revenues &amp; Outlays in GDP'!B11-364, ""), "mm/dd/yyyy")</f>
        <v>01/01/1978</v>
      </c>
      <c r="B5" s="23" t="str">
        <f>IFERROR(IF(ISNUMBER('Revenues &amp; Outlays in GDP'!E11),TEXT('Revenues &amp; Outlays in GDP'!E11, "0.00"),""), "")</f>
        <v>17.54</v>
      </c>
      <c r="C5" s="23" t="str">
        <f>IFERROR(IF(ISNUMBER('Revenues &amp; Outlays in GDP'!C11),TEXT('Revenues &amp; Outlays in GDP'!C11, "0.00"),""), "")</f>
        <v/>
      </c>
      <c r="D5" s="23" t="str">
        <f>IFERROR(IF(ISNUMBER('Revenues &amp; Outlays in GDP'!F11),TEXT('Revenues &amp; Outlays in GDP'!F11, "0.00"),""), "")</f>
        <v>20.14</v>
      </c>
      <c r="E5" s="23" t="str">
        <f>IFERROR(IF(ISNUMBER('Revenues &amp; Outlays in GDP'!D11),TEXT('Revenues &amp; Outlays in GDP'!D11, "0.00"),""), "")</f>
        <v/>
      </c>
    </row>
    <row r="6" spans="1:5">
      <c r="A6" s="23" t="str">
        <f>TEXT(IF('Revenues &amp; Outlays in GDP'!B12&lt;&gt;0,'Revenues &amp; Outlays in GDP'!B12-364, ""), "mm/dd/yyyy")</f>
        <v>01/01/1979</v>
      </c>
      <c r="B6" s="23" t="str">
        <f>IFERROR(IF(ISNUMBER('Revenues &amp; Outlays in GDP'!E12),TEXT('Revenues &amp; Outlays in GDP'!E12, "0.00"),""), "")</f>
        <v>18.03</v>
      </c>
      <c r="C6" s="23" t="str">
        <f>IFERROR(IF(ISNUMBER('Revenues &amp; Outlays in GDP'!C12),TEXT('Revenues &amp; Outlays in GDP'!C12, "0.00"),""), "")</f>
        <v/>
      </c>
      <c r="D6" s="23" t="str">
        <f>IFERROR(IF(ISNUMBER('Revenues &amp; Outlays in GDP'!F12),TEXT('Revenues &amp; Outlays in GDP'!F12, "0.00"),""), "")</f>
        <v>19.61</v>
      </c>
      <c r="E6" s="23" t="str">
        <f>IFERROR(IF(ISNUMBER('Revenues &amp; Outlays in GDP'!D12),TEXT('Revenues &amp; Outlays in GDP'!D12, "0.00"),""), "")</f>
        <v/>
      </c>
    </row>
    <row r="7" spans="1:5">
      <c r="A7" s="23" t="str">
        <f>TEXT(IF('Revenues &amp; Outlays in GDP'!B13&lt;&gt;0,'Revenues &amp; Outlays in GDP'!B13-364, ""), "mm/dd/yyyy")</f>
        <v>01/02/1980</v>
      </c>
      <c r="B7" s="23" t="str">
        <f>IFERROR(IF(ISNUMBER('Revenues &amp; Outlays in GDP'!E13),TEXT('Revenues &amp; Outlays in GDP'!E13, "0.00"),""), "")</f>
        <v>18.49</v>
      </c>
      <c r="C7" s="23" t="str">
        <f>IFERROR(IF(ISNUMBER('Revenues &amp; Outlays in GDP'!C13),TEXT('Revenues &amp; Outlays in GDP'!C13, "0.00"),""), "")</f>
        <v/>
      </c>
      <c r="D7" s="23" t="str">
        <f>IFERROR(IF(ISNUMBER('Revenues &amp; Outlays in GDP'!F13),TEXT('Revenues &amp; Outlays in GDP'!F13, "0.00"),""), "")</f>
        <v>21.13</v>
      </c>
      <c r="E7" s="23" t="str">
        <f>IFERROR(IF(ISNUMBER('Revenues &amp; Outlays in GDP'!D13),TEXT('Revenues &amp; Outlays in GDP'!D13, "0.00"),""), "")</f>
        <v/>
      </c>
    </row>
    <row r="8" spans="1:5">
      <c r="A8" s="23" t="str">
        <f>TEXT(IF('Revenues &amp; Outlays in GDP'!B14&lt;&gt;0,'Revenues &amp; Outlays in GDP'!B14-364, ""), "mm/dd/yyyy")</f>
        <v>01/01/1981</v>
      </c>
      <c r="B8" s="23" t="str">
        <f>IFERROR(IF(ISNUMBER('Revenues &amp; Outlays in GDP'!E14),TEXT('Revenues &amp; Outlays in GDP'!E14, "0.00"),""), "")</f>
        <v>19.10</v>
      </c>
      <c r="C8" s="23" t="str">
        <f>IFERROR(IF(ISNUMBER('Revenues &amp; Outlays in GDP'!C14),TEXT('Revenues &amp; Outlays in GDP'!C14, "0.00"),""), "")</f>
        <v/>
      </c>
      <c r="D8" s="23" t="str">
        <f>IFERROR(IF(ISNUMBER('Revenues &amp; Outlays in GDP'!F14),TEXT('Revenues &amp; Outlays in GDP'!F14, "0.00"),""), "")</f>
        <v>21.61</v>
      </c>
      <c r="E8" s="23" t="str">
        <f>IFERROR(IF(ISNUMBER('Revenues &amp; Outlays in GDP'!D14),TEXT('Revenues &amp; Outlays in GDP'!D14, "0.00"),""), "")</f>
        <v/>
      </c>
    </row>
    <row r="9" spans="1:5">
      <c r="A9" s="23" t="str">
        <f>TEXT(IF('Revenues &amp; Outlays in GDP'!B15&lt;&gt;0,'Revenues &amp; Outlays in GDP'!B15-364, ""), "mm/dd/yyyy")</f>
        <v>01/01/1982</v>
      </c>
      <c r="B9" s="23" t="str">
        <f>IFERROR(IF(ISNUMBER('Revenues &amp; Outlays in GDP'!E15),TEXT('Revenues &amp; Outlays in GDP'!E15, "0.00"),""), "")</f>
        <v>18.64</v>
      </c>
      <c r="C9" s="23" t="str">
        <f>IFERROR(IF(ISNUMBER('Revenues &amp; Outlays in GDP'!C15),TEXT('Revenues &amp; Outlays in GDP'!C15, "0.00"),""), "")</f>
        <v/>
      </c>
      <c r="D9" s="23" t="str">
        <f>IFERROR(IF(ISNUMBER('Revenues &amp; Outlays in GDP'!F15),TEXT('Revenues &amp; Outlays in GDP'!F15, "0.00"),""), "")</f>
        <v>22.50</v>
      </c>
      <c r="E9" s="23" t="str">
        <f>IFERROR(IF(ISNUMBER('Revenues &amp; Outlays in GDP'!D15),TEXT('Revenues &amp; Outlays in GDP'!D15, "0.00"),""), "")</f>
        <v/>
      </c>
    </row>
    <row r="10" spans="1:5">
      <c r="A10" s="23" t="str">
        <f>TEXT(IF('Revenues &amp; Outlays in GDP'!B16&lt;&gt;0,'Revenues &amp; Outlays in GDP'!B16-364, ""), "mm/dd/yyyy")</f>
        <v>01/01/1983</v>
      </c>
      <c r="B10" s="23" t="str">
        <f>IFERROR(IF(ISNUMBER('Revenues &amp; Outlays in GDP'!E16),TEXT('Revenues &amp; Outlays in GDP'!E16, "0.00"),""), "")</f>
        <v>16.96</v>
      </c>
      <c r="C10" s="23" t="str">
        <f>IFERROR(IF(ISNUMBER('Revenues &amp; Outlays in GDP'!C16),TEXT('Revenues &amp; Outlays in GDP'!C16, "0.00"),""), "")</f>
        <v/>
      </c>
      <c r="D10" s="23" t="str">
        <f>IFERROR(IF(ISNUMBER('Revenues &amp; Outlays in GDP'!F16),TEXT('Revenues &amp; Outlays in GDP'!F16, "0.00"),""), "")</f>
        <v>22.83</v>
      </c>
      <c r="E10" s="23" t="str">
        <f>IFERROR(IF(ISNUMBER('Revenues &amp; Outlays in GDP'!D16),TEXT('Revenues &amp; Outlays in GDP'!D16, "0.00"),""), "")</f>
        <v/>
      </c>
    </row>
    <row r="11" spans="1:5">
      <c r="A11" s="23" t="str">
        <f>TEXT(IF('Revenues &amp; Outlays in GDP'!B17&lt;&gt;0,'Revenues &amp; Outlays in GDP'!B17-364, ""), "mm/dd/yyyy")</f>
        <v>01/02/1984</v>
      </c>
      <c r="B11" s="23" t="str">
        <f>IFERROR(IF(ISNUMBER('Revenues &amp; Outlays in GDP'!E17),TEXT('Revenues &amp; Outlays in GDP'!E17, "0.00"),""), "")</f>
        <v>16.86</v>
      </c>
      <c r="C11" s="23" t="str">
        <f>IFERROR(IF(ISNUMBER('Revenues &amp; Outlays in GDP'!C17),TEXT('Revenues &amp; Outlays in GDP'!C17, "0.00"),""), "")</f>
        <v/>
      </c>
      <c r="D11" s="23" t="str">
        <f>IFERROR(IF(ISNUMBER('Revenues &amp; Outlays in GDP'!F17),TEXT('Revenues &amp; Outlays in GDP'!F17, "0.00"),""), "")</f>
        <v>21.55</v>
      </c>
      <c r="E11" s="23" t="str">
        <f>IFERROR(IF(ISNUMBER('Revenues &amp; Outlays in GDP'!D17),TEXT('Revenues &amp; Outlays in GDP'!D17, "0.00"),""), "")</f>
        <v/>
      </c>
    </row>
    <row r="12" spans="1:5">
      <c r="A12" s="23" t="str">
        <f>TEXT(IF('Revenues &amp; Outlays in GDP'!B18&lt;&gt;0,'Revenues &amp; Outlays in GDP'!B18-364, ""), "mm/dd/yyyy")</f>
        <v>01/01/1985</v>
      </c>
      <c r="B12" s="23" t="str">
        <f>IFERROR(IF(ISNUMBER('Revenues &amp; Outlays in GDP'!E18),TEXT('Revenues &amp; Outlays in GDP'!E18, "0.00"),""), "")</f>
        <v>17.19</v>
      </c>
      <c r="C12" s="23" t="str">
        <f>IFERROR(IF(ISNUMBER('Revenues &amp; Outlays in GDP'!C18),TEXT('Revenues &amp; Outlays in GDP'!C18, "0.00"),""), "")</f>
        <v/>
      </c>
      <c r="D12" s="23" t="str">
        <f>IFERROR(IF(ISNUMBER('Revenues &amp; Outlays in GDP'!F18),TEXT('Revenues &amp; Outlays in GDP'!F18, "0.00"),""), "")</f>
        <v>22.16</v>
      </c>
      <c r="E12" s="23" t="str">
        <f>IFERROR(IF(ISNUMBER('Revenues &amp; Outlays in GDP'!D18),TEXT('Revenues &amp; Outlays in GDP'!D18, "0.00"),""), "")</f>
        <v/>
      </c>
    </row>
    <row r="13" spans="1:5">
      <c r="A13" s="23" t="str">
        <f>TEXT(IF('Revenues &amp; Outlays in GDP'!B19&lt;&gt;0,'Revenues &amp; Outlays in GDP'!B19-364, ""), "mm/dd/yyyy")</f>
        <v>01/01/1986</v>
      </c>
      <c r="B13" s="23" t="str">
        <f>IFERROR(IF(ISNUMBER('Revenues &amp; Outlays in GDP'!E19),TEXT('Revenues &amp; Outlays in GDP'!E19, "0.00"),""), "")</f>
        <v>16.96</v>
      </c>
      <c r="C13" s="23" t="str">
        <f>IFERROR(IF(ISNUMBER('Revenues &amp; Outlays in GDP'!C19),TEXT('Revenues &amp; Outlays in GDP'!C19, "0.00"),""), "")</f>
        <v/>
      </c>
      <c r="D13" s="23" t="str">
        <f>IFERROR(IF(ISNUMBER('Revenues &amp; Outlays in GDP'!F19),TEXT('Revenues &amp; Outlays in GDP'!F19, "0.00"),""), "")</f>
        <v>21.83</v>
      </c>
      <c r="E13" s="23" t="str">
        <f>IFERROR(IF(ISNUMBER('Revenues &amp; Outlays in GDP'!D19),TEXT('Revenues &amp; Outlays in GDP'!D19, "0.00"),""), "")</f>
        <v/>
      </c>
    </row>
    <row r="14" spans="1:5">
      <c r="A14" s="23" t="str">
        <f>TEXT(IF('Revenues &amp; Outlays in GDP'!B20&lt;&gt;0,'Revenues &amp; Outlays in GDP'!B20-364, ""), "mm/dd/yyyy")</f>
        <v>01/01/1987</v>
      </c>
      <c r="B14" s="23" t="str">
        <f>IFERROR(IF(ISNUMBER('Revenues &amp; Outlays in GDP'!E20),TEXT('Revenues &amp; Outlays in GDP'!E20, "0.00"),""), "")</f>
        <v>17.87</v>
      </c>
      <c r="C14" s="23" t="str">
        <f>IFERROR(IF(ISNUMBER('Revenues &amp; Outlays in GDP'!C20),TEXT('Revenues &amp; Outlays in GDP'!C20, "0.00"),""), "")</f>
        <v/>
      </c>
      <c r="D14" s="23" t="str">
        <f>IFERROR(IF(ISNUMBER('Revenues &amp; Outlays in GDP'!F20),TEXT('Revenues &amp; Outlays in GDP'!F20, "0.00"),""), "")</f>
        <v>21.00</v>
      </c>
      <c r="E14" s="23" t="str">
        <f>IFERROR(IF(ISNUMBER('Revenues &amp; Outlays in GDP'!D20),TEXT('Revenues &amp; Outlays in GDP'!D20, "0.00"),""), "")</f>
        <v/>
      </c>
    </row>
    <row r="15" spans="1:5">
      <c r="A15" s="23" t="str">
        <f>TEXT(IF('Revenues &amp; Outlays in GDP'!B21&lt;&gt;0,'Revenues &amp; Outlays in GDP'!B21-364, ""), "mm/dd/yyyy")</f>
        <v>01/02/1988</v>
      </c>
      <c r="B15" s="23" t="str">
        <f>IFERROR(IF(ISNUMBER('Revenues &amp; Outlays in GDP'!E21),TEXT('Revenues &amp; Outlays in GDP'!E21, "0.00"),""), "")</f>
        <v>17.64</v>
      </c>
      <c r="C15" s="23" t="str">
        <f>IFERROR(IF(ISNUMBER('Revenues &amp; Outlays in GDP'!C21),TEXT('Revenues &amp; Outlays in GDP'!C21, "0.00"),""), "")</f>
        <v/>
      </c>
      <c r="D15" s="23" t="str">
        <f>IFERROR(IF(ISNUMBER('Revenues &amp; Outlays in GDP'!F21),TEXT('Revenues &amp; Outlays in GDP'!F21, "0.00"),""), "")</f>
        <v>20.65</v>
      </c>
      <c r="E15" s="23" t="str">
        <f>IFERROR(IF(ISNUMBER('Revenues &amp; Outlays in GDP'!D21),TEXT('Revenues &amp; Outlays in GDP'!D21, "0.00"),""), "")</f>
        <v/>
      </c>
    </row>
    <row r="16" spans="1:5">
      <c r="A16" s="23" t="str">
        <f>TEXT(IF('Revenues &amp; Outlays in GDP'!B22&lt;&gt;0,'Revenues &amp; Outlays in GDP'!B22-364, ""), "mm/dd/yyyy")</f>
        <v>01/01/1989</v>
      </c>
      <c r="B16" s="23" t="str">
        <f>IFERROR(IF(ISNUMBER('Revenues &amp; Outlays in GDP'!E22),TEXT('Revenues &amp; Outlays in GDP'!E22, "0.00"),""), "")</f>
        <v>17.79</v>
      </c>
      <c r="C16" s="23" t="str">
        <f>IFERROR(IF(ISNUMBER('Revenues &amp; Outlays in GDP'!C22),TEXT('Revenues &amp; Outlays in GDP'!C22, "0.00"),""), "")</f>
        <v/>
      </c>
      <c r="D16" s="23" t="str">
        <f>IFERROR(IF(ISNUMBER('Revenues &amp; Outlays in GDP'!F22),TEXT('Revenues &amp; Outlays in GDP'!F22, "0.00"),""), "")</f>
        <v>20.53</v>
      </c>
      <c r="E16" s="23" t="str">
        <f>IFERROR(IF(ISNUMBER('Revenues &amp; Outlays in GDP'!D22),TEXT('Revenues &amp; Outlays in GDP'!D22, "0.00"),""), "")</f>
        <v/>
      </c>
    </row>
    <row r="17" spans="1:5">
      <c r="A17" s="23" t="str">
        <f>TEXT(IF('Revenues &amp; Outlays in GDP'!B23&lt;&gt;0,'Revenues &amp; Outlays in GDP'!B23-364, ""), "mm/dd/yyyy")</f>
        <v>01/01/1990</v>
      </c>
      <c r="B17" s="23" t="str">
        <f>IFERROR(IF(ISNUMBER('Revenues &amp; Outlays in GDP'!E23),TEXT('Revenues &amp; Outlays in GDP'!E23, "0.00"),""), "")</f>
        <v>17.45</v>
      </c>
      <c r="C17" s="23" t="str">
        <f>IFERROR(IF(ISNUMBER('Revenues &amp; Outlays in GDP'!C23),TEXT('Revenues &amp; Outlays in GDP'!C23, "0.00"),""), "")</f>
        <v/>
      </c>
      <c r="D17" s="23" t="str">
        <f>IFERROR(IF(ISNUMBER('Revenues &amp; Outlays in GDP'!F23),TEXT('Revenues &amp; Outlays in GDP'!F23, "0.00"),""), "")</f>
        <v>21.19</v>
      </c>
      <c r="E17" s="23" t="str">
        <f>IFERROR(IF(ISNUMBER('Revenues &amp; Outlays in GDP'!D23),TEXT('Revenues &amp; Outlays in GDP'!D23, "0.00"),""), "")</f>
        <v/>
      </c>
    </row>
    <row r="18" spans="1:5">
      <c r="A18" s="23" t="str">
        <f>TEXT(IF('Revenues &amp; Outlays in GDP'!B24&lt;&gt;0,'Revenues &amp; Outlays in GDP'!B24-364, ""), "mm/dd/yyyy")</f>
        <v>01/01/1991</v>
      </c>
      <c r="B18" s="23" t="str">
        <f>IFERROR(IF(ISNUMBER('Revenues &amp; Outlays in GDP'!E24),TEXT('Revenues &amp; Outlays in GDP'!E24, "0.00"),""), "")</f>
        <v>17.27</v>
      </c>
      <c r="C18" s="23" t="str">
        <f>IFERROR(IF(ISNUMBER('Revenues &amp; Outlays in GDP'!C24),TEXT('Revenues &amp; Outlays in GDP'!C24, "0.00"),""), "")</f>
        <v/>
      </c>
      <c r="D18" s="23" t="str">
        <f>IFERROR(IF(ISNUMBER('Revenues &amp; Outlays in GDP'!F24),TEXT('Revenues &amp; Outlays in GDP'!F24, "0.00"),""), "")</f>
        <v>21.67</v>
      </c>
      <c r="E18" s="23" t="str">
        <f>IFERROR(IF(ISNUMBER('Revenues &amp; Outlays in GDP'!D24),TEXT('Revenues &amp; Outlays in GDP'!D24, "0.00"),""), "")</f>
        <v/>
      </c>
    </row>
    <row r="19" spans="1:5">
      <c r="A19" s="23" t="str">
        <f>TEXT(IF('Revenues &amp; Outlays in GDP'!B25&lt;&gt;0,'Revenues &amp; Outlays in GDP'!B25-364, ""), "mm/dd/yyyy")</f>
        <v>01/02/1992</v>
      </c>
      <c r="B19" s="23" t="str">
        <f>IFERROR(IF(ISNUMBER('Revenues &amp; Outlays in GDP'!E25),TEXT('Revenues &amp; Outlays in GDP'!E25, "0.00"),""), "")</f>
        <v>16.96</v>
      </c>
      <c r="C19" s="23" t="str">
        <f>IFERROR(IF(ISNUMBER('Revenues &amp; Outlays in GDP'!C25),TEXT('Revenues &amp; Outlays in GDP'!C25, "0.00"),""), "")</f>
        <v/>
      </c>
      <c r="D19" s="23" t="str">
        <f>IFERROR(IF(ISNUMBER('Revenues &amp; Outlays in GDP'!F25),TEXT('Revenues &amp; Outlays in GDP'!F25, "0.00"),""), "")</f>
        <v>21.47</v>
      </c>
      <c r="E19" s="23" t="str">
        <f>IFERROR(IF(ISNUMBER('Revenues &amp; Outlays in GDP'!D25),TEXT('Revenues &amp; Outlays in GDP'!D25, "0.00"),""), "")</f>
        <v/>
      </c>
    </row>
    <row r="20" spans="1:5">
      <c r="A20" s="23" t="str">
        <f>TEXT(IF('Revenues &amp; Outlays in GDP'!B26&lt;&gt;0,'Revenues &amp; Outlays in GDP'!B26-364, ""), "mm/dd/yyyy")</f>
        <v>01/01/1993</v>
      </c>
      <c r="B20" s="23" t="str">
        <f>IFERROR(IF(ISNUMBER('Revenues &amp; Outlays in GDP'!E26),TEXT('Revenues &amp; Outlays in GDP'!E26, "0.00"),""), "")</f>
        <v>16.99</v>
      </c>
      <c r="C20" s="23" t="str">
        <f>IFERROR(IF(ISNUMBER('Revenues &amp; Outlays in GDP'!C26),TEXT('Revenues &amp; Outlays in GDP'!C26, "0.00"),""), "")</f>
        <v/>
      </c>
      <c r="D20" s="23" t="str">
        <f>IFERROR(IF(ISNUMBER('Revenues &amp; Outlays in GDP'!F26),TEXT('Revenues &amp; Outlays in GDP'!F26, "0.00"),""), "")</f>
        <v>20.74</v>
      </c>
      <c r="E20" s="23" t="str">
        <f>IFERROR(IF(ISNUMBER('Revenues &amp; Outlays in GDP'!D26),TEXT('Revenues &amp; Outlays in GDP'!D26, "0.00"),""), "")</f>
        <v/>
      </c>
    </row>
    <row r="21" spans="1:5">
      <c r="A21" s="23" t="str">
        <f>TEXT(IF('Revenues &amp; Outlays in GDP'!B27&lt;&gt;0,'Revenues &amp; Outlays in GDP'!B27-364, ""), "mm/dd/yyyy")</f>
        <v>01/01/1994</v>
      </c>
      <c r="B21" s="23" t="str">
        <f>IFERROR(IF(ISNUMBER('Revenues &amp; Outlays in GDP'!E27),TEXT('Revenues &amp; Outlays in GDP'!E27, "0.00"),""), "")</f>
        <v>17.49</v>
      </c>
      <c r="C21" s="23" t="str">
        <f>IFERROR(IF(ISNUMBER('Revenues &amp; Outlays in GDP'!C27),TEXT('Revenues &amp; Outlays in GDP'!C27, "0.00"),""), "")</f>
        <v/>
      </c>
      <c r="D21" s="23" t="str">
        <f>IFERROR(IF(ISNUMBER('Revenues &amp; Outlays in GDP'!F27),TEXT('Revenues &amp; Outlays in GDP'!F27, "0.00"),""), "")</f>
        <v>20.31</v>
      </c>
      <c r="E21" s="23" t="str">
        <f>IFERROR(IF(ISNUMBER('Revenues &amp; Outlays in GDP'!D27),TEXT('Revenues &amp; Outlays in GDP'!D27, "0.00"),""), "")</f>
        <v/>
      </c>
    </row>
    <row r="22" spans="1:5">
      <c r="A22" s="23" t="str">
        <f>TEXT(IF('Revenues &amp; Outlays in GDP'!B28&lt;&gt;0,'Revenues &amp; Outlays in GDP'!B28-364, ""), "mm/dd/yyyy")</f>
        <v>01/01/1995</v>
      </c>
      <c r="B22" s="23" t="str">
        <f>IFERROR(IF(ISNUMBER('Revenues &amp; Outlays in GDP'!E28),TEXT('Revenues &amp; Outlays in GDP'!E28, "0.00"),""), "")</f>
        <v>17.83</v>
      </c>
      <c r="C22" s="23" t="str">
        <f>IFERROR(IF(ISNUMBER('Revenues &amp; Outlays in GDP'!C28),TEXT('Revenues &amp; Outlays in GDP'!C28, "0.00"),""), "")</f>
        <v/>
      </c>
      <c r="D22" s="23" t="str">
        <f>IFERROR(IF(ISNUMBER('Revenues &amp; Outlays in GDP'!F28),TEXT('Revenues &amp; Outlays in GDP'!F28, "0.00"),""), "")</f>
        <v>19.99</v>
      </c>
      <c r="E22" s="23" t="str">
        <f>IFERROR(IF(ISNUMBER('Revenues &amp; Outlays in GDP'!D28),TEXT('Revenues &amp; Outlays in GDP'!D28, "0.00"),""), "")</f>
        <v/>
      </c>
    </row>
    <row r="23" spans="1:5">
      <c r="A23" s="23" t="str">
        <f>TEXT(IF('Revenues &amp; Outlays in GDP'!B29&lt;&gt;0,'Revenues &amp; Outlays in GDP'!B29-364, ""), "mm/dd/yyyy")</f>
        <v>01/02/1996</v>
      </c>
      <c r="B23" s="23" t="str">
        <f>IFERROR(IF(ISNUMBER('Revenues &amp; Outlays in GDP'!E29),TEXT('Revenues &amp; Outlays in GDP'!E29, "0.00"),""), "")</f>
        <v>18.21</v>
      </c>
      <c r="C23" s="23" t="str">
        <f>IFERROR(IF(ISNUMBER('Revenues &amp; Outlays in GDP'!C29),TEXT('Revenues &amp; Outlays in GDP'!C29, "0.00"),""), "")</f>
        <v/>
      </c>
      <c r="D23" s="23" t="str">
        <f>IFERROR(IF(ISNUMBER('Revenues &amp; Outlays in GDP'!F29),TEXT('Revenues &amp; Outlays in GDP'!F29, "0.00"),""), "")</f>
        <v>19.56</v>
      </c>
      <c r="E23" s="23" t="str">
        <f>IFERROR(IF(ISNUMBER('Revenues &amp; Outlays in GDP'!D29),TEXT('Revenues &amp; Outlays in GDP'!D29, "0.00"),""), "")</f>
        <v/>
      </c>
    </row>
    <row r="24" spans="1:5">
      <c r="A24" s="23" t="str">
        <f>TEXT(IF('Revenues &amp; Outlays in GDP'!B30&lt;&gt;0,'Revenues &amp; Outlays in GDP'!B30-364, ""), "mm/dd/yyyy")</f>
        <v>01/01/1997</v>
      </c>
      <c r="B24" s="23" t="str">
        <f>IFERROR(IF(ISNUMBER('Revenues &amp; Outlays in GDP'!E30),TEXT('Revenues &amp; Outlays in GDP'!E30, "0.00"),""), "")</f>
        <v>18.62</v>
      </c>
      <c r="C24" s="23" t="str">
        <f>IFERROR(IF(ISNUMBER('Revenues &amp; Outlays in GDP'!C30),TEXT('Revenues &amp; Outlays in GDP'!C30, "0.00"),""), "")</f>
        <v/>
      </c>
      <c r="D24" s="23" t="str">
        <f>IFERROR(IF(ISNUMBER('Revenues &amp; Outlays in GDP'!F30),TEXT('Revenues &amp; Outlays in GDP'!F30, "0.00"),""), "")</f>
        <v>18.87</v>
      </c>
      <c r="E24" s="23" t="str">
        <f>IFERROR(IF(ISNUMBER('Revenues &amp; Outlays in GDP'!D30),TEXT('Revenues &amp; Outlays in GDP'!D30, "0.00"),""), "")</f>
        <v/>
      </c>
    </row>
    <row r="25" spans="1:5">
      <c r="A25" s="23" t="str">
        <f>TEXT(IF('Revenues &amp; Outlays in GDP'!B31&lt;&gt;0,'Revenues &amp; Outlays in GDP'!B31-364, ""), "mm/dd/yyyy")</f>
        <v>01/01/1998</v>
      </c>
      <c r="B25" s="23" t="str">
        <f>IFERROR(IF(ISNUMBER('Revenues &amp; Outlays in GDP'!E31),TEXT('Revenues &amp; Outlays in GDP'!E31, "0.00"),""), "")</f>
        <v>19.23</v>
      </c>
      <c r="C25" s="23" t="str">
        <f>IFERROR(IF(ISNUMBER('Revenues &amp; Outlays in GDP'!C31),TEXT('Revenues &amp; Outlays in GDP'!C31, "0.00"),""), "")</f>
        <v/>
      </c>
      <c r="D25" s="23" t="str">
        <f>IFERROR(IF(ISNUMBER('Revenues &amp; Outlays in GDP'!F31),TEXT('Revenues &amp; Outlays in GDP'!F31, "0.00"),""), "")</f>
        <v>18.45</v>
      </c>
      <c r="E25" s="23" t="str">
        <f>IFERROR(IF(ISNUMBER('Revenues &amp; Outlays in GDP'!D31),TEXT('Revenues &amp; Outlays in GDP'!D31, "0.00"),""), "")</f>
        <v/>
      </c>
    </row>
    <row r="26" spans="1:5">
      <c r="A26" s="23" t="str">
        <f>TEXT(IF('Revenues &amp; Outlays in GDP'!B32&lt;&gt;0,'Revenues &amp; Outlays in GDP'!B32-364, ""), "mm/dd/yyyy")</f>
        <v>01/01/1999</v>
      </c>
      <c r="B26" s="23" t="str">
        <f>IFERROR(IF(ISNUMBER('Revenues &amp; Outlays in GDP'!E32),TEXT('Revenues &amp; Outlays in GDP'!E32, "0.00"),""), "")</f>
        <v>19.21</v>
      </c>
      <c r="C26" s="23" t="str">
        <f>IFERROR(IF(ISNUMBER('Revenues &amp; Outlays in GDP'!C32),TEXT('Revenues &amp; Outlays in GDP'!C32, "0.00"),""), "")</f>
        <v/>
      </c>
      <c r="D26" s="23" t="str">
        <f>IFERROR(IF(ISNUMBER('Revenues &amp; Outlays in GDP'!F32),TEXT('Revenues &amp; Outlays in GDP'!F32, "0.00"),""), "")</f>
        <v>17.89</v>
      </c>
      <c r="E26" s="23" t="str">
        <f>IFERROR(IF(ISNUMBER('Revenues &amp; Outlays in GDP'!D32),TEXT('Revenues &amp; Outlays in GDP'!D32, "0.00"),""), "")</f>
        <v/>
      </c>
    </row>
    <row r="27" spans="1:5">
      <c r="A27" s="23" t="str">
        <f>TEXT(IF('Revenues &amp; Outlays in GDP'!B33&lt;&gt;0,'Revenues &amp; Outlays in GDP'!B33-364, ""), "mm/dd/yyyy")</f>
        <v>01/02/2000</v>
      </c>
      <c r="B27" s="23" t="str">
        <f>IFERROR(IF(ISNUMBER('Revenues &amp; Outlays in GDP'!E33),TEXT('Revenues &amp; Outlays in GDP'!E33, "0.00"),""), "")</f>
        <v>19.95</v>
      </c>
      <c r="C27" s="23" t="str">
        <f>IFERROR(IF(ISNUMBER('Revenues &amp; Outlays in GDP'!C33),TEXT('Revenues &amp; Outlays in GDP'!C33, "0.00"),""), "")</f>
        <v/>
      </c>
      <c r="D27" s="23" t="str">
        <f>IFERROR(IF(ISNUMBER('Revenues &amp; Outlays in GDP'!F33),TEXT('Revenues &amp; Outlays in GDP'!F33, "0.00"),""), "")</f>
        <v>17.62</v>
      </c>
      <c r="E27" s="23" t="str">
        <f>IFERROR(IF(ISNUMBER('Revenues &amp; Outlays in GDP'!D33),TEXT('Revenues &amp; Outlays in GDP'!D33, "0.00"),""), "")</f>
        <v/>
      </c>
    </row>
    <row r="28" spans="1:5">
      <c r="A28" s="23" t="str">
        <f>TEXT(IF('Revenues &amp; Outlays in GDP'!B34&lt;&gt;0,'Revenues &amp; Outlays in GDP'!B34-364, ""), "mm/dd/yyyy")</f>
        <v>01/01/2001</v>
      </c>
      <c r="B28" s="23" t="str">
        <f>IFERROR(IF(ISNUMBER('Revenues &amp; Outlays in GDP'!E34),TEXT('Revenues &amp; Outlays in GDP'!E34, "0.00"),""), "")</f>
        <v>18.84</v>
      </c>
      <c r="C28" s="23" t="str">
        <f>IFERROR(IF(ISNUMBER('Revenues &amp; Outlays in GDP'!C34),TEXT('Revenues &amp; Outlays in GDP'!C34, "0.00"),""), "")</f>
        <v/>
      </c>
      <c r="D28" s="23" t="str">
        <f>IFERROR(IF(ISNUMBER('Revenues &amp; Outlays in GDP'!F34),TEXT('Revenues &amp; Outlays in GDP'!F34, "0.00"),""), "")</f>
        <v>17.63</v>
      </c>
      <c r="E28" s="23" t="str">
        <f>IFERROR(IF(ISNUMBER('Revenues &amp; Outlays in GDP'!D34),TEXT('Revenues &amp; Outlays in GDP'!D34, "0.00"),""), "")</f>
        <v/>
      </c>
    </row>
    <row r="29" spans="1:5">
      <c r="A29" s="23" t="str">
        <f>TEXT(IF('Revenues &amp; Outlays in GDP'!B35&lt;&gt;0,'Revenues &amp; Outlays in GDP'!B35-364, ""), "mm/dd/yyyy")</f>
        <v>01/01/2002</v>
      </c>
      <c r="B29" s="23" t="str">
        <f>IFERROR(IF(ISNUMBER('Revenues &amp; Outlays in GDP'!E35),TEXT('Revenues &amp; Outlays in GDP'!E35, "0.00"),""), "")</f>
        <v>17.03</v>
      </c>
      <c r="C29" s="23" t="str">
        <f>IFERROR(IF(ISNUMBER('Revenues &amp; Outlays in GDP'!C35),TEXT('Revenues &amp; Outlays in GDP'!C35, "0.00"),""), "")</f>
        <v/>
      </c>
      <c r="D29" s="23" t="str">
        <f>IFERROR(IF(ISNUMBER('Revenues &amp; Outlays in GDP'!F35),TEXT('Revenues &amp; Outlays in GDP'!F35, "0.00"),""), "")</f>
        <v>18.48</v>
      </c>
      <c r="E29" s="23" t="str">
        <f>IFERROR(IF(ISNUMBER('Revenues &amp; Outlays in GDP'!D35),TEXT('Revenues &amp; Outlays in GDP'!D35, "0.00"),""), "")</f>
        <v/>
      </c>
    </row>
    <row r="30" spans="1:5">
      <c r="A30" s="23" t="str">
        <f>TEXT(IF('Revenues &amp; Outlays in GDP'!B36&lt;&gt;0,'Revenues &amp; Outlays in GDP'!B36-364, ""), "mm/dd/yyyy")</f>
        <v>01/01/2003</v>
      </c>
      <c r="B30" s="23" t="str">
        <f>IFERROR(IF(ISNUMBER('Revenues &amp; Outlays in GDP'!E36),TEXT('Revenues &amp; Outlays in GDP'!E36, "0.00"),""), "")</f>
        <v>15.73</v>
      </c>
      <c r="C30" s="23" t="str">
        <f>IFERROR(IF(ISNUMBER('Revenues &amp; Outlays in GDP'!C36),TEXT('Revenues &amp; Outlays in GDP'!C36, "0.00"),""), "")</f>
        <v/>
      </c>
      <c r="D30" s="23" t="str">
        <f>IFERROR(IF(ISNUMBER('Revenues &amp; Outlays in GDP'!F36),TEXT('Revenues &amp; Outlays in GDP'!F36, "0.00"),""), "")</f>
        <v>19.06</v>
      </c>
      <c r="E30" s="23" t="str">
        <f>IFERROR(IF(ISNUMBER('Revenues &amp; Outlays in GDP'!D36),TEXT('Revenues &amp; Outlays in GDP'!D36, "0.00"),""), "")</f>
        <v/>
      </c>
    </row>
    <row r="31" spans="1:5">
      <c r="A31" s="23" t="str">
        <f>TEXT(IF('Revenues &amp; Outlays in GDP'!B37&lt;&gt;0,'Revenues &amp; Outlays in GDP'!B37-364, ""), "mm/dd/yyyy")</f>
        <v>01/02/2004</v>
      </c>
      <c r="B31" s="23" t="str">
        <f>IFERROR(IF(ISNUMBER('Revenues &amp; Outlays in GDP'!E37),TEXT('Revenues &amp; Outlays in GDP'!E37, "0.00"),""), "")</f>
        <v>15.55</v>
      </c>
      <c r="C31" s="23" t="str">
        <f>IFERROR(IF(ISNUMBER('Revenues &amp; Outlays in GDP'!C37),TEXT('Revenues &amp; Outlays in GDP'!C37, "0.00"),""), "")</f>
        <v/>
      </c>
      <c r="D31" s="23" t="str">
        <f>IFERROR(IF(ISNUMBER('Revenues &amp; Outlays in GDP'!F37),TEXT('Revenues &amp; Outlays in GDP'!F37, "0.00"),""), "")</f>
        <v>18.96</v>
      </c>
      <c r="E31" s="23" t="str">
        <f>IFERROR(IF(ISNUMBER('Revenues &amp; Outlays in GDP'!D37),TEXT('Revenues &amp; Outlays in GDP'!D37, "0.00"),""), "")</f>
        <v/>
      </c>
    </row>
    <row r="32" spans="1:5">
      <c r="A32" s="23" t="str">
        <f>TEXT(IF('Revenues &amp; Outlays in GDP'!B38&lt;&gt;0,'Revenues &amp; Outlays in GDP'!B38-364, ""), "mm/dd/yyyy")</f>
        <v>01/01/2005</v>
      </c>
      <c r="B32" s="23" t="str">
        <f>IFERROR(IF(ISNUMBER('Revenues &amp; Outlays in GDP'!E38),TEXT('Revenues &amp; Outlays in GDP'!E38, "0.00"),""), "")</f>
        <v>16.71</v>
      </c>
      <c r="C32" s="23" t="str">
        <f>IFERROR(IF(ISNUMBER('Revenues &amp; Outlays in GDP'!C38),TEXT('Revenues &amp; Outlays in GDP'!C38, "0.00"),""), "")</f>
        <v/>
      </c>
      <c r="D32" s="23" t="str">
        <f>IFERROR(IF(ISNUMBER('Revenues &amp; Outlays in GDP'!F38),TEXT('Revenues &amp; Outlays in GDP'!F38, "0.00"),""), "")</f>
        <v>19.18</v>
      </c>
      <c r="E32" s="23" t="str">
        <f>IFERROR(IF(ISNUMBER('Revenues &amp; Outlays in GDP'!D38),TEXT('Revenues &amp; Outlays in GDP'!D38, "0.00"),""), "")</f>
        <v/>
      </c>
    </row>
    <row r="33" spans="1:5">
      <c r="A33" s="23" t="str">
        <f>TEXT(IF('Revenues &amp; Outlays in GDP'!B39&lt;&gt;0,'Revenues &amp; Outlays in GDP'!B39-364, ""), "mm/dd/yyyy")</f>
        <v>01/01/2006</v>
      </c>
      <c r="B33" s="23" t="str">
        <f>IFERROR(IF(ISNUMBER('Revenues &amp; Outlays in GDP'!E39),TEXT('Revenues &amp; Outlays in GDP'!E39, "0.00"),""), "")</f>
        <v>17.59</v>
      </c>
      <c r="C33" s="23" t="str">
        <f>IFERROR(IF(ISNUMBER('Revenues &amp; Outlays in GDP'!C39),TEXT('Revenues &amp; Outlays in GDP'!C39, "0.00"),""), "")</f>
        <v/>
      </c>
      <c r="D33" s="23" t="str">
        <f>IFERROR(IF(ISNUMBER('Revenues &amp; Outlays in GDP'!F39),TEXT('Revenues &amp; Outlays in GDP'!F39, "0.00"),""), "")</f>
        <v>19.40</v>
      </c>
      <c r="E33" s="23" t="str">
        <f>IFERROR(IF(ISNUMBER('Revenues &amp; Outlays in GDP'!D39),TEXT('Revenues &amp; Outlays in GDP'!D39, "0.00"),""), "")</f>
        <v/>
      </c>
    </row>
    <row r="34" spans="1:5">
      <c r="A34" s="23" t="str">
        <f>TEXT(IF('Revenues &amp; Outlays in GDP'!B40&lt;&gt;0,'Revenues &amp; Outlays in GDP'!B40-364, ""), "mm/dd/yyyy")</f>
        <v>01/01/2007</v>
      </c>
      <c r="B34" s="23" t="str">
        <f>IFERROR(IF(ISNUMBER('Revenues &amp; Outlays in GDP'!E40),TEXT('Revenues &amp; Outlays in GDP'!E40, "0.00"),""), "")</f>
        <v>17.93</v>
      </c>
      <c r="C34" s="23" t="str">
        <f>IFERROR(IF(ISNUMBER('Revenues &amp; Outlays in GDP'!C40),TEXT('Revenues &amp; Outlays in GDP'!C40, "0.00"),""), "")</f>
        <v/>
      </c>
      <c r="D34" s="23" t="str">
        <f>IFERROR(IF(ISNUMBER('Revenues &amp; Outlays in GDP'!F40),TEXT('Revenues &amp; Outlays in GDP'!F40, "0.00"),""), "")</f>
        <v>19.05</v>
      </c>
      <c r="E34" s="23" t="str">
        <f>IFERROR(IF(ISNUMBER('Revenues &amp; Outlays in GDP'!D40),TEXT('Revenues &amp; Outlays in GDP'!D40, "0.00"),""), "")</f>
        <v/>
      </c>
    </row>
    <row r="35" spans="1:5">
      <c r="A35" s="23" t="str">
        <f>TEXT(IF('Revenues &amp; Outlays in GDP'!B41&lt;&gt;0,'Revenues &amp; Outlays in GDP'!B41-364, ""), "mm/dd/yyyy")</f>
        <v>01/02/2008</v>
      </c>
      <c r="B35" s="23" t="str">
        <f>IFERROR(IF(ISNUMBER('Revenues &amp; Outlays in GDP'!E41),TEXT('Revenues &amp; Outlays in GDP'!E41, "0.00"),""), "")</f>
        <v>17.11</v>
      </c>
      <c r="C35" s="23" t="str">
        <f>IFERROR(IF(ISNUMBER('Revenues &amp; Outlays in GDP'!C41),TEXT('Revenues &amp; Outlays in GDP'!C41, "0.00"),""), "")</f>
        <v/>
      </c>
      <c r="D35" s="23" t="str">
        <f>IFERROR(IF(ISNUMBER('Revenues &amp; Outlays in GDP'!F41),TEXT('Revenues &amp; Outlays in GDP'!F41, "0.00"),""), "")</f>
        <v>20.21</v>
      </c>
      <c r="E35" s="23" t="str">
        <f>IFERROR(IF(ISNUMBER('Revenues &amp; Outlays in GDP'!D41),TEXT('Revenues &amp; Outlays in GDP'!D41, "0.00"),""), "")</f>
        <v/>
      </c>
    </row>
    <row r="36" spans="1:5">
      <c r="A36" s="23" t="str">
        <f>TEXT(IF('Revenues &amp; Outlays in GDP'!B42&lt;&gt;0,'Revenues &amp; Outlays in GDP'!B42-364, ""), "mm/dd/yyyy")</f>
        <v>01/01/2009</v>
      </c>
      <c r="B36" s="23" t="str">
        <f>IFERROR(IF(ISNUMBER('Revenues &amp; Outlays in GDP'!E42),TEXT('Revenues &amp; Outlays in GDP'!E42, "0.00"),""), "")</f>
        <v>14.60</v>
      </c>
      <c r="C36" s="23" t="str">
        <f>IFERROR(IF(ISNUMBER('Revenues &amp; Outlays in GDP'!C42),TEXT('Revenues &amp; Outlays in GDP'!C42, "0.00"),""), "")</f>
        <v/>
      </c>
      <c r="D36" s="23" t="str">
        <f>IFERROR(IF(ISNUMBER('Revenues &amp; Outlays in GDP'!F42),TEXT('Revenues &amp; Outlays in GDP'!F42, "0.00"),""), "")</f>
        <v>24.41</v>
      </c>
      <c r="E36" s="23" t="str">
        <f>IFERROR(IF(ISNUMBER('Revenues &amp; Outlays in GDP'!D42),TEXT('Revenues &amp; Outlays in GDP'!D42, "0.00"),""), "")</f>
        <v/>
      </c>
    </row>
    <row r="37" spans="1:5">
      <c r="A37" s="23" t="str">
        <f>TEXT(IF('Revenues &amp; Outlays in GDP'!B43&lt;&gt;0,'Revenues &amp; Outlays in GDP'!B43-364, ""), "mm/dd/yyyy")</f>
        <v>01/01/2010</v>
      </c>
      <c r="B37" s="23" t="str">
        <f>IFERROR(IF(ISNUMBER('Revenues &amp; Outlays in GDP'!E43),TEXT('Revenues &amp; Outlays in GDP'!E43, "0.00"),""), "")</f>
        <v>14.62</v>
      </c>
      <c r="C37" s="23" t="str">
        <f>IFERROR(IF(ISNUMBER('Revenues &amp; Outlays in GDP'!C43),TEXT('Revenues &amp; Outlays in GDP'!C43, "0.00"),""), "")</f>
        <v/>
      </c>
      <c r="D37" s="23" t="str">
        <f>IFERROR(IF(ISNUMBER('Revenues &amp; Outlays in GDP'!F43),TEXT('Revenues &amp; Outlays in GDP'!F43, "0.00"),""), "")</f>
        <v>23.37</v>
      </c>
      <c r="E37" s="23" t="str">
        <f>IFERROR(IF(ISNUMBER('Revenues &amp; Outlays in GDP'!D43),TEXT('Revenues &amp; Outlays in GDP'!D43, "0.00"),""), "")</f>
        <v/>
      </c>
    </row>
    <row r="38" spans="1:5">
      <c r="A38" s="23" t="str">
        <f>TEXT(IF('Revenues &amp; Outlays in GDP'!B44&lt;&gt;0,'Revenues &amp; Outlays in GDP'!B44-364, ""), "mm/dd/yyyy")</f>
        <v>01/01/2011</v>
      </c>
      <c r="B38" s="23" t="str">
        <f>IFERROR(IF(ISNUMBER('Revenues &amp; Outlays in GDP'!E44),TEXT('Revenues &amp; Outlays in GDP'!E44, "0.00"),""), "")</f>
        <v>14.97</v>
      </c>
      <c r="C38" s="23" t="str">
        <f>IFERROR(IF(ISNUMBER('Revenues &amp; Outlays in GDP'!C44),TEXT('Revenues &amp; Outlays in GDP'!C44, "0.00"),""), "")</f>
        <v/>
      </c>
      <c r="D38" s="23" t="str">
        <f>IFERROR(IF(ISNUMBER('Revenues &amp; Outlays in GDP'!F44),TEXT('Revenues &amp; Outlays in GDP'!F44, "0.00"),""), "")</f>
        <v>23.42</v>
      </c>
      <c r="E38" s="23" t="str">
        <f>IFERROR(IF(ISNUMBER('Revenues &amp; Outlays in GDP'!D44),TEXT('Revenues &amp; Outlays in GDP'!D44, "0.00"),""), "")</f>
        <v/>
      </c>
    </row>
    <row r="39" spans="1:5">
      <c r="A39" s="23" t="str">
        <f>TEXT(IF('Revenues &amp; Outlays in GDP'!B45&lt;&gt;0,'Revenues &amp; Outlays in GDP'!B45-364, ""), "mm/dd/yyyy")</f>
        <v>01/02/2012</v>
      </c>
      <c r="B39" s="23" t="str">
        <f>IFERROR(IF(ISNUMBER('Revenues &amp; Outlays in GDP'!E45),TEXT('Revenues &amp; Outlays in GDP'!E45, "0.00"),""), "")</f>
        <v>15.22</v>
      </c>
      <c r="C39" s="23" t="str">
        <f>IFERROR(IF(ISNUMBER('Revenues &amp; Outlays in GDP'!C45),TEXT('Revenues &amp; Outlays in GDP'!C45, "0.00"),""), "")</f>
        <v>15.20</v>
      </c>
      <c r="D39" s="23" t="str">
        <f>IFERROR(IF(ISNUMBER('Revenues &amp; Outlays in GDP'!F45),TEXT('Revenues &amp; Outlays in GDP'!F45, "0.00"),""), "")</f>
        <v>21.98</v>
      </c>
      <c r="E39" s="23" t="str">
        <f>IFERROR(IF(ISNUMBER('Revenues &amp; Outlays in GDP'!D45),TEXT('Revenues &amp; Outlays in GDP'!D45, "0.00"),""), "")</f>
        <v>22.00</v>
      </c>
    </row>
    <row r="40" spans="1:5">
      <c r="A40" s="23" t="str">
        <f>TEXT(IF('Revenues &amp; Outlays in GDP'!B46&lt;&gt;0,'Revenues &amp; Outlays in GDP'!B46-364, ""), "mm/dd/yyyy")</f>
        <v>01/01/2013</v>
      </c>
      <c r="B40" s="23" t="str">
        <f>IFERROR(IF(ISNUMBER('Revenues &amp; Outlays in GDP'!E46),TEXT('Revenues &amp; Outlays in GDP'!E46, "0.00"),""), "")</f>
        <v>16.69</v>
      </c>
      <c r="C40" s="23" t="str">
        <f>IFERROR(IF(ISNUMBER('Revenues &amp; Outlays in GDP'!C46),TEXT('Revenues &amp; Outlays in GDP'!C46, "0.00"),""), "")</f>
        <v>16.70</v>
      </c>
      <c r="D40" s="23" t="str">
        <f>IFERROR(IF(ISNUMBER('Revenues &amp; Outlays in GDP'!F46),TEXT('Revenues &amp; Outlays in GDP'!F46, "0.00"),""), "")</f>
        <v>20.77</v>
      </c>
      <c r="E40" s="23" t="str">
        <f>IFERROR(IF(ISNUMBER('Revenues &amp; Outlays in GDP'!D46),TEXT('Revenues &amp; Outlays in GDP'!D46, "0.00"),""), "")</f>
        <v>20.80</v>
      </c>
    </row>
    <row r="41" spans="1:5">
      <c r="A41" s="23" t="str">
        <f>TEXT(IF('Revenues &amp; Outlays in GDP'!B47&lt;&gt;0,'Revenues &amp; Outlays in GDP'!B47-364, ""), "mm/dd/yyyy")</f>
        <v>01/01/2014</v>
      </c>
      <c r="B41" s="23" t="str">
        <f>IFERROR(IF(ISNUMBER('Revenues &amp; Outlays in GDP'!E47),TEXT('Revenues &amp; Outlays in GDP'!E47, "0.00"),""), "")</f>
        <v/>
      </c>
      <c r="C41" s="23" t="str">
        <f>IFERROR(IF(ISNUMBER('Revenues &amp; Outlays in GDP'!C47),TEXT('Revenues &amp; Outlays in GDP'!C47, "0.00"),""), "")</f>
        <v>17.50</v>
      </c>
      <c r="D41" s="23" t="str">
        <f>IFERROR(IF(ISNUMBER('Revenues &amp; Outlays in GDP'!F47),TEXT('Revenues &amp; Outlays in GDP'!F47, "0.00"),""), "")</f>
        <v/>
      </c>
      <c r="E41" s="23" t="str">
        <f>IFERROR(IF(ISNUMBER('Revenues &amp; Outlays in GDP'!D47),TEXT('Revenues &amp; Outlays in GDP'!D47, "0.00"),""), "")</f>
        <v>20.40</v>
      </c>
    </row>
    <row r="42" spans="1:5">
      <c r="A42" s="23" t="str">
        <f>TEXT(IF('Revenues &amp; Outlays in GDP'!B48&lt;&gt;0,'Revenues &amp; Outlays in GDP'!B48-364, ""), "mm/dd/yyyy")</f>
        <v>01/01/2015</v>
      </c>
      <c r="B42" s="23" t="str">
        <f>IFERROR(IF(ISNUMBER('Revenues &amp; Outlays in GDP'!E48),TEXT('Revenues &amp; Outlays in GDP'!E48, "0.00"),""), "")</f>
        <v/>
      </c>
      <c r="C42" s="23" t="str">
        <f>IFERROR(IF(ISNUMBER('Revenues &amp; Outlays in GDP'!C48),TEXT('Revenues &amp; Outlays in GDP'!C48, "0.00"),""), "")</f>
        <v>18.30</v>
      </c>
      <c r="D42" s="23" t="str">
        <f>IFERROR(IF(ISNUMBER('Revenues &amp; Outlays in GDP'!F48),TEXT('Revenues &amp; Outlays in GDP'!F48, "0.00"),""), "")</f>
        <v/>
      </c>
      <c r="E42" s="23" t="str">
        <f>IFERROR(IF(ISNUMBER('Revenues &amp; Outlays in GDP'!D48),TEXT('Revenues &amp; Outlays in GDP'!D48, "0.00"),""), "")</f>
        <v>20.90</v>
      </c>
    </row>
    <row r="43" spans="1:5">
      <c r="A43" s="23" t="str">
        <f>TEXT(IF('Revenues &amp; Outlays in GDP'!B49&lt;&gt;0,'Revenues &amp; Outlays in GDP'!B49-364, ""), "mm/dd/yyyy")</f>
        <v>01/02/2016</v>
      </c>
      <c r="B43" s="23" t="str">
        <f>IFERROR(IF(ISNUMBER('Revenues &amp; Outlays in GDP'!E49),TEXT('Revenues &amp; Outlays in GDP'!E49, "0.00"),""), "")</f>
        <v/>
      </c>
      <c r="C43" s="23" t="str">
        <f>IFERROR(IF(ISNUMBER('Revenues &amp; Outlays in GDP'!C49),TEXT('Revenues &amp; Outlays in GDP'!C49, "0.00"),""), "")</f>
        <v>18.10</v>
      </c>
      <c r="D43" s="23" t="str">
        <f>IFERROR(IF(ISNUMBER('Revenues &amp; Outlays in GDP'!F49),TEXT('Revenues &amp; Outlays in GDP'!F49, "0.00"),""), "")</f>
        <v/>
      </c>
      <c r="E43" s="23" t="str">
        <f>IFERROR(IF(ISNUMBER('Revenues &amp; Outlays in GDP'!D49),TEXT('Revenues &amp; Outlays in GDP'!D49, "0.00"),""), "")</f>
        <v>21.00</v>
      </c>
    </row>
    <row r="44" spans="1:5">
      <c r="A44" s="23" t="str">
        <f>TEXT(IF('Revenues &amp; Outlays in GDP'!B50&lt;&gt;0,'Revenues &amp; Outlays in GDP'!B50-364, ""), "mm/dd/yyyy")</f>
        <v>01/01/2017</v>
      </c>
      <c r="B44" s="23" t="str">
        <f>IFERROR(IF(ISNUMBER('Revenues &amp; Outlays in GDP'!E50),TEXT('Revenues &amp; Outlays in GDP'!E50, "0.00"),""), "")</f>
        <v/>
      </c>
      <c r="C44" s="23" t="str">
        <f>IFERROR(IF(ISNUMBER('Revenues &amp; Outlays in GDP'!C50),TEXT('Revenues &amp; Outlays in GDP'!C50, "0.00"),""), "")</f>
        <v>18.10</v>
      </c>
      <c r="D44" s="23" t="str">
        <f>IFERROR(IF(ISNUMBER('Revenues &amp; Outlays in GDP'!F50),TEXT('Revenues &amp; Outlays in GDP'!F50, "0.00"),""), "")</f>
        <v/>
      </c>
      <c r="E44" s="23" t="str">
        <f>IFERROR(IF(ISNUMBER('Revenues &amp; Outlays in GDP'!D50),TEXT('Revenues &amp; Outlays in GDP'!D50, "0.00"),""), "")</f>
        <v>20.80</v>
      </c>
    </row>
    <row r="45" spans="1:5">
      <c r="A45" s="23" t="str">
        <f>TEXT(IF('Revenues &amp; Outlays in GDP'!B51&lt;&gt;0,'Revenues &amp; Outlays in GDP'!B51-364, ""), "mm/dd/yyyy")</f>
        <v>01/01/2018</v>
      </c>
      <c r="B45" s="23" t="str">
        <f>IFERROR(IF(ISNUMBER('Revenues &amp; Outlays in GDP'!E51),TEXT('Revenues &amp; Outlays in GDP'!E51, "0.00"),""), "")</f>
        <v/>
      </c>
      <c r="C45" s="23" t="str">
        <f>IFERROR(IF(ISNUMBER('Revenues &amp; Outlays in GDP'!C51),TEXT('Revenues &amp; Outlays in GDP'!C51, "0.00"),""), "")</f>
        <v>18.00</v>
      </c>
      <c r="D45" s="23" t="str">
        <f>IFERROR(IF(ISNUMBER('Revenues &amp; Outlays in GDP'!F51),TEXT('Revenues &amp; Outlays in GDP'!F51, "0.00"),""), "")</f>
        <v/>
      </c>
      <c r="E45" s="23" t="str">
        <f>IFERROR(IF(ISNUMBER('Revenues &amp; Outlays in GDP'!D51),TEXT('Revenues &amp; Outlays in GDP'!D51, "0.00"),""), "")</f>
        <v>20.70</v>
      </c>
    </row>
    <row r="46" spans="1:5">
      <c r="A46" s="23" t="str">
        <f>TEXT(IF('Revenues &amp; Outlays in GDP'!B52&lt;&gt;0,'Revenues &amp; Outlays in GDP'!B52-364, ""), "mm/dd/yyyy")</f>
        <v>01/01/2019</v>
      </c>
      <c r="B46" s="23" t="str">
        <f>IFERROR(IF(ISNUMBER('Revenues &amp; Outlays in GDP'!E52),TEXT('Revenues &amp; Outlays in GDP'!E52, "0.00"),""), "")</f>
        <v/>
      </c>
      <c r="C46" s="23" t="str">
        <f>IFERROR(IF(ISNUMBER('Revenues &amp; Outlays in GDP'!C52),TEXT('Revenues &amp; Outlays in GDP'!C52, "0.00"),""), "")</f>
        <v>18.00</v>
      </c>
      <c r="D46" s="23" t="str">
        <f>IFERROR(IF(ISNUMBER('Revenues &amp; Outlays in GDP'!F52),TEXT('Revenues &amp; Outlays in GDP'!F52, "0.00"),""), "")</f>
        <v/>
      </c>
      <c r="E46" s="23" t="str">
        <f>IFERROR(IF(ISNUMBER('Revenues &amp; Outlays in GDP'!D52),TEXT('Revenues &amp; Outlays in GDP'!D52, "0.00"),""), "")</f>
        <v>21.10</v>
      </c>
    </row>
    <row r="47" spans="1:5">
      <c r="A47" s="23" t="str">
        <f>TEXT(IF('Revenues &amp; Outlays in GDP'!B53&lt;&gt;0,'Revenues &amp; Outlays in GDP'!B53-364, ""), "mm/dd/yyyy")</f>
        <v>01/02/2020</v>
      </c>
      <c r="B47" s="23" t="str">
        <f>IFERROR(IF(ISNUMBER('Revenues &amp; Outlays in GDP'!E53),TEXT('Revenues &amp; Outlays in GDP'!E53, "0.00"),""), "")</f>
        <v/>
      </c>
      <c r="C47" s="23" t="str">
        <f>IFERROR(IF(ISNUMBER('Revenues &amp; Outlays in GDP'!C53),TEXT('Revenues &amp; Outlays in GDP'!C53, "0.00"),""), "")</f>
        <v>18.10</v>
      </c>
      <c r="D47" s="23" t="str">
        <f>IFERROR(IF(ISNUMBER('Revenues &amp; Outlays in GDP'!F53),TEXT('Revenues &amp; Outlays in GDP'!F53, "0.00"),""), "")</f>
        <v/>
      </c>
      <c r="E47" s="23" t="str">
        <f>IFERROR(IF(ISNUMBER('Revenues &amp; Outlays in GDP'!D53),TEXT('Revenues &amp; Outlays in GDP'!D53, "0.00"),""), "")</f>
        <v>21.30</v>
      </c>
    </row>
    <row r="48" spans="1:5">
      <c r="A48" s="23" t="str">
        <f>TEXT(IF('Revenues &amp; Outlays in GDP'!B54&lt;&gt;0,'Revenues &amp; Outlays in GDP'!B54-364, ""), "mm/dd/yyyy")</f>
        <v>01/01/2021</v>
      </c>
      <c r="B48" s="23" t="str">
        <f>IFERROR(IF(ISNUMBER('Revenues &amp; Outlays in GDP'!E54),TEXT('Revenues &amp; Outlays in GDP'!E54, "0.00"),""), "")</f>
        <v/>
      </c>
      <c r="C48" s="23" t="str">
        <f>IFERROR(IF(ISNUMBER('Revenues &amp; Outlays in GDP'!C54),TEXT('Revenues &amp; Outlays in GDP'!C54, "0.00"),""), "")</f>
        <v>18.10</v>
      </c>
      <c r="D48" s="23" t="str">
        <f>IFERROR(IF(ISNUMBER('Revenues &amp; Outlays in GDP'!F54),TEXT('Revenues &amp; Outlays in GDP'!F54, "0.00"),""), "")</f>
        <v/>
      </c>
      <c r="E48" s="23" t="str">
        <f>IFERROR(IF(ISNUMBER('Revenues &amp; Outlays in GDP'!D54),TEXT('Revenues &amp; Outlays in GDP'!D54, "0.00"),""), "")</f>
        <v>21.50</v>
      </c>
    </row>
    <row r="49" spans="1:5">
      <c r="A49" s="23" t="str">
        <f>TEXT(IF('Revenues &amp; Outlays in GDP'!B55&lt;&gt;0,'Revenues &amp; Outlays in GDP'!B55-364, ""), "mm/dd/yyyy")</f>
        <v>01/01/2022</v>
      </c>
      <c r="B49" s="23" t="str">
        <f>IFERROR(IF(ISNUMBER('Revenues &amp; Outlays in GDP'!E55),TEXT('Revenues &amp; Outlays in GDP'!E55, "0.00"),""), "")</f>
        <v/>
      </c>
      <c r="C49" s="23" t="str">
        <f>IFERROR(IF(ISNUMBER('Revenues &amp; Outlays in GDP'!C55),TEXT('Revenues &amp; Outlays in GDP'!C55, "0.00"),""), "")</f>
        <v>18.10</v>
      </c>
      <c r="D49" s="23" t="str">
        <f>IFERROR(IF(ISNUMBER('Revenues &amp; Outlays in GDP'!F55),TEXT('Revenues &amp; Outlays in GDP'!F55, "0.00"),""), "")</f>
        <v/>
      </c>
      <c r="E49" s="23" t="str">
        <f>IFERROR(IF(ISNUMBER('Revenues &amp; Outlays in GDP'!D55),TEXT('Revenues &amp; Outlays in GDP'!D55, "0.00"),""), "")</f>
        <v>21.90</v>
      </c>
    </row>
    <row r="50" spans="1:5">
      <c r="A50" s="23" t="str">
        <f>TEXT(IF('Revenues &amp; Outlays in GDP'!B56&lt;&gt;0,'Revenues &amp; Outlays in GDP'!B56-364, ""), "mm/dd/yyyy")</f>
        <v>01/01/2023</v>
      </c>
      <c r="B50" s="23" t="str">
        <f>IFERROR(IF(ISNUMBER('Revenues &amp; Outlays in GDP'!E56),TEXT('Revenues &amp; Outlays in GDP'!E56, "0.00"),""), "")</f>
        <v/>
      </c>
      <c r="C50" s="23" t="str">
        <f>IFERROR(IF(ISNUMBER('Revenues &amp; Outlays in GDP'!C56),TEXT('Revenues &amp; Outlays in GDP'!C56, "0.00"),""), "")</f>
        <v>18.20</v>
      </c>
      <c r="D50" s="23" t="str">
        <f>IFERROR(IF(ISNUMBER('Revenues &amp; Outlays in GDP'!F56),TEXT('Revenues &amp; Outlays in GDP'!F56, "0.00"),""), "")</f>
        <v/>
      </c>
      <c r="E50" s="23" t="str">
        <f>IFERROR(IF(ISNUMBER('Revenues &amp; Outlays in GDP'!D56),TEXT('Revenues &amp; Outlays in GDP'!D56, "0.00"),""), "")</f>
        <v>21.90</v>
      </c>
    </row>
    <row r="51" spans="1:5">
      <c r="A51" s="23" t="str">
        <f>TEXT(IF('Revenues &amp; Outlays in GDP'!B57&lt;&gt;0,'Revenues &amp; Outlays in GDP'!B57-364, ""), "mm/dd/yyyy")</f>
        <v>01/02/2024</v>
      </c>
      <c r="B51" s="23" t="str">
        <f>IFERROR(IF(ISNUMBER('Revenues &amp; Outlays in GDP'!E57),TEXT('Revenues &amp; Outlays in GDP'!E57, "0.00"),""), "")</f>
        <v/>
      </c>
      <c r="C51" s="23" t="str">
        <f>IFERROR(IF(ISNUMBER('Revenues &amp; Outlays in GDP'!C57),TEXT('Revenues &amp; Outlays in GDP'!C57, "0.00"),""), "")</f>
        <v>18.20</v>
      </c>
      <c r="D51" s="23" t="str">
        <f>IFERROR(IF(ISNUMBER('Revenues &amp; Outlays in GDP'!F57),TEXT('Revenues &amp; Outlays in GDP'!F57, "0.00"),""), "")</f>
        <v/>
      </c>
      <c r="E51" s="23" t="str">
        <f>IFERROR(IF(ISNUMBER('Revenues &amp; Outlays in GDP'!D57),TEXT('Revenues &amp; Outlays in GDP'!D57, "0.00"),""), "")</f>
        <v>21.80</v>
      </c>
    </row>
    <row r="52" spans="1:5">
      <c r="A52" s="23" t="str">
        <f>TEXT(IF('Revenues &amp; Outlays in GDP'!B58&lt;&gt;0,'Revenues &amp; Outlays in GDP'!B58-364, ""), "mm/dd/yyyy")</f>
        <v/>
      </c>
      <c r="B52" s="23" t="str">
        <f>IFERROR(IF(ISNUMBER('Revenues &amp; Outlays in GDP'!E58),TEXT('Revenues &amp; Outlays in GDP'!E58, "0.00"),""), "")</f>
        <v/>
      </c>
      <c r="C52" s="23" t="str">
        <f>IFERROR(IF(ISNUMBER('Revenues &amp; Outlays in GDP'!C58),TEXT('Revenues &amp; Outlays in GDP'!C58, "0.00"),""), "")</f>
        <v/>
      </c>
      <c r="D52" s="23" t="str">
        <f>IFERROR(IF(ISNUMBER('Revenues &amp; Outlays in GDP'!F58),TEXT('Revenues &amp; Outlays in GDP'!F58, "0.00"),""), "")</f>
        <v/>
      </c>
      <c r="E52" s="23" t="str">
        <f>IFERROR(IF(ISNUMBER('Revenues &amp; Outlays in GDP'!D58),TEXT('Revenues &amp; Outlays in GDP'!D58, "0.00"),""), "")</f>
        <v/>
      </c>
    </row>
    <row r="53" spans="1:5">
      <c r="A53" s="23" t="str">
        <f>TEXT(IF('Revenues &amp; Outlays in GDP'!B59&lt;&gt;0,'Revenues &amp; Outlays in GDP'!B59-364, ""), "mm/dd/yyyy")</f>
        <v/>
      </c>
      <c r="B53" s="23" t="str">
        <f>IFERROR(IF(ISNUMBER('Revenues &amp; Outlays in GDP'!E59),TEXT('Revenues &amp; Outlays in GDP'!E59, "0.00"),""), "")</f>
        <v/>
      </c>
      <c r="C53" s="23" t="str">
        <f>IFERROR(IF(ISNUMBER('Revenues &amp; Outlays in GDP'!C59),TEXT('Revenues &amp; Outlays in GDP'!C59, "0.00"),""), "")</f>
        <v/>
      </c>
      <c r="D53" s="23" t="str">
        <f>IFERROR(IF(ISNUMBER('Revenues &amp; Outlays in GDP'!F59),TEXT('Revenues &amp; Outlays in GDP'!F59, "0.00"),""), "")</f>
        <v/>
      </c>
      <c r="E53" s="23" t="str">
        <f>IFERROR(IF(ISNUMBER('Revenues &amp; Outlays in GDP'!D59),TEXT('Revenues &amp; Outlays in GDP'!D59, "0.00"),""), "")</f>
        <v/>
      </c>
    </row>
    <row r="54" spans="1:5">
      <c r="A54" s="23" t="str">
        <f>TEXT(IF('Revenues &amp; Outlays in GDP'!B60&lt;&gt;0,'Revenues &amp; Outlays in GDP'!B60-364, ""), "mm/dd/yyyy")</f>
        <v/>
      </c>
      <c r="B54" s="23" t="str">
        <f>IFERROR(IF(ISNUMBER('Revenues &amp; Outlays in GDP'!E60),TEXT('Revenues &amp; Outlays in GDP'!E60, "0.00"),""), "")</f>
        <v/>
      </c>
      <c r="C54" s="23" t="str">
        <f>IFERROR(IF(ISNUMBER('Revenues &amp; Outlays in GDP'!C60),TEXT('Revenues &amp; Outlays in GDP'!C60, "0.00"),""), "")</f>
        <v/>
      </c>
      <c r="D54" s="23" t="str">
        <f>IFERROR(IF(ISNUMBER('Revenues &amp; Outlays in GDP'!F60),TEXT('Revenues &amp; Outlays in GDP'!F60, "0.00"),""), "")</f>
        <v/>
      </c>
      <c r="E54" s="23" t="str">
        <f>IFERROR(IF(ISNUMBER('Revenues &amp; Outlays in GDP'!D60),TEXT('Revenues &amp; Outlays in GDP'!D60, "0.00"),""), "")</f>
        <v/>
      </c>
    </row>
    <row r="55" spans="1:5">
      <c r="A55" s="23" t="str">
        <f>TEXT(IF('Revenues &amp; Outlays in GDP'!B61&lt;&gt;0,'Revenues &amp; Outlays in GDP'!B61-364, ""), "mm/dd/yyyy")</f>
        <v/>
      </c>
      <c r="B55" s="23" t="str">
        <f>IFERROR(IF(ISNUMBER('Revenues &amp; Outlays in GDP'!E61),TEXT('Revenues &amp; Outlays in GDP'!E61, "0.00"),""), "")</f>
        <v/>
      </c>
      <c r="C55" s="23" t="str">
        <f>IFERROR(IF(ISNUMBER('Revenues &amp; Outlays in GDP'!C61),TEXT('Revenues &amp; Outlays in GDP'!C61, "0.00"),""), "")</f>
        <v/>
      </c>
      <c r="D55" s="23" t="str">
        <f>IFERROR(IF(ISNUMBER('Revenues &amp; Outlays in GDP'!F61),TEXT('Revenues &amp; Outlays in GDP'!F61, "0.00"),""), "")</f>
        <v/>
      </c>
      <c r="E55" s="23" t="str">
        <f>IFERROR(IF(ISNUMBER('Revenues &amp; Outlays in GDP'!D61),TEXT('Revenues &amp; Outlays in GDP'!D61, "0.00"),""), "")</f>
        <v/>
      </c>
    </row>
    <row r="56" spans="1:5">
      <c r="A56" s="23" t="str">
        <f>TEXT(IF('Revenues &amp; Outlays in GDP'!B62&lt;&gt;0,'Revenues &amp; Outlays in GDP'!B62-364, ""), "mm/dd/yyyy")</f>
        <v/>
      </c>
      <c r="B56" s="23" t="str">
        <f>IFERROR(IF(ISNUMBER('Revenues &amp; Outlays in GDP'!E62),TEXT('Revenues &amp; Outlays in GDP'!E62, "0.00"),""), "")</f>
        <v/>
      </c>
      <c r="C56" s="23" t="str">
        <f>IFERROR(IF(ISNUMBER('Revenues &amp; Outlays in GDP'!C62),TEXT('Revenues &amp; Outlays in GDP'!C62, "0.00"),""), "")</f>
        <v/>
      </c>
      <c r="D56" s="23" t="str">
        <f>IFERROR(IF(ISNUMBER('Revenues &amp; Outlays in GDP'!F62),TEXT('Revenues &amp; Outlays in GDP'!F62, "0.00"),""), "")</f>
        <v/>
      </c>
      <c r="E56" s="23" t="str">
        <f>IFERROR(IF(ISNUMBER('Revenues &amp; Outlays in GDP'!D62),TEXT('Revenues &amp; Outlays in GDP'!D62, "0.00"),""), "")</f>
        <v/>
      </c>
    </row>
    <row r="57" spans="1:5">
      <c r="A57" s="23" t="str">
        <f>TEXT(IF('Revenues &amp; Outlays in GDP'!B63&lt;&gt;0,'Revenues &amp; Outlays in GDP'!B63-364, ""), "mm/dd/yyyy")</f>
        <v/>
      </c>
      <c r="B57" s="23" t="str">
        <f>IFERROR(IF(ISNUMBER('Revenues &amp; Outlays in GDP'!E63),TEXT('Revenues &amp; Outlays in GDP'!E63, "0.00"),""), "")</f>
        <v/>
      </c>
      <c r="C57" s="23" t="str">
        <f>IFERROR(IF(ISNUMBER('Revenues &amp; Outlays in GDP'!C63),TEXT('Revenues &amp; Outlays in GDP'!C63, "0.00"),""), "")</f>
        <v/>
      </c>
      <c r="D57" s="23" t="str">
        <f>IFERROR(IF(ISNUMBER('Revenues &amp; Outlays in GDP'!F63),TEXT('Revenues &amp; Outlays in GDP'!F63, "0.00"),""), "")</f>
        <v/>
      </c>
      <c r="E57" s="23" t="str">
        <f>IFERROR(IF(ISNUMBER('Revenues &amp; Outlays in GDP'!D63),TEXT('Revenues &amp; Outlays in GDP'!D63, "0.00"),""), "")</f>
        <v/>
      </c>
    </row>
    <row r="58" spans="1:5">
      <c r="A58" s="23" t="str">
        <f>TEXT(IF('Revenues &amp; Outlays in GDP'!B64&lt;&gt;0,'Revenues &amp; Outlays in GDP'!B64-364, ""), "mm/dd/yyyy")</f>
        <v/>
      </c>
      <c r="B58" s="23" t="str">
        <f>IFERROR(IF(ISNUMBER('Revenues &amp; Outlays in GDP'!E64),TEXT('Revenues &amp; Outlays in GDP'!E64, "0.00"),""), "")</f>
        <v/>
      </c>
      <c r="C58" s="23" t="str">
        <f>IFERROR(IF(ISNUMBER('Revenues &amp; Outlays in GDP'!C64),TEXT('Revenues &amp; Outlays in GDP'!C64, "0.00"),""), "")</f>
        <v/>
      </c>
      <c r="D58" s="23" t="str">
        <f>IFERROR(IF(ISNUMBER('Revenues &amp; Outlays in GDP'!F64),TEXT('Revenues &amp; Outlays in GDP'!F64, "0.00"),""), "")</f>
        <v/>
      </c>
      <c r="E58" s="23" t="str">
        <f>IFERROR(IF(ISNUMBER('Revenues &amp; Outlays in GDP'!D64),TEXT('Revenues &amp; Outlays in GDP'!D64, "0.00"),""), "")</f>
        <v/>
      </c>
    </row>
    <row r="59" spans="1:5">
      <c r="A59" s="23" t="str">
        <f>TEXT(IF('Revenues &amp; Outlays in GDP'!B65&lt;&gt;0,'Revenues &amp; Outlays in GDP'!B65-364, ""), "mm/dd/yyyy")</f>
        <v/>
      </c>
      <c r="B59" s="23" t="str">
        <f>IFERROR(IF(ISNUMBER('Revenues &amp; Outlays in GDP'!E65),TEXT('Revenues &amp; Outlays in GDP'!E65, "0.00"),""), "")</f>
        <v/>
      </c>
      <c r="C59" s="23" t="str">
        <f>IFERROR(IF(ISNUMBER('Revenues &amp; Outlays in GDP'!C65),TEXT('Revenues &amp; Outlays in GDP'!C65, "0.00"),""), "")</f>
        <v/>
      </c>
      <c r="D59" s="23" t="str">
        <f>IFERROR(IF(ISNUMBER('Revenues &amp; Outlays in GDP'!F65),TEXT('Revenues &amp; Outlays in GDP'!F65, "0.00"),""), "")</f>
        <v/>
      </c>
      <c r="E59" s="23" t="str">
        <f>IFERROR(IF(ISNUMBER('Revenues &amp; Outlays in GDP'!D65),TEXT('Revenues &amp; Outlays in GDP'!D65, "0.00"),""), "")</f>
        <v/>
      </c>
    </row>
    <row r="60" spans="1:5">
      <c r="A60" s="23" t="str">
        <f>TEXT(IF('Revenues &amp; Outlays in GDP'!B66&lt;&gt;0,'Revenues &amp; Outlays in GDP'!B66-364, ""), "mm/dd/yyyy")</f>
        <v/>
      </c>
      <c r="B60" s="23" t="str">
        <f>IFERROR(IF(ISNUMBER('Revenues &amp; Outlays in GDP'!E66),TEXT('Revenues &amp; Outlays in GDP'!E66, "0.00"),""), "")</f>
        <v/>
      </c>
      <c r="C60" s="23" t="str">
        <f>IFERROR(IF(ISNUMBER('Revenues &amp; Outlays in GDP'!C66),TEXT('Revenues &amp; Outlays in GDP'!C66, "0.00"),""), "")</f>
        <v/>
      </c>
      <c r="D60" s="23" t="str">
        <f>IFERROR(IF(ISNUMBER('Revenues &amp; Outlays in GDP'!F66),TEXT('Revenues &amp; Outlays in GDP'!F66, "0.00"),""), "")</f>
        <v/>
      </c>
      <c r="E60" s="23" t="str">
        <f>IFERROR(IF(ISNUMBER('Revenues &amp; Outlays in GDP'!D66),TEXT('Revenues &amp; Outlays in GDP'!D66, "0.00"),""), "")</f>
        <v/>
      </c>
    </row>
    <row r="61" spans="1:5">
      <c r="A61" s="23" t="str">
        <f>TEXT(IF('Revenues &amp; Outlays in GDP'!B67&lt;&gt;0,'Revenues &amp; Outlays in GDP'!B67-364, ""), "mm/dd/yyyy")</f>
        <v/>
      </c>
      <c r="B61" s="23" t="str">
        <f>IFERROR(IF(ISNUMBER('Revenues &amp; Outlays in GDP'!E67),TEXT('Revenues &amp; Outlays in GDP'!E67, "0.00"),""), "")</f>
        <v/>
      </c>
      <c r="C61" s="23" t="str">
        <f>IFERROR(IF(ISNUMBER('Revenues &amp; Outlays in GDP'!C67),TEXT('Revenues &amp; Outlays in GDP'!C67, "0.00"),""), "")</f>
        <v/>
      </c>
      <c r="D61" s="23" t="str">
        <f>IFERROR(IF(ISNUMBER('Revenues &amp; Outlays in GDP'!F67),TEXT('Revenues &amp; Outlays in GDP'!F67, "0.00"),""), "")</f>
        <v/>
      </c>
      <c r="E61" s="23" t="str">
        <f>IFERROR(IF(ISNUMBER('Revenues &amp; Outlays in GDP'!D67),TEXT('Revenues &amp; Outlays in GDP'!D67, "0.00"),""), "")</f>
        <v/>
      </c>
    </row>
    <row r="62" spans="1:5">
      <c r="A62" s="23" t="str">
        <f>TEXT(IF('Revenues &amp; Outlays in GDP'!B68&lt;&gt;0,'Revenues &amp; Outlays in GDP'!B68-364, ""), "mm/dd/yyyy")</f>
        <v/>
      </c>
      <c r="B62" s="23" t="str">
        <f>IFERROR(IF(ISNUMBER('Revenues &amp; Outlays in GDP'!E68),TEXT('Revenues &amp; Outlays in GDP'!E68, "0.00"),""), "")</f>
        <v/>
      </c>
      <c r="C62" s="23" t="str">
        <f>IFERROR(IF(ISNUMBER('Revenues &amp; Outlays in GDP'!C68),TEXT('Revenues &amp; Outlays in GDP'!C68, "0.00"),""), "")</f>
        <v/>
      </c>
      <c r="D62" s="23" t="str">
        <f>IFERROR(IF(ISNUMBER('Revenues &amp; Outlays in GDP'!F68),TEXT('Revenues &amp; Outlays in GDP'!F68, "0.00"),""), "")</f>
        <v/>
      </c>
      <c r="E62" s="23" t="str">
        <f>IFERROR(IF(ISNUMBER('Revenues &amp; Outlays in GDP'!D68),TEXT('Revenues &amp; Outlays in GDP'!D68, "0.00"),""), "")</f>
        <v/>
      </c>
    </row>
    <row r="63" spans="1:5">
      <c r="A63" s="23" t="str">
        <f>TEXT(IF('Revenues &amp; Outlays in GDP'!B69&lt;&gt;0,'Revenues &amp; Outlays in GDP'!B69-364, ""), "mm/dd/yyyy")</f>
        <v/>
      </c>
      <c r="B63" s="23" t="str">
        <f>IFERROR(IF(ISNUMBER('Revenues &amp; Outlays in GDP'!E69),TEXT('Revenues &amp; Outlays in GDP'!E69, "0.00"),""), "")</f>
        <v/>
      </c>
      <c r="C63" s="23" t="str">
        <f>IFERROR(IF(ISNUMBER('Revenues &amp; Outlays in GDP'!C69),TEXT('Revenues &amp; Outlays in GDP'!C69, "0.00"),""), "")</f>
        <v/>
      </c>
      <c r="D63" s="23" t="str">
        <f>IFERROR(IF(ISNUMBER('Revenues &amp; Outlays in GDP'!F69),TEXT('Revenues &amp; Outlays in GDP'!F69, "0.00"),""), "")</f>
        <v/>
      </c>
      <c r="E63" s="23" t="str">
        <f>IFERROR(IF(ISNUMBER('Revenues &amp; Outlays in GDP'!D69),TEXT('Revenues &amp; Outlays in GDP'!D69, "0.00"),""), "")</f>
        <v/>
      </c>
    </row>
    <row r="64" spans="1:5">
      <c r="A64" s="23" t="str">
        <f>TEXT(IF('Revenues &amp; Outlays in GDP'!B70&lt;&gt;0,'Revenues &amp; Outlays in GDP'!B70-364, ""), "mm/dd/yyyy")</f>
        <v/>
      </c>
      <c r="B64" s="23" t="str">
        <f>IFERROR(IF(ISNUMBER('Revenues &amp; Outlays in GDP'!E70),TEXT('Revenues &amp; Outlays in GDP'!E70, "0.00"),""), "")</f>
        <v/>
      </c>
      <c r="C64" s="23" t="str">
        <f>IFERROR(IF(ISNUMBER('Revenues &amp; Outlays in GDP'!C70),TEXT('Revenues &amp; Outlays in GDP'!C70, "0.00"),""), "")</f>
        <v/>
      </c>
      <c r="D64" s="23" t="str">
        <f>IFERROR(IF(ISNUMBER('Revenues &amp; Outlays in GDP'!F70),TEXT('Revenues &amp; Outlays in GDP'!F70, "0.00"),""), "")</f>
        <v/>
      </c>
      <c r="E64" s="23" t="str">
        <f>IFERROR(IF(ISNUMBER('Revenues &amp; Outlays in GDP'!D70),TEXT('Revenues &amp; Outlays in GDP'!D70, "0.00"),""), "")</f>
        <v/>
      </c>
    </row>
    <row r="65" spans="1:5">
      <c r="A65" s="23" t="str">
        <f>TEXT(IF('Revenues &amp; Outlays in GDP'!B71&lt;&gt;0,'Revenues &amp; Outlays in GDP'!B71-364, ""), "mm/dd/yyyy")</f>
        <v/>
      </c>
      <c r="B65" s="23" t="str">
        <f>IFERROR(IF(ISNUMBER('Revenues &amp; Outlays in GDP'!E71),TEXT('Revenues &amp; Outlays in GDP'!E71, "0.00"),""), "")</f>
        <v/>
      </c>
      <c r="C65" s="23" t="str">
        <f>IFERROR(IF(ISNUMBER('Revenues &amp; Outlays in GDP'!C71),TEXT('Revenues &amp; Outlays in GDP'!C71, "0.00"),""), "")</f>
        <v/>
      </c>
      <c r="D65" s="23" t="str">
        <f>IFERROR(IF(ISNUMBER('Revenues &amp; Outlays in GDP'!F71),TEXT('Revenues &amp; Outlays in GDP'!F71, "0.00"),""), "")</f>
        <v/>
      </c>
      <c r="E65" s="23" t="str">
        <f>IFERROR(IF(ISNUMBER('Revenues &amp; Outlays in GDP'!D71),TEXT('Revenues &amp; Outlays in GDP'!D71, "0.00"),""), "")</f>
        <v/>
      </c>
    </row>
    <row r="66" spans="1:5">
      <c r="A66" s="23" t="str">
        <f>TEXT(IF('Revenues &amp; Outlays in GDP'!B72&lt;&gt;0,'Revenues &amp; Outlays in GDP'!B72-364, ""), "mm/dd/yyyy")</f>
        <v/>
      </c>
      <c r="B66" s="23" t="str">
        <f>IFERROR(IF(ISNUMBER('Revenues &amp; Outlays in GDP'!E72),TEXT('Revenues &amp; Outlays in GDP'!E72, "0.00"),""), "")</f>
        <v/>
      </c>
      <c r="C66" s="23" t="str">
        <f>IFERROR(IF(ISNUMBER('Revenues &amp; Outlays in GDP'!C72),TEXT('Revenues &amp; Outlays in GDP'!C72, "0.00"),""), "")</f>
        <v/>
      </c>
      <c r="D66" s="23" t="str">
        <f>IFERROR(IF(ISNUMBER('Revenues &amp; Outlays in GDP'!F72),TEXT('Revenues &amp; Outlays in GDP'!F72, "0.00"),""), "")</f>
        <v/>
      </c>
      <c r="E66" s="23" t="str">
        <f>IFERROR(IF(ISNUMBER('Revenues &amp; Outlays in GDP'!D72),TEXT('Revenues &amp; Outlays in GDP'!D72, "0.00"),""), "")</f>
        <v/>
      </c>
    </row>
    <row r="67" spans="1:5">
      <c r="A67" s="23" t="str">
        <f>TEXT(IF('Revenues &amp; Outlays in GDP'!B73&lt;&gt;0,'Revenues &amp; Outlays in GDP'!B73-364, ""), "mm/dd/yyyy")</f>
        <v/>
      </c>
      <c r="B67" s="23" t="str">
        <f>IFERROR(IF(ISNUMBER('Revenues &amp; Outlays in GDP'!E73),TEXT('Revenues &amp; Outlays in GDP'!E73, "0.00"),""), "")</f>
        <v/>
      </c>
      <c r="C67" s="23" t="str">
        <f>IFERROR(IF(ISNUMBER('Revenues &amp; Outlays in GDP'!C73),TEXT('Revenues &amp; Outlays in GDP'!C73, "0.00"),""), "")</f>
        <v/>
      </c>
      <c r="D67" s="23" t="str">
        <f>IFERROR(IF(ISNUMBER('Revenues &amp; Outlays in GDP'!F73),TEXT('Revenues &amp; Outlays in GDP'!F73, "0.00"),""), "")</f>
        <v/>
      </c>
      <c r="E67" s="23" t="str">
        <f>IFERROR(IF(ISNUMBER('Revenues &amp; Outlays in GDP'!D73),TEXT('Revenues &amp; Outlays in GDP'!D73, "0.00"),""), "")</f>
        <v/>
      </c>
    </row>
    <row r="68" spans="1:5">
      <c r="A68" s="23" t="str">
        <f>TEXT(IF('Revenues &amp; Outlays in GDP'!B74&lt;&gt;0,'Revenues &amp; Outlays in GDP'!B74-364, ""), "mm/dd/yyyy")</f>
        <v/>
      </c>
      <c r="B68" s="23" t="str">
        <f>IFERROR(IF(ISNUMBER('Revenues &amp; Outlays in GDP'!E74),TEXT('Revenues &amp; Outlays in GDP'!E74, "0.00"),""), "")</f>
        <v/>
      </c>
      <c r="C68" s="23" t="str">
        <f>IFERROR(IF(ISNUMBER('Revenues &amp; Outlays in GDP'!C74),TEXT('Revenues &amp; Outlays in GDP'!C74, "0.00"),""), "")</f>
        <v/>
      </c>
      <c r="D68" s="23" t="str">
        <f>IFERROR(IF(ISNUMBER('Revenues &amp; Outlays in GDP'!F74),TEXT('Revenues &amp; Outlays in GDP'!F74, "0.00"),""), "")</f>
        <v/>
      </c>
      <c r="E68" s="23" t="str">
        <f>IFERROR(IF(ISNUMBER('Revenues &amp; Outlays in GDP'!D74),TEXT('Revenues &amp; Outlays in GDP'!D74, "0.00"),""), "")</f>
        <v/>
      </c>
    </row>
    <row r="69" spans="1:5">
      <c r="A69" s="23" t="str">
        <f>TEXT(IF('Revenues &amp; Outlays in GDP'!B75&lt;&gt;0,'Revenues &amp; Outlays in GDP'!B75-364, ""), "mm/dd/yyyy")</f>
        <v/>
      </c>
      <c r="B69" s="23" t="str">
        <f>IFERROR(IF(ISNUMBER('Revenues &amp; Outlays in GDP'!E75),TEXT('Revenues &amp; Outlays in GDP'!E75, "0.00"),""), "")</f>
        <v/>
      </c>
      <c r="C69" s="23" t="str">
        <f>IFERROR(IF(ISNUMBER('Revenues &amp; Outlays in GDP'!C75),TEXT('Revenues &amp; Outlays in GDP'!C75, "0.00"),""), "")</f>
        <v/>
      </c>
      <c r="D69" s="23" t="str">
        <f>IFERROR(IF(ISNUMBER('Revenues &amp; Outlays in GDP'!F75),TEXT('Revenues &amp; Outlays in GDP'!F75, "0.00"),""), "")</f>
        <v/>
      </c>
      <c r="E69" s="23" t="str">
        <f>IFERROR(IF(ISNUMBER('Revenues &amp; Outlays in GDP'!D75),TEXT('Revenues &amp; Outlays in GDP'!D75, "0.00"),""), "")</f>
        <v/>
      </c>
    </row>
    <row r="70" spans="1:5">
      <c r="A70" s="23" t="str">
        <f>TEXT(IF('Revenues &amp; Outlays in GDP'!B76&lt;&gt;0,'Revenues &amp; Outlays in GDP'!B76-364, ""), "mm/dd/yyyy")</f>
        <v/>
      </c>
      <c r="B70" s="23" t="str">
        <f>IFERROR(IF(ISNUMBER('Revenues &amp; Outlays in GDP'!E76),TEXT('Revenues &amp; Outlays in GDP'!E76, "0.00"),""), "")</f>
        <v/>
      </c>
      <c r="C70" s="23" t="str">
        <f>IFERROR(IF(ISNUMBER('Revenues &amp; Outlays in GDP'!C76),TEXT('Revenues &amp; Outlays in GDP'!C76, "0.00"),""), "")</f>
        <v/>
      </c>
      <c r="D70" s="23" t="str">
        <f>IFERROR(IF(ISNUMBER('Revenues &amp; Outlays in GDP'!F76),TEXT('Revenues &amp; Outlays in GDP'!F76, "0.00"),""), "")</f>
        <v/>
      </c>
      <c r="E70" s="23" t="str">
        <f>IFERROR(IF(ISNUMBER('Revenues &amp; Outlays in GDP'!D76),TEXT('Revenues &amp; Outlays in GDP'!D76, "0.00"),""), "")</f>
        <v/>
      </c>
    </row>
    <row r="71" spans="1:5">
      <c r="A71" s="23" t="str">
        <f>TEXT(IF('Revenues &amp; Outlays in GDP'!B77&lt;&gt;0,'Revenues &amp; Outlays in GDP'!B77-364, ""), "mm/dd/yyyy")</f>
        <v/>
      </c>
      <c r="B71" s="23" t="str">
        <f>IFERROR(IF(ISNUMBER('Revenues &amp; Outlays in GDP'!E77),TEXT('Revenues &amp; Outlays in GDP'!E77, "0.00"),""), "")</f>
        <v/>
      </c>
      <c r="C71" s="23" t="str">
        <f>IFERROR(IF(ISNUMBER('Revenues &amp; Outlays in GDP'!C77),TEXT('Revenues &amp; Outlays in GDP'!C77, "0.00"),""), "")</f>
        <v/>
      </c>
      <c r="D71" s="23" t="str">
        <f>IFERROR(IF(ISNUMBER('Revenues &amp; Outlays in GDP'!F77),TEXT('Revenues &amp; Outlays in GDP'!F77, "0.00"),""), "")</f>
        <v/>
      </c>
      <c r="E71" s="23" t="str">
        <f>IFERROR(IF(ISNUMBER('Revenues &amp; Outlays in GDP'!D77),TEXT('Revenues &amp; Outlays in GDP'!D77, "0.00"),""), "")</f>
        <v/>
      </c>
    </row>
    <row r="72" spans="1:5">
      <c r="A72" s="23" t="str">
        <f>TEXT(IF('Revenues &amp; Outlays in GDP'!B78&lt;&gt;0,'Revenues &amp; Outlays in GDP'!B78-364, ""), "mm/dd/yyyy")</f>
        <v/>
      </c>
      <c r="B72" s="23" t="str">
        <f>IFERROR(IF(ISNUMBER('Revenues &amp; Outlays in GDP'!E78),TEXT('Revenues &amp; Outlays in GDP'!E78, "0.00"),""), "")</f>
        <v/>
      </c>
      <c r="C72" s="23" t="str">
        <f>IFERROR(IF(ISNUMBER('Revenues &amp; Outlays in GDP'!C78),TEXT('Revenues &amp; Outlays in GDP'!C78, "0.00"),""), "")</f>
        <v/>
      </c>
      <c r="D72" s="23" t="str">
        <f>IFERROR(IF(ISNUMBER('Revenues &amp; Outlays in GDP'!F78),TEXT('Revenues &amp; Outlays in GDP'!F78, "0.00"),""), "")</f>
        <v/>
      </c>
      <c r="E72" s="23" t="str">
        <f>IFERROR(IF(ISNUMBER('Revenues &amp; Outlays in GDP'!D78),TEXT('Revenues &amp; Outlays in GDP'!D78, "0.00"),""), "")</f>
        <v/>
      </c>
    </row>
    <row r="73" spans="1:5">
      <c r="A73" s="23" t="str">
        <f>TEXT(IF('Revenues &amp; Outlays in GDP'!B79&lt;&gt;0,'Revenues &amp; Outlays in GDP'!B79-364, ""), "mm/dd/yyyy")</f>
        <v/>
      </c>
      <c r="B73" s="23" t="str">
        <f>IFERROR(IF(ISNUMBER('Revenues &amp; Outlays in GDP'!E79),TEXT('Revenues &amp; Outlays in GDP'!E79, "0.00"),""), "")</f>
        <v/>
      </c>
      <c r="C73" s="23" t="str">
        <f>IFERROR(IF(ISNUMBER('Revenues &amp; Outlays in GDP'!C79),TEXT('Revenues &amp; Outlays in GDP'!C79, "0.00"),""), "")</f>
        <v/>
      </c>
      <c r="D73" s="23" t="str">
        <f>IFERROR(IF(ISNUMBER('Revenues &amp; Outlays in GDP'!F79),TEXT('Revenues &amp; Outlays in GDP'!F79, "0.00"),""), "")</f>
        <v/>
      </c>
      <c r="E73" s="23" t="str">
        <f>IFERROR(IF(ISNUMBER('Revenues &amp; Outlays in GDP'!D79),TEXT('Revenues &amp; Outlays in GDP'!D79, "0.00"),""), "")</f>
        <v/>
      </c>
    </row>
    <row r="74" spans="1:5">
      <c r="A74" s="23" t="str">
        <f>TEXT(IF('Revenues &amp; Outlays in GDP'!B80&lt;&gt;0,'Revenues &amp; Outlays in GDP'!B80-364, ""), "mm/dd/yyyy")</f>
        <v/>
      </c>
      <c r="B74" s="23" t="str">
        <f>IFERROR(IF(ISNUMBER('Revenues &amp; Outlays in GDP'!E80),TEXT('Revenues &amp; Outlays in GDP'!E80, "0.00"),""), "")</f>
        <v/>
      </c>
      <c r="C74" s="23" t="str">
        <f>IFERROR(IF(ISNUMBER('Revenues &amp; Outlays in GDP'!C80),TEXT('Revenues &amp; Outlays in GDP'!C80, "0.00"),""), "")</f>
        <v/>
      </c>
      <c r="D74" s="23" t="str">
        <f>IFERROR(IF(ISNUMBER('Revenues &amp; Outlays in GDP'!F80),TEXT('Revenues &amp; Outlays in GDP'!F80, "0.00"),""), "")</f>
        <v/>
      </c>
      <c r="E74" s="23" t="str">
        <f>IFERROR(IF(ISNUMBER('Revenues &amp; Outlays in GDP'!D80),TEXT('Revenues &amp; Outlays in GDP'!D80, "0.00"),""), "")</f>
        <v/>
      </c>
    </row>
    <row r="75" spans="1:5">
      <c r="A75" s="23" t="str">
        <f>TEXT(IF('Revenues &amp; Outlays in GDP'!B81&lt;&gt;0,'Revenues &amp; Outlays in GDP'!B81-364, ""), "mm/dd/yyyy")</f>
        <v/>
      </c>
      <c r="B75" s="23" t="str">
        <f>IFERROR(IF(ISNUMBER('Revenues &amp; Outlays in GDP'!E81),TEXT('Revenues &amp; Outlays in GDP'!E81, "0.00"),""), "")</f>
        <v/>
      </c>
      <c r="C75" s="23" t="str">
        <f>IFERROR(IF(ISNUMBER('Revenues &amp; Outlays in GDP'!C81),TEXT('Revenues &amp; Outlays in GDP'!C81, "0.00"),""), "")</f>
        <v/>
      </c>
      <c r="D75" s="23" t="str">
        <f>IFERROR(IF(ISNUMBER('Revenues &amp; Outlays in GDP'!F81),TEXT('Revenues &amp; Outlays in GDP'!F81, "0.00"),""), "")</f>
        <v/>
      </c>
      <c r="E75" s="23" t="str">
        <f>IFERROR(IF(ISNUMBER('Revenues &amp; Outlays in GDP'!D81),TEXT('Revenues &amp; Outlays in GDP'!D81, "0.00"),""), "")</f>
        <v/>
      </c>
    </row>
    <row r="76" spans="1:5">
      <c r="A76" s="23" t="str">
        <f>TEXT(IF('Revenues &amp; Outlays in GDP'!B82&lt;&gt;0,'Revenues &amp; Outlays in GDP'!B82-364, ""), "mm/dd/yyyy")</f>
        <v/>
      </c>
      <c r="B76" s="23" t="str">
        <f>IFERROR(IF(ISNUMBER('Revenues &amp; Outlays in GDP'!E82),TEXT('Revenues &amp; Outlays in GDP'!E82, "0.00"),""), "")</f>
        <v/>
      </c>
      <c r="C76" s="23" t="str">
        <f>IFERROR(IF(ISNUMBER('Revenues &amp; Outlays in GDP'!C82),TEXT('Revenues &amp; Outlays in GDP'!C82, "0.00"),""), "")</f>
        <v/>
      </c>
      <c r="D76" s="23" t="str">
        <f>IFERROR(IF(ISNUMBER('Revenues &amp; Outlays in GDP'!F82),TEXT('Revenues &amp; Outlays in GDP'!F82, "0.00"),""), "")</f>
        <v/>
      </c>
      <c r="E76" s="23" t="str">
        <f>IFERROR(IF(ISNUMBER('Revenues &amp; Outlays in GDP'!D82),TEXT('Revenues &amp; Outlays in GDP'!D82, "0.00"),""), "")</f>
        <v/>
      </c>
    </row>
    <row r="77" spans="1:5">
      <c r="A77" s="23" t="str">
        <f>TEXT(IF('Revenues &amp; Outlays in GDP'!B83&lt;&gt;0,'Revenues &amp; Outlays in GDP'!B83-364, ""), "mm/dd/yyyy")</f>
        <v/>
      </c>
      <c r="B77" s="23" t="str">
        <f>IFERROR(IF(ISNUMBER('Revenues &amp; Outlays in GDP'!E83),TEXT('Revenues &amp; Outlays in GDP'!E83, "0.00"),""), "")</f>
        <v/>
      </c>
      <c r="C77" s="23" t="str">
        <f>IFERROR(IF(ISNUMBER('Revenues &amp; Outlays in GDP'!C83),TEXT('Revenues &amp; Outlays in GDP'!C83, "0.00"),""), "")</f>
        <v/>
      </c>
      <c r="D77" s="23" t="str">
        <f>IFERROR(IF(ISNUMBER('Revenues &amp; Outlays in GDP'!F83),TEXT('Revenues &amp; Outlays in GDP'!F83, "0.00"),""), "")</f>
        <v/>
      </c>
      <c r="E77" s="23" t="str">
        <f>IFERROR(IF(ISNUMBER('Revenues &amp; Outlays in GDP'!D83),TEXT('Revenues &amp; Outlays in GDP'!D83, "0.00"),""), "")</f>
        <v/>
      </c>
    </row>
    <row r="78" spans="1:5">
      <c r="A78" s="23" t="str">
        <f>TEXT(IF('Revenues &amp; Outlays in GDP'!B84&lt;&gt;0,'Revenues &amp; Outlays in GDP'!B84-364, ""), "mm/dd/yyyy")</f>
        <v/>
      </c>
      <c r="B78" s="23" t="str">
        <f>IFERROR(IF(ISNUMBER('Revenues &amp; Outlays in GDP'!E84),TEXT('Revenues &amp; Outlays in GDP'!E84, "0.00"),""), "")</f>
        <v/>
      </c>
      <c r="C78" s="23" t="str">
        <f>IFERROR(IF(ISNUMBER('Revenues &amp; Outlays in GDP'!C84),TEXT('Revenues &amp; Outlays in GDP'!C84, "0.00"),""), "")</f>
        <v/>
      </c>
      <c r="D78" s="23" t="str">
        <f>IFERROR(IF(ISNUMBER('Revenues &amp; Outlays in GDP'!F84),TEXT('Revenues &amp; Outlays in GDP'!F84, "0.00"),""), "")</f>
        <v/>
      </c>
      <c r="E78" s="23" t="str">
        <f>IFERROR(IF(ISNUMBER('Revenues &amp; Outlays in GDP'!D84),TEXT('Revenues &amp; Outlays in GDP'!D84, "0.00"),""), "")</f>
        <v/>
      </c>
    </row>
    <row r="79" spans="1:5">
      <c r="A79" s="23" t="str">
        <f>TEXT(IF('Revenues &amp; Outlays in GDP'!B85&lt;&gt;0,'Revenues &amp; Outlays in GDP'!B85-364, ""), "mm/dd/yyyy")</f>
        <v/>
      </c>
      <c r="B79" s="23" t="str">
        <f>IFERROR(IF(ISNUMBER('Revenues &amp; Outlays in GDP'!E85),TEXT('Revenues &amp; Outlays in GDP'!E85, "0.00"),""), "")</f>
        <v/>
      </c>
      <c r="C79" s="23" t="str">
        <f>IFERROR(IF(ISNUMBER('Revenues &amp; Outlays in GDP'!C85),TEXT('Revenues &amp; Outlays in GDP'!C85, "0.00"),""), "")</f>
        <v/>
      </c>
      <c r="D79" s="23" t="str">
        <f>IFERROR(IF(ISNUMBER('Revenues &amp; Outlays in GDP'!F85),TEXT('Revenues &amp; Outlays in GDP'!F85, "0.00"),""), "")</f>
        <v/>
      </c>
      <c r="E79" s="23" t="str">
        <f>IFERROR(IF(ISNUMBER('Revenues &amp; Outlays in GDP'!D85),TEXT('Revenues &amp; Outlays in GDP'!D85, "0.00"),""), "")</f>
        <v/>
      </c>
    </row>
    <row r="80" spans="1:5">
      <c r="A80" s="23" t="str">
        <f>TEXT(IF('Revenues &amp; Outlays in GDP'!B86&lt;&gt;0,'Revenues &amp; Outlays in GDP'!B86-364, ""), "mm/dd/yyyy")</f>
        <v/>
      </c>
      <c r="B80" s="23" t="str">
        <f>IFERROR(IF(ISNUMBER('Revenues &amp; Outlays in GDP'!E86),TEXT('Revenues &amp; Outlays in GDP'!E86, "0.00"),""), "")</f>
        <v/>
      </c>
      <c r="C80" s="23" t="str">
        <f>IFERROR(IF(ISNUMBER('Revenues &amp; Outlays in GDP'!C86),TEXT('Revenues &amp; Outlays in GDP'!C86, "0.00"),""), "")</f>
        <v/>
      </c>
      <c r="D80" s="23" t="str">
        <f>IFERROR(IF(ISNUMBER('Revenues &amp; Outlays in GDP'!F86),TEXT('Revenues &amp; Outlays in GDP'!F86, "0.00"),""), "")</f>
        <v/>
      </c>
      <c r="E80" s="23" t="str">
        <f>IFERROR(IF(ISNUMBER('Revenues &amp; Outlays in GDP'!D86),TEXT('Revenues &amp; Outlays in GDP'!D86, "0.00"),""), "")</f>
        <v/>
      </c>
    </row>
    <row r="81" spans="1:5">
      <c r="A81" s="23" t="str">
        <f>TEXT(IF('Revenues &amp; Outlays in GDP'!B87&lt;&gt;0,'Revenues &amp; Outlays in GDP'!B87-364, ""), "mm/dd/yyyy")</f>
        <v/>
      </c>
      <c r="B81" s="23" t="str">
        <f>IFERROR(IF(ISNUMBER('Revenues &amp; Outlays in GDP'!E87),TEXT('Revenues &amp; Outlays in GDP'!E87, "0.00"),""), "")</f>
        <v/>
      </c>
      <c r="C81" s="23" t="str">
        <f>IFERROR(IF(ISNUMBER('Revenues &amp; Outlays in GDP'!C87),TEXT('Revenues &amp; Outlays in GDP'!C87, "0.00"),""), "")</f>
        <v/>
      </c>
      <c r="D81" s="23" t="str">
        <f>IFERROR(IF(ISNUMBER('Revenues &amp; Outlays in GDP'!F87),TEXT('Revenues &amp; Outlays in GDP'!F87, "0.00"),""), "")</f>
        <v/>
      </c>
      <c r="E81" s="23" t="str">
        <f>IFERROR(IF(ISNUMBER('Revenues &amp; Outlays in GDP'!D87),TEXT('Revenues &amp; Outlays in GDP'!D87, "0.00"),""), "")</f>
        <v/>
      </c>
    </row>
    <row r="82" spans="1:5">
      <c r="A82" s="23" t="str">
        <f>TEXT(IF('Revenues &amp; Outlays in GDP'!B88&lt;&gt;0,'Revenues &amp; Outlays in GDP'!B88-364, ""), "mm/dd/yyyy")</f>
        <v/>
      </c>
      <c r="B82" s="23" t="str">
        <f>IFERROR(IF(ISNUMBER('Revenues &amp; Outlays in GDP'!E88),TEXT('Revenues &amp; Outlays in GDP'!E88, "0.00"),""), "")</f>
        <v/>
      </c>
      <c r="C82" s="23" t="str">
        <f>IFERROR(IF(ISNUMBER('Revenues &amp; Outlays in GDP'!C88),TEXT('Revenues &amp; Outlays in GDP'!C88, "0.00"),""), "")</f>
        <v/>
      </c>
      <c r="D82" s="23" t="str">
        <f>IFERROR(IF(ISNUMBER('Revenues &amp; Outlays in GDP'!F88),TEXT('Revenues &amp; Outlays in GDP'!F88, "0.00"),""), "")</f>
        <v/>
      </c>
      <c r="E82" s="23" t="str">
        <f>IFERROR(IF(ISNUMBER('Revenues &amp; Outlays in GDP'!D88),TEXT('Revenues &amp; Outlays in GDP'!D88, "0.00"),""), "")</f>
        <v/>
      </c>
    </row>
    <row r="83" spans="1:5">
      <c r="A83" s="23" t="str">
        <f>TEXT(IF('Revenues &amp; Outlays in GDP'!B89&lt;&gt;0,'Revenues &amp; Outlays in GDP'!B89-364, ""), "mm/dd/yyyy")</f>
        <v/>
      </c>
      <c r="B83" s="23" t="str">
        <f>IFERROR(IF(ISNUMBER('Revenues &amp; Outlays in GDP'!E89),TEXT('Revenues &amp; Outlays in GDP'!E89, "0.00"),""), "")</f>
        <v/>
      </c>
      <c r="C83" s="23" t="str">
        <f>IFERROR(IF(ISNUMBER('Revenues &amp; Outlays in GDP'!C89),TEXT('Revenues &amp; Outlays in GDP'!C89, "0.00"),""), "")</f>
        <v/>
      </c>
      <c r="D83" s="23" t="str">
        <f>IFERROR(IF(ISNUMBER('Revenues &amp; Outlays in GDP'!F89),TEXT('Revenues &amp; Outlays in GDP'!F89, "0.00"),""), "")</f>
        <v/>
      </c>
      <c r="E83" s="23" t="str">
        <f>IFERROR(IF(ISNUMBER('Revenues &amp; Outlays in GDP'!D89),TEXT('Revenues &amp; Outlays in GDP'!D89, "0.00"),""), "")</f>
        <v/>
      </c>
    </row>
    <row r="84" spans="1:5">
      <c r="A84" s="23" t="str">
        <f>TEXT(IF('Revenues &amp; Outlays in GDP'!B90&lt;&gt;0,'Revenues &amp; Outlays in GDP'!B90-364, ""), "mm/dd/yyyy")</f>
        <v/>
      </c>
      <c r="B84" s="23" t="str">
        <f>IFERROR(IF(ISNUMBER('Revenues &amp; Outlays in GDP'!E90),TEXT('Revenues &amp; Outlays in GDP'!E90, "0.00"),""), "")</f>
        <v/>
      </c>
      <c r="C84" s="23" t="str">
        <f>IFERROR(IF(ISNUMBER('Revenues &amp; Outlays in GDP'!C90),TEXT('Revenues &amp; Outlays in GDP'!C90, "0.00"),""), "")</f>
        <v/>
      </c>
      <c r="D84" s="23" t="str">
        <f>IFERROR(IF(ISNUMBER('Revenues &amp; Outlays in GDP'!F90),TEXT('Revenues &amp; Outlays in GDP'!F90, "0.00"),""), "")</f>
        <v/>
      </c>
      <c r="E84" s="23" t="str">
        <f>IFERROR(IF(ISNUMBER('Revenues &amp; Outlays in GDP'!D90),TEXT('Revenues &amp; Outlays in GDP'!D90, "0.00"),""), "")</f>
        <v/>
      </c>
    </row>
    <row r="85" spans="1:5">
      <c r="A85" s="23" t="str">
        <f>TEXT(IF('Revenues &amp; Outlays in GDP'!B91&lt;&gt;0,'Revenues &amp; Outlays in GDP'!B91-364, ""), "mm/dd/yyyy")</f>
        <v/>
      </c>
      <c r="B85" s="23" t="str">
        <f>IFERROR(IF(ISNUMBER('Revenues &amp; Outlays in GDP'!E91),TEXT('Revenues &amp; Outlays in GDP'!E91, "0.00"),""), "")</f>
        <v/>
      </c>
      <c r="C85" s="23" t="str">
        <f>IFERROR(IF(ISNUMBER('Revenues &amp; Outlays in GDP'!C91),TEXT('Revenues &amp; Outlays in GDP'!C91, "0.00"),""), "")</f>
        <v/>
      </c>
      <c r="D85" s="23" t="str">
        <f>IFERROR(IF(ISNUMBER('Revenues &amp; Outlays in GDP'!F91),TEXT('Revenues &amp; Outlays in GDP'!F91, "0.00"),""), "")</f>
        <v/>
      </c>
      <c r="E85" s="23" t="str">
        <f>IFERROR(IF(ISNUMBER('Revenues &amp; Outlays in GDP'!D91),TEXT('Revenues &amp; Outlays in GDP'!D91, "0.00"),""), "")</f>
        <v/>
      </c>
    </row>
    <row r="86" spans="1:5">
      <c r="A86" s="23" t="str">
        <f>TEXT(IF('Revenues &amp; Outlays in GDP'!B92&lt;&gt;0,'Revenues &amp; Outlays in GDP'!B92-364, ""), "mm/dd/yyyy")</f>
        <v/>
      </c>
      <c r="B86" s="23" t="str">
        <f>IFERROR(IF(ISNUMBER('Revenues &amp; Outlays in GDP'!E92),TEXT('Revenues &amp; Outlays in GDP'!E92, "0.00"),""), "")</f>
        <v/>
      </c>
      <c r="C86" s="23" t="str">
        <f>IFERROR(IF(ISNUMBER('Revenues &amp; Outlays in GDP'!C92),TEXT('Revenues &amp; Outlays in GDP'!C92, "0.00"),""), "")</f>
        <v/>
      </c>
      <c r="D86" s="23" t="str">
        <f>IFERROR(IF(ISNUMBER('Revenues &amp; Outlays in GDP'!F92),TEXT('Revenues &amp; Outlays in GDP'!F92, "0.00"),""), "")</f>
        <v/>
      </c>
      <c r="E86" s="23" t="str">
        <f>IFERROR(IF(ISNUMBER('Revenues &amp; Outlays in GDP'!D92),TEXT('Revenues &amp; Outlays in GDP'!D92, "0.00"),""), "")</f>
        <v/>
      </c>
    </row>
    <row r="87" spans="1:5">
      <c r="A87" s="23" t="str">
        <f>TEXT(IF('Revenues &amp; Outlays in GDP'!B93&lt;&gt;0,'Revenues &amp; Outlays in GDP'!B93-364, ""), "mm/dd/yyyy")</f>
        <v/>
      </c>
      <c r="B87" s="23" t="str">
        <f>IFERROR(IF(ISNUMBER('Revenues &amp; Outlays in GDP'!E93),TEXT('Revenues &amp; Outlays in GDP'!E93, "0.00"),""), "")</f>
        <v/>
      </c>
      <c r="C87" s="23" t="str">
        <f>IFERROR(IF(ISNUMBER('Revenues &amp; Outlays in GDP'!C93),TEXT('Revenues &amp; Outlays in GDP'!C93, "0.00"),""), "")</f>
        <v/>
      </c>
      <c r="D87" s="23" t="str">
        <f>IFERROR(IF(ISNUMBER('Revenues &amp; Outlays in GDP'!F93),TEXT('Revenues &amp; Outlays in GDP'!F93, "0.00"),""), "")</f>
        <v/>
      </c>
      <c r="E87" s="23" t="str">
        <f>IFERROR(IF(ISNUMBER('Revenues &amp; Outlays in GDP'!D93),TEXT('Revenues &amp; Outlays in GDP'!D93, "0.00"),""), "")</f>
        <v/>
      </c>
    </row>
    <row r="88" spans="1:5">
      <c r="A88" s="23" t="str">
        <f>TEXT(IF('Revenues &amp; Outlays in GDP'!B94&lt;&gt;0,'Revenues &amp; Outlays in GDP'!B94-364, ""), "mm/dd/yyyy")</f>
        <v/>
      </c>
      <c r="B88" s="23" t="str">
        <f>IFERROR(IF(ISNUMBER('Revenues &amp; Outlays in GDP'!E94),TEXT('Revenues &amp; Outlays in GDP'!E94, "0.00"),""), "")</f>
        <v/>
      </c>
      <c r="C88" s="23" t="str">
        <f>IFERROR(IF(ISNUMBER('Revenues &amp; Outlays in GDP'!C94),TEXT('Revenues &amp; Outlays in GDP'!C94, "0.00"),""), "")</f>
        <v/>
      </c>
      <c r="D88" s="23" t="str">
        <f>IFERROR(IF(ISNUMBER('Revenues &amp; Outlays in GDP'!F94),TEXT('Revenues &amp; Outlays in GDP'!F94, "0.00"),""), "")</f>
        <v/>
      </c>
      <c r="E88" s="23" t="str">
        <f>IFERROR(IF(ISNUMBER('Revenues &amp; Outlays in GDP'!D94),TEXT('Revenues &amp; Outlays in GDP'!D94, "0.00"),""), "")</f>
        <v/>
      </c>
    </row>
    <row r="89" spans="1:5">
      <c r="A89" s="23" t="str">
        <f>TEXT(IF('Revenues &amp; Outlays in GDP'!B95&lt;&gt;0,'Revenues &amp; Outlays in GDP'!B95-364, ""), "mm/dd/yyyy")</f>
        <v/>
      </c>
      <c r="B89" s="23" t="str">
        <f>IFERROR(IF(ISNUMBER('Revenues &amp; Outlays in GDP'!E95),TEXT('Revenues &amp; Outlays in GDP'!E95, "0.00"),""), "")</f>
        <v/>
      </c>
      <c r="C89" s="23" t="str">
        <f>IFERROR(IF(ISNUMBER('Revenues &amp; Outlays in GDP'!C95),TEXT('Revenues &amp; Outlays in GDP'!C95, "0.00"),""), "")</f>
        <v/>
      </c>
      <c r="D89" s="23" t="str">
        <f>IFERROR(IF(ISNUMBER('Revenues &amp; Outlays in GDP'!F95),TEXT('Revenues &amp; Outlays in GDP'!F95, "0.00"),""), "")</f>
        <v/>
      </c>
      <c r="E89" s="23" t="str">
        <f>IFERROR(IF(ISNUMBER('Revenues &amp; Outlays in GDP'!D95),TEXT('Revenues &amp; Outlays in GDP'!D95, "0.00"),""), "")</f>
        <v/>
      </c>
    </row>
    <row r="90" spans="1:5">
      <c r="A90" s="23" t="str">
        <f>TEXT(IF('Revenues &amp; Outlays in GDP'!B96&lt;&gt;0,'Revenues &amp; Outlays in GDP'!B96-364, ""), "mm/dd/yyyy")</f>
        <v/>
      </c>
      <c r="B90" s="23" t="str">
        <f>IFERROR(IF(ISNUMBER('Revenues &amp; Outlays in GDP'!E96),TEXT('Revenues &amp; Outlays in GDP'!E96, "0.00"),""), "")</f>
        <v/>
      </c>
      <c r="C90" s="23" t="str">
        <f>IFERROR(IF(ISNUMBER('Revenues &amp; Outlays in GDP'!C96),TEXT('Revenues &amp; Outlays in GDP'!C96, "0.00"),""), "")</f>
        <v/>
      </c>
      <c r="D90" s="23" t="str">
        <f>IFERROR(IF(ISNUMBER('Revenues &amp; Outlays in GDP'!F96),TEXT('Revenues &amp; Outlays in GDP'!F96, "0.00"),""), "")</f>
        <v/>
      </c>
      <c r="E90" s="23" t="str">
        <f>IFERROR(IF(ISNUMBER('Revenues &amp; Outlays in GDP'!D96),TEXT('Revenues &amp; Outlays in GDP'!D96, "0.00"),""), "")</f>
        <v/>
      </c>
    </row>
    <row r="91" spans="1:5">
      <c r="A91" s="23" t="str">
        <f>TEXT(IF('Revenues &amp; Outlays in GDP'!B97&lt;&gt;0,'Revenues &amp; Outlays in GDP'!B97-364, ""), "mm/dd/yyyy")</f>
        <v/>
      </c>
      <c r="B91" s="23" t="str">
        <f>IFERROR(IF(ISNUMBER('Revenues &amp; Outlays in GDP'!E97),TEXT('Revenues &amp; Outlays in GDP'!E97, "0.00"),""), "")</f>
        <v/>
      </c>
      <c r="C91" s="23" t="str">
        <f>IFERROR(IF(ISNUMBER('Revenues &amp; Outlays in GDP'!C97),TEXT('Revenues &amp; Outlays in GDP'!C97, "0.00"),""), "")</f>
        <v/>
      </c>
      <c r="D91" s="23" t="str">
        <f>IFERROR(IF(ISNUMBER('Revenues &amp; Outlays in GDP'!F97),TEXT('Revenues &amp; Outlays in GDP'!F97, "0.00"),""), "")</f>
        <v/>
      </c>
      <c r="E91" s="23" t="str">
        <f>IFERROR(IF(ISNUMBER('Revenues &amp; Outlays in GDP'!D97),TEXT('Revenues &amp; Outlays in GDP'!D97, "0.00"),""), "")</f>
        <v/>
      </c>
    </row>
    <row r="92" spans="1:5">
      <c r="A92" s="23" t="str">
        <f>TEXT(IF('Revenues &amp; Outlays in GDP'!B98&lt;&gt;0,'Revenues &amp; Outlays in GDP'!B98-364, ""), "mm/dd/yyyy")</f>
        <v/>
      </c>
      <c r="B92" s="23" t="str">
        <f>IFERROR(IF(ISNUMBER('Revenues &amp; Outlays in GDP'!E98),TEXT('Revenues &amp; Outlays in GDP'!E98, "0.00"),""), "")</f>
        <v/>
      </c>
      <c r="C92" s="23" t="str">
        <f>IFERROR(IF(ISNUMBER('Revenues &amp; Outlays in GDP'!C98),TEXT('Revenues &amp; Outlays in GDP'!C98, "0.00"),""), "")</f>
        <v/>
      </c>
      <c r="D92" s="23" t="str">
        <f>IFERROR(IF(ISNUMBER('Revenues &amp; Outlays in GDP'!F98),TEXT('Revenues &amp; Outlays in GDP'!F98, "0.00"),""), "")</f>
        <v/>
      </c>
      <c r="E92" s="23" t="str">
        <f>IFERROR(IF(ISNUMBER('Revenues &amp; Outlays in GDP'!D98),TEXT('Revenues &amp; Outlays in GDP'!D98, "0.00"),""), "")</f>
        <v/>
      </c>
    </row>
    <row r="93" spans="1:5">
      <c r="A93" s="23" t="str">
        <f>TEXT(IF('Revenues &amp; Outlays in GDP'!B99&lt;&gt;0,'Revenues &amp; Outlays in GDP'!B99-364, ""), "mm/dd/yyyy")</f>
        <v/>
      </c>
      <c r="B93" s="23" t="str">
        <f>IFERROR(IF(ISNUMBER('Revenues &amp; Outlays in GDP'!E99),TEXT('Revenues &amp; Outlays in GDP'!E99, "0.00"),""), "")</f>
        <v/>
      </c>
      <c r="C93" s="23" t="str">
        <f>IFERROR(IF(ISNUMBER('Revenues &amp; Outlays in GDP'!C99),TEXT('Revenues &amp; Outlays in GDP'!C99, "0.00"),""), "")</f>
        <v/>
      </c>
      <c r="D93" s="23" t="str">
        <f>IFERROR(IF(ISNUMBER('Revenues &amp; Outlays in GDP'!F99),TEXT('Revenues &amp; Outlays in GDP'!F99, "0.00"),""), "")</f>
        <v/>
      </c>
      <c r="E93" s="23" t="str">
        <f>IFERROR(IF(ISNUMBER('Revenues &amp; Outlays in GDP'!D99),TEXT('Revenues &amp; Outlays in GDP'!D99, "0.00"),""), "")</f>
        <v/>
      </c>
    </row>
    <row r="94" spans="1:5">
      <c r="A94" s="23" t="str">
        <f>TEXT(IF('Revenues &amp; Outlays in GDP'!B100&lt;&gt;0,'Revenues &amp; Outlays in GDP'!B100-364, ""), "mm/dd/yyyy")</f>
        <v/>
      </c>
      <c r="B94" s="23" t="str">
        <f>IFERROR(IF(ISNUMBER('Revenues &amp; Outlays in GDP'!E100),TEXT('Revenues &amp; Outlays in GDP'!E100, "0.00"),""), "")</f>
        <v/>
      </c>
      <c r="C94" s="23" t="str">
        <f>IFERROR(IF(ISNUMBER('Revenues &amp; Outlays in GDP'!C100),TEXT('Revenues &amp; Outlays in GDP'!C100, "0.00"),""), "")</f>
        <v/>
      </c>
      <c r="D94" s="23" t="str">
        <f>IFERROR(IF(ISNUMBER('Revenues &amp; Outlays in GDP'!F100),TEXT('Revenues &amp; Outlays in GDP'!F100, "0.00"),""), "")</f>
        <v/>
      </c>
      <c r="E94" s="23" t="str">
        <f>IFERROR(IF(ISNUMBER('Revenues &amp; Outlays in GDP'!D100),TEXT('Revenues &amp; Outlays in GDP'!D100, "0.00"),""), "")</f>
        <v/>
      </c>
    </row>
    <row r="95" spans="1:5">
      <c r="A95" s="23" t="str">
        <f>TEXT(IF('Revenues &amp; Outlays in GDP'!B101&lt;&gt;0,'Revenues &amp; Outlays in GDP'!B101-364, ""), "mm/dd/yyyy")</f>
        <v/>
      </c>
      <c r="B95" s="23" t="str">
        <f>IFERROR(IF(ISNUMBER('Revenues &amp; Outlays in GDP'!E101),TEXT('Revenues &amp; Outlays in GDP'!E101, "0.00"),""), "")</f>
        <v/>
      </c>
      <c r="C95" s="23" t="str">
        <f>IFERROR(IF(ISNUMBER('Revenues &amp; Outlays in GDP'!C101),TEXT('Revenues &amp; Outlays in GDP'!C101, "0.00"),""), "")</f>
        <v/>
      </c>
      <c r="D95" s="23" t="str">
        <f>IFERROR(IF(ISNUMBER('Revenues &amp; Outlays in GDP'!F101),TEXT('Revenues &amp; Outlays in GDP'!F101, "0.00"),""), "")</f>
        <v/>
      </c>
      <c r="E95" s="23" t="str">
        <f>IFERROR(IF(ISNUMBER('Revenues &amp; Outlays in GDP'!D101),TEXT('Revenues &amp; Outlays in GDP'!D101, "0.00"),""), "")</f>
        <v/>
      </c>
    </row>
    <row r="96" spans="1:5">
      <c r="A96" s="23" t="str">
        <f>TEXT(IF('Revenues &amp; Outlays in GDP'!B102&lt;&gt;0,'Revenues &amp; Outlays in GDP'!B102-364, ""), "mm/dd/yyyy")</f>
        <v/>
      </c>
      <c r="B96" s="23" t="str">
        <f>IFERROR(IF(ISNUMBER('Revenues &amp; Outlays in GDP'!E102),TEXT('Revenues &amp; Outlays in GDP'!E102, "0.00"),""), "")</f>
        <v/>
      </c>
      <c r="C96" s="23" t="str">
        <f>IFERROR(IF(ISNUMBER('Revenues &amp; Outlays in GDP'!C102),TEXT('Revenues &amp; Outlays in GDP'!C102, "0.00"),""), "")</f>
        <v/>
      </c>
      <c r="D96" s="23" t="str">
        <f>IFERROR(IF(ISNUMBER('Revenues &amp; Outlays in GDP'!F102),TEXT('Revenues &amp; Outlays in GDP'!F102, "0.00"),""), "")</f>
        <v/>
      </c>
      <c r="E96" s="23" t="str">
        <f>IFERROR(IF(ISNUMBER('Revenues &amp; Outlays in GDP'!D102),TEXT('Revenues &amp; Outlays in GDP'!D102, "0.00"),""), "")</f>
        <v/>
      </c>
    </row>
    <row r="97" spans="1:5">
      <c r="A97" s="23" t="str">
        <f>TEXT(IF('Revenues &amp; Outlays in GDP'!B103&lt;&gt;0,'Revenues &amp; Outlays in GDP'!B103-364, ""), "mm/dd/yyyy")</f>
        <v/>
      </c>
      <c r="B97" s="23" t="str">
        <f>IFERROR(IF(ISNUMBER('Revenues &amp; Outlays in GDP'!E103),TEXT('Revenues &amp; Outlays in GDP'!E103, "0.00"),""), "")</f>
        <v/>
      </c>
      <c r="C97" s="23" t="str">
        <f>IFERROR(IF(ISNUMBER('Revenues &amp; Outlays in GDP'!C103),TEXT('Revenues &amp; Outlays in GDP'!C103, "0.00"),""), "")</f>
        <v/>
      </c>
      <c r="D97" s="23" t="str">
        <f>IFERROR(IF(ISNUMBER('Revenues &amp; Outlays in GDP'!F103),TEXT('Revenues &amp; Outlays in GDP'!F103, "0.00"),""), "")</f>
        <v/>
      </c>
      <c r="E97" s="23" t="str">
        <f>IFERROR(IF(ISNUMBER('Revenues &amp; Outlays in GDP'!D103),TEXT('Revenues &amp; Outlays in GDP'!D103, "0.00"),""), "")</f>
        <v/>
      </c>
    </row>
    <row r="98" spans="1:5">
      <c r="A98" s="23" t="str">
        <f>TEXT(IF('Revenues &amp; Outlays in GDP'!B104&lt;&gt;0,'Revenues &amp; Outlays in GDP'!B104-364, ""), "mm/dd/yyyy")</f>
        <v/>
      </c>
      <c r="B98" s="23" t="str">
        <f>IFERROR(IF(ISNUMBER('Revenues &amp; Outlays in GDP'!E104),TEXT('Revenues &amp; Outlays in GDP'!E104, "0.00"),""), "")</f>
        <v/>
      </c>
      <c r="C98" s="23" t="str">
        <f>IFERROR(IF(ISNUMBER('Revenues &amp; Outlays in GDP'!C104),TEXT('Revenues &amp; Outlays in GDP'!C104, "0.00"),""), "")</f>
        <v/>
      </c>
      <c r="D98" s="23" t="str">
        <f>IFERROR(IF(ISNUMBER('Revenues &amp; Outlays in GDP'!F104),TEXT('Revenues &amp; Outlays in GDP'!F104, "0.00"),""), "")</f>
        <v/>
      </c>
      <c r="E98" s="23" t="str">
        <f>IFERROR(IF(ISNUMBER('Revenues &amp; Outlays in GDP'!D104),TEXT('Revenues &amp; Outlays in GDP'!D104, "0.00"),""), "")</f>
        <v/>
      </c>
    </row>
    <row r="99" spans="1:5">
      <c r="A99" s="23" t="str">
        <f>TEXT(IF('Revenues &amp; Outlays in GDP'!B105&lt;&gt;0,'Revenues &amp; Outlays in GDP'!B105-364, ""), "mm/dd/yyyy")</f>
        <v/>
      </c>
      <c r="B99" s="23" t="str">
        <f>IFERROR(IF(ISNUMBER('Revenues &amp; Outlays in GDP'!E105),TEXT('Revenues &amp; Outlays in GDP'!E105, "0.00"),""), "")</f>
        <v/>
      </c>
      <c r="C99" s="23" t="str">
        <f>IFERROR(IF(ISNUMBER('Revenues &amp; Outlays in GDP'!C105),TEXT('Revenues &amp; Outlays in GDP'!C105, "0.00"),""), "")</f>
        <v/>
      </c>
      <c r="D99" s="23" t="str">
        <f>IFERROR(IF(ISNUMBER('Revenues &amp; Outlays in GDP'!F105),TEXT('Revenues &amp; Outlays in GDP'!F105, "0.00"),""), "")</f>
        <v/>
      </c>
      <c r="E99" s="23" t="str">
        <f>IFERROR(IF(ISNUMBER('Revenues &amp; Outlays in GDP'!D105),TEXT('Revenues &amp; Outlays in GDP'!D105, "0.00"),""), "")</f>
        <v/>
      </c>
    </row>
    <row r="100" spans="1:5">
      <c r="A100" s="23" t="str">
        <f>TEXT(IF('Revenues &amp; Outlays in GDP'!B106&lt;&gt;0,'Revenues &amp; Outlays in GDP'!B106-364, ""), "mm/dd/yyyy")</f>
        <v/>
      </c>
      <c r="B100" s="23" t="str">
        <f>IFERROR(IF(ISNUMBER('Revenues &amp; Outlays in GDP'!E106),TEXT('Revenues &amp; Outlays in GDP'!E106, "0.00"),""), "")</f>
        <v/>
      </c>
      <c r="C100" s="23" t="str">
        <f>IFERROR(IF(ISNUMBER('Revenues &amp; Outlays in GDP'!C106),TEXT('Revenues &amp; Outlays in GDP'!C106, "0.00"),""), "")</f>
        <v/>
      </c>
      <c r="D100" s="23" t="str">
        <f>IFERROR(IF(ISNUMBER('Revenues &amp; Outlays in GDP'!F106),TEXT('Revenues &amp; Outlays in GDP'!F106, "0.00"),""), "")</f>
        <v/>
      </c>
      <c r="E100" s="23" t="str">
        <f>IFERROR(IF(ISNUMBER('Revenues &amp; Outlays in GDP'!D106),TEXT('Revenues &amp; Outlays in GDP'!D106, "0.00"),""), "")</f>
        <v/>
      </c>
    </row>
    <row r="101" spans="1:5">
      <c r="A101" s="23" t="str">
        <f>TEXT(IF('Revenues &amp; Outlays in GDP'!B107&lt;&gt;0,'Revenues &amp; Outlays in GDP'!B107-364, ""), "mm/dd/yyyy")</f>
        <v/>
      </c>
      <c r="B101" s="23" t="str">
        <f>IFERROR(IF(ISNUMBER('Revenues &amp; Outlays in GDP'!E107),TEXT('Revenues &amp; Outlays in GDP'!E107, "0.00"),""), "")</f>
        <v/>
      </c>
      <c r="C101" s="23" t="str">
        <f>IFERROR(IF(ISNUMBER('Revenues &amp; Outlays in GDP'!C107),TEXT('Revenues &amp; Outlays in GDP'!C107, "0.00"),""), "")</f>
        <v/>
      </c>
      <c r="D101" s="23" t="str">
        <f>IFERROR(IF(ISNUMBER('Revenues &amp; Outlays in GDP'!F107),TEXT('Revenues &amp; Outlays in GDP'!F107, "0.00"),""), "")</f>
        <v/>
      </c>
      <c r="E101" s="23" t="str">
        <f>IFERROR(IF(ISNUMBER('Revenues &amp; Outlays in GDP'!D107),TEXT('Revenues &amp; Outlays in GDP'!D107, "0.00"),""), "")</f>
        <v/>
      </c>
    </row>
    <row r="102" spans="1:5">
      <c r="A102" s="23" t="str">
        <f>TEXT(IF('Revenues &amp; Outlays in GDP'!B108&lt;&gt;0,'Revenues &amp; Outlays in GDP'!B108-364, ""), "mm/dd/yyyy")</f>
        <v/>
      </c>
      <c r="B102" s="23" t="str">
        <f>IFERROR(IF(ISNUMBER('Revenues &amp; Outlays in GDP'!E108),TEXT('Revenues &amp; Outlays in GDP'!E108, "0.00"),""), "")</f>
        <v/>
      </c>
      <c r="C102" s="23" t="str">
        <f>IFERROR(IF(ISNUMBER('Revenues &amp; Outlays in GDP'!C108),TEXT('Revenues &amp; Outlays in GDP'!C108, "0.00"),""), "")</f>
        <v/>
      </c>
      <c r="D102" s="23" t="str">
        <f>IFERROR(IF(ISNUMBER('Revenues &amp; Outlays in GDP'!F108),TEXT('Revenues &amp; Outlays in GDP'!F108, "0.00"),""), "")</f>
        <v/>
      </c>
      <c r="E102" s="23" t="str">
        <f>IFERROR(IF(ISNUMBER('Revenues &amp; Outlays in GDP'!D108),TEXT('Revenues &amp; Outlays in GDP'!D108, "0.00"),""), "")</f>
        <v/>
      </c>
    </row>
    <row r="103" spans="1:5">
      <c r="A103" s="23" t="str">
        <f>TEXT(IF('Revenues &amp; Outlays in GDP'!B109&lt;&gt;0,'Revenues &amp; Outlays in GDP'!B109-364, ""), "mm/dd/yyyy")</f>
        <v/>
      </c>
      <c r="B103" s="23" t="str">
        <f>IFERROR(IF(ISNUMBER('Revenues &amp; Outlays in GDP'!E109),TEXT('Revenues &amp; Outlays in GDP'!E109, "0.00"),""), "")</f>
        <v/>
      </c>
      <c r="C103" s="23" t="str">
        <f>IFERROR(IF(ISNUMBER('Revenues &amp; Outlays in GDP'!C109),TEXT('Revenues &amp; Outlays in GDP'!C109, "0.00"),""), "")</f>
        <v/>
      </c>
      <c r="D103" s="23" t="str">
        <f>IFERROR(IF(ISNUMBER('Revenues &amp; Outlays in GDP'!F109),TEXT('Revenues &amp; Outlays in GDP'!F109, "0.00"),""), "")</f>
        <v/>
      </c>
      <c r="E103" s="23" t="str">
        <f>IFERROR(IF(ISNUMBER('Revenues &amp; Outlays in GDP'!D109),TEXT('Revenues &amp; Outlays in GDP'!D109, "0.00"),""), "")</f>
        <v/>
      </c>
    </row>
    <row r="104" spans="1:5">
      <c r="A104" s="23" t="str">
        <f>TEXT(IF('Revenues &amp; Outlays in GDP'!B110&lt;&gt;0,'Revenues &amp; Outlays in GDP'!B110-364, ""), "mm/dd/yyyy")</f>
        <v/>
      </c>
      <c r="B104" s="23" t="str">
        <f>IFERROR(IF(ISNUMBER('Revenues &amp; Outlays in GDP'!E110),TEXT('Revenues &amp; Outlays in GDP'!E110, "0.00"),""), "")</f>
        <v/>
      </c>
      <c r="C104" s="23" t="str">
        <f>IFERROR(IF(ISNUMBER('Revenues &amp; Outlays in GDP'!C110),TEXT('Revenues &amp; Outlays in GDP'!C110, "0.00"),""), "")</f>
        <v/>
      </c>
      <c r="D104" s="23" t="str">
        <f>IFERROR(IF(ISNUMBER('Revenues &amp; Outlays in GDP'!F110),TEXT('Revenues &amp; Outlays in GDP'!F110, "0.00"),""), "")</f>
        <v/>
      </c>
      <c r="E104" s="23" t="str">
        <f>IFERROR(IF(ISNUMBER('Revenues &amp; Outlays in GDP'!D110),TEXT('Revenues &amp; Outlays in GDP'!D110, "0.00"),""), "")</f>
        <v/>
      </c>
    </row>
    <row r="105" spans="1:5">
      <c r="A105" s="23" t="str">
        <f>TEXT(IF('Revenues &amp; Outlays in GDP'!B111&lt;&gt;0,'Revenues &amp; Outlays in GDP'!B111-364, ""), "mm/dd/yyyy")</f>
        <v/>
      </c>
      <c r="B105" s="23" t="str">
        <f>IFERROR(IF(ISNUMBER('Revenues &amp; Outlays in GDP'!E111),TEXT('Revenues &amp; Outlays in GDP'!E111, "0.00"),""), "")</f>
        <v/>
      </c>
      <c r="C105" s="23" t="str">
        <f>IFERROR(IF(ISNUMBER('Revenues &amp; Outlays in GDP'!C111),TEXT('Revenues &amp; Outlays in GDP'!C111, "0.00"),""), "")</f>
        <v/>
      </c>
      <c r="D105" s="23" t="str">
        <f>IFERROR(IF(ISNUMBER('Revenues &amp; Outlays in GDP'!F111),TEXT('Revenues &amp; Outlays in GDP'!F111, "0.00"),""), "")</f>
        <v/>
      </c>
      <c r="E105" s="23" t="str">
        <f>IFERROR(IF(ISNUMBER('Revenues &amp; Outlays in GDP'!D111),TEXT('Revenues &amp; Outlays in GDP'!D111, "0.00"),""), "")</f>
        <v/>
      </c>
    </row>
    <row r="106" spans="1:5">
      <c r="A106" s="23" t="str">
        <f>TEXT(IF('Revenues &amp; Outlays in GDP'!B112&lt;&gt;0,'Revenues &amp; Outlays in GDP'!B112-364, ""), "mm/dd/yyyy")</f>
        <v/>
      </c>
      <c r="B106" s="23" t="str">
        <f>IFERROR(IF(ISNUMBER('Revenues &amp; Outlays in GDP'!E112),TEXT('Revenues &amp; Outlays in GDP'!E112, "0.00"),""), "")</f>
        <v/>
      </c>
      <c r="C106" s="23" t="str">
        <f>IFERROR(IF(ISNUMBER('Revenues &amp; Outlays in GDP'!C112),TEXT('Revenues &amp; Outlays in GDP'!C112, "0.00"),""), "")</f>
        <v/>
      </c>
      <c r="D106" s="23" t="str">
        <f>IFERROR(IF(ISNUMBER('Revenues &amp; Outlays in GDP'!F112),TEXT('Revenues &amp; Outlays in GDP'!F112, "0.00"),""), "")</f>
        <v/>
      </c>
      <c r="E106" s="23" t="str">
        <f>IFERROR(IF(ISNUMBER('Revenues &amp; Outlays in GDP'!D112),TEXT('Revenues &amp; Outlays in GDP'!D112, "0.00"),""), "")</f>
        <v/>
      </c>
    </row>
    <row r="107" spans="1:5">
      <c r="A107" s="23" t="str">
        <f>TEXT(IF('Revenues &amp; Outlays in GDP'!B113&lt;&gt;0,'Revenues &amp; Outlays in GDP'!B113-364, ""), "mm/dd/yyyy")</f>
        <v/>
      </c>
      <c r="B107" s="23" t="str">
        <f>IFERROR(IF(ISNUMBER('Revenues &amp; Outlays in GDP'!E113),TEXT('Revenues &amp; Outlays in GDP'!E113, "0.00"),""), "")</f>
        <v/>
      </c>
      <c r="C107" s="23" t="str">
        <f>IFERROR(IF(ISNUMBER('Revenues &amp; Outlays in GDP'!C113),TEXT('Revenues &amp; Outlays in GDP'!C113, "0.00"),""), "")</f>
        <v/>
      </c>
      <c r="D107" s="23" t="str">
        <f>IFERROR(IF(ISNUMBER('Revenues &amp; Outlays in GDP'!F113),TEXT('Revenues &amp; Outlays in GDP'!F113, "0.00"),""), "")</f>
        <v/>
      </c>
      <c r="E107" s="23" t="str">
        <f>IFERROR(IF(ISNUMBER('Revenues &amp; Outlays in GDP'!D113),TEXT('Revenues &amp; Outlays in GDP'!D113, "0.00"),""), "")</f>
        <v/>
      </c>
    </row>
    <row r="108" spans="1:5">
      <c r="A108" s="23" t="str">
        <f>TEXT(IF('Revenues &amp; Outlays in GDP'!B114&lt;&gt;0,'Revenues &amp; Outlays in GDP'!B114-364, ""), "mm/dd/yyyy")</f>
        <v/>
      </c>
      <c r="B108" s="23" t="str">
        <f>IFERROR(IF(ISNUMBER('Revenues &amp; Outlays in GDP'!E114),TEXT('Revenues &amp; Outlays in GDP'!E114, "0.00"),""), "")</f>
        <v/>
      </c>
      <c r="C108" s="23" t="str">
        <f>IFERROR(IF(ISNUMBER('Revenues &amp; Outlays in GDP'!C114),TEXT('Revenues &amp; Outlays in GDP'!C114, "0.00"),""), "")</f>
        <v/>
      </c>
      <c r="D108" s="23" t="str">
        <f>IFERROR(IF(ISNUMBER('Revenues &amp; Outlays in GDP'!F114),TEXT('Revenues &amp; Outlays in GDP'!F114, "0.00"),""), "")</f>
        <v/>
      </c>
      <c r="E108" s="23" t="str">
        <f>IFERROR(IF(ISNUMBER('Revenues &amp; Outlays in GDP'!D114),TEXT('Revenues &amp; Outlays in GDP'!D114, "0.00"),""), "")</f>
        <v/>
      </c>
    </row>
    <row r="109" spans="1:5">
      <c r="A109" s="23" t="str">
        <f>TEXT(IF('Revenues &amp; Outlays in GDP'!B115&lt;&gt;0,'Revenues &amp; Outlays in GDP'!B115-364, ""), "mm/dd/yyyy")</f>
        <v/>
      </c>
      <c r="B109" s="23" t="str">
        <f>IFERROR(IF(ISNUMBER('Revenues &amp; Outlays in GDP'!E115),TEXT('Revenues &amp; Outlays in GDP'!E115, "0.00"),""), "")</f>
        <v/>
      </c>
      <c r="C109" s="23" t="str">
        <f>IFERROR(IF(ISNUMBER('Revenues &amp; Outlays in GDP'!C115),TEXT('Revenues &amp; Outlays in GDP'!C115, "0.00"),""), "")</f>
        <v/>
      </c>
      <c r="D109" s="23" t="str">
        <f>IFERROR(IF(ISNUMBER('Revenues &amp; Outlays in GDP'!F115),TEXT('Revenues &amp; Outlays in GDP'!F115, "0.00"),""), "")</f>
        <v/>
      </c>
      <c r="E109" s="23" t="str">
        <f>IFERROR(IF(ISNUMBER('Revenues &amp; Outlays in GDP'!D115),TEXT('Revenues &amp; Outlays in GDP'!D115, "0.00"),""), "")</f>
        <v/>
      </c>
    </row>
    <row r="110" spans="1:5">
      <c r="A110" s="23" t="str">
        <f>TEXT(IF('Revenues &amp; Outlays in GDP'!B116&lt;&gt;0,'Revenues &amp; Outlays in GDP'!B116-364, ""), "mm/dd/yyyy")</f>
        <v/>
      </c>
      <c r="B110" s="23" t="str">
        <f>IFERROR(IF(ISNUMBER('Revenues &amp; Outlays in GDP'!E116),TEXT('Revenues &amp; Outlays in GDP'!E116, "0.00"),""), "")</f>
        <v/>
      </c>
      <c r="C110" s="23" t="str">
        <f>IFERROR(IF(ISNUMBER('Revenues &amp; Outlays in GDP'!C116),TEXT('Revenues &amp; Outlays in GDP'!C116, "0.00"),""), "")</f>
        <v/>
      </c>
      <c r="D110" s="23" t="str">
        <f>IFERROR(IF(ISNUMBER('Revenues &amp; Outlays in GDP'!F116),TEXT('Revenues &amp; Outlays in GDP'!F116, "0.00"),""), "")</f>
        <v/>
      </c>
      <c r="E110" s="23" t="str">
        <f>IFERROR(IF(ISNUMBER('Revenues &amp; Outlays in GDP'!D116),TEXT('Revenues &amp; Outlays in GDP'!D116, "0.00"),""), "")</f>
        <v/>
      </c>
    </row>
    <row r="111" spans="1:5">
      <c r="A111" s="23" t="str">
        <f>TEXT(IF('Revenues &amp; Outlays in GDP'!B117&lt;&gt;0,'Revenues &amp; Outlays in GDP'!B117-364, ""), "mm/dd/yyyy")</f>
        <v/>
      </c>
      <c r="B111" s="23" t="str">
        <f>IFERROR(IF(ISNUMBER('Revenues &amp; Outlays in GDP'!E117),TEXT('Revenues &amp; Outlays in GDP'!E117, "0.00"),""), "")</f>
        <v/>
      </c>
      <c r="C111" s="23" t="str">
        <f>IFERROR(IF(ISNUMBER('Revenues &amp; Outlays in GDP'!C117),TEXT('Revenues &amp; Outlays in GDP'!C117, "0.00"),""), "")</f>
        <v/>
      </c>
      <c r="D111" s="23" t="str">
        <f>IFERROR(IF(ISNUMBER('Revenues &amp; Outlays in GDP'!F117),TEXT('Revenues &amp; Outlays in GDP'!F117, "0.00"),""), "")</f>
        <v/>
      </c>
      <c r="E111" s="23" t="str">
        <f>IFERROR(IF(ISNUMBER('Revenues &amp; Outlays in GDP'!D117),TEXT('Revenues &amp; Outlays in GDP'!D117, "0.00"),""), "")</f>
        <v/>
      </c>
    </row>
    <row r="112" spans="1:5">
      <c r="A112" s="23" t="str">
        <f>TEXT(IF('Revenues &amp; Outlays in GDP'!B118&lt;&gt;0,'Revenues &amp; Outlays in GDP'!B118-364, ""), "mm/dd/yyyy")</f>
        <v/>
      </c>
      <c r="B112" s="23" t="str">
        <f>IFERROR(IF(ISNUMBER('Revenues &amp; Outlays in GDP'!E118),TEXT('Revenues &amp; Outlays in GDP'!E118, "0.00"),""), "")</f>
        <v/>
      </c>
      <c r="C112" s="23" t="str">
        <f>IFERROR(IF(ISNUMBER('Revenues &amp; Outlays in GDP'!C118),TEXT('Revenues &amp; Outlays in GDP'!C118, "0.00"),""), "")</f>
        <v/>
      </c>
      <c r="D112" s="23" t="str">
        <f>IFERROR(IF(ISNUMBER('Revenues &amp; Outlays in GDP'!F118),TEXT('Revenues &amp; Outlays in GDP'!F118, "0.00"),""), "")</f>
        <v/>
      </c>
      <c r="E112" s="23" t="str">
        <f>IFERROR(IF(ISNUMBER('Revenues &amp; Outlays in GDP'!D118),TEXT('Revenues &amp; Outlays in GDP'!D118, "0.00"),""), "")</f>
        <v/>
      </c>
    </row>
    <row r="113" spans="1:5">
      <c r="A113" s="23" t="str">
        <f>TEXT(IF('Revenues &amp; Outlays in GDP'!B119&lt;&gt;0,'Revenues &amp; Outlays in GDP'!B119-364, ""), "mm/dd/yyyy")</f>
        <v/>
      </c>
      <c r="B113" s="23" t="str">
        <f>IFERROR(IF(ISNUMBER('Revenues &amp; Outlays in GDP'!E119),TEXT('Revenues &amp; Outlays in GDP'!E119, "0.00"),""), "")</f>
        <v/>
      </c>
      <c r="C113" s="23" t="str">
        <f>IFERROR(IF(ISNUMBER('Revenues &amp; Outlays in GDP'!C119),TEXT('Revenues &amp; Outlays in GDP'!C119, "0.00"),""), "")</f>
        <v/>
      </c>
      <c r="D113" s="23" t="str">
        <f>IFERROR(IF(ISNUMBER('Revenues &amp; Outlays in GDP'!F119),TEXT('Revenues &amp; Outlays in GDP'!F119, "0.00"),""), "")</f>
        <v/>
      </c>
      <c r="E113" s="23" t="str">
        <f>IFERROR(IF(ISNUMBER('Revenues &amp; Outlays in GDP'!D119),TEXT('Revenues &amp; Outlays in GDP'!D119, "0.00"),""), "")</f>
        <v/>
      </c>
    </row>
    <row r="114" spans="1:5">
      <c r="A114" s="23" t="str">
        <f>TEXT(IF('Revenues &amp; Outlays in GDP'!B120&lt;&gt;0,'Revenues &amp; Outlays in GDP'!B120-364, ""), "mm/dd/yyyy")</f>
        <v/>
      </c>
      <c r="B114" s="23" t="str">
        <f>IFERROR(IF(ISNUMBER('Revenues &amp; Outlays in GDP'!E120),TEXT('Revenues &amp; Outlays in GDP'!E120, "0.00"),""), "")</f>
        <v/>
      </c>
      <c r="C114" s="23" t="str">
        <f>IFERROR(IF(ISNUMBER('Revenues &amp; Outlays in GDP'!C120),TEXT('Revenues &amp; Outlays in GDP'!C120, "0.00"),""), "")</f>
        <v/>
      </c>
      <c r="D114" s="23" t="str">
        <f>IFERROR(IF(ISNUMBER('Revenues &amp; Outlays in GDP'!F120),TEXT('Revenues &amp; Outlays in GDP'!F120, "0.00"),""), "")</f>
        <v/>
      </c>
      <c r="E114" s="23" t="str">
        <f>IFERROR(IF(ISNUMBER('Revenues &amp; Outlays in GDP'!D120),TEXT('Revenues &amp; Outlays in GDP'!D120, "0.00"),""), "")</f>
        <v/>
      </c>
    </row>
    <row r="115" spans="1:5">
      <c r="A115" s="23" t="str">
        <f>TEXT(IF('Revenues &amp; Outlays in GDP'!B121&lt;&gt;0,'Revenues &amp; Outlays in GDP'!B121-364, ""), "mm/dd/yyyy")</f>
        <v/>
      </c>
      <c r="B115" s="23" t="str">
        <f>IFERROR(IF(ISNUMBER('Revenues &amp; Outlays in GDP'!E121),TEXT('Revenues &amp; Outlays in GDP'!E121, "0.00"),""), "")</f>
        <v/>
      </c>
      <c r="C115" s="23" t="str">
        <f>IFERROR(IF(ISNUMBER('Revenues &amp; Outlays in GDP'!C121),TEXT('Revenues &amp; Outlays in GDP'!C121, "0.00"),""), "")</f>
        <v/>
      </c>
      <c r="D115" s="23" t="str">
        <f>IFERROR(IF(ISNUMBER('Revenues &amp; Outlays in GDP'!F121),TEXT('Revenues &amp; Outlays in GDP'!F121, "0.00"),""), "")</f>
        <v/>
      </c>
      <c r="E115" s="23" t="str">
        <f>IFERROR(IF(ISNUMBER('Revenues &amp; Outlays in GDP'!D121),TEXT('Revenues &amp; Outlays in GDP'!D121, "0.00"),""), "")</f>
        <v/>
      </c>
    </row>
    <row r="116" spans="1:5">
      <c r="A116" s="23" t="str">
        <f>TEXT(IF('Revenues &amp; Outlays in GDP'!B122&lt;&gt;0,'Revenues &amp; Outlays in GDP'!B122-364, ""), "mm/dd/yyyy")</f>
        <v/>
      </c>
      <c r="B116" s="23" t="str">
        <f>IFERROR(IF(ISNUMBER('Revenues &amp; Outlays in GDP'!E122),TEXT('Revenues &amp; Outlays in GDP'!E122, "0.00"),""), "")</f>
        <v/>
      </c>
      <c r="C116" s="23" t="str">
        <f>IFERROR(IF(ISNUMBER('Revenues &amp; Outlays in GDP'!C122),TEXT('Revenues &amp; Outlays in GDP'!C122, "0.00"),""), "")</f>
        <v/>
      </c>
      <c r="D116" s="23" t="str">
        <f>IFERROR(IF(ISNUMBER('Revenues &amp; Outlays in GDP'!F122),TEXT('Revenues &amp; Outlays in GDP'!F122, "0.00"),""), "")</f>
        <v/>
      </c>
      <c r="E116" s="23" t="str">
        <f>IFERROR(IF(ISNUMBER('Revenues &amp; Outlays in GDP'!D122),TEXT('Revenues &amp; Outlays in GDP'!D122, "0.00"),""), "")</f>
        <v/>
      </c>
    </row>
    <row r="117" spans="1:5">
      <c r="A117" s="23" t="str">
        <f>TEXT(IF('Revenues &amp; Outlays in GDP'!B123&lt;&gt;0,'Revenues &amp; Outlays in GDP'!B123-364, ""), "mm/dd/yyyy")</f>
        <v/>
      </c>
      <c r="B117" s="23" t="str">
        <f>IFERROR(IF(ISNUMBER('Revenues &amp; Outlays in GDP'!E123),TEXT('Revenues &amp; Outlays in GDP'!E123, "0.00"),""), "")</f>
        <v/>
      </c>
      <c r="C117" s="23" t="str">
        <f>IFERROR(IF(ISNUMBER('Revenues &amp; Outlays in GDP'!C123),TEXT('Revenues &amp; Outlays in GDP'!C123, "0.00"),""), "")</f>
        <v/>
      </c>
      <c r="D117" s="23" t="str">
        <f>IFERROR(IF(ISNUMBER('Revenues &amp; Outlays in GDP'!F123),TEXT('Revenues &amp; Outlays in GDP'!F123, "0.00"),""), "")</f>
        <v/>
      </c>
      <c r="E117" s="23" t="str">
        <f>IFERROR(IF(ISNUMBER('Revenues &amp; Outlays in GDP'!D123),TEXT('Revenues &amp; Outlays in GDP'!D123, "0.00"),""), "")</f>
        <v/>
      </c>
    </row>
    <row r="118" spans="1:5">
      <c r="A118" s="23" t="str">
        <f>TEXT(IF('Revenues &amp; Outlays in GDP'!B124&lt;&gt;0,'Revenues &amp; Outlays in GDP'!B124-364, ""), "mm/dd/yyyy")</f>
        <v/>
      </c>
      <c r="B118" s="23" t="str">
        <f>IFERROR(IF(ISNUMBER('Revenues &amp; Outlays in GDP'!E124),TEXT('Revenues &amp; Outlays in GDP'!E124, "0.00"),""), "")</f>
        <v/>
      </c>
      <c r="C118" s="23" t="str">
        <f>IFERROR(IF(ISNUMBER('Revenues &amp; Outlays in GDP'!C124),TEXT('Revenues &amp; Outlays in GDP'!C124, "0.00"),""), "")</f>
        <v/>
      </c>
      <c r="D118" s="23" t="str">
        <f>IFERROR(IF(ISNUMBER('Revenues &amp; Outlays in GDP'!F124),TEXT('Revenues &amp; Outlays in GDP'!F124, "0.00"),""), "")</f>
        <v/>
      </c>
      <c r="E118" s="23" t="str">
        <f>IFERROR(IF(ISNUMBER('Revenues &amp; Outlays in GDP'!D124),TEXT('Revenues &amp; Outlays in GDP'!D124, "0.00"),""), "")</f>
        <v/>
      </c>
    </row>
    <row r="119" spans="1:5">
      <c r="A119" s="23" t="str">
        <f>TEXT(IF('Revenues &amp; Outlays in GDP'!B125&lt;&gt;0,'Revenues &amp; Outlays in GDP'!B125-364, ""), "mm/dd/yyyy")</f>
        <v/>
      </c>
      <c r="B119" s="23" t="str">
        <f>IFERROR(IF(ISNUMBER('Revenues &amp; Outlays in GDP'!E125),TEXT('Revenues &amp; Outlays in GDP'!E125, "0.00"),""), "")</f>
        <v/>
      </c>
      <c r="C119" s="23" t="str">
        <f>IFERROR(IF(ISNUMBER('Revenues &amp; Outlays in GDP'!C125),TEXT('Revenues &amp; Outlays in GDP'!C125, "0.00"),""), "")</f>
        <v/>
      </c>
      <c r="D119" s="23" t="str">
        <f>IFERROR(IF(ISNUMBER('Revenues &amp; Outlays in GDP'!F125),TEXT('Revenues &amp; Outlays in GDP'!F125, "0.00"),""), "")</f>
        <v/>
      </c>
      <c r="E119" s="23" t="str">
        <f>IFERROR(IF(ISNUMBER('Revenues &amp; Outlays in GDP'!D125),TEXT('Revenues &amp; Outlays in GDP'!D125, "0.00"),""), "")</f>
        <v/>
      </c>
    </row>
    <row r="120" spans="1:5">
      <c r="A120" s="23" t="str">
        <f>TEXT(IF('Revenues &amp; Outlays in GDP'!B126&lt;&gt;0,'Revenues &amp; Outlays in GDP'!B126-364, ""), "mm/dd/yyyy")</f>
        <v/>
      </c>
      <c r="B120" s="23" t="str">
        <f>IFERROR(IF(ISNUMBER('Revenues &amp; Outlays in GDP'!E126),TEXT('Revenues &amp; Outlays in GDP'!E126, "0.00"),""), "")</f>
        <v/>
      </c>
      <c r="C120" s="23" t="str">
        <f>IFERROR(IF(ISNUMBER('Revenues &amp; Outlays in GDP'!C126),TEXT('Revenues &amp; Outlays in GDP'!C126, "0.00"),""), "")</f>
        <v/>
      </c>
      <c r="D120" s="23" t="str">
        <f>IFERROR(IF(ISNUMBER('Revenues &amp; Outlays in GDP'!F126),TEXT('Revenues &amp; Outlays in GDP'!F126, "0.00"),""), "")</f>
        <v/>
      </c>
      <c r="E120" s="23" t="str">
        <f>IFERROR(IF(ISNUMBER('Revenues &amp; Outlays in GDP'!D126),TEXT('Revenues &amp; Outlays in GDP'!D126, "0.00"),""), "")</f>
        <v/>
      </c>
    </row>
    <row r="121" spans="1:5">
      <c r="A121" s="23" t="str">
        <f>TEXT(IF('Revenues &amp; Outlays in GDP'!B127&lt;&gt;0,'Revenues &amp; Outlays in GDP'!B127-364, ""), "mm/dd/yyyy")</f>
        <v/>
      </c>
      <c r="B121" s="23" t="str">
        <f>IFERROR(IF(ISNUMBER('Revenues &amp; Outlays in GDP'!E127),TEXT('Revenues &amp; Outlays in GDP'!E127, "0.00"),""), "")</f>
        <v/>
      </c>
      <c r="C121" s="23" t="str">
        <f>IFERROR(IF(ISNUMBER('Revenues &amp; Outlays in GDP'!C127),TEXT('Revenues &amp; Outlays in GDP'!C127, "0.00"),""), "")</f>
        <v/>
      </c>
      <c r="D121" s="23" t="str">
        <f>IFERROR(IF(ISNUMBER('Revenues &amp; Outlays in GDP'!F127),TEXT('Revenues &amp; Outlays in GDP'!F127, "0.00"),""), "")</f>
        <v/>
      </c>
      <c r="E121" s="23" t="str">
        <f>IFERROR(IF(ISNUMBER('Revenues &amp; Outlays in GDP'!D127),TEXT('Revenues &amp; Outlays in GDP'!D127, "0.00"),""), "")</f>
        <v/>
      </c>
    </row>
    <row r="122" spans="1:5">
      <c r="A122" s="23" t="str">
        <f>TEXT(IF('Revenues &amp; Outlays in GDP'!B128&lt;&gt;0,'Revenues &amp; Outlays in GDP'!B128-364, ""), "mm/dd/yyyy")</f>
        <v/>
      </c>
      <c r="B122" s="23" t="str">
        <f>IFERROR(IF(ISNUMBER('Revenues &amp; Outlays in GDP'!E128),TEXT('Revenues &amp; Outlays in GDP'!E128, "0.00"),""), "")</f>
        <v/>
      </c>
      <c r="C122" s="23" t="str">
        <f>IFERROR(IF(ISNUMBER('Revenues &amp; Outlays in GDP'!C128),TEXT('Revenues &amp; Outlays in GDP'!C128, "0.00"),""), "")</f>
        <v/>
      </c>
      <c r="D122" s="23" t="str">
        <f>IFERROR(IF(ISNUMBER('Revenues &amp; Outlays in GDP'!F128),TEXT('Revenues &amp; Outlays in GDP'!F128, "0.00"),""), "")</f>
        <v/>
      </c>
      <c r="E122" s="23" t="str">
        <f>IFERROR(IF(ISNUMBER('Revenues &amp; Outlays in GDP'!D128),TEXT('Revenues &amp; Outlays in GDP'!D128, "0.00"),""), "")</f>
        <v/>
      </c>
    </row>
    <row r="123" spans="1:5">
      <c r="A123" s="23" t="str">
        <f>TEXT(IF('Revenues &amp; Outlays in GDP'!B129&lt;&gt;0,'Revenues &amp; Outlays in GDP'!B129-364, ""), "mm/dd/yyyy")</f>
        <v/>
      </c>
      <c r="B123" s="23" t="str">
        <f>IFERROR(IF(ISNUMBER('Revenues &amp; Outlays in GDP'!E129),TEXT('Revenues &amp; Outlays in GDP'!E129, "0.00"),""), "")</f>
        <v/>
      </c>
      <c r="C123" s="23" t="str">
        <f>IFERROR(IF(ISNUMBER('Revenues &amp; Outlays in GDP'!C129),TEXT('Revenues &amp; Outlays in GDP'!C129, "0.00"),""), "")</f>
        <v/>
      </c>
      <c r="D123" s="23" t="str">
        <f>IFERROR(IF(ISNUMBER('Revenues &amp; Outlays in GDP'!F129),TEXT('Revenues &amp; Outlays in GDP'!F129, "0.00"),""), "")</f>
        <v/>
      </c>
      <c r="E123" s="23" t="str">
        <f>IFERROR(IF(ISNUMBER('Revenues &amp; Outlays in GDP'!D129),TEXT('Revenues &amp; Outlays in GDP'!D129, "0.00"),""), "")</f>
        <v/>
      </c>
    </row>
    <row r="124" spans="1:5">
      <c r="A124" s="23" t="str">
        <f>TEXT(IF('Revenues &amp; Outlays in GDP'!B130&lt;&gt;0,'Revenues &amp; Outlays in GDP'!B130-364, ""), "mm/dd/yyyy")</f>
        <v/>
      </c>
      <c r="B124" s="23" t="str">
        <f>IFERROR(IF(ISNUMBER('Revenues &amp; Outlays in GDP'!E130),TEXT('Revenues &amp; Outlays in GDP'!E130, "0.00"),""), "")</f>
        <v/>
      </c>
      <c r="C124" s="23" t="str">
        <f>IFERROR(IF(ISNUMBER('Revenues &amp; Outlays in GDP'!C130),TEXT('Revenues &amp; Outlays in GDP'!C130, "0.00"),""), "")</f>
        <v/>
      </c>
      <c r="D124" s="23" t="str">
        <f>IFERROR(IF(ISNUMBER('Revenues &amp; Outlays in GDP'!F130),TEXT('Revenues &amp; Outlays in GDP'!F130, "0.00"),""), "")</f>
        <v/>
      </c>
      <c r="E124" s="23" t="str">
        <f>IFERROR(IF(ISNUMBER('Revenues &amp; Outlays in GDP'!D130),TEXT('Revenues &amp; Outlays in GDP'!D130, "0.00"),""), "")</f>
        <v/>
      </c>
    </row>
    <row r="125" spans="1:5">
      <c r="A125" s="23" t="str">
        <f>TEXT(IF('Revenues &amp; Outlays in GDP'!B131&lt;&gt;0,'Revenues &amp; Outlays in GDP'!B131-364, ""), "mm/dd/yyyy")</f>
        <v/>
      </c>
      <c r="B125" s="23" t="str">
        <f>IFERROR(IF(ISNUMBER('Revenues &amp; Outlays in GDP'!E131),TEXT('Revenues &amp; Outlays in GDP'!E131, "0.00"),""), "")</f>
        <v/>
      </c>
      <c r="C125" s="23" t="str">
        <f>IFERROR(IF(ISNUMBER('Revenues &amp; Outlays in GDP'!C131),TEXT('Revenues &amp; Outlays in GDP'!C131, "0.00"),""), "")</f>
        <v/>
      </c>
      <c r="D125" s="23" t="str">
        <f>IFERROR(IF(ISNUMBER('Revenues &amp; Outlays in GDP'!F131),TEXT('Revenues &amp; Outlays in GDP'!F131, "0.00"),""), "")</f>
        <v/>
      </c>
      <c r="E125" s="23" t="str">
        <f>IFERROR(IF(ISNUMBER('Revenues &amp; Outlays in GDP'!D131),TEXT('Revenues &amp; Outlays in GDP'!D131, "0.00"),""), "")</f>
        <v/>
      </c>
    </row>
    <row r="126" spans="1:5">
      <c r="A126" s="23" t="str">
        <f>TEXT(IF('Revenues &amp; Outlays in GDP'!B132&lt;&gt;0,'Revenues &amp; Outlays in GDP'!B132-364, ""), "mm/dd/yyyy")</f>
        <v/>
      </c>
      <c r="B126" s="23" t="str">
        <f>IFERROR(IF(ISNUMBER('Revenues &amp; Outlays in GDP'!E132),TEXT('Revenues &amp; Outlays in GDP'!E132, "0.00"),""), "")</f>
        <v/>
      </c>
      <c r="C126" s="23" t="str">
        <f>IFERROR(IF(ISNUMBER('Revenues &amp; Outlays in GDP'!C132),TEXT('Revenues &amp; Outlays in GDP'!C132, "0.00"),""), "")</f>
        <v/>
      </c>
      <c r="D126" s="23" t="str">
        <f>IFERROR(IF(ISNUMBER('Revenues &amp; Outlays in GDP'!F132),TEXT('Revenues &amp; Outlays in GDP'!F132, "0.00"),""), "")</f>
        <v/>
      </c>
      <c r="E126" s="23" t="str">
        <f>IFERROR(IF(ISNUMBER('Revenues &amp; Outlays in GDP'!D132),TEXT('Revenues &amp; Outlays in GDP'!D132, "0.00"),""), "")</f>
        <v/>
      </c>
    </row>
    <row r="127" spans="1:5">
      <c r="A127" s="23" t="str">
        <f>TEXT(IF('Revenues &amp; Outlays in GDP'!B133&lt;&gt;0,'Revenues &amp; Outlays in GDP'!B133-364, ""), "mm/dd/yyyy")</f>
        <v/>
      </c>
      <c r="B127" s="23" t="str">
        <f>IFERROR(IF(ISNUMBER('Revenues &amp; Outlays in GDP'!E133),TEXT('Revenues &amp; Outlays in GDP'!E133, "0.00"),""), "")</f>
        <v/>
      </c>
      <c r="C127" s="23" t="str">
        <f>IFERROR(IF(ISNUMBER('Revenues &amp; Outlays in GDP'!C133),TEXT('Revenues &amp; Outlays in GDP'!C133, "0.00"),""), "")</f>
        <v/>
      </c>
      <c r="D127" s="23" t="str">
        <f>IFERROR(IF(ISNUMBER('Revenues &amp; Outlays in GDP'!F133),TEXT('Revenues &amp; Outlays in GDP'!F133, "0.00"),""), "")</f>
        <v/>
      </c>
      <c r="E127" s="23" t="str">
        <f>IFERROR(IF(ISNUMBER('Revenues &amp; Outlays in GDP'!D133),TEXT('Revenues &amp; Outlays in GDP'!D133, "0.00"),""), "")</f>
        <v/>
      </c>
    </row>
    <row r="128" spans="1:5">
      <c r="A128" s="23" t="str">
        <f>TEXT(IF('Revenues &amp; Outlays in GDP'!B134&lt;&gt;0,'Revenues &amp; Outlays in GDP'!B134-364, ""), "mm/dd/yyyy")</f>
        <v/>
      </c>
      <c r="B128" s="23" t="str">
        <f>IFERROR(IF(ISNUMBER('Revenues &amp; Outlays in GDP'!E134),TEXT('Revenues &amp; Outlays in GDP'!E134, "0.00"),""), "")</f>
        <v/>
      </c>
      <c r="C128" s="23" t="str">
        <f>IFERROR(IF(ISNUMBER('Revenues &amp; Outlays in GDP'!C134),TEXT('Revenues &amp; Outlays in GDP'!C134, "0.00"),""), "")</f>
        <v/>
      </c>
      <c r="D128" s="23" t="str">
        <f>IFERROR(IF(ISNUMBER('Revenues &amp; Outlays in GDP'!F134),TEXT('Revenues &amp; Outlays in GDP'!F134, "0.00"),""), "")</f>
        <v/>
      </c>
      <c r="E128" s="23" t="str">
        <f>IFERROR(IF(ISNUMBER('Revenues &amp; Outlays in GDP'!D134),TEXT('Revenues &amp; Outlays in GDP'!D134, "0.00"),""), "")</f>
        <v/>
      </c>
    </row>
    <row r="129" spans="1:5">
      <c r="A129" s="23" t="str">
        <f>TEXT(IF('Revenues &amp; Outlays in GDP'!B135&lt;&gt;0,'Revenues &amp; Outlays in GDP'!B135-364, ""), "mm/dd/yyyy")</f>
        <v/>
      </c>
      <c r="B129" s="23" t="str">
        <f>IFERROR(IF(ISNUMBER('Revenues &amp; Outlays in GDP'!E135),TEXT('Revenues &amp; Outlays in GDP'!E135, "0.00"),""), "")</f>
        <v/>
      </c>
      <c r="C129" s="23" t="str">
        <f>IFERROR(IF(ISNUMBER('Revenues &amp; Outlays in GDP'!C135),TEXT('Revenues &amp; Outlays in GDP'!C135, "0.00"),""), "")</f>
        <v/>
      </c>
      <c r="D129" s="23" t="str">
        <f>IFERROR(IF(ISNUMBER('Revenues &amp; Outlays in GDP'!F135),TEXT('Revenues &amp; Outlays in GDP'!F135, "0.00"),""), "")</f>
        <v/>
      </c>
      <c r="E129" s="23" t="str">
        <f>IFERROR(IF(ISNUMBER('Revenues &amp; Outlays in GDP'!D135),TEXT('Revenues &amp; Outlays in GDP'!D135, "0.00"),""), "")</f>
        <v/>
      </c>
    </row>
    <row r="130" spans="1:5">
      <c r="A130" s="23" t="str">
        <f>TEXT(IF('Revenues &amp; Outlays in GDP'!B136&lt;&gt;0,'Revenues &amp; Outlays in GDP'!B136-364, ""), "mm/dd/yyyy")</f>
        <v/>
      </c>
      <c r="B130" s="23" t="str">
        <f>IFERROR(IF(ISNUMBER('Revenues &amp; Outlays in GDP'!E136),TEXT('Revenues &amp; Outlays in GDP'!E136, "0.00"),""), "")</f>
        <v/>
      </c>
      <c r="C130" s="23" t="str">
        <f>IFERROR(IF(ISNUMBER('Revenues &amp; Outlays in GDP'!C136),TEXT('Revenues &amp; Outlays in GDP'!C136, "0.00"),""), "")</f>
        <v/>
      </c>
      <c r="D130" s="23" t="str">
        <f>IFERROR(IF(ISNUMBER('Revenues &amp; Outlays in GDP'!F136),TEXT('Revenues &amp; Outlays in GDP'!F136, "0.00"),""), "")</f>
        <v/>
      </c>
      <c r="E130" s="23" t="str">
        <f>IFERROR(IF(ISNUMBER('Revenues &amp; Outlays in GDP'!D136),TEXT('Revenues &amp; Outlays in GDP'!D136, "0.00"),""), "")</f>
        <v/>
      </c>
    </row>
    <row r="131" spans="1:5">
      <c r="A131" s="23" t="str">
        <f>TEXT(IF('Revenues &amp; Outlays in GDP'!B137&lt;&gt;0,'Revenues &amp; Outlays in GDP'!B137-364, ""), "mm/dd/yyyy")</f>
        <v/>
      </c>
      <c r="B131" s="23" t="str">
        <f>IFERROR(IF(ISNUMBER('Revenues &amp; Outlays in GDP'!E137),TEXT('Revenues &amp; Outlays in GDP'!E137, "0.00"),""), "")</f>
        <v/>
      </c>
      <c r="C131" s="23" t="str">
        <f>IFERROR(IF(ISNUMBER('Revenues &amp; Outlays in GDP'!C137),TEXT('Revenues &amp; Outlays in GDP'!C137, "0.00"),""), "")</f>
        <v/>
      </c>
      <c r="D131" s="23" t="str">
        <f>IFERROR(IF(ISNUMBER('Revenues &amp; Outlays in GDP'!F137),TEXT('Revenues &amp; Outlays in GDP'!F137, "0.00"),""), "")</f>
        <v/>
      </c>
      <c r="E131" s="23" t="str">
        <f>IFERROR(IF(ISNUMBER('Revenues &amp; Outlays in GDP'!D137),TEXT('Revenues &amp; Outlays in GDP'!D137, "0.00"),""), "")</f>
        <v/>
      </c>
    </row>
    <row r="132" spans="1:5">
      <c r="A132" s="23" t="str">
        <f>TEXT(IF('Revenues &amp; Outlays in GDP'!B138&lt;&gt;0,'Revenues &amp; Outlays in GDP'!B138-364, ""), "mm/dd/yyyy")</f>
        <v/>
      </c>
      <c r="B132" s="23" t="str">
        <f>IFERROR(IF(ISNUMBER('Revenues &amp; Outlays in GDP'!E138),TEXT('Revenues &amp; Outlays in GDP'!E138, "0.00"),""), "")</f>
        <v/>
      </c>
      <c r="C132" s="23" t="str">
        <f>IFERROR(IF(ISNUMBER('Revenues &amp; Outlays in GDP'!C138),TEXT('Revenues &amp; Outlays in GDP'!C138, "0.00"),""), "")</f>
        <v/>
      </c>
      <c r="D132" s="23" t="str">
        <f>IFERROR(IF(ISNUMBER('Revenues &amp; Outlays in GDP'!F138),TEXT('Revenues &amp; Outlays in GDP'!F138, "0.00"),""), "")</f>
        <v/>
      </c>
      <c r="E132" s="23" t="str">
        <f>IFERROR(IF(ISNUMBER('Revenues &amp; Outlays in GDP'!D138),TEXT('Revenues &amp; Outlays in GDP'!D138, "0.00"),""), "")</f>
        <v/>
      </c>
    </row>
    <row r="133" spans="1:5">
      <c r="A133" s="23" t="str">
        <f>TEXT(IF('Revenues &amp; Outlays in GDP'!B139&lt;&gt;0,'Revenues &amp; Outlays in GDP'!B139-364, ""), "mm/dd/yyyy")</f>
        <v/>
      </c>
      <c r="B133" s="23" t="str">
        <f>IFERROR(IF(ISNUMBER('Revenues &amp; Outlays in GDP'!E139),TEXT('Revenues &amp; Outlays in GDP'!E139, "0.00"),""), "")</f>
        <v/>
      </c>
      <c r="C133" s="23" t="str">
        <f>IFERROR(IF(ISNUMBER('Revenues &amp; Outlays in GDP'!C139),TEXT('Revenues &amp; Outlays in GDP'!C139, "0.00"),""), "")</f>
        <v/>
      </c>
      <c r="D133" s="23" t="str">
        <f>IFERROR(IF(ISNUMBER('Revenues &amp; Outlays in GDP'!F139),TEXT('Revenues &amp; Outlays in GDP'!F139, "0.00"),""), "")</f>
        <v/>
      </c>
      <c r="E133" s="23" t="str">
        <f>IFERROR(IF(ISNUMBER('Revenues &amp; Outlays in GDP'!D139),TEXT('Revenues &amp; Outlays in GDP'!D139, "0.00"),""), "")</f>
        <v/>
      </c>
    </row>
    <row r="134" spans="1:5">
      <c r="A134" s="23" t="str">
        <f>TEXT(IF('Revenues &amp; Outlays in GDP'!B140&lt;&gt;0,'Revenues &amp; Outlays in GDP'!B140-364, ""), "mm/dd/yyyy")</f>
        <v/>
      </c>
      <c r="B134" s="23" t="str">
        <f>IFERROR(IF(ISNUMBER('Revenues &amp; Outlays in GDP'!E140),TEXT('Revenues &amp; Outlays in GDP'!E140, "0.00"),""), "")</f>
        <v/>
      </c>
      <c r="C134" s="23" t="str">
        <f>IFERROR(IF(ISNUMBER('Revenues &amp; Outlays in GDP'!C140),TEXT('Revenues &amp; Outlays in GDP'!C140, "0.00"),""), "")</f>
        <v/>
      </c>
      <c r="D134" s="23" t="str">
        <f>IFERROR(IF(ISNUMBER('Revenues &amp; Outlays in GDP'!F140),TEXT('Revenues &amp; Outlays in GDP'!F140, "0.00"),""), "")</f>
        <v/>
      </c>
      <c r="E134" s="23" t="str">
        <f>IFERROR(IF(ISNUMBER('Revenues &amp; Outlays in GDP'!D140),TEXT('Revenues &amp; Outlays in GDP'!D140, "0.00"),""), "")</f>
        <v/>
      </c>
    </row>
    <row r="135" spans="1:5">
      <c r="A135" s="23" t="str">
        <f>TEXT(IF('Revenues &amp; Outlays in GDP'!B141&lt;&gt;0,'Revenues &amp; Outlays in GDP'!B141-364, ""), "mm/dd/yyyy")</f>
        <v/>
      </c>
      <c r="B135" s="23" t="str">
        <f>IFERROR(IF(ISNUMBER('Revenues &amp; Outlays in GDP'!E141),TEXT('Revenues &amp; Outlays in GDP'!E141, "0.00"),""), "")</f>
        <v/>
      </c>
      <c r="C135" s="23" t="str">
        <f>IFERROR(IF(ISNUMBER('Revenues &amp; Outlays in GDP'!C141),TEXT('Revenues &amp; Outlays in GDP'!C141, "0.00"),""), "")</f>
        <v/>
      </c>
      <c r="D135" s="23" t="str">
        <f>IFERROR(IF(ISNUMBER('Revenues &amp; Outlays in GDP'!F141),TEXT('Revenues &amp; Outlays in GDP'!F141, "0.00"),""), "")</f>
        <v/>
      </c>
      <c r="E135" s="23" t="str">
        <f>IFERROR(IF(ISNUMBER('Revenues &amp; Outlays in GDP'!D141),TEXT('Revenues &amp; Outlays in GDP'!D141, "0.00"),""), "")</f>
        <v/>
      </c>
    </row>
    <row r="136" spans="1:5">
      <c r="A136" s="23" t="str">
        <f>TEXT(IF('Revenues &amp; Outlays in GDP'!B142&lt;&gt;0,'Revenues &amp; Outlays in GDP'!B142-364, ""), "mm/dd/yyyy")</f>
        <v/>
      </c>
      <c r="B136" s="23" t="str">
        <f>IFERROR(IF(ISNUMBER('Revenues &amp; Outlays in GDP'!E142),TEXT('Revenues &amp; Outlays in GDP'!E142, "0.00"),""), "")</f>
        <v/>
      </c>
      <c r="C136" s="23" t="str">
        <f>IFERROR(IF(ISNUMBER('Revenues &amp; Outlays in GDP'!C142),TEXT('Revenues &amp; Outlays in GDP'!C142, "0.00"),""), "")</f>
        <v/>
      </c>
      <c r="D136" s="23" t="str">
        <f>IFERROR(IF(ISNUMBER('Revenues &amp; Outlays in GDP'!F142),TEXT('Revenues &amp; Outlays in GDP'!F142, "0.00"),""), "")</f>
        <v/>
      </c>
      <c r="E136" s="23" t="str">
        <f>IFERROR(IF(ISNUMBER('Revenues &amp; Outlays in GDP'!D142),TEXT('Revenues &amp; Outlays in GDP'!D142, "0.00"),""), "")</f>
        <v/>
      </c>
    </row>
    <row r="137" spans="1:5">
      <c r="A137" s="23" t="str">
        <f>TEXT(IF('Revenues &amp; Outlays in GDP'!B143&lt;&gt;0,'Revenues &amp; Outlays in GDP'!B143-364, ""), "mm/dd/yyyy")</f>
        <v/>
      </c>
      <c r="B137" s="23" t="str">
        <f>IFERROR(IF(ISNUMBER('Revenues &amp; Outlays in GDP'!E143),TEXT('Revenues &amp; Outlays in GDP'!E143, "0.00"),""), "")</f>
        <v/>
      </c>
      <c r="C137" s="23" t="str">
        <f>IFERROR(IF(ISNUMBER('Revenues &amp; Outlays in GDP'!C143),TEXT('Revenues &amp; Outlays in GDP'!C143, "0.00"),""), "")</f>
        <v/>
      </c>
      <c r="D137" s="23" t="str">
        <f>IFERROR(IF(ISNUMBER('Revenues &amp; Outlays in GDP'!F143),TEXT('Revenues &amp; Outlays in GDP'!F143, "0.00"),""), "")</f>
        <v/>
      </c>
      <c r="E137" s="23" t="str">
        <f>IFERROR(IF(ISNUMBER('Revenues &amp; Outlays in GDP'!D143),TEXT('Revenues &amp; Outlays in GDP'!D143, "0.00"),""), "")</f>
        <v/>
      </c>
    </row>
    <row r="138" spans="1:5">
      <c r="A138" s="23" t="str">
        <f>TEXT(IF('Revenues &amp; Outlays in GDP'!B144&lt;&gt;0,'Revenues &amp; Outlays in GDP'!B144-364, ""), "mm/dd/yyyy")</f>
        <v/>
      </c>
      <c r="B138" s="23" t="str">
        <f>IFERROR(IF(ISNUMBER('Revenues &amp; Outlays in GDP'!E144),TEXT('Revenues &amp; Outlays in GDP'!E144, "0.00"),""), "")</f>
        <v/>
      </c>
      <c r="C138" s="23" t="str">
        <f>IFERROR(IF(ISNUMBER('Revenues &amp; Outlays in GDP'!C144),TEXT('Revenues &amp; Outlays in GDP'!C144, "0.00"),""), "")</f>
        <v/>
      </c>
      <c r="D138" s="23" t="str">
        <f>IFERROR(IF(ISNUMBER('Revenues &amp; Outlays in GDP'!F144),TEXT('Revenues &amp; Outlays in GDP'!F144, "0.00"),""), "")</f>
        <v/>
      </c>
      <c r="E138" s="23" t="str">
        <f>IFERROR(IF(ISNUMBER('Revenues &amp; Outlays in GDP'!D144),TEXT('Revenues &amp; Outlays in GDP'!D144, "0.00"),""), "")</f>
        <v/>
      </c>
    </row>
    <row r="139" spans="1:5">
      <c r="A139" s="23" t="str">
        <f>TEXT(IF('Revenues &amp; Outlays in GDP'!B145&lt;&gt;0,'Revenues &amp; Outlays in GDP'!B145-364, ""), "mm/dd/yyyy")</f>
        <v/>
      </c>
      <c r="B139" s="23" t="str">
        <f>IFERROR(IF(ISNUMBER('Revenues &amp; Outlays in GDP'!E145),TEXT('Revenues &amp; Outlays in GDP'!E145, "0.00"),""), "")</f>
        <v/>
      </c>
      <c r="C139" s="23" t="str">
        <f>IFERROR(IF(ISNUMBER('Revenues &amp; Outlays in GDP'!C145),TEXT('Revenues &amp; Outlays in GDP'!C145, "0.00"),""), "")</f>
        <v/>
      </c>
      <c r="D139" s="23" t="str">
        <f>IFERROR(IF(ISNUMBER('Revenues &amp; Outlays in GDP'!F145),TEXT('Revenues &amp; Outlays in GDP'!F145, "0.00"),""), "")</f>
        <v/>
      </c>
      <c r="E139" s="23" t="str">
        <f>IFERROR(IF(ISNUMBER('Revenues &amp; Outlays in GDP'!D145),TEXT('Revenues &amp; Outlays in GDP'!D145, "0.00"),""), "")</f>
        <v/>
      </c>
    </row>
    <row r="140" spans="1:5">
      <c r="A140" s="23" t="str">
        <f>TEXT(IF('Revenues &amp; Outlays in GDP'!B146&lt;&gt;0,'Revenues &amp; Outlays in GDP'!B146-364, ""), "mm/dd/yyyy")</f>
        <v/>
      </c>
      <c r="B140" s="23" t="str">
        <f>IFERROR(IF(ISNUMBER('Revenues &amp; Outlays in GDP'!E146),TEXT('Revenues &amp; Outlays in GDP'!E146, "0.00"),""), "")</f>
        <v/>
      </c>
      <c r="C140" s="23" t="str">
        <f>IFERROR(IF(ISNUMBER('Revenues &amp; Outlays in GDP'!C146),TEXT('Revenues &amp; Outlays in GDP'!C146, "0.00"),""), "")</f>
        <v/>
      </c>
      <c r="D140" s="23" t="str">
        <f>IFERROR(IF(ISNUMBER('Revenues &amp; Outlays in GDP'!F146),TEXT('Revenues &amp; Outlays in GDP'!F146, "0.00"),""), "")</f>
        <v/>
      </c>
      <c r="E140" s="23" t="str">
        <f>IFERROR(IF(ISNUMBER('Revenues &amp; Outlays in GDP'!D146),TEXT('Revenues &amp; Outlays in GDP'!D146, "0.00"),""), "")</f>
        <v/>
      </c>
    </row>
    <row r="141" spans="1:5">
      <c r="A141" s="23" t="str">
        <f>TEXT(IF('Revenues &amp; Outlays in GDP'!B147&lt;&gt;0,'Revenues &amp; Outlays in GDP'!B147-364, ""), "mm/dd/yyyy")</f>
        <v/>
      </c>
      <c r="B141" s="23" t="str">
        <f>IFERROR(IF(ISNUMBER('Revenues &amp; Outlays in GDP'!E147),TEXT('Revenues &amp; Outlays in GDP'!E147, "0.00"),""), "")</f>
        <v/>
      </c>
      <c r="C141" s="23" t="str">
        <f>IFERROR(IF(ISNUMBER('Revenues &amp; Outlays in GDP'!C147),TEXT('Revenues &amp; Outlays in GDP'!C147, "0.00"),""), "")</f>
        <v/>
      </c>
      <c r="D141" s="23" t="str">
        <f>IFERROR(IF(ISNUMBER('Revenues &amp; Outlays in GDP'!F147),TEXT('Revenues &amp; Outlays in GDP'!F147, "0.00"),""), "")</f>
        <v/>
      </c>
      <c r="E141" s="23" t="str">
        <f>IFERROR(IF(ISNUMBER('Revenues &amp; Outlays in GDP'!D147),TEXT('Revenues &amp; Outlays in GDP'!D147, "0.00"),""), "")</f>
        <v/>
      </c>
    </row>
    <row r="142" spans="1:5">
      <c r="A142" s="23" t="str">
        <f>TEXT(IF('Revenues &amp; Outlays in GDP'!B148&lt;&gt;0,'Revenues &amp; Outlays in GDP'!B148-364, ""), "mm/dd/yyyy")</f>
        <v/>
      </c>
      <c r="B142" s="23" t="str">
        <f>IFERROR(IF(ISNUMBER('Revenues &amp; Outlays in GDP'!E148),TEXT('Revenues &amp; Outlays in GDP'!E148, "0.00"),""), "")</f>
        <v/>
      </c>
      <c r="C142" s="23" t="str">
        <f>IFERROR(IF(ISNUMBER('Revenues &amp; Outlays in GDP'!C148),TEXT('Revenues &amp; Outlays in GDP'!C148, "0.00"),""), "")</f>
        <v/>
      </c>
      <c r="D142" s="23" t="str">
        <f>IFERROR(IF(ISNUMBER('Revenues &amp; Outlays in GDP'!F148),TEXT('Revenues &amp; Outlays in GDP'!F148, "0.00"),""), "")</f>
        <v/>
      </c>
      <c r="E142" s="23" t="str">
        <f>IFERROR(IF(ISNUMBER('Revenues &amp; Outlays in GDP'!D148),TEXT('Revenues &amp; Outlays in GDP'!D148, "0.00"),""), "")</f>
        <v/>
      </c>
    </row>
    <row r="143" spans="1:5">
      <c r="A143" s="23" t="str">
        <f>TEXT(IF('Revenues &amp; Outlays in GDP'!B149&lt;&gt;0,'Revenues &amp; Outlays in GDP'!B149-364, ""), "mm/dd/yyyy")</f>
        <v/>
      </c>
      <c r="B143" s="23" t="str">
        <f>IFERROR(IF(ISNUMBER('Revenues &amp; Outlays in GDP'!E149),TEXT('Revenues &amp; Outlays in GDP'!E149, "0.00"),""), "")</f>
        <v/>
      </c>
      <c r="C143" s="23" t="str">
        <f>IFERROR(IF(ISNUMBER('Revenues &amp; Outlays in GDP'!C149),TEXT('Revenues &amp; Outlays in GDP'!C149, "0.00"),""), "")</f>
        <v/>
      </c>
      <c r="D143" s="23" t="str">
        <f>IFERROR(IF(ISNUMBER('Revenues &amp; Outlays in GDP'!F149),TEXT('Revenues &amp; Outlays in GDP'!F149, "0.00"),""), "")</f>
        <v/>
      </c>
      <c r="E143" s="23" t="str">
        <f>IFERROR(IF(ISNUMBER('Revenues &amp; Outlays in GDP'!D149),TEXT('Revenues &amp; Outlays in GDP'!D149, "0.00"),""), "")</f>
        <v/>
      </c>
    </row>
    <row r="144" spans="1:5">
      <c r="A144" s="23" t="str">
        <f>TEXT(IF('Revenues &amp; Outlays in GDP'!B150&lt;&gt;0,'Revenues &amp; Outlays in GDP'!B150-364, ""), "mm/dd/yyyy")</f>
        <v/>
      </c>
      <c r="B144" s="23" t="str">
        <f>IFERROR(IF(ISNUMBER('Revenues &amp; Outlays in GDP'!E150),TEXT('Revenues &amp; Outlays in GDP'!E150, "0.00"),""), "")</f>
        <v/>
      </c>
      <c r="C144" s="23" t="str">
        <f>IFERROR(IF(ISNUMBER('Revenues &amp; Outlays in GDP'!C150),TEXT('Revenues &amp; Outlays in GDP'!C150, "0.00"),""), "")</f>
        <v/>
      </c>
      <c r="D144" s="23" t="str">
        <f>IFERROR(IF(ISNUMBER('Revenues &amp; Outlays in GDP'!F150),TEXT('Revenues &amp; Outlays in GDP'!F150, "0.00"),""), "")</f>
        <v/>
      </c>
      <c r="E144" s="23" t="str">
        <f>IFERROR(IF(ISNUMBER('Revenues &amp; Outlays in GDP'!D150),TEXT('Revenues &amp; Outlays in GDP'!D150, "0.00"),""), "")</f>
        <v/>
      </c>
    </row>
    <row r="145" spans="1:5">
      <c r="A145" s="23" t="str">
        <f>TEXT(IF('Revenues &amp; Outlays in GDP'!B151&lt;&gt;0,'Revenues &amp; Outlays in GDP'!B151-364, ""), "mm/dd/yyyy")</f>
        <v/>
      </c>
      <c r="B145" s="23" t="str">
        <f>IFERROR(IF(ISNUMBER('Revenues &amp; Outlays in GDP'!E151),TEXT('Revenues &amp; Outlays in GDP'!E151, "0.00"),""), "")</f>
        <v/>
      </c>
      <c r="C145" s="23" t="str">
        <f>IFERROR(IF(ISNUMBER('Revenues &amp; Outlays in GDP'!C151),TEXT('Revenues &amp; Outlays in GDP'!C151, "0.00"),""), "")</f>
        <v/>
      </c>
      <c r="D145" s="23" t="str">
        <f>IFERROR(IF(ISNUMBER('Revenues &amp; Outlays in GDP'!F151),TEXT('Revenues &amp; Outlays in GDP'!F151, "0.00"),""), "")</f>
        <v/>
      </c>
      <c r="E145" s="23" t="str">
        <f>IFERROR(IF(ISNUMBER('Revenues &amp; Outlays in GDP'!D151),TEXT('Revenues &amp; Outlays in GDP'!D151, "0.00"),""), "")</f>
        <v/>
      </c>
    </row>
    <row r="146" spans="1:5">
      <c r="A146" s="23" t="str">
        <f>TEXT(IF('Revenues &amp; Outlays in GDP'!B152&lt;&gt;0,'Revenues &amp; Outlays in GDP'!B152-364, ""), "mm/dd/yyyy")</f>
        <v/>
      </c>
      <c r="B146" s="23" t="str">
        <f>IFERROR(IF(ISNUMBER('Revenues &amp; Outlays in GDP'!E152),TEXT('Revenues &amp; Outlays in GDP'!E152, "0.00"),""), "")</f>
        <v/>
      </c>
      <c r="C146" s="23" t="str">
        <f>IFERROR(IF(ISNUMBER('Revenues &amp; Outlays in GDP'!C152),TEXT('Revenues &amp; Outlays in GDP'!C152, "0.00"),""), "")</f>
        <v/>
      </c>
      <c r="D146" s="23" t="str">
        <f>IFERROR(IF(ISNUMBER('Revenues &amp; Outlays in GDP'!F152),TEXT('Revenues &amp; Outlays in GDP'!F152, "0.00"),""), "")</f>
        <v/>
      </c>
      <c r="E146" s="23" t="str">
        <f>IFERROR(IF(ISNUMBER('Revenues &amp; Outlays in GDP'!D152),TEXT('Revenues &amp; Outlays in GDP'!D152, "0.00"),""), "")</f>
        <v/>
      </c>
    </row>
    <row r="147" spans="1:5">
      <c r="A147" s="23" t="str">
        <f>TEXT(IF('Revenues &amp; Outlays in GDP'!B153&lt;&gt;0,'Revenues &amp; Outlays in GDP'!B153-364, ""), "mm/dd/yyyy")</f>
        <v/>
      </c>
      <c r="B147" s="23" t="str">
        <f>IFERROR(IF(ISNUMBER('Revenues &amp; Outlays in GDP'!E153),TEXT('Revenues &amp; Outlays in GDP'!E153, "0.00"),""), "")</f>
        <v/>
      </c>
      <c r="C147" s="23" t="str">
        <f>IFERROR(IF(ISNUMBER('Revenues &amp; Outlays in GDP'!C153),TEXT('Revenues &amp; Outlays in GDP'!C153, "0.00"),""), "")</f>
        <v/>
      </c>
      <c r="D147" s="23" t="str">
        <f>IFERROR(IF(ISNUMBER('Revenues &amp; Outlays in GDP'!F153),TEXT('Revenues &amp; Outlays in GDP'!F153, "0.00"),""), "")</f>
        <v/>
      </c>
      <c r="E147" s="23" t="str">
        <f>IFERROR(IF(ISNUMBER('Revenues &amp; Outlays in GDP'!D153),TEXT('Revenues &amp; Outlays in GDP'!D153, "0.00"),""), "")</f>
        <v/>
      </c>
    </row>
    <row r="148" spans="1:5">
      <c r="A148" s="23" t="str">
        <f>TEXT(IF('Revenues &amp; Outlays in GDP'!B154&lt;&gt;0,'Revenues &amp; Outlays in GDP'!B154-364, ""), "mm/dd/yyyy")</f>
        <v/>
      </c>
      <c r="B148" s="23" t="str">
        <f>IFERROR(IF(ISNUMBER('Revenues &amp; Outlays in GDP'!E154),TEXT('Revenues &amp; Outlays in GDP'!E154, "0.00"),""), "")</f>
        <v/>
      </c>
      <c r="C148" s="23" t="str">
        <f>IFERROR(IF(ISNUMBER('Revenues &amp; Outlays in GDP'!C154),TEXT('Revenues &amp; Outlays in GDP'!C154, "0.00"),""), "")</f>
        <v/>
      </c>
      <c r="D148" s="23" t="str">
        <f>IFERROR(IF(ISNUMBER('Revenues &amp; Outlays in GDP'!F154),TEXT('Revenues &amp; Outlays in GDP'!F154, "0.00"),""), "")</f>
        <v/>
      </c>
      <c r="E148" s="23" t="str">
        <f>IFERROR(IF(ISNUMBER('Revenues &amp; Outlays in GDP'!D154),TEXT('Revenues &amp; Outlays in GDP'!D154, "0.00"),""), "")</f>
        <v/>
      </c>
    </row>
    <row r="149" spans="1:5">
      <c r="A149" s="23" t="str">
        <f>TEXT(IF('Revenues &amp; Outlays in GDP'!B155&lt;&gt;0,'Revenues &amp; Outlays in GDP'!B155-364, ""), "mm/dd/yyyy")</f>
        <v/>
      </c>
      <c r="B149" s="23" t="str">
        <f>IFERROR(IF(ISNUMBER('Revenues &amp; Outlays in GDP'!E155),TEXT('Revenues &amp; Outlays in GDP'!E155, "0.00"),""), "")</f>
        <v/>
      </c>
      <c r="C149" s="23" t="str">
        <f>IFERROR(IF(ISNUMBER('Revenues &amp; Outlays in GDP'!C155),TEXT('Revenues &amp; Outlays in GDP'!C155, "0.00"),""), "")</f>
        <v/>
      </c>
      <c r="D149" s="23" t="str">
        <f>IFERROR(IF(ISNUMBER('Revenues &amp; Outlays in GDP'!F155),TEXT('Revenues &amp; Outlays in GDP'!F155, "0.00"),""), "")</f>
        <v/>
      </c>
      <c r="E149" s="23" t="str">
        <f>IFERROR(IF(ISNUMBER('Revenues &amp; Outlays in GDP'!D155),TEXT('Revenues &amp; Outlays in GDP'!D155, "0.00"),""), "")</f>
        <v/>
      </c>
    </row>
    <row r="150" spans="1:5">
      <c r="A150" s="23" t="str">
        <f>TEXT(IF('Revenues &amp; Outlays in GDP'!B156&lt;&gt;0,'Revenues &amp; Outlays in GDP'!B156-364, ""), "mm/dd/yyyy")</f>
        <v/>
      </c>
      <c r="B150" s="23" t="str">
        <f>IFERROR(IF(ISNUMBER('Revenues &amp; Outlays in GDP'!E156),TEXT('Revenues &amp; Outlays in GDP'!E156, "0.00"),""), "")</f>
        <v/>
      </c>
      <c r="C150" s="23" t="str">
        <f>IFERROR(IF(ISNUMBER('Revenues &amp; Outlays in GDP'!C156),TEXT('Revenues &amp; Outlays in GDP'!C156, "0.00"),""), "")</f>
        <v/>
      </c>
      <c r="D150" s="23" t="str">
        <f>IFERROR(IF(ISNUMBER('Revenues &amp; Outlays in GDP'!F156),TEXT('Revenues &amp; Outlays in GDP'!F156, "0.00"),""), "")</f>
        <v/>
      </c>
      <c r="E150" s="23" t="str">
        <f>IFERROR(IF(ISNUMBER('Revenues &amp; Outlays in GDP'!D156),TEXT('Revenues &amp; Outlays in GDP'!D156, "0.00"),""), "")</f>
        <v/>
      </c>
    </row>
    <row r="151" spans="1:5">
      <c r="A151" s="23" t="str">
        <f>TEXT(IF('Revenues &amp; Outlays in GDP'!B157&lt;&gt;0,'Revenues &amp; Outlays in GDP'!B157-364, ""), "mm/dd/yyyy")</f>
        <v/>
      </c>
      <c r="B151" s="23" t="str">
        <f>IFERROR(IF(ISNUMBER('Revenues &amp; Outlays in GDP'!E157),TEXT('Revenues &amp; Outlays in GDP'!E157, "0.00"),""), "")</f>
        <v/>
      </c>
      <c r="C151" s="23" t="str">
        <f>IFERROR(IF(ISNUMBER('Revenues &amp; Outlays in GDP'!C157),TEXT('Revenues &amp; Outlays in GDP'!C157, "0.00"),""), "")</f>
        <v/>
      </c>
      <c r="D151" s="23" t="str">
        <f>IFERROR(IF(ISNUMBER('Revenues &amp; Outlays in GDP'!F157),TEXT('Revenues &amp; Outlays in GDP'!F157, "0.00"),""), "")</f>
        <v/>
      </c>
      <c r="E151" s="23" t="str">
        <f>IFERROR(IF(ISNUMBER('Revenues &amp; Outlays in GDP'!D157),TEXT('Revenues &amp; Outlays in GDP'!D157, "0.00"),""), "")</f>
        <v/>
      </c>
    </row>
    <row r="152" spans="1:5">
      <c r="A152" s="23" t="str">
        <f>TEXT(IF('Revenues &amp; Outlays in GDP'!B158&lt;&gt;0,'Revenues &amp; Outlays in GDP'!B158-364, ""), "mm/dd/yyyy")</f>
        <v/>
      </c>
      <c r="B152" s="23" t="str">
        <f>IFERROR(IF(ISNUMBER('Revenues &amp; Outlays in GDP'!E158),TEXT('Revenues &amp; Outlays in GDP'!E158, "0.00"),""), "")</f>
        <v/>
      </c>
      <c r="C152" s="23" t="str">
        <f>IFERROR(IF(ISNUMBER('Revenues &amp; Outlays in GDP'!C158),TEXT('Revenues &amp; Outlays in GDP'!C158, "0.00"),""), "")</f>
        <v/>
      </c>
      <c r="D152" s="23" t="str">
        <f>IFERROR(IF(ISNUMBER('Revenues &amp; Outlays in GDP'!F158),TEXT('Revenues &amp; Outlays in GDP'!F158, "0.00"),""), "")</f>
        <v/>
      </c>
      <c r="E152" s="23" t="str">
        <f>IFERROR(IF(ISNUMBER('Revenues &amp; Outlays in GDP'!D158),TEXT('Revenues &amp; Outlays in GDP'!D158, "0.00"),""), "")</f>
        <v/>
      </c>
    </row>
    <row r="153" spans="1:5">
      <c r="A153" s="23" t="str">
        <f>TEXT(IF('Revenues &amp; Outlays in GDP'!B159&lt;&gt;0,'Revenues &amp; Outlays in GDP'!B159-364, ""), "mm/dd/yyyy")</f>
        <v/>
      </c>
      <c r="B153" s="23" t="str">
        <f>IFERROR(IF(ISNUMBER('Revenues &amp; Outlays in GDP'!E159),TEXT('Revenues &amp; Outlays in GDP'!E159, "0.00"),""), "")</f>
        <v/>
      </c>
      <c r="C153" s="23" t="str">
        <f>IFERROR(IF(ISNUMBER('Revenues &amp; Outlays in GDP'!C159),TEXT('Revenues &amp; Outlays in GDP'!C159, "0.00"),""), "")</f>
        <v/>
      </c>
      <c r="D153" s="23" t="str">
        <f>IFERROR(IF(ISNUMBER('Revenues &amp; Outlays in GDP'!F159),TEXT('Revenues &amp; Outlays in GDP'!F159, "0.00"),""), "")</f>
        <v/>
      </c>
      <c r="E153" s="23" t="str">
        <f>IFERROR(IF(ISNUMBER('Revenues &amp; Outlays in GDP'!D159),TEXT('Revenues &amp; Outlays in GDP'!D159, "0.00"),""), "")</f>
        <v/>
      </c>
    </row>
    <row r="154" spans="1:5">
      <c r="A154" s="23" t="str">
        <f>TEXT(IF('Revenues &amp; Outlays in GDP'!B160&lt;&gt;0,'Revenues &amp; Outlays in GDP'!B160-364, ""), "mm/dd/yyyy")</f>
        <v/>
      </c>
      <c r="B154" s="23" t="str">
        <f>IFERROR(IF(ISNUMBER('Revenues &amp; Outlays in GDP'!E160),TEXT('Revenues &amp; Outlays in GDP'!E160, "0.00"),""), "")</f>
        <v/>
      </c>
      <c r="C154" s="23" t="str">
        <f>IFERROR(IF(ISNUMBER('Revenues &amp; Outlays in GDP'!C160),TEXT('Revenues &amp; Outlays in GDP'!C160, "0.00"),""), "")</f>
        <v/>
      </c>
      <c r="D154" s="23" t="str">
        <f>IFERROR(IF(ISNUMBER('Revenues &amp; Outlays in GDP'!F160),TEXT('Revenues &amp; Outlays in GDP'!F160, "0.00"),""), "")</f>
        <v/>
      </c>
      <c r="E154" s="23" t="str">
        <f>IFERROR(IF(ISNUMBER('Revenues &amp; Outlays in GDP'!D160),TEXT('Revenues &amp; Outlays in GDP'!D160, "0.00"),""), "")</f>
        <v/>
      </c>
    </row>
    <row r="155" spans="1:5">
      <c r="A155" s="23" t="str">
        <f>TEXT(IF('Revenues &amp; Outlays in GDP'!B161&lt;&gt;0,'Revenues &amp; Outlays in GDP'!B161-364, ""), "mm/dd/yyyy")</f>
        <v/>
      </c>
      <c r="B155" s="23" t="str">
        <f>IFERROR(IF(ISNUMBER('Revenues &amp; Outlays in GDP'!E161),TEXT('Revenues &amp; Outlays in GDP'!E161, "0.00"),""), "")</f>
        <v/>
      </c>
      <c r="C155" s="23" t="str">
        <f>IFERROR(IF(ISNUMBER('Revenues &amp; Outlays in GDP'!C161),TEXT('Revenues &amp; Outlays in GDP'!C161, "0.00"),""), "")</f>
        <v/>
      </c>
      <c r="D155" s="23" t="str">
        <f>IFERROR(IF(ISNUMBER('Revenues &amp; Outlays in GDP'!F161),TEXT('Revenues &amp; Outlays in GDP'!F161, "0.00"),""), "")</f>
        <v/>
      </c>
      <c r="E155" s="23" t="str">
        <f>IFERROR(IF(ISNUMBER('Revenues &amp; Outlays in GDP'!D161),TEXT('Revenues &amp; Outlays in GDP'!D161, "0.00"),""), "")</f>
        <v/>
      </c>
    </row>
    <row r="156" spans="1:5">
      <c r="A156" s="23" t="str">
        <f>TEXT(IF('Revenues &amp; Outlays in GDP'!B162&lt;&gt;0,'Revenues &amp; Outlays in GDP'!B162-364, ""), "mm/dd/yyyy")</f>
        <v/>
      </c>
      <c r="B156" s="23" t="str">
        <f>IFERROR(IF(ISNUMBER('Revenues &amp; Outlays in GDP'!E162),TEXT('Revenues &amp; Outlays in GDP'!E162, "0.00"),""), "")</f>
        <v/>
      </c>
      <c r="C156" s="23" t="str">
        <f>IFERROR(IF(ISNUMBER('Revenues &amp; Outlays in GDP'!C162),TEXT('Revenues &amp; Outlays in GDP'!C162, "0.00"),""), "")</f>
        <v/>
      </c>
      <c r="D156" s="23" t="str">
        <f>IFERROR(IF(ISNUMBER('Revenues &amp; Outlays in GDP'!F162),TEXT('Revenues &amp; Outlays in GDP'!F162, "0.00"),""), "")</f>
        <v/>
      </c>
      <c r="E156" s="23" t="str">
        <f>IFERROR(IF(ISNUMBER('Revenues &amp; Outlays in GDP'!D162),TEXT('Revenues &amp; Outlays in GDP'!D162, "0.00"),""), "")</f>
        <v/>
      </c>
    </row>
    <row r="157" spans="1:5">
      <c r="A157" s="23" t="str">
        <f>TEXT(IF('Revenues &amp; Outlays in GDP'!B163&lt;&gt;0,'Revenues &amp; Outlays in GDP'!B163-364, ""), "mm/dd/yyyy")</f>
        <v/>
      </c>
      <c r="B157" s="23" t="str">
        <f>IFERROR(IF(ISNUMBER('Revenues &amp; Outlays in GDP'!E163),TEXT('Revenues &amp; Outlays in GDP'!E163, "0.00"),""), "")</f>
        <v/>
      </c>
      <c r="C157" s="23" t="str">
        <f>IFERROR(IF(ISNUMBER('Revenues &amp; Outlays in GDP'!C163),TEXT('Revenues &amp; Outlays in GDP'!C163, "0.00"),""), "")</f>
        <v/>
      </c>
      <c r="D157" s="23" t="str">
        <f>IFERROR(IF(ISNUMBER('Revenues &amp; Outlays in GDP'!F163),TEXT('Revenues &amp; Outlays in GDP'!F163, "0.00"),""), "")</f>
        <v/>
      </c>
      <c r="E157" s="23" t="str">
        <f>IFERROR(IF(ISNUMBER('Revenues &amp; Outlays in GDP'!D163),TEXT('Revenues &amp; Outlays in GDP'!D163, "0.00"),""), "")</f>
        <v/>
      </c>
    </row>
    <row r="158" spans="1:5">
      <c r="A158" s="23" t="str">
        <f>TEXT(IF('Revenues &amp; Outlays in GDP'!B164&lt;&gt;0,'Revenues &amp; Outlays in GDP'!B164-364, ""), "mm/dd/yyyy")</f>
        <v/>
      </c>
      <c r="B158" s="23" t="str">
        <f>IFERROR(IF(ISNUMBER('Revenues &amp; Outlays in GDP'!E164),TEXT('Revenues &amp; Outlays in GDP'!E164, "0.00"),""), "")</f>
        <v/>
      </c>
      <c r="C158" s="23" t="str">
        <f>IFERROR(IF(ISNUMBER('Revenues &amp; Outlays in GDP'!C164),TEXT('Revenues &amp; Outlays in GDP'!C164, "0.00"),""), "")</f>
        <v/>
      </c>
      <c r="D158" s="23" t="str">
        <f>IFERROR(IF(ISNUMBER('Revenues &amp; Outlays in GDP'!F164),TEXT('Revenues &amp; Outlays in GDP'!F164, "0.00"),""), "")</f>
        <v/>
      </c>
      <c r="E158" s="23" t="str">
        <f>IFERROR(IF(ISNUMBER('Revenues &amp; Outlays in GDP'!D164),TEXT('Revenues &amp; Outlays in GDP'!D164, "0.00"),""), "")</f>
        <v/>
      </c>
    </row>
    <row r="159" spans="1:5">
      <c r="A159" s="23" t="str">
        <f>TEXT(IF('Revenues &amp; Outlays in GDP'!B165&lt;&gt;0,'Revenues &amp; Outlays in GDP'!B165-364, ""), "mm/dd/yyyy")</f>
        <v/>
      </c>
      <c r="B159" s="23" t="str">
        <f>IFERROR(IF(ISNUMBER('Revenues &amp; Outlays in GDP'!E165),TEXT('Revenues &amp; Outlays in GDP'!E165, "0.00"),""), "")</f>
        <v/>
      </c>
      <c r="C159" s="23" t="str">
        <f>IFERROR(IF(ISNUMBER('Revenues &amp; Outlays in GDP'!C165),TEXT('Revenues &amp; Outlays in GDP'!C165, "0.00"),""), "")</f>
        <v/>
      </c>
      <c r="D159" s="23" t="str">
        <f>IFERROR(IF(ISNUMBER('Revenues &amp; Outlays in GDP'!F165),TEXT('Revenues &amp; Outlays in GDP'!F165, "0.00"),""), "")</f>
        <v/>
      </c>
      <c r="E159" s="23" t="str">
        <f>IFERROR(IF(ISNUMBER('Revenues &amp; Outlays in GDP'!D165),TEXT('Revenues &amp; Outlays in GDP'!D165, "0.00"),""), "")</f>
        <v/>
      </c>
    </row>
    <row r="160" spans="1:5">
      <c r="A160" s="23" t="str">
        <f>TEXT(IF('Revenues &amp; Outlays in GDP'!B166&lt;&gt;0,'Revenues &amp; Outlays in GDP'!B166-364, ""), "mm/dd/yyyy")</f>
        <v/>
      </c>
      <c r="B160" s="23" t="str">
        <f>IFERROR(IF(ISNUMBER('Revenues &amp; Outlays in GDP'!E166),TEXT('Revenues &amp; Outlays in GDP'!E166, "0.00"),""), "")</f>
        <v/>
      </c>
      <c r="C160" s="23" t="str">
        <f>IFERROR(IF(ISNUMBER('Revenues &amp; Outlays in GDP'!C166),TEXT('Revenues &amp; Outlays in GDP'!C166, "0.00"),""), "")</f>
        <v/>
      </c>
      <c r="D160" s="23" t="str">
        <f>IFERROR(IF(ISNUMBER('Revenues &amp; Outlays in GDP'!F166),TEXT('Revenues &amp; Outlays in GDP'!F166, "0.00"),""), "")</f>
        <v/>
      </c>
      <c r="E160" s="23" t="str">
        <f>IFERROR(IF(ISNUMBER('Revenues &amp; Outlays in GDP'!D166),TEXT('Revenues &amp; Outlays in GDP'!D166, "0.00"),""), "")</f>
        <v/>
      </c>
    </row>
    <row r="161" spans="1:5">
      <c r="A161" s="23" t="str">
        <f>TEXT(IF('Revenues &amp; Outlays in GDP'!B167&lt;&gt;0,'Revenues &amp; Outlays in GDP'!B167-364, ""), "mm/dd/yyyy")</f>
        <v/>
      </c>
      <c r="B161" s="23" t="str">
        <f>IFERROR(IF(ISNUMBER('Revenues &amp; Outlays in GDP'!E167),TEXT('Revenues &amp; Outlays in GDP'!E167, "0.00"),""), "")</f>
        <v/>
      </c>
      <c r="C161" s="23" t="str">
        <f>IFERROR(IF(ISNUMBER('Revenues &amp; Outlays in GDP'!C167),TEXT('Revenues &amp; Outlays in GDP'!C167, "0.00"),""), "")</f>
        <v/>
      </c>
      <c r="D161" s="23" t="str">
        <f>IFERROR(IF(ISNUMBER('Revenues &amp; Outlays in GDP'!F167),TEXT('Revenues &amp; Outlays in GDP'!F167, "0.00"),""), "")</f>
        <v/>
      </c>
      <c r="E161" s="23" t="str">
        <f>IFERROR(IF(ISNUMBER('Revenues &amp; Outlays in GDP'!D167),TEXT('Revenues &amp; Outlays in GDP'!D167, "0.00"),""), "")</f>
        <v/>
      </c>
    </row>
    <row r="162" spans="1:5">
      <c r="A162" s="23" t="str">
        <f>TEXT(IF('Revenues &amp; Outlays in GDP'!B168&lt;&gt;0,'Revenues &amp; Outlays in GDP'!B168-364, ""), "mm/dd/yyyy")</f>
        <v/>
      </c>
      <c r="B162" s="23" t="str">
        <f>IFERROR(IF(ISNUMBER('Revenues &amp; Outlays in GDP'!E168),TEXT('Revenues &amp; Outlays in GDP'!E168, "0.00"),""), "")</f>
        <v/>
      </c>
      <c r="C162" s="23" t="str">
        <f>IFERROR(IF(ISNUMBER('Revenues &amp; Outlays in GDP'!C168),TEXT('Revenues &amp; Outlays in GDP'!C168, "0.00"),""), "")</f>
        <v/>
      </c>
      <c r="D162" s="23" t="str">
        <f>IFERROR(IF(ISNUMBER('Revenues &amp; Outlays in GDP'!F168),TEXT('Revenues &amp; Outlays in GDP'!F168, "0.00"),""), "")</f>
        <v/>
      </c>
      <c r="E162" s="23" t="str">
        <f>IFERROR(IF(ISNUMBER('Revenues &amp; Outlays in GDP'!D168),TEXT('Revenues &amp; Outlays in GDP'!D168, "0.00"),""), "")</f>
        <v/>
      </c>
    </row>
    <row r="163" spans="1:5">
      <c r="A163" s="23" t="str">
        <f>TEXT(IF('Revenues &amp; Outlays in GDP'!B169&lt;&gt;0,'Revenues &amp; Outlays in GDP'!B169-364, ""), "mm/dd/yyyy")</f>
        <v/>
      </c>
      <c r="B163" s="23" t="str">
        <f>IFERROR(IF(ISNUMBER('Revenues &amp; Outlays in GDP'!E169),TEXT('Revenues &amp; Outlays in GDP'!E169, "0.00"),""), "")</f>
        <v/>
      </c>
      <c r="C163" s="23" t="str">
        <f>IFERROR(IF(ISNUMBER('Revenues &amp; Outlays in GDP'!C169),TEXT('Revenues &amp; Outlays in GDP'!C169, "0.00"),""), "")</f>
        <v/>
      </c>
      <c r="D163" s="23" t="str">
        <f>IFERROR(IF(ISNUMBER('Revenues &amp; Outlays in GDP'!F169),TEXT('Revenues &amp; Outlays in GDP'!F169, "0.00"),""), "")</f>
        <v/>
      </c>
      <c r="E163" s="23" t="str">
        <f>IFERROR(IF(ISNUMBER('Revenues &amp; Outlays in GDP'!D169),TEXT('Revenues &amp; Outlays in GDP'!D169, "0.00"),""), "")</f>
        <v/>
      </c>
    </row>
    <row r="164" spans="1:5">
      <c r="A164" s="23" t="str">
        <f>TEXT(IF('Revenues &amp; Outlays in GDP'!B170&lt;&gt;0,'Revenues &amp; Outlays in GDP'!B170-364, ""), "mm/dd/yyyy")</f>
        <v/>
      </c>
      <c r="B164" s="23" t="str">
        <f>IFERROR(IF(ISNUMBER('Revenues &amp; Outlays in GDP'!E170),TEXT('Revenues &amp; Outlays in GDP'!E170, "0.00"),""), "")</f>
        <v/>
      </c>
      <c r="C164" s="23" t="str">
        <f>IFERROR(IF(ISNUMBER('Revenues &amp; Outlays in GDP'!C170),TEXT('Revenues &amp; Outlays in GDP'!C170, "0.00"),""), "")</f>
        <v/>
      </c>
      <c r="D164" s="23" t="str">
        <f>IFERROR(IF(ISNUMBER('Revenues &amp; Outlays in GDP'!F170),TEXT('Revenues &amp; Outlays in GDP'!F170, "0.00"),""), "")</f>
        <v/>
      </c>
      <c r="E164" s="23" t="str">
        <f>IFERROR(IF(ISNUMBER('Revenues &amp; Outlays in GDP'!D170),TEXT('Revenues &amp; Outlays in GDP'!D170, "0.00"),""), "")</f>
        <v/>
      </c>
    </row>
    <row r="165" spans="1:5">
      <c r="A165" s="23" t="str">
        <f>TEXT(IF('Revenues &amp; Outlays in GDP'!B171&lt;&gt;0,'Revenues &amp; Outlays in GDP'!B171-364, ""), "mm/dd/yyyy")</f>
        <v/>
      </c>
      <c r="B165" s="23" t="str">
        <f>IFERROR(IF(ISNUMBER('Revenues &amp; Outlays in GDP'!E171),TEXT('Revenues &amp; Outlays in GDP'!E171, "0.00"),""), "")</f>
        <v/>
      </c>
      <c r="C165" s="23" t="str">
        <f>IFERROR(IF(ISNUMBER('Revenues &amp; Outlays in GDP'!C171),TEXT('Revenues &amp; Outlays in GDP'!C171, "0.00"),""), "")</f>
        <v/>
      </c>
      <c r="D165" s="23" t="str">
        <f>IFERROR(IF(ISNUMBER('Revenues &amp; Outlays in GDP'!F171),TEXT('Revenues &amp; Outlays in GDP'!F171, "0.00"),""), "")</f>
        <v/>
      </c>
      <c r="E165" s="23" t="str">
        <f>IFERROR(IF(ISNUMBER('Revenues &amp; Outlays in GDP'!D171),TEXT('Revenues &amp; Outlays in GDP'!D171, "0.00"),""), "")</f>
        <v/>
      </c>
    </row>
    <row r="166" spans="1:5">
      <c r="A166" s="23" t="str">
        <f>TEXT(IF('Revenues &amp; Outlays in GDP'!B172&lt;&gt;0,'Revenues &amp; Outlays in GDP'!B172-364, ""), "mm/dd/yyyy")</f>
        <v/>
      </c>
      <c r="B166" s="23" t="str">
        <f>IFERROR(IF(ISNUMBER('Revenues &amp; Outlays in GDP'!E172),TEXT('Revenues &amp; Outlays in GDP'!E172, "0.00"),""), "")</f>
        <v/>
      </c>
      <c r="C166" s="23" t="str">
        <f>IFERROR(IF(ISNUMBER('Revenues &amp; Outlays in GDP'!C172),TEXT('Revenues &amp; Outlays in GDP'!C172, "0.00"),""), "")</f>
        <v/>
      </c>
      <c r="D166" s="23" t="str">
        <f>IFERROR(IF(ISNUMBER('Revenues &amp; Outlays in GDP'!F172),TEXT('Revenues &amp; Outlays in GDP'!F172, "0.00"),""), "")</f>
        <v/>
      </c>
      <c r="E166" s="23" t="str">
        <f>IFERROR(IF(ISNUMBER('Revenues &amp; Outlays in GDP'!D172),TEXT('Revenues &amp; Outlays in GDP'!D172, "0.00"),""), "")</f>
        <v/>
      </c>
    </row>
    <row r="167" spans="1:5">
      <c r="A167" s="23" t="str">
        <f>TEXT(IF('Revenues &amp; Outlays in GDP'!B173&lt;&gt;0,'Revenues &amp; Outlays in GDP'!B173-364, ""), "mm/dd/yyyy")</f>
        <v/>
      </c>
      <c r="B167" s="23" t="str">
        <f>IFERROR(IF(ISNUMBER('Revenues &amp; Outlays in GDP'!E173),TEXT('Revenues &amp; Outlays in GDP'!E173, "0.00"),""), "")</f>
        <v/>
      </c>
      <c r="C167" s="23" t="str">
        <f>IFERROR(IF(ISNUMBER('Revenues &amp; Outlays in GDP'!C173),TEXT('Revenues &amp; Outlays in GDP'!C173, "0.00"),""), "")</f>
        <v/>
      </c>
      <c r="D167" s="23" t="str">
        <f>IFERROR(IF(ISNUMBER('Revenues &amp; Outlays in GDP'!F173),TEXT('Revenues &amp; Outlays in GDP'!F173, "0.00"),""), "")</f>
        <v/>
      </c>
      <c r="E167" s="23" t="str">
        <f>IFERROR(IF(ISNUMBER('Revenues &amp; Outlays in GDP'!D173),TEXT('Revenues &amp; Outlays in GDP'!D173, "0.00"),""), "")</f>
        <v/>
      </c>
    </row>
    <row r="168" spans="1:5">
      <c r="A168" s="23" t="str">
        <f>TEXT(IF('Revenues &amp; Outlays in GDP'!B174&lt;&gt;0,'Revenues &amp; Outlays in GDP'!B174-364, ""), "mm/dd/yyyy")</f>
        <v/>
      </c>
      <c r="B168" s="23" t="str">
        <f>IFERROR(IF(ISNUMBER('Revenues &amp; Outlays in GDP'!E174),TEXT('Revenues &amp; Outlays in GDP'!E174, "0.00"),""), "")</f>
        <v/>
      </c>
      <c r="C168" s="23" t="str">
        <f>IFERROR(IF(ISNUMBER('Revenues &amp; Outlays in GDP'!C174),TEXT('Revenues &amp; Outlays in GDP'!C174, "0.00"),""), "")</f>
        <v/>
      </c>
      <c r="D168" s="23" t="str">
        <f>IFERROR(IF(ISNUMBER('Revenues &amp; Outlays in GDP'!F174),TEXT('Revenues &amp; Outlays in GDP'!F174, "0.00"),""), "")</f>
        <v/>
      </c>
      <c r="E168" s="23" t="str">
        <f>IFERROR(IF(ISNUMBER('Revenues &amp; Outlays in GDP'!D174),TEXT('Revenues &amp; Outlays in GDP'!D174, "0.00"),""), "")</f>
        <v/>
      </c>
    </row>
    <row r="169" spans="1:5">
      <c r="A169" s="23" t="str">
        <f>TEXT(IF('Revenues &amp; Outlays in GDP'!B175&lt;&gt;0,'Revenues &amp; Outlays in GDP'!B175-364, ""), "mm/dd/yyyy")</f>
        <v/>
      </c>
      <c r="B169" s="23" t="str">
        <f>IFERROR(IF(ISNUMBER('Revenues &amp; Outlays in GDP'!E175),TEXT('Revenues &amp; Outlays in GDP'!E175, "0.00"),""), "")</f>
        <v/>
      </c>
      <c r="C169" s="23" t="str">
        <f>IFERROR(IF(ISNUMBER('Revenues &amp; Outlays in GDP'!C175),TEXT('Revenues &amp; Outlays in GDP'!C175, "0.00"),""), "")</f>
        <v/>
      </c>
      <c r="D169" s="23" t="str">
        <f>IFERROR(IF(ISNUMBER('Revenues &amp; Outlays in GDP'!F175),TEXT('Revenues &amp; Outlays in GDP'!F175, "0.00"),""), "")</f>
        <v/>
      </c>
      <c r="E169" s="23" t="str">
        <f>IFERROR(IF(ISNUMBER('Revenues &amp; Outlays in GDP'!D175),TEXT('Revenues &amp; Outlays in GDP'!D175, "0.00"),""), "")</f>
        <v/>
      </c>
    </row>
    <row r="170" spans="1:5">
      <c r="A170" s="23" t="str">
        <f>TEXT(IF('Revenues &amp; Outlays in GDP'!B176&lt;&gt;0,'Revenues &amp; Outlays in GDP'!B176-364, ""), "mm/dd/yyyy")</f>
        <v/>
      </c>
      <c r="B170" s="23" t="str">
        <f>IFERROR(IF(ISNUMBER('Revenues &amp; Outlays in GDP'!E176),TEXT('Revenues &amp; Outlays in GDP'!E176, "0.00"),""), "")</f>
        <v/>
      </c>
      <c r="C170" s="23" t="str">
        <f>IFERROR(IF(ISNUMBER('Revenues &amp; Outlays in GDP'!C176),TEXT('Revenues &amp; Outlays in GDP'!C176, "0.00"),""), "")</f>
        <v/>
      </c>
      <c r="D170" s="23" t="str">
        <f>IFERROR(IF(ISNUMBER('Revenues &amp; Outlays in GDP'!F176),TEXT('Revenues &amp; Outlays in GDP'!F176, "0.00"),""), "")</f>
        <v/>
      </c>
      <c r="E170" s="23" t="str">
        <f>IFERROR(IF(ISNUMBER('Revenues &amp; Outlays in GDP'!D176),TEXT('Revenues &amp; Outlays in GDP'!D176, "0.00"),""), "")</f>
        <v/>
      </c>
    </row>
    <row r="171" spans="1:5">
      <c r="A171" s="23" t="str">
        <f>TEXT(IF('Revenues &amp; Outlays in GDP'!B177&lt;&gt;0,'Revenues &amp; Outlays in GDP'!B177-364, ""), "mm/dd/yyyy")</f>
        <v/>
      </c>
      <c r="B171" s="23" t="str">
        <f>IFERROR(IF(ISNUMBER('Revenues &amp; Outlays in GDP'!E177),TEXT('Revenues &amp; Outlays in GDP'!E177, "0.00"),""), "")</f>
        <v/>
      </c>
      <c r="C171" s="23" t="str">
        <f>IFERROR(IF(ISNUMBER('Revenues &amp; Outlays in GDP'!C177),TEXT('Revenues &amp; Outlays in GDP'!C177, "0.00"),""), "")</f>
        <v/>
      </c>
      <c r="D171" s="23" t="str">
        <f>IFERROR(IF(ISNUMBER('Revenues &amp; Outlays in GDP'!F177),TEXT('Revenues &amp; Outlays in GDP'!F177, "0.00"),""), "")</f>
        <v/>
      </c>
      <c r="E171" s="23" t="str">
        <f>IFERROR(IF(ISNUMBER('Revenues &amp; Outlays in GDP'!D177),TEXT('Revenues &amp; Outlays in GDP'!D177, "0.00"),""), "")</f>
        <v/>
      </c>
    </row>
    <row r="172" spans="1:5">
      <c r="A172" s="23" t="str">
        <f>TEXT(IF('Revenues &amp; Outlays in GDP'!B178&lt;&gt;0,'Revenues &amp; Outlays in GDP'!B178-364, ""), "mm/dd/yyyy")</f>
        <v/>
      </c>
      <c r="B172" s="23" t="str">
        <f>IFERROR(IF(ISNUMBER('Revenues &amp; Outlays in GDP'!E178),TEXT('Revenues &amp; Outlays in GDP'!E178, "0.00"),""), "")</f>
        <v/>
      </c>
      <c r="C172" s="23" t="str">
        <f>IFERROR(IF(ISNUMBER('Revenues &amp; Outlays in GDP'!C178),TEXT('Revenues &amp; Outlays in GDP'!C178, "0.00"),""), "")</f>
        <v/>
      </c>
      <c r="D172" s="23" t="str">
        <f>IFERROR(IF(ISNUMBER('Revenues &amp; Outlays in GDP'!F178),TEXT('Revenues &amp; Outlays in GDP'!F178, "0.00"),""), "")</f>
        <v/>
      </c>
      <c r="E172" s="23" t="str">
        <f>IFERROR(IF(ISNUMBER('Revenues &amp; Outlays in GDP'!D178),TEXT('Revenues &amp; Outlays in GDP'!D178, "0.00"),""), "")</f>
        <v/>
      </c>
    </row>
    <row r="173" spans="1:5">
      <c r="A173" s="23" t="str">
        <f>TEXT(IF('Revenues &amp; Outlays in GDP'!B179&lt;&gt;0,'Revenues &amp; Outlays in GDP'!B179-364, ""), "mm/dd/yyyy")</f>
        <v/>
      </c>
      <c r="B173" s="23" t="str">
        <f>IFERROR(IF(ISNUMBER('Revenues &amp; Outlays in GDP'!E179),TEXT('Revenues &amp; Outlays in GDP'!E179, "0.00"),""), "")</f>
        <v/>
      </c>
      <c r="C173" s="23" t="str">
        <f>IFERROR(IF(ISNUMBER('Revenues &amp; Outlays in GDP'!C179),TEXT('Revenues &amp; Outlays in GDP'!C179, "0.00"),""), "")</f>
        <v/>
      </c>
      <c r="D173" s="23" t="str">
        <f>IFERROR(IF(ISNUMBER('Revenues &amp; Outlays in GDP'!F179),TEXT('Revenues &amp; Outlays in GDP'!F179, "0.00"),""), "")</f>
        <v/>
      </c>
      <c r="E173" s="23" t="str">
        <f>IFERROR(IF(ISNUMBER('Revenues &amp; Outlays in GDP'!D179),TEXT('Revenues &amp; Outlays in GDP'!D179, "0.00"),""), "")</f>
        <v/>
      </c>
    </row>
    <row r="174" spans="1:5">
      <c r="A174" s="23" t="str">
        <f>TEXT(IF('Revenues &amp; Outlays in GDP'!B180&lt;&gt;0,'Revenues &amp; Outlays in GDP'!B180-364, ""), "mm/dd/yyyy")</f>
        <v/>
      </c>
      <c r="B174" s="23" t="str">
        <f>IFERROR(IF(ISNUMBER('Revenues &amp; Outlays in GDP'!E180),TEXT('Revenues &amp; Outlays in GDP'!E180, "0.00"),""), "")</f>
        <v/>
      </c>
      <c r="C174" s="23" t="str">
        <f>IFERROR(IF(ISNUMBER('Revenues &amp; Outlays in GDP'!C180),TEXT('Revenues &amp; Outlays in GDP'!C180, "0.00"),""), "")</f>
        <v/>
      </c>
      <c r="D174" s="23" t="str">
        <f>IFERROR(IF(ISNUMBER('Revenues &amp; Outlays in GDP'!F180),TEXT('Revenues &amp; Outlays in GDP'!F180, "0.00"),""), "")</f>
        <v/>
      </c>
      <c r="E174" s="23" t="str">
        <f>IFERROR(IF(ISNUMBER('Revenues &amp; Outlays in GDP'!D180),TEXT('Revenues &amp; Outlays in GDP'!D180, "0.00"),""), "")</f>
        <v/>
      </c>
    </row>
    <row r="175" spans="1:5">
      <c r="A175" s="23" t="str">
        <f>TEXT(IF('Revenues &amp; Outlays in GDP'!B181&lt;&gt;0,'Revenues &amp; Outlays in GDP'!B181-364, ""), "mm/dd/yyyy")</f>
        <v/>
      </c>
      <c r="B175" s="23" t="str">
        <f>IFERROR(IF(ISNUMBER('Revenues &amp; Outlays in GDP'!E181),TEXT('Revenues &amp; Outlays in GDP'!E181, "0.00"),""), "")</f>
        <v/>
      </c>
      <c r="C175" s="23" t="str">
        <f>IFERROR(IF(ISNUMBER('Revenues &amp; Outlays in GDP'!C181),TEXT('Revenues &amp; Outlays in GDP'!C181, "0.00"),""), "")</f>
        <v/>
      </c>
      <c r="D175" s="23" t="str">
        <f>IFERROR(IF(ISNUMBER('Revenues &amp; Outlays in GDP'!F181),TEXT('Revenues &amp; Outlays in GDP'!F181, "0.00"),""), "")</f>
        <v/>
      </c>
      <c r="E175" s="23" t="str">
        <f>IFERROR(IF(ISNUMBER('Revenues &amp; Outlays in GDP'!D181),TEXT('Revenues &amp; Outlays in GDP'!D181, "0.00"),""), "")</f>
        <v/>
      </c>
    </row>
    <row r="176" spans="1:5">
      <c r="A176" s="23" t="str">
        <f>TEXT(IF('Revenues &amp; Outlays in GDP'!B182&lt;&gt;0,'Revenues &amp; Outlays in GDP'!B182-364, ""), "mm/dd/yyyy")</f>
        <v/>
      </c>
      <c r="B176" s="23" t="str">
        <f>IFERROR(IF(ISNUMBER('Revenues &amp; Outlays in GDP'!E182),TEXT('Revenues &amp; Outlays in GDP'!E182, "0.00"),""), "")</f>
        <v/>
      </c>
      <c r="C176" s="23" t="str">
        <f>IFERROR(IF(ISNUMBER('Revenues &amp; Outlays in GDP'!C182),TEXT('Revenues &amp; Outlays in GDP'!C182, "0.00"),""), "")</f>
        <v/>
      </c>
      <c r="D176" s="23" t="str">
        <f>IFERROR(IF(ISNUMBER('Revenues &amp; Outlays in GDP'!F182),TEXT('Revenues &amp; Outlays in GDP'!F182, "0.00"),""), "")</f>
        <v/>
      </c>
      <c r="E176" s="23" t="str">
        <f>IFERROR(IF(ISNUMBER('Revenues &amp; Outlays in GDP'!D182),TEXT('Revenues &amp; Outlays in GDP'!D182, "0.00"),""), "")</f>
        <v/>
      </c>
    </row>
    <row r="177" spans="1:5">
      <c r="A177" s="23" t="str">
        <f>TEXT(IF('Revenues &amp; Outlays in GDP'!B183&lt;&gt;0,'Revenues &amp; Outlays in GDP'!B183-364, ""), "mm/dd/yyyy")</f>
        <v/>
      </c>
      <c r="B177" s="23" t="str">
        <f>IFERROR(IF(ISNUMBER('Revenues &amp; Outlays in GDP'!E183),TEXT('Revenues &amp; Outlays in GDP'!E183, "0.00"),""), "")</f>
        <v/>
      </c>
      <c r="C177" s="23" t="str">
        <f>IFERROR(IF(ISNUMBER('Revenues &amp; Outlays in GDP'!C183),TEXT('Revenues &amp; Outlays in GDP'!C183, "0.00"),""), "")</f>
        <v/>
      </c>
      <c r="D177" s="23" t="str">
        <f>IFERROR(IF(ISNUMBER('Revenues &amp; Outlays in GDP'!F183),TEXT('Revenues &amp; Outlays in GDP'!F183, "0.00"),""), "")</f>
        <v/>
      </c>
      <c r="E177" s="23" t="str">
        <f>IFERROR(IF(ISNUMBER('Revenues &amp; Outlays in GDP'!D183),TEXT('Revenues &amp; Outlays in GDP'!D183, "0.00"),""), "")</f>
        <v/>
      </c>
    </row>
    <row r="178" spans="1:5">
      <c r="A178" s="23" t="str">
        <f>TEXT(IF('Revenues &amp; Outlays in GDP'!B184&lt;&gt;0,'Revenues &amp; Outlays in GDP'!B184-364, ""), "mm/dd/yyyy")</f>
        <v/>
      </c>
      <c r="B178" s="23" t="str">
        <f>IFERROR(IF(ISNUMBER('Revenues &amp; Outlays in GDP'!E184),TEXT('Revenues &amp; Outlays in GDP'!E184, "0.00"),""), "")</f>
        <v/>
      </c>
      <c r="C178" s="23" t="str">
        <f>IFERROR(IF(ISNUMBER('Revenues &amp; Outlays in GDP'!C184),TEXT('Revenues &amp; Outlays in GDP'!C184, "0.00"),""), "")</f>
        <v/>
      </c>
      <c r="D178" s="23" t="str">
        <f>IFERROR(IF(ISNUMBER('Revenues &amp; Outlays in GDP'!F184),TEXT('Revenues &amp; Outlays in GDP'!F184, "0.00"),""), "")</f>
        <v/>
      </c>
      <c r="E178" s="23" t="str">
        <f>IFERROR(IF(ISNUMBER('Revenues &amp; Outlays in GDP'!D184),TEXT('Revenues &amp; Outlays in GDP'!D184, "0.00"),""), "")</f>
        <v/>
      </c>
    </row>
    <row r="179" spans="1:5">
      <c r="A179" s="23" t="str">
        <f>TEXT(IF('Revenues &amp; Outlays in GDP'!B185&lt;&gt;0,'Revenues &amp; Outlays in GDP'!B185-364, ""), "mm/dd/yyyy")</f>
        <v/>
      </c>
      <c r="B179" s="23" t="str">
        <f>IFERROR(IF(ISNUMBER('Revenues &amp; Outlays in GDP'!E185),TEXT('Revenues &amp; Outlays in GDP'!E185, "0.00"),""), "")</f>
        <v/>
      </c>
      <c r="C179" s="23" t="str">
        <f>IFERROR(IF(ISNUMBER('Revenues &amp; Outlays in GDP'!C185),TEXT('Revenues &amp; Outlays in GDP'!C185, "0.00"),""), "")</f>
        <v/>
      </c>
      <c r="D179" s="23" t="str">
        <f>IFERROR(IF(ISNUMBER('Revenues &amp; Outlays in GDP'!F185),TEXT('Revenues &amp; Outlays in GDP'!F185, "0.00"),""), "")</f>
        <v/>
      </c>
      <c r="E179" s="23" t="str">
        <f>IFERROR(IF(ISNUMBER('Revenues &amp; Outlays in GDP'!D185),TEXT('Revenues &amp; Outlays in GDP'!D185, "0.00"),""), "")</f>
        <v/>
      </c>
    </row>
    <row r="180" spans="1:5">
      <c r="A180" s="23" t="str">
        <f>TEXT(IF('Revenues &amp; Outlays in GDP'!B186&lt;&gt;0,'Revenues &amp; Outlays in GDP'!B186-364, ""), "mm/dd/yyyy")</f>
        <v/>
      </c>
      <c r="B180" s="23" t="str">
        <f>IFERROR(IF(ISNUMBER('Revenues &amp; Outlays in GDP'!E186),TEXT('Revenues &amp; Outlays in GDP'!E186, "0.00"),""), "")</f>
        <v/>
      </c>
      <c r="C180" s="23" t="str">
        <f>IFERROR(IF(ISNUMBER('Revenues &amp; Outlays in GDP'!C186),TEXT('Revenues &amp; Outlays in GDP'!C186, "0.00"),""), "")</f>
        <v/>
      </c>
      <c r="D180" s="23" t="str">
        <f>IFERROR(IF(ISNUMBER('Revenues &amp; Outlays in GDP'!F186),TEXT('Revenues &amp; Outlays in GDP'!F186, "0.00"),""), "")</f>
        <v/>
      </c>
      <c r="E180" s="23" t="str">
        <f>IFERROR(IF(ISNUMBER('Revenues &amp; Outlays in GDP'!D186),TEXT('Revenues &amp; Outlays in GDP'!D186, "0.00"),""), "")</f>
        <v/>
      </c>
    </row>
    <row r="181" spans="1:5">
      <c r="A181" s="23" t="str">
        <f>TEXT(IF('Revenues &amp; Outlays in GDP'!B187&lt;&gt;0,'Revenues &amp; Outlays in GDP'!B187-364, ""), "mm/dd/yyyy")</f>
        <v/>
      </c>
      <c r="B181" s="23" t="str">
        <f>IFERROR(IF(ISNUMBER('Revenues &amp; Outlays in GDP'!E187),TEXT('Revenues &amp; Outlays in GDP'!E187, "0.00"),""), "")</f>
        <v/>
      </c>
      <c r="C181" s="23" t="str">
        <f>IFERROR(IF(ISNUMBER('Revenues &amp; Outlays in GDP'!C187),TEXT('Revenues &amp; Outlays in GDP'!C187, "0.00"),""), "")</f>
        <v/>
      </c>
      <c r="D181" s="23" t="str">
        <f>IFERROR(IF(ISNUMBER('Revenues &amp; Outlays in GDP'!F187),TEXT('Revenues &amp; Outlays in GDP'!F187, "0.00"),""), "")</f>
        <v/>
      </c>
      <c r="E181" s="23" t="str">
        <f>IFERROR(IF(ISNUMBER('Revenues &amp; Outlays in GDP'!D187),TEXT('Revenues &amp; Outlays in GDP'!D187, "0.00"),""), "")</f>
        <v/>
      </c>
    </row>
    <row r="182" spans="1:5">
      <c r="A182" s="23" t="str">
        <f>TEXT(IF('Revenues &amp; Outlays in GDP'!B188&lt;&gt;0,'Revenues &amp; Outlays in GDP'!B188-364, ""), "mm/dd/yyyy")</f>
        <v/>
      </c>
      <c r="B182" s="23" t="str">
        <f>IFERROR(IF(ISNUMBER('Revenues &amp; Outlays in GDP'!E188),TEXT('Revenues &amp; Outlays in GDP'!E188, "0.00"),""), "")</f>
        <v/>
      </c>
      <c r="C182" s="23" t="str">
        <f>IFERROR(IF(ISNUMBER('Revenues &amp; Outlays in GDP'!C188),TEXT('Revenues &amp; Outlays in GDP'!C188, "0.00"),""), "")</f>
        <v/>
      </c>
      <c r="D182" s="23" t="str">
        <f>IFERROR(IF(ISNUMBER('Revenues &amp; Outlays in GDP'!F188),TEXT('Revenues &amp; Outlays in GDP'!F188, "0.00"),""), "")</f>
        <v/>
      </c>
      <c r="E182" s="23" t="str">
        <f>IFERROR(IF(ISNUMBER('Revenues &amp; Outlays in GDP'!D188),TEXT('Revenues &amp; Outlays in GDP'!D188, "0.00"),""), "")</f>
        <v/>
      </c>
    </row>
    <row r="183" spans="1:5">
      <c r="A183" s="23" t="str">
        <f>TEXT(IF('Revenues &amp; Outlays in GDP'!B189&lt;&gt;0,'Revenues &amp; Outlays in GDP'!B189-364, ""), "mm/dd/yyyy")</f>
        <v/>
      </c>
      <c r="B183" s="23" t="str">
        <f>IFERROR(IF(ISNUMBER('Revenues &amp; Outlays in GDP'!E189),TEXT('Revenues &amp; Outlays in GDP'!E189, "0.00"),""), "")</f>
        <v/>
      </c>
      <c r="C183" s="23" t="str">
        <f>IFERROR(IF(ISNUMBER('Revenues &amp; Outlays in GDP'!C189),TEXT('Revenues &amp; Outlays in GDP'!C189, "0.00"),""), "")</f>
        <v/>
      </c>
      <c r="D183" s="23" t="str">
        <f>IFERROR(IF(ISNUMBER('Revenues &amp; Outlays in GDP'!F189),TEXT('Revenues &amp; Outlays in GDP'!F189, "0.00"),""), "")</f>
        <v/>
      </c>
      <c r="E183" s="23" t="str">
        <f>IFERROR(IF(ISNUMBER('Revenues &amp; Outlays in GDP'!D189),TEXT('Revenues &amp; Outlays in GDP'!D189, "0.00"),""), "")</f>
        <v/>
      </c>
    </row>
    <row r="184" spans="1:5">
      <c r="A184" s="23" t="str">
        <f>TEXT(IF('Revenues &amp; Outlays in GDP'!B190&lt;&gt;0,'Revenues &amp; Outlays in GDP'!B190-364, ""), "mm/dd/yyyy")</f>
        <v/>
      </c>
      <c r="B184" s="23" t="str">
        <f>IFERROR(IF(ISNUMBER('Revenues &amp; Outlays in GDP'!E190),TEXT('Revenues &amp; Outlays in GDP'!E190, "0.00"),""), "")</f>
        <v/>
      </c>
      <c r="C184" s="23" t="str">
        <f>IFERROR(IF(ISNUMBER('Revenues &amp; Outlays in GDP'!C190),TEXT('Revenues &amp; Outlays in GDP'!C190, "0.00"),""), "")</f>
        <v/>
      </c>
      <c r="D184" s="23" t="str">
        <f>IFERROR(IF(ISNUMBER('Revenues &amp; Outlays in GDP'!F190),TEXT('Revenues &amp; Outlays in GDP'!F190, "0.00"),""), "")</f>
        <v/>
      </c>
      <c r="E184" s="23" t="str">
        <f>IFERROR(IF(ISNUMBER('Revenues &amp; Outlays in GDP'!D190),TEXT('Revenues &amp; Outlays in GDP'!D190, "0.00"),""), "")</f>
        <v/>
      </c>
    </row>
    <row r="185" spans="1:5">
      <c r="A185" s="23" t="str">
        <f>TEXT(IF('Revenues &amp; Outlays in GDP'!B191&lt;&gt;0,'Revenues &amp; Outlays in GDP'!B191-364, ""), "mm/dd/yyyy")</f>
        <v/>
      </c>
      <c r="B185" s="23" t="str">
        <f>IFERROR(IF(ISNUMBER('Revenues &amp; Outlays in GDP'!E191),TEXT('Revenues &amp; Outlays in GDP'!E191, "0.00"),""), "")</f>
        <v/>
      </c>
      <c r="C185" s="23" t="str">
        <f>IFERROR(IF(ISNUMBER('Revenues &amp; Outlays in GDP'!C191),TEXT('Revenues &amp; Outlays in GDP'!C191, "0.00"),""), "")</f>
        <v/>
      </c>
      <c r="D185" s="23" t="str">
        <f>IFERROR(IF(ISNUMBER('Revenues &amp; Outlays in GDP'!F191),TEXT('Revenues &amp; Outlays in GDP'!F191, "0.00"),""), "")</f>
        <v/>
      </c>
      <c r="E185" s="23" t="str">
        <f>IFERROR(IF(ISNUMBER('Revenues &amp; Outlays in GDP'!D191),TEXT('Revenues &amp; Outlays in GDP'!D191, "0.00"),""), "")</f>
        <v/>
      </c>
    </row>
    <row r="186" spans="1:5">
      <c r="A186" s="23" t="str">
        <f>TEXT(IF('Revenues &amp; Outlays in GDP'!B192&lt;&gt;0,'Revenues &amp; Outlays in GDP'!B192-364, ""), "mm/dd/yyyy")</f>
        <v/>
      </c>
      <c r="B186" s="23" t="str">
        <f>IFERROR(IF(ISNUMBER('Revenues &amp; Outlays in GDP'!E192),TEXT('Revenues &amp; Outlays in GDP'!E192, "0.00"),""), "")</f>
        <v/>
      </c>
      <c r="C186" s="23" t="str">
        <f>IFERROR(IF(ISNUMBER('Revenues &amp; Outlays in GDP'!C192),TEXT('Revenues &amp; Outlays in GDP'!C192, "0.00"),""), "")</f>
        <v/>
      </c>
      <c r="D186" s="23" t="str">
        <f>IFERROR(IF(ISNUMBER('Revenues &amp; Outlays in GDP'!F192),TEXT('Revenues &amp; Outlays in GDP'!F192, "0.00"),""), "")</f>
        <v/>
      </c>
      <c r="E186" s="23" t="str">
        <f>IFERROR(IF(ISNUMBER('Revenues &amp; Outlays in GDP'!D192),TEXT('Revenues &amp; Outlays in GDP'!D192, "0.00"),""), "")</f>
        <v/>
      </c>
    </row>
    <row r="187" spans="1:5">
      <c r="A187" s="23" t="str">
        <f>TEXT(IF('Revenues &amp; Outlays in GDP'!B193&lt;&gt;0,'Revenues &amp; Outlays in GDP'!B193-364, ""), "mm/dd/yyyy")</f>
        <v/>
      </c>
      <c r="B187" s="23" t="str">
        <f>IFERROR(IF(ISNUMBER('Revenues &amp; Outlays in GDP'!E193),TEXT('Revenues &amp; Outlays in GDP'!E193, "0.00"),""), "")</f>
        <v/>
      </c>
      <c r="C187" s="23" t="str">
        <f>IFERROR(IF(ISNUMBER('Revenues &amp; Outlays in GDP'!C193),TEXT('Revenues &amp; Outlays in GDP'!C193, "0.00"),""), "")</f>
        <v/>
      </c>
      <c r="D187" s="23" t="str">
        <f>IFERROR(IF(ISNUMBER('Revenues &amp; Outlays in GDP'!F193),TEXT('Revenues &amp; Outlays in GDP'!F193, "0.00"),""), "")</f>
        <v/>
      </c>
      <c r="E187" s="23" t="str">
        <f>IFERROR(IF(ISNUMBER('Revenues &amp; Outlays in GDP'!D193),TEXT('Revenues &amp; Outlays in GDP'!D193, "0.00"),""), "")</f>
        <v/>
      </c>
    </row>
    <row r="188" spans="1:5">
      <c r="A188" s="23" t="str">
        <f>TEXT(IF('Revenues &amp; Outlays in GDP'!B194&lt;&gt;0,'Revenues &amp; Outlays in GDP'!B194-364, ""), "mm/dd/yyyy")</f>
        <v/>
      </c>
      <c r="B188" s="23" t="str">
        <f>IFERROR(IF(ISNUMBER('Revenues &amp; Outlays in GDP'!E194),TEXT('Revenues &amp; Outlays in GDP'!E194, "0.00"),""), "")</f>
        <v/>
      </c>
      <c r="C188" s="23" t="str">
        <f>IFERROR(IF(ISNUMBER('Revenues &amp; Outlays in GDP'!C194),TEXT('Revenues &amp; Outlays in GDP'!C194, "0.00"),""), "")</f>
        <v/>
      </c>
      <c r="D188" s="23" t="str">
        <f>IFERROR(IF(ISNUMBER('Revenues &amp; Outlays in GDP'!F194),TEXT('Revenues &amp; Outlays in GDP'!F194, "0.00"),""), "")</f>
        <v/>
      </c>
      <c r="E188" s="23" t="str">
        <f>IFERROR(IF(ISNUMBER('Revenues &amp; Outlays in GDP'!D194),TEXT('Revenues &amp; Outlays in GDP'!D194, "0.00"),""), "")</f>
        <v/>
      </c>
    </row>
    <row r="189" spans="1:5">
      <c r="A189" s="23" t="str">
        <f>TEXT(IF('Revenues &amp; Outlays in GDP'!B195&lt;&gt;0,'Revenues &amp; Outlays in GDP'!B195-364, ""), "mm/dd/yyyy")</f>
        <v/>
      </c>
      <c r="B189" s="23" t="str">
        <f>IFERROR(IF(ISNUMBER('Revenues &amp; Outlays in GDP'!E195),TEXT('Revenues &amp; Outlays in GDP'!E195, "0.00"),""), "")</f>
        <v/>
      </c>
      <c r="C189" s="23" t="str">
        <f>IFERROR(IF(ISNUMBER('Revenues &amp; Outlays in GDP'!C195),TEXT('Revenues &amp; Outlays in GDP'!C195, "0.00"),""), "")</f>
        <v/>
      </c>
      <c r="D189" s="23" t="str">
        <f>IFERROR(IF(ISNUMBER('Revenues &amp; Outlays in GDP'!F195),TEXT('Revenues &amp; Outlays in GDP'!F195, "0.00"),""), "")</f>
        <v/>
      </c>
      <c r="E189" s="23" t="str">
        <f>IFERROR(IF(ISNUMBER('Revenues &amp; Outlays in GDP'!D195),TEXT('Revenues &amp; Outlays in GDP'!D195, "0.00"),""), "")</f>
        <v/>
      </c>
    </row>
    <row r="190" spans="1:5">
      <c r="A190" s="23" t="str">
        <f>TEXT(IF('Revenues &amp; Outlays in GDP'!B196&lt;&gt;0,'Revenues &amp; Outlays in GDP'!B196-364, ""), "mm/dd/yyyy")</f>
        <v/>
      </c>
      <c r="B190" s="23" t="str">
        <f>IFERROR(IF(ISNUMBER('Revenues &amp; Outlays in GDP'!E196),TEXT('Revenues &amp; Outlays in GDP'!E196, "0.00"),""), "")</f>
        <v/>
      </c>
      <c r="C190" s="23" t="str">
        <f>IFERROR(IF(ISNUMBER('Revenues &amp; Outlays in GDP'!C196),TEXT('Revenues &amp; Outlays in GDP'!C196, "0.00"),""), "")</f>
        <v/>
      </c>
      <c r="D190" s="23" t="str">
        <f>IFERROR(IF(ISNUMBER('Revenues &amp; Outlays in GDP'!F196),TEXT('Revenues &amp; Outlays in GDP'!F196, "0.00"),""), "")</f>
        <v/>
      </c>
      <c r="E190" s="23" t="str">
        <f>IFERROR(IF(ISNUMBER('Revenues &amp; Outlays in GDP'!D196),TEXT('Revenues &amp; Outlays in GDP'!D196, "0.00"),""), "")</f>
        <v/>
      </c>
    </row>
    <row r="191" spans="1:5">
      <c r="A191" s="23" t="str">
        <f>TEXT(IF('Revenues &amp; Outlays in GDP'!B197&lt;&gt;0,'Revenues &amp; Outlays in GDP'!B197-364, ""), "mm/dd/yyyy")</f>
        <v/>
      </c>
      <c r="B191" s="23" t="str">
        <f>IFERROR(IF(ISNUMBER('Revenues &amp; Outlays in GDP'!E197),TEXT('Revenues &amp; Outlays in GDP'!E197, "0.00"),""), "")</f>
        <v/>
      </c>
      <c r="C191" s="23" t="str">
        <f>IFERROR(IF(ISNUMBER('Revenues &amp; Outlays in GDP'!C197),TEXT('Revenues &amp; Outlays in GDP'!C197, "0.00"),""), "")</f>
        <v/>
      </c>
      <c r="D191" s="23" t="str">
        <f>IFERROR(IF(ISNUMBER('Revenues &amp; Outlays in GDP'!F197),TEXT('Revenues &amp; Outlays in GDP'!F197, "0.00"),""), "")</f>
        <v/>
      </c>
      <c r="E191" s="23" t="str">
        <f>IFERROR(IF(ISNUMBER('Revenues &amp; Outlays in GDP'!D197),TEXT('Revenues &amp; Outlays in GDP'!D197, "0.00"),""), "")</f>
        <v/>
      </c>
    </row>
    <row r="192" spans="1:5">
      <c r="A192" s="23" t="str">
        <f>TEXT(IF('Revenues &amp; Outlays in GDP'!B198&lt;&gt;0,'Revenues &amp; Outlays in GDP'!B198-364, ""), "mm/dd/yyyy")</f>
        <v/>
      </c>
      <c r="B192" s="23" t="str">
        <f>IFERROR(IF(ISNUMBER('Revenues &amp; Outlays in GDP'!E198),TEXT('Revenues &amp; Outlays in GDP'!E198, "0.00"),""), "")</f>
        <v/>
      </c>
      <c r="C192" s="23" t="str">
        <f>IFERROR(IF(ISNUMBER('Revenues &amp; Outlays in GDP'!C198),TEXT('Revenues &amp; Outlays in GDP'!C198, "0.00"),""), "")</f>
        <v/>
      </c>
      <c r="D192" s="23" t="str">
        <f>IFERROR(IF(ISNUMBER('Revenues &amp; Outlays in GDP'!F198),TEXT('Revenues &amp; Outlays in GDP'!F198, "0.00"),""), "")</f>
        <v/>
      </c>
      <c r="E192" s="23" t="str">
        <f>IFERROR(IF(ISNUMBER('Revenues &amp; Outlays in GDP'!D198),TEXT('Revenues &amp; Outlays in GDP'!D198, "0.00"),""), "")</f>
        <v/>
      </c>
    </row>
    <row r="193" spans="1:5">
      <c r="A193" s="23" t="str">
        <f>TEXT(IF('Revenues &amp; Outlays in GDP'!B199&lt;&gt;0,'Revenues &amp; Outlays in GDP'!B199-364, ""), "mm/dd/yyyy")</f>
        <v/>
      </c>
      <c r="B193" s="23" t="str">
        <f>IFERROR(IF(ISNUMBER('Revenues &amp; Outlays in GDP'!E199),TEXT('Revenues &amp; Outlays in GDP'!E199, "0.00"),""), "")</f>
        <v/>
      </c>
      <c r="C193" s="23" t="str">
        <f>IFERROR(IF(ISNUMBER('Revenues &amp; Outlays in GDP'!C199),TEXT('Revenues &amp; Outlays in GDP'!C199, "0.00"),""), "")</f>
        <v/>
      </c>
      <c r="D193" s="23" t="str">
        <f>IFERROR(IF(ISNUMBER('Revenues &amp; Outlays in GDP'!F199),TEXT('Revenues &amp; Outlays in GDP'!F199, "0.00"),""), "")</f>
        <v/>
      </c>
      <c r="E193" s="23" t="str">
        <f>IFERROR(IF(ISNUMBER('Revenues &amp; Outlays in GDP'!D199),TEXT('Revenues &amp; Outlays in GDP'!D199, "0.00"),""), "")</f>
        <v/>
      </c>
    </row>
    <row r="194" spans="1:5">
      <c r="A194" s="23" t="str">
        <f>TEXT(IF('Revenues &amp; Outlays in GDP'!B200&lt;&gt;0,'Revenues &amp; Outlays in GDP'!B200-364, ""), "mm/dd/yyyy")</f>
        <v/>
      </c>
      <c r="B194" s="23" t="str">
        <f>IFERROR(IF(ISNUMBER('Revenues &amp; Outlays in GDP'!E200),TEXT('Revenues &amp; Outlays in GDP'!E200, "0.00"),""), "")</f>
        <v/>
      </c>
      <c r="C194" s="23" t="str">
        <f>IFERROR(IF(ISNUMBER('Revenues &amp; Outlays in GDP'!C200),TEXT('Revenues &amp; Outlays in GDP'!C200, "0.00"),""), "")</f>
        <v/>
      </c>
      <c r="D194" s="23" t="str">
        <f>IFERROR(IF(ISNUMBER('Revenues &amp; Outlays in GDP'!F200),TEXT('Revenues &amp; Outlays in GDP'!F200, "0.00"),""), "")</f>
        <v/>
      </c>
      <c r="E194" s="23" t="str">
        <f>IFERROR(IF(ISNUMBER('Revenues &amp; Outlays in GDP'!D200),TEXT('Revenues &amp; Outlays in GDP'!D200, "0.00"),""), "")</f>
        <v/>
      </c>
    </row>
    <row r="195" spans="1:5">
      <c r="A195" s="23" t="str">
        <f>TEXT(IF('Revenues &amp; Outlays in GDP'!B201&lt;&gt;0,'Revenues &amp; Outlays in GDP'!B201-364, ""), "mm/dd/yyyy")</f>
        <v/>
      </c>
      <c r="B195" s="23" t="str">
        <f>IFERROR(IF(ISNUMBER('Revenues &amp; Outlays in GDP'!E201),TEXT('Revenues &amp; Outlays in GDP'!E201, "0.00"),""), "")</f>
        <v/>
      </c>
      <c r="C195" s="23" t="str">
        <f>IFERROR(IF(ISNUMBER('Revenues &amp; Outlays in GDP'!C201),TEXT('Revenues &amp; Outlays in GDP'!C201, "0.00"),""), "")</f>
        <v/>
      </c>
      <c r="D195" s="23" t="str">
        <f>IFERROR(IF(ISNUMBER('Revenues &amp; Outlays in GDP'!F201),TEXT('Revenues &amp; Outlays in GDP'!F201, "0.00"),""), "")</f>
        <v/>
      </c>
      <c r="E195" s="23" t="str">
        <f>IFERROR(IF(ISNUMBER('Revenues &amp; Outlays in GDP'!D201),TEXT('Revenues &amp; Outlays in GDP'!D201, "0.00"),""), "")</f>
        <v/>
      </c>
    </row>
    <row r="196" spans="1:5">
      <c r="A196" s="23" t="str">
        <f>TEXT(IF('Revenues &amp; Outlays in GDP'!B202&lt;&gt;0,'Revenues &amp; Outlays in GDP'!B202-364, ""), "mm/dd/yyyy")</f>
        <v/>
      </c>
      <c r="B196" s="23" t="str">
        <f>IFERROR(IF(ISNUMBER('Revenues &amp; Outlays in GDP'!E202),TEXT('Revenues &amp; Outlays in GDP'!E202, "0.00"),""), "")</f>
        <v/>
      </c>
      <c r="C196" s="23" t="str">
        <f>IFERROR(IF(ISNUMBER('Revenues &amp; Outlays in GDP'!C202),TEXT('Revenues &amp; Outlays in GDP'!C202, "0.00"),""), "")</f>
        <v/>
      </c>
      <c r="D196" s="23" t="str">
        <f>IFERROR(IF(ISNUMBER('Revenues &amp; Outlays in GDP'!F202),TEXT('Revenues &amp; Outlays in GDP'!F202, "0.00"),""), "")</f>
        <v/>
      </c>
      <c r="E196" s="23" t="str">
        <f>IFERROR(IF(ISNUMBER('Revenues &amp; Outlays in GDP'!D202),TEXT('Revenues &amp; Outlays in GDP'!D202, "0.00"),""), "")</f>
        <v/>
      </c>
    </row>
    <row r="197" spans="1:5">
      <c r="A197" s="23" t="str">
        <f>TEXT(IF('Revenues &amp; Outlays in GDP'!B203&lt;&gt;0,'Revenues &amp; Outlays in GDP'!B203-364, ""), "mm/dd/yyyy")</f>
        <v/>
      </c>
      <c r="B197" s="23" t="str">
        <f>IFERROR(IF(ISNUMBER('Revenues &amp; Outlays in GDP'!E203),TEXT('Revenues &amp; Outlays in GDP'!E203, "0.00"),""), "")</f>
        <v/>
      </c>
      <c r="C197" s="23" t="str">
        <f>IFERROR(IF(ISNUMBER('Revenues &amp; Outlays in GDP'!C203),TEXT('Revenues &amp; Outlays in GDP'!C203, "0.00"),""), "")</f>
        <v/>
      </c>
      <c r="D197" s="23" t="str">
        <f>IFERROR(IF(ISNUMBER('Revenues &amp; Outlays in GDP'!F203),TEXT('Revenues &amp; Outlays in GDP'!F203, "0.00"),""), "")</f>
        <v/>
      </c>
      <c r="E197" s="23" t="str">
        <f>IFERROR(IF(ISNUMBER('Revenues &amp; Outlays in GDP'!D203),TEXT('Revenues &amp; Outlays in GDP'!D203, "0.00"),""), "")</f>
        <v/>
      </c>
    </row>
    <row r="198" spans="1:5">
      <c r="A198" s="23" t="str">
        <f>TEXT(IF('Revenues &amp; Outlays in GDP'!B204&lt;&gt;0,'Revenues &amp; Outlays in GDP'!B204-364, ""), "mm/dd/yyyy")</f>
        <v/>
      </c>
      <c r="B198" s="23" t="str">
        <f>IFERROR(IF(ISNUMBER('Revenues &amp; Outlays in GDP'!E204),TEXT('Revenues &amp; Outlays in GDP'!E204, "0.00"),""), "")</f>
        <v/>
      </c>
      <c r="C198" s="23" t="str">
        <f>IFERROR(IF(ISNUMBER('Revenues &amp; Outlays in GDP'!C204),TEXT('Revenues &amp; Outlays in GDP'!C204, "0.00"),""), "")</f>
        <v/>
      </c>
      <c r="D198" s="23" t="str">
        <f>IFERROR(IF(ISNUMBER('Revenues &amp; Outlays in GDP'!F204),TEXT('Revenues &amp; Outlays in GDP'!F204, "0.00"),""), "")</f>
        <v/>
      </c>
      <c r="E198" s="23" t="str">
        <f>IFERROR(IF(ISNUMBER('Revenues &amp; Outlays in GDP'!D204),TEXT('Revenues &amp; Outlays in GDP'!D204, "0.00"),""), "")</f>
        <v/>
      </c>
    </row>
    <row r="199" spans="1:5">
      <c r="A199" s="23" t="str">
        <f>TEXT(IF('Revenues &amp; Outlays in GDP'!B205&lt;&gt;0,'Revenues &amp; Outlays in GDP'!B205-364, ""), "mm/dd/yyyy")</f>
        <v/>
      </c>
      <c r="B199" s="23" t="str">
        <f>IFERROR(IF(ISNUMBER('Revenues &amp; Outlays in GDP'!E205),TEXT('Revenues &amp; Outlays in GDP'!E205, "0.00"),""), "")</f>
        <v/>
      </c>
      <c r="C199" s="23" t="str">
        <f>IFERROR(IF(ISNUMBER('Revenues &amp; Outlays in GDP'!C205),TEXT('Revenues &amp; Outlays in GDP'!C205, "0.00"),""), "")</f>
        <v/>
      </c>
      <c r="D199" s="23" t="str">
        <f>IFERROR(IF(ISNUMBER('Revenues &amp; Outlays in GDP'!F205),TEXT('Revenues &amp; Outlays in GDP'!F205, "0.00"),""), "")</f>
        <v/>
      </c>
      <c r="E199" s="23" t="str">
        <f>IFERROR(IF(ISNUMBER('Revenues &amp; Outlays in GDP'!D205),TEXT('Revenues &amp; Outlays in GDP'!D205, "0.00"),""), "")</f>
        <v/>
      </c>
    </row>
    <row r="200" spans="1:5">
      <c r="A200" s="23" t="str">
        <f>TEXT(IF('Revenues &amp; Outlays in GDP'!B206&lt;&gt;0,'Revenues &amp; Outlays in GDP'!B206-364, ""), "mm/dd/yyyy")</f>
        <v/>
      </c>
      <c r="B200" s="23" t="str">
        <f>IFERROR(IF(ISNUMBER('Revenues &amp; Outlays in GDP'!E206),TEXT('Revenues &amp; Outlays in GDP'!E206, "0.00"),""), "")</f>
        <v/>
      </c>
      <c r="C200" s="23" t="str">
        <f>IFERROR(IF(ISNUMBER('Revenues &amp; Outlays in GDP'!C206),TEXT('Revenues &amp; Outlays in GDP'!C206, "0.00"),""), "")</f>
        <v/>
      </c>
      <c r="D200" s="23" t="str">
        <f>IFERROR(IF(ISNUMBER('Revenues &amp; Outlays in GDP'!F206),TEXT('Revenues &amp; Outlays in GDP'!F206, "0.00"),""), "")</f>
        <v/>
      </c>
      <c r="E200" s="23" t="str">
        <f>IFERROR(IF(ISNUMBER('Revenues &amp; Outlays in GDP'!D206),TEXT('Revenues &amp; Outlays in GDP'!D206, "0.00"),""), "")</f>
        <v/>
      </c>
    </row>
    <row r="201" spans="1:5">
      <c r="A201" s="23" t="str">
        <f>TEXT(IF('Revenues &amp; Outlays in GDP'!B207&lt;&gt;0,'Revenues &amp; Outlays in GDP'!B207-364, ""), "mm/dd/yyyy")</f>
        <v/>
      </c>
      <c r="B201" s="23" t="str">
        <f>IFERROR(IF(ISNUMBER('Revenues &amp; Outlays in GDP'!E207),TEXT('Revenues &amp; Outlays in GDP'!E207, "0.00"),""), "")</f>
        <v/>
      </c>
      <c r="C201" s="23" t="str">
        <f>IFERROR(IF(ISNUMBER('Revenues &amp; Outlays in GDP'!C207),TEXT('Revenues &amp; Outlays in GDP'!C207, "0.00"),""), "")</f>
        <v/>
      </c>
      <c r="D201" s="23" t="str">
        <f>IFERROR(IF(ISNUMBER('Revenues &amp; Outlays in GDP'!F207),TEXT('Revenues &amp; Outlays in GDP'!F207, "0.00"),""), "")</f>
        <v/>
      </c>
      <c r="E201" s="23" t="str">
        <f>IFERROR(IF(ISNUMBER('Revenues &amp; Outlays in GDP'!D207),TEXT('Revenues &amp; Outlays in GDP'!D207, "0.00"),""), "")</f>
        <v/>
      </c>
    </row>
    <row r="202" spans="1:5">
      <c r="A202" s="23" t="str">
        <f>TEXT(IF('Revenues &amp; Outlays in GDP'!B208&lt;&gt;0,'Revenues &amp; Outlays in GDP'!B208-364, ""), "mm/dd/yyyy")</f>
        <v/>
      </c>
      <c r="B202" s="23" t="str">
        <f>IFERROR(IF(ISNUMBER('Revenues &amp; Outlays in GDP'!E208),TEXT('Revenues &amp; Outlays in GDP'!E208, "0.00"),""), "")</f>
        <v/>
      </c>
      <c r="C202" s="23" t="str">
        <f>IFERROR(IF(ISNUMBER('Revenues &amp; Outlays in GDP'!C208),TEXT('Revenues &amp; Outlays in GDP'!C208, "0.00"),""), "")</f>
        <v/>
      </c>
      <c r="D202" s="23" t="str">
        <f>IFERROR(IF(ISNUMBER('Revenues &amp; Outlays in GDP'!F208),TEXT('Revenues &amp; Outlays in GDP'!F208, "0.00"),""), "")</f>
        <v/>
      </c>
      <c r="E202" s="23" t="str">
        <f>IFERROR(IF(ISNUMBER('Revenues &amp; Outlays in GDP'!D208),TEXT('Revenues &amp; Outlays in GDP'!D208, "0.00"),""), "")</f>
        <v/>
      </c>
    </row>
    <row r="203" spans="1:5">
      <c r="A203" s="23" t="str">
        <f>TEXT(IF('Revenues &amp; Outlays in GDP'!B209&lt;&gt;0,'Revenues &amp; Outlays in GDP'!B209-364, ""), "mm/dd/yyyy")</f>
        <v/>
      </c>
      <c r="B203" s="23" t="str">
        <f>IFERROR(IF(ISNUMBER('Revenues &amp; Outlays in GDP'!E209),TEXT('Revenues &amp; Outlays in GDP'!E209, "0.00"),""), "")</f>
        <v/>
      </c>
      <c r="C203" s="23" t="str">
        <f>IFERROR(IF(ISNUMBER('Revenues &amp; Outlays in GDP'!C209),TEXT('Revenues &amp; Outlays in GDP'!C209, "0.00"),""), "")</f>
        <v/>
      </c>
      <c r="D203" s="23" t="str">
        <f>IFERROR(IF(ISNUMBER('Revenues &amp; Outlays in GDP'!F209),TEXT('Revenues &amp; Outlays in GDP'!F209, "0.00"),""), "")</f>
        <v/>
      </c>
      <c r="E203" s="23" t="str">
        <f>IFERROR(IF(ISNUMBER('Revenues &amp; Outlays in GDP'!D209),TEXT('Revenues &amp; Outlays in GDP'!D209, "0.00"),""), "")</f>
        <v/>
      </c>
    </row>
    <row r="204" spans="1:5">
      <c r="A204" s="23" t="str">
        <f>TEXT(IF('Revenues &amp; Outlays in GDP'!B210&lt;&gt;0,'Revenues &amp; Outlays in GDP'!B210-364, ""), "mm/dd/yyyy")</f>
        <v/>
      </c>
      <c r="B204" s="23" t="str">
        <f>IFERROR(IF(ISNUMBER('Revenues &amp; Outlays in GDP'!E210),TEXT('Revenues &amp; Outlays in GDP'!E210, "0.00"),""), "")</f>
        <v/>
      </c>
      <c r="C204" s="23" t="str">
        <f>IFERROR(IF(ISNUMBER('Revenues &amp; Outlays in GDP'!C210),TEXT('Revenues &amp; Outlays in GDP'!C210, "0.00"),""), "")</f>
        <v/>
      </c>
      <c r="D204" s="23" t="str">
        <f>IFERROR(IF(ISNUMBER('Revenues &amp; Outlays in GDP'!F210),TEXT('Revenues &amp; Outlays in GDP'!F210, "0.00"),""), "")</f>
        <v/>
      </c>
      <c r="E204" s="23" t="str">
        <f>IFERROR(IF(ISNUMBER('Revenues &amp; Outlays in GDP'!D210),TEXT('Revenues &amp; Outlays in GDP'!D210, "0.00"),""), "")</f>
        <v/>
      </c>
    </row>
    <row r="205" spans="1:5">
      <c r="A205" s="23" t="str">
        <f>TEXT(IF('Revenues &amp; Outlays in GDP'!B211&lt;&gt;0,'Revenues &amp; Outlays in GDP'!B211-364, ""), "mm/dd/yyyy")</f>
        <v/>
      </c>
      <c r="B205" s="23" t="str">
        <f>IFERROR(IF(ISNUMBER('Revenues &amp; Outlays in GDP'!E211),TEXT('Revenues &amp; Outlays in GDP'!E211, "0.00"),""), "")</f>
        <v/>
      </c>
      <c r="C205" s="23" t="str">
        <f>IFERROR(IF(ISNUMBER('Revenues &amp; Outlays in GDP'!C211),TEXT('Revenues &amp; Outlays in GDP'!C211, "0.00"),""), "")</f>
        <v/>
      </c>
      <c r="D205" s="23" t="str">
        <f>IFERROR(IF(ISNUMBER('Revenues &amp; Outlays in GDP'!F211),TEXT('Revenues &amp; Outlays in GDP'!F211, "0.00"),""), "")</f>
        <v/>
      </c>
      <c r="E205" s="23" t="str">
        <f>IFERROR(IF(ISNUMBER('Revenues &amp; Outlays in GDP'!D211),TEXT('Revenues &amp; Outlays in GDP'!D211, "0.00"),""), "")</f>
        <v/>
      </c>
    </row>
    <row r="206" spans="1:5">
      <c r="A206" s="23" t="str">
        <f>TEXT(IF('Revenues &amp; Outlays in GDP'!B212&lt;&gt;0,'Revenues &amp; Outlays in GDP'!B212-364, ""), "mm/dd/yyyy")</f>
        <v/>
      </c>
      <c r="B206" s="23" t="str">
        <f>IFERROR(IF(ISNUMBER('Revenues &amp; Outlays in GDP'!E212),TEXT('Revenues &amp; Outlays in GDP'!E212, "0.00"),""), "")</f>
        <v/>
      </c>
      <c r="C206" s="23" t="str">
        <f>IFERROR(IF(ISNUMBER('Revenues &amp; Outlays in GDP'!C212),TEXT('Revenues &amp; Outlays in GDP'!C212, "0.00"),""), "")</f>
        <v/>
      </c>
      <c r="D206" s="23" t="str">
        <f>IFERROR(IF(ISNUMBER('Revenues &amp; Outlays in GDP'!F212),TEXT('Revenues &amp; Outlays in GDP'!F212, "0.00"),""), "")</f>
        <v/>
      </c>
      <c r="E206" s="23" t="str">
        <f>IFERROR(IF(ISNUMBER('Revenues &amp; Outlays in GDP'!D212),TEXT('Revenues &amp; Outlays in GDP'!D212, "0.00"),""), "")</f>
        <v/>
      </c>
    </row>
    <row r="207" spans="1:5">
      <c r="A207" s="23" t="str">
        <f>TEXT(IF('Revenues &amp; Outlays in GDP'!B213&lt;&gt;0,'Revenues &amp; Outlays in GDP'!B213-364, ""), "mm/dd/yyyy")</f>
        <v/>
      </c>
      <c r="B207" s="23" t="str">
        <f>IFERROR(IF(ISNUMBER('Revenues &amp; Outlays in GDP'!E213),TEXT('Revenues &amp; Outlays in GDP'!E213, "0.00"),""), "")</f>
        <v/>
      </c>
      <c r="C207" s="23" t="str">
        <f>IFERROR(IF(ISNUMBER('Revenues &amp; Outlays in GDP'!C213),TEXT('Revenues &amp; Outlays in GDP'!C213, "0.00"),""), "")</f>
        <v/>
      </c>
      <c r="D207" s="23" t="str">
        <f>IFERROR(IF(ISNUMBER('Revenues &amp; Outlays in GDP'!F213),TEXT('Revenues &amp; Outlays in GDP'!F213, "0.00"),""), "")</f>
        <v/>
      </c>
      <c r="E207" s="23" t="str">
        <f>IFERROR(IF(ISNUMBER('Revenues &amp; Outlays in GDP'!D213),TEXT('Revenues &amp; Outlays in GDP'!D213, "0.00"),""), "")</f>
        <v/>
      </c>
    </row>
    <row r="208" spans="1:5">
      <c r="A208" s="23" t="str">
        <f>TEXT(IF('Revenues &amp; Outlays in GDP'!B214&lt;&gt;0,'Revenues &amp; Outlays in GDP'!B214-364, ""), "mm/dd/yyyy")</f>
        <v/>
      </c>
      <c r="B208" s="23" t="str">
        <f>IFERROR(IF(ISNUMBER('Revenues &amp; Outlays in GDP'!E214),TEXT('Revenues &amp; Outlays in GDP'!E214, "0.00"),""), "")</f>
        <v/>
      </c>
      <c r="C208" s="23" t="str">
        <f>IFERROR(IF(ISNUMBER('Revenues &amp; Outlays in GDP'!C214),TEXT('Revenues &amp; Outlays in GDP'!C214, "0.00"),""), "")</f>
        <v/>
      </c>
      <c r="D208" s="23" t="str">
        <f>IFERROR(IF(ISNUMBER('Revenues &amp; Outlays in GDP'!F214),TEXT('Revenues &amp; Outlays in GDP'!F214, "0.00"),""), "")</f>
        <v/>
      </c>
      <c r="E208" s="23" t="str">
        <f>IFERROR(IF(ISNUMBER('Revenues &amp; Outlays in GDP'!D214),TEXT('Revenues &amp; Outlays in GDP'!D214, "0.00"),""), "")</f>
        <v/>
      </c>
    </row>
    <row r="209" spans="1:5">
      <c r="A209" s="23" t="str">
        <f>TEXT(IF('Revenues &amp; Outlays in GDP'!B215&lt;&gt;0,'Revenues &amp; Outlays in GDP'!B215-364, ""), "mm/dd/yyyy")</f>
        <v/>
      </c>
      <c r="B209" s="23" t="str">
        <f>IFERROR(IF(ISNUMBER('Revenues &amp; Outlays in GDP'!E215),TEXT('Revenues &amp; Outlays in GDP'!E215, "0.00"),""), "")</f>
        <v/>
      </c>
      <c r="C209" s="23" t="str">
        <f>IFERROR(IF(ISNUMBER('Revenues &amp; Outlays in GDP'!C215),TEXT('Revenues &amp; Outlays in GDP'!C215, "0.00"),""), "")</f>
        <v/>
      </c>
      <c r="D209" s="23" t="str">
        <f>IFERROR(IF(ISNUMBER('Revenues &amp; Outlays in GDP'!F215),TEXT('Revenues &amp; Outlays in GDP'!F215, "0.00"),""), "")</f>
        <v/>
      </c>
      <c r="E209" s="23" t="str">
        <f>IFERROR(IF(ISNUMBER('Revenues &amp; Outlays in GDP'!D215),TEXT('Revenues &amp; Outlays in GDP'!D215, "0.00"),""), "")</f>
        <v/>
      </c>
    </row>
    <row r="210" spans="1:5">
      <c r="A210" s="23" t="str">
        <f>TEXT(IF('Revenues &amp; Outlays in GDP'!B216&lt;&gt;0,'Revenues &amp; Outlays in GDP'!B216-364, ""), "mm/dd/yyyy")</f>
        <v/>
      </c>
      <c r="B210" s="23" t="str">
        <f>IFERROR(IF(ISNUMBER('Revenues &amp; Outlays in GDP'!E216),TEXT('Revenues &amp; Outlays in GDP'!E216, "0.00"),""), "")</f>
        <v/>
      </c>
      <c r="C210" s="23" t="str">
        <f>IFERROR(IF(ISNUMBER('Revenues &amp; Outlays in GDP'!C216),TEXT('Revenues &amp; Outlays in GDP'!C216, "0.00"),""), "")</f>
        <v/>
      </c>
      <c r="D210" s="23" t="str">
        <f>IFERROR(IF(ISNUMBER('Revenues &amp; Outlays in GDP'!F216),TEXT('Revenues &amp; Outlays in GDP'!F216, "0.00"),""), "")</f>
        <v/>
      </c>
      <c r="E210" s="23" t="str">
        <f>IFERROR(IF(ISNUMBER('Revenues &amp; Outlays in GDP'!D216),TEXT('Revenues &amp; Outlays in GDP'!D216, "0.00"),""), "")</f>
        <v/>
      </c>
    </row>
    <row r="211" spans="1:5">
      <c r="A211" s="23" t="str">
        <f>TEXT(IF('Revenues &amp; Outlays in GDP'!B217&lt;&gt;0,'Revenues &amp; Outlays in GDP'!B217-364, ""), "mm/dd/yyyy")</f>
        <v/>
      </c>
      <c r="B211" s="23" t="str">
        <f>IFERROR(IF(ISNUMBER('Revenues &amp; Outlays in GDP'!E217),TEXT('Revenues &amp; Outlays in GDP'!E217, "0.00"),""), "")</f>
        <v/>
      </c>
      <c r="C211" s="23" t="str">
        <f>IFERROR(IF(ISNUMBER('Revenues &amp; Outlays in GDP'!C217),TEXT('Revenues &amp; Outlays in GDP'!C217, "0.00"),""), "")</f>
        <v/>
      </c>
      <c r="D211" s="23" t="str">
        <f>IFERROR(IF(ISNUMBER('Revenues &amp; Outlays in GDP'!F217),TEXT('Revenues &amp; Outlays in GDP'!F217, "0.00"),""), "")</f>
        <v/>
      </c>
      <c r="E211" s="23" t="str">
        <f>IFERROR(IF(ISNUMBER('Revenues &amp; Outlays in GDP'!D217),TEXT('Revenues &amp; Outlays in GDP'!D217, "0.00"),""), "")</f>
        <v/>
      </c>
    </row>
    <row r="212" spans="1:5">
      <c r="A212" s="23" t="str">
        <f>TEXT(IF('Revenues &amp; Outlays in GDP'!B218&lt;&gt;0,'Revenues &amp; Outlays in GDP'!B218-364, ""), "mm/dd/yyyy")</f>
        <v/>
      </c>
      <c r="B212" s="23" t="str">
        <f>IFERROR(IF(ISNUMBER('Revenues &amp; Outlays in GDP'!E218),TEXT('Revenues &amp; Outlays in GDP'!E218, "0.00"),""), "")</f>
        <v/>
      </c>
      <c r="C212" s="23" t="str">
        <f>IFERROR(IF(ISNUMBER('Revenues &amp; Outlays in GDP'!C218),TEXT('Revenues &amp; Outlays in GDP'!C218, "0.00"),""), "")</f>
        <v/>
      </c>
      <c r="D212" s="23" t="str">
        <f>IFERROR(IF(ISNUMBER('Revenues &amp; Outlays in GDP'!F218),TEXT('Revenues &amp; Outlays in GDP'!F218, "0.00"),""), "")</f>
        <v/>
      </c>
      <c r="E212" s="23" t="str">
        <f>IFERROR(IF(ISNUMBER('Revenues &amp; Outlays in GDP'!D218),TEXT('Revenues &amp; Outlays in GDP'!D218, "0.00"),""), "")</f>
        <v/>
      </c>
    </row>
    <row r="213" spans="1:5">
      <c r="A213" s="23" t="str">
        <f>TEXT(IF('Revenues &amp; Outlays in GDP'!B219&lt;&gt;0,'Revenues &amp; Outlays in GDP'!B219-364, ""), "mm/dd/yyyy")</f>
        <v/>
      </c>
      <c r="B213" s="23" t="str">
        <f>IFERROR(IF(ISNUMBER('Revenues &amp; Outlays in GDP'!E219),TEXT('Revenues &amp; Outlays in GDP'!E219, "0.00"),""), "")</f>
        <v/>
      </c>
      <c r="C213" s="23" t="str">
        <f>IFERROR(IF(ISNUMBER('Revenues &amp; Outlays in GDP'!C219),TEXT('Revenues &amp; Outlays in GDP'!C219, "0.00"),""), "")</f>
        <v/>
      </c>
      <c r="D213" s="23" t="str">
        <f>IFERROR(IF(ISNUMBER('Revenues &amp; Outlays in GDP'!F219),TEXT('Revenues &amp; Outlays in GDP'!F219, "0.00"),""), "")</f>
        <v/>
      </c>
      <c r="E213" s="23" t="str">
        <f>IFERROR(IF(ISNUMBER('Revenues &amp; Outlays in GDP'!D219),TEXT('Revenues &amp; Outlays in GDP'!D219, "0.00"),""), "")</f>
        <v/>
      </c>
    </row>
    <row r="214" spans="1:5">
      <c r="A214" s="23" t="str">
        <f>TEXT(IF('Revenues &amp; Outlays in GDP'!B220&lt;&gt;0,'Revenues &amp; Outlays in GDP'!B220-364, ""), "mm/dd/yyyy")</f>
        <v/>
      </c>
      <c r="B214" s="23" t="str">
        <f>IFERROR(IF(ISNUMBER('Revenues &amp; Outlays in GDP'!E220),TEXT('Revenues &amp; Outlays in GDP'!E220, "0.00"),""), "")</f>
        <v/>
      </c>
      <c r="C214" s="23" t="str">
        <f>IFERROR(IF(ISNUMBER('Revenues &amp; Outlays in GDP'!C220),TEXT('Revenues &amp; Outlays in GDP'!C220, "0.00"),""), "")</f>
        <v/>
      </c>
      <c r="D214" s="23" t="str">
        <f>IFERROR(IF(ISNUMBER('Revenues &amp; Outlays in GDP'!F220),TEXT('Revenues &amp; Outlays in GDP'!F220, "0.00"),""), "")</f>
        <v/>
      </c>
      <c r="E214" s="23" t="str">
        <f>IFERROR(IF(ISNUMBER('Revenues &amp; Outlays in GDP'!D220),TEXT('Revenues &amp; Outlays in GDP'!D220, "0.00"),""), "")</f>
        <v/>
      </c>
    </row>
    <row r="215" spans="1:5">
      <c r="A215" s="23" t="str">
        <f>TEXT(IF('Revenues &amp; Outlays in GDP'!B221&lt;&gt;0,'Revenues &amp; Outlays in GDP'!B221-364, ""), "mm/dd/yyyy")</f>
        <v/>
      </c>
      <c r="B215" s="23" t="str">
        <f>IFERROR(IF(ISNUMBER('Revenues &amp; Outlays in GDP'!E221),TEXT('Revenues &amp; Outlays in GDP'!E221, "0.00"),""), "")</f>
        <v/>
      </c>
      <c r="C215" s="23" t="str">
        <f>IFERROR(IF(ISNUMBER('Revenues &amp; Outlays in GDP'!C221),TEXT('Revenues &amp; Outlays in GDP'!C221, "0.00"),""), "")</f>
        <v/>
      </c>
      <c r="D215" s="23" t="str">
        <f>IFERROR(IF(ISNUMBER('Revenues &amp; Outlays in GDP'!F221),TEXT('Revenues &amp; Outlays in GDP'!F221, "0.00"),""), "")</f>
        <v/>
      </c>
      <c r="E215" s="23" t="str">
        <f>IFERROR(IF(ISNUMBER('Revenues &amp; Outlays in GDP'!D221),TEXT('Revenues &amp; Outlays in GDP'!D221, "0.00"),""), "")</f>
        <v/>
      </c>
    </row>
    <row r="216" spans="1:5">
      <c r="A216" s="23" t="str">
        <f>TEXT(IF('Revenues &amp; Outlays in GDP'!B222&lt;&gt;0,'Revenues &amp; Outlays in GDP'!B222-364, ""), "mm/dd/yyyy")</f>
        <v/>
      </c>
      <c r="B216" s="23" t="str">
        <f>IFERROR(IF(ISNUMBER('Revenues &amp; Outlays in GDP'!E222),TEXT('Revenues &amp; Outlays in GDP'!E222, "0.00"),""), "")</f>
        <v/>
      </c>
      <c r="C216" s="23" t="str">
        <f>IFERROR(IF(ISNUMBER('Revenues &amp; Outlays in GDP'!C222),TEXT('Revenues &amp; Outlays in GDP'!C222, "0.00"),""), "")</f>
        <v/>
      </c>
      <c r="D216" s="23" t="str">
        <f>IFERROR(IF(ISNUMBER('Revenues &amp; Outlays in GDP'!F222),TEXT('Revenues &amp; Outlays in GDP'!F222, "0.00"),""), "")</f>
        <v/>
      </c>
      <c r="E216" s="23" t="str">
        <f>IFERROR(IF(ISNUMBER('Revenues &amp; Outlays in GDP'!D222),TEXT('Revenues &amp; Outlays in GDP'!D222, "0.00"),""), "")</f>
        <v/>
      </c>
    </row>
    <row r="217" spans="1:5">
      <c r="A217" s="23" t="str">
        <f>TEXT(IF('Revenues &amp; Outlays in GDP'!B223&lt;&gt;0,'Revenues &amp; Outlays in GDP'!B223-364, ""), "mm/dd/yyyy")</f>
        <v/>
      </c>
      <c r="B217" s="23" t="str">
        <f>IFERROR(IF(ISNUMBER('Revenues &amp; Outlays in GDP'!E223),TEXT('Revenues &amp; Outlays in GDP'!E223, "0.00"),""), "")</f>
        <v/>
      </c>
      <c r="C217" s="23" t="str">
        <f>IFERROR(IF(ISNUMBER('Revenues &amp; Outlays in GDP'!C223),TEXT('Revenues &amp; Outlays in GDP'!C223, "0.00"),""), "")</f>
        <v/>
      </c>
      <c r="D217" s="23" t="str">
        <f>IFERROR(IF(ISNUMBER('Revenues &amp; Outlays in GDP'!F223),TEXT('Revenues &amp; Outlays in GDP'!F223, "0.00"),""), "")</f>
        <v/>
      </c>
      <c r="E217" s="23" t="str">
        <f>IFERROR(IF(ISNUMBER('Revenues &amp; Outlays in GDP'!D223),TEXT('Revenues &amp; Outlays in GDP'!D223, "0.00"),""), "")</f>
        <v/>
      </c>
    </row>
    <row r="218" spans="1:5">
      <c r="A218" s="23" t="str">
        <f>TEXT(IF('Revenues &amp; Outlays in GDP'!B224&lt;&gt;0,'Revenues &amp; Outlays in GDP'!B224-364, ""), "mm/dd/yyyy")</f>
        <v/>
      </c>
      <c r="B218" s="23" t="str">
        <f>IFERROR(IF(ISNUMBER('Revenues &amp; Outlays in GDP'!E224),TEXT('Revenues &amp; Outlays in GDP'!E224, "0.00"),""), "")</f>
        <v/>
      </c>
      <c r="C218" s="23" t="str">
        <f>IFERROR(IF(ISNUMBER('Revenues &amp; Outlays in GDP'!C224),TEXT('Revenues &amp; Outlays in GDP'!C224, "0.00"),""), "")</f>
        <v/>
      </c>
      <c r="D218" s="23" t="str">
        <f>IFERROR(IF(ISNUMBER('Revenues &amp; Outlays in GDP'!F224),TEXT('Revenues &amp; Outlays in GDP'!F224, "0.00"),""), "")</f>
        <v/>
      </c>
      <c r="E218" s="23" t="str">
        <f>IFERROR(IF(ISNUMBER('Revenues &amp; Outlays in GDP'!D224),TEXT('Revenues &amp; Outlays in GDP'!D224, "0.00"),""), "")</f>
        <v/>
      </c>
    </row>
    <row r="219" spans="1:5">
      <c r="A219" s="23" t="str">
        <f>TEXT(IF('Revenues &amp; Outlays in GDP'!B225&lt;&gt;0,'Revenues &amp; Outlays in GDP'!B225-364, ""), "mm/dd/yyyy")</f>
        <v/>
      </c>
      <c r="B219" s="23" t="str">
        <f>IFERROR(IF(ISNUMBER('Revenues &amp; Outlays in GDP'!E225),TEXT('Revenues &amp; Outlays in GDP'!E225, "0.00"),""), "")</f>
        <v/>
      </c>
      <c r="C219" s="23" t="str">
        <f>IFERROR(IF(ISNUMBER('Revenues &amp; Outlays in GDP'!C225),TEXT('Revenues &amp; Outlays in GDP'!C225, "0.00"),""), "")</f>
        <v/>
      </c>
      <c r="D219" s="23" t="str">
        <f>IFERROR(IF(ISNUMBER('Revenues &amp; Outlays in GDP'!F225),TEXT('Revenues &amp; Outlays in GDP'!F225, "0.00"),""), "")</f>
        <v/>
      </c>
      <c r="E219" s="23" t="str">
        <f>IFERROR(IF(ISNUMBER('Revenues &amp; Outlays in GDP'!D225),TEXT('Revenues &amp; Outlays in GDP'!D225, "0.00"),""), "")</f>
        <v/>
      </c>
    </row>
    <row r="220" spans="1:5">
      <c r="A220" s="23" t="str">
        <f>TEXT(IF('Revenues &amp; Outlays in GDP'!B226&lt;&gt;0,'Revenues &amp; Outlays in GDP'!B226-364, ""), "mm/dd/yyyy")</f>
        <v/>
      </c>
      <c r="B220" s="23" t="str">
        <f>IFERROR(IF(ISNUMBER('Revenues &amp; Outlays in GDP'!E226),TEXT('Revenues &amp; Outlays in GDP'!E226, "0.00"),""), "")</f>
        <v/>
      </c>
      <c r="C220" s="23" t="str">
        <f>IFERROR(IF(ISNUMBER('Revenues &amp; Outlays in GDP'!C226),TEXT('Revenues &amp; Outlays in GDP'!C226, "0.00"),""), "")</f>
        <v/>
      </c>
      <c r="D220" s="23" t="str">
        <f>IFERROR(IF(ISNUMBER('Revenues &amp; Outlays in GDP'!F226),TEXT('Revenues &amp; Outlays in GDP'!F226, "0.00"),""), "")</f>
        <v/>
      </c>
      <c r="E220" s="23" t="str">
        <f>IFERROR(IF(ISNUMBER('Revenues &amp; Outlays in GDP'!D226),TEXT('Revenues &amp; Outlays in GDP'!D226, "0.00"),""), "")</f>
        <v/>
      </c>
    </row>
    <row r="221" spans="1:5">
      <c r="A221" s="23" t="str">
        <f>TEXT(IF('Revenues &amp; Outlays in GDP'!B227&lt;&gt;0,'Revenues &amp; Outlays in GDP'!B227-364, ""), "mm/dd/yyyy")</f>
        <v/>
      </c>
      <c r="B221" s="23" t="str">
        <f>IFERROR(IF(ISNUMBER('Revenues &amp; Outlays in GDP'!E227),TEXT('Revenues &amp; Outlays in GDP'!E227, "0.00"),""), "")</f>
        <v/>
      </c>
      <c r="C221" s="23" t="str">
        <f>IFERROR(IF(ISNUMBER('Revenues &amp; Outlays in GDP'!C227),TEXT('Revenues &amp; Outlays in GDP'!C227, "0.00"),""), "")</f>
        <v/>
      </c>
      <c r="D221" s="23" t="str">
        <f>IFERROR(IF(ISNUMBER('Revenues &amp; Outlays in GDP'!F227),TEXT('Revenues &amp; Outlays in GDP'!F227, "0.00"),""), "")</f>
        <v/>
      </c>
      <c r="E221" s="23" t="str">
        <f>IFERROR(IF(ISNUMBER('Revenues &amp; Outlays in GDP'!D227),TEXT('Revenues &amp; Outlays in GDP'!D227, "0.00"),""), "")</f>
        <v/>
      </c>
    </row>
    <row r="222" spans="1:5">
      <c r="A222" s="23" t="str">
        <f>TEXT(IF('Revenues &amp; Outlays in GDP'!B228&lt;&gt;0,'Revenues &amp; Outlays in GDP'!B228-364, ""), "mm/dd/yyyy")</f>
        <v/>
      </c>
      <c r="B222" s="23" t="str">
        <f>IFERROR(IF(ISNUMBER('Revenues &amp; Outlays in GDP'!E228),TEXT('Revenues &amp; Outlays in GDP'!E228, "0.00"),""), "")</f>
        <v/>
      </c>
      <c r="C222" s="23" t="str">
        <f>IFERROR(IF(ISNUMBER('Revenues &amp; Outlays in GDP'!C228),TEXT('Revenues &amp; Outlays in GDP'!C228, "0.00"),""), "")</f>
        <v/>
      </c>
      <c r="D222" s="23" t="str">
        <f>IFERROR(IF(ISNUMBER('Revenues &amp; Outlays in GDP'!F228),TEXT('Revenues &amp; Outlays in GDP'!F228, "0.00"),""), "")</f>
        <v/>
      </c>
      <c r="E222" s="23" t="str">
        <f>IFERROR(IF(ISNUMBER('Revenues &amp; Outlays in GDP'!D228),TEXT('Revenues &amp; Outlays in GDP'!D228, "0.00"),""), "")</f>
        <v/>
      </c>
    </row>
    <row r="223" spans="1:5">
      <c r="A223" s="23" t="str">
        <f>TEXT(IF('Revenues &amp; Outlays in GDP'!B229&lt;&gt;0,'Revenues &amp; Outlays in GDP'!B229-364, ""), "mm/dd/yyyy")</f>
        <v/>
      </c>
      <c r="B223" s="23" t="str">
        <f>IFERROR(IF(ISNUMBER('Revenues &amp; Outlays in GDP'!E229),TEXT('Revenues &amp; Outlays in GDP'!E229, "0.00"),""), "")</f>
        <v/>
      </c>
      <c r="C223" s="23" t="str">
        <f>IFERROR(IF(ISNUMBER('Revenues &amp; Outlays in GDP'!C229),TEXT('Revenues &amp; Outlays in GDP'!C229, "0.00"),""), "")</f>
        <v/>
      </c>
      <c r="D223" s="23" t="str">
        <f>IFERROR(IF(ISNUMBER('Revenues &amp; Outlays in GDP'!F229),TEXT('Revenues &amp; Outlays in GDP'!F229, "0.00"),""), "")</f>
        <v/>
      </c>
      <c r="E223" s="23" t="str">
        <f>IFERROR(IF(ISNUMBER('Revenues &amp; Outlays in GDP'!D229),TEXT('Revenues &amp; Outlays in GDP'!D229, "0.00"),""), "")</f>
        <v/>
      </c>
    </row>
    <row r="224" spans="1:5">
      <c r="A224" s="23" t="str">
        <f>TEXT(IF('Revenues &amp; Outlays in GDP'!B230&lt;&gt;0,'Revenues &amp; Outlays in GDP'!B230-364, ""), "mm/dd/yyyy")</f>
        <v/>
      </c>
      <c r="B224" s="23" t="str">
        <f>IFERROR(IF(ISNUMBER('Revenues &amp; Outlays in GDP'!E230),TEXT('Revenues &amp; Outlays in GDP'!E230, "0.00"),""), "")</f>
        <v/>
      </c>
      <c r="C224" s="23" t="str">
        <f>IFERROR(IF(ISNUMBER('Revenues &amp; Outlays in GDP'!C230),TEXT('Revenues &amp; Outlays in GDP'!C230, "0.00"),""), "")</f>
        <v/>
      </c>
      <c r="D224" s="23" t="str">
        <f>IFERROR(IF(ISNUMBER('Revenues &amp; Outlays in GDP'!F230),TEXT('Revenues &amp; Outlays in GDP'!F230, "0.00"),""), "")</f>
        <v/>
      </c>
      <c r="E224" s="23" t="str">
        <f>IFERROR(IF(ISNUMBER('Revenues &amp; Outlays in GDP'!D230),TEXT('Revenues &amp; Outlays in GDP'!D230, "0.00"),""), "")</f>
        <v/>
      </c>
    </row>
    <row r="225" spans="1:5">
      <c r="A225" s="23" t="str">
        <f>TEXT(IF('Revenues &amp; Outlays in GDP'!B231&lt;&gt;0,'Revenues &amp; Outlays in GDP'!B231-364, ""), "mm/dd/yyyy")</f>
        <v/>
      </c>
      <c r="B225" s="23" t="str">
        <f>IFERROR(IF(ISNUMBER('Revenues &amp; Outlays in GDP'!E231),TEXT('Revenues &amp; Outlays in GDP'!E231, "0.00"),""), "")</f>
        <v/>
      </c>
      <c r="C225" s="23" t="str">
        <f>IFERROR(IF(ISNUMBER('Revenues &amp; Outlays in GDP'!C231),TEXT('Revenues &amp; Outlays in GDP'!C231, "0.00"),""), "")</f>
        <v/>
      </c>
      <c r="D225" s="23" t="str">
        <f>IFERROR(IF(ISNUMBER('Revenues &amp; Outlays in GDP'!F231),TEXT('Revenues &amp; Outlays in GDP'!F231, "0.00"),""), "")</f>
        <v/>
      </c>
      <c r="E225" s="23" t="str">
        <f>IFERROR(IF(ISNUMBER('Revenues &amp; Outlays in GDP'!D231),TEXT('Revenues &amp; Outlays in GDP'!D231, "0.00"),""), "")</f>
        <v/>
      </c>
    </row>
    <row r="226" spans="1:5">
      <c r="A226" s="23" t="str">
        <f>TEXT(IF('Revenues &amp; Outlays in GDP'!B232&lt;&gt;0,'Revenues &amp; Outlays in GDP'!B232-364, ""), "mm/dd/yyyy")</f>
        <v/>
      </c>
      <c r="B226" s="23" t="str">
        <f>IFERROR(IF(ISNUMBER('Revenues &amp; Outlays in GDP'!E232),TEXT('Revenues &amp; Outlays in GDP'!E232, "0.00"),""), "")</f>
        <v/>
      </c>
      <c r="C226" s="23" t="str">
        <f>IFERROR(IF(ISNUMBER('Revenues &amp; Outlays in GDP'!C232),TEXT('Revenues &amp; Outlays in GDP'!C232, "0.00"),""), "")</f>
        <v/>
      </c>
      <c r="D226" s="23" t="str">
        <f>IFERROR(IF(ISNUMBER('Revenues &amp; Outlays in GDP'!F232),TEXT('Revenues &amp; Outlays in GDP'!F232, "0.00"),""), "")</f>
        <v/>
      </c>
      <c r="E226" s="23" t="str">
        <f>IFERROR(IF(ISNUMBER('Revenues &amp; Outlays in GDP'!D232),TEXT('Revenues &amp; Outlays in GDP'!D232, "0.00"),""), "")</f>
        <v/>
      </c>
    </row>
    <row r="227" spans="1:5">
      <c r="A227" s="23" t="str">
        <f>TEXT(IF('Revenues &amp; Outlays in GDP'!B233&lt;&gt;0,'Revenues &amp; Outlays in GDP'!B233-364, ""), "mm/dd/yyyy")</f>
        <v/>
      </c>
      <c r="B227" s="23" t="str">
        <f>IFERROR(IF(ISNUMBER('Revenues &amp; Outlays in GDP'!E233),TEXT('Revenues &amp; Outlays in GDP'!E233, "0.00"),""), "")</f>
        <v/>
      </c>
      <c r="C227" s="23" t="str">
        <f>IFERROR(IF(ISNUMBER('Revenues &amp; Outlays in GDP'!C233),TEXT('Revenues &amp; Outlays in GDP'!C233, "0.00"),""), "")</f>
        <v/>
      </c>
      <c r="D227" s="23" t="str">
        <f>IFERROR(IF(ISNUMBER('Revenues &amp; Outlays in GDP'!F233),TEXT('Revenues &amp; Outlays in GDP'!F233, "0.00"),""), "")</f>
        <v/>
      </c>
      <c r="E227" s="23" t="str">
        <f>IFERROR(IF(ISNUMBER('Revenues &amp; Outlays in GDP'!D233),TEXT('Revenues &amp; Outlays in GDP'!D233, "0.00"),""), "")</f>
        <v/>
      </c>
    </row>
    <row r="228" spans="1:5">
      <c r="A228" s="23" t="str">
        <f>TEXT(IF('Revenues &amp; Outlays in GDP'!B234&lt;&gt;0,'Revenues &amp; Outlays in GDP'!B234-364, ""), "mm/dd/yyyy")</f>
        <v/>
      </c>
      <c r="B228" s="23" t="str">
        <f>IFERROR(IF(ISNUMBER('Revenues &amp; Outlays in GDP'!E234),TEXT('Revenues &amp; Outlays in GDP'!E234, "0.00"),""), "")</f>
        <v/>
      </c>
      <c r="C228" s="23" t="str">
        <f>IFERROR(IF(ISNUMBER('Revenues &amp; Outlays in GDP'!C234),TEXT('Revenues &amp; Outlays in GDP'!C234, "0.00"),""), "")</f>
        <v/>
      </c>
      <c r="D228" s="23" t="str">
        <f>IFERROR(IF(ISNUMBER('Revenues &amp; Outlays in GDP'!F234),TEXT('Revenues &amp; Outlays in GDP'!F234, "0.00"),""), "")</f>
        <v/>
      </c>
      <c r="E228" s="23" t="str">
        <f>IFERROR(IF(ISNUMBER('Revenues &amp; Outlays in GDP'!D234),TEXT('Revenues &amp; Outlays in GDP'!D234, "0.00"),""), "")</f>
        <v/>
      </c>
    </row>
    <row r="229" spans="1:5">
      <c r="A229" s="23" t="str">
        <f>TEXT(IF('Revenues &amp; Outlays in GDP'!B235&lt;&gt;0,'Revenues &amp; Outlays in GDP'!B235-364, ""), "mm/dd/yyyy")</f>
        <v/>
      </c>
      <c r="B229" s="23" t="str">
        <f>IFERROR(IF(ISNUMBER('Revenues &amp; Outlays in GDP'!E235),TEXT('Revenues &amp; Outlays in GDP'!E235, "0.00"),""), "")</f>
        <v/>
      </c>
      <c r="C229" s="23" t="str">
        <f>IFERROR(IF(ISNUMBER('Revenues &amp; Outlays in GDP'!C235),TEXT('Revenues &amp; Outlays in GDP'!C235, "0.00"),""), "")</f>
        <v/>
      </c>
      <c r="D229" s="23" t="str">
        <f>IFERROR(IF(ISNUMBER('Revenues &amp; Outlays in GDP'!F235),TEXT('Revenues &amp; Outlays in GDP'!F235, "0.00"),""), "")</f>
        <v/>
      </c>
      <c r="E229" s="23" t="str">
        <f>IFERROR(IF(ISNUMBER('Revenues &amp; Outlays in GDP'!D235),TEXT('Revenues &amp; Outlays in GDP'!D235, "0.00"),""), "")</f>
        <v/>
      </c>
    </row>
    <row r="230" spans="1:5">
      <c r="A230" s="23" t="str">
        <f>TEXT(IF('Revenues &amp; Outlays in GDP'!B236&lt;&gt;0,'Revenues &amp; Outlays in GDP'!B236-364, ""), "mm/dd/yyyy")</f>
        <v/>
      </c>
      <c r="B230" s="23" t="str">
        <f>IFERROR(IF(ISNUMBER('Revenues &amp; Outlays in GDP'!E236),TEXT('Revenues &amp; Outlays in GDP'!E236, "0.00"),""), "")</f>
        <v/>
      </c>
      <c r="C230" s="23" t="str">
        <f>IFERROR(IF(ISNUMBER('Revenues &amp; Outlays in GDP'!C236),TEXT('Revenues &amp; Outlays in GDP'!C236, "0.00"),""), "")</f>
        <v/>
      </c>
      <c r="D230" s="23" t="str">
        <f>IFERROR(IF(ISNUMBER('Revenues &amp; Outlays in GDP'!F236),TEXT('Revenues &amp; Outlays in GDP'!F236, "0.00"),""), "")</f>
        <v/>
      </c>
      <c r="E230" s="23" t="str">
        <f>IFERROR(IF(ISNUMBER('Revenues &amp; Outlays in GDP'!D236),TEXT('Revenues &amp; Outlays in GDP'!D236, "0.00"),""), "")</f>
        <v/>
      </c>
    </row>
    <row r="231" spans="1:5">
      <c r="A231" s="23" t="str">
        <f>TEXT(IF('Revenues &amp; Outlays in GDP'!B237&lt;&gt;0,'Revenues &amp; Outlays in GDP'!B237-364, ""), "mm/dd/yyyy")</f>
        <v/>
      </c>
      <c r="B231" s="23" t="str">
        <f>IFERROR(IF(ISNUMBER('Revenues &amp; Outlays in GDP'!E237),TEXT('Revenues &amp; Outlays in GDP'!E237, "0.00"),""), "")</f>
        <v/>
      </c>
      <c r="C231" s="23" t="str">
        <f>IFERROR(IF(ISNUMBER('Revenues &amp; Outlays in GDP'!C237),TEXT('Revenues &amp; Outlays in GDP'!C237, "0.00"),""), "")</f>
        <v/>
      </c>
      <c r="D231" s="23" t="str">
        <f>IFERROR(IF(ISNUMBER('Revenues &amp; Outlays in GDP'!F237),TEXT('Revenues &amp; Outlays in GDP'!F237, "0.00"),""), "")</f>
        <v/>
      </c>
      <c r="E231" s="23" t="str">
        <f>IFERROR(IF(ISNUMBER('Revenues &amp; Outlays in GDP'!D237),TEXT('Revenues &amp; Outlays in GDP'!D237, "0.00"),""), "")</f>
        <v/>
      </c>
    </row>
    <row r="232" spans="1:5">
      <c r="A232" s="23" t="str">
        <f>TEXT(IF('Revenues &amp; Outlays in GDP'!B238&lt;&gt;0,'Revenues &amp; Outlays in GDP'!B238-364, ""), "mm/dd/yyyy")</f>
        <v/>
      </c>
      <c r="B232" s="23" t="str">
        <f>IFERROR(IF(ISNUMBER('Revenues &amp; Outlays in GDP'!E238),TEXT('Revenues &amp; Outlays in GDP'!E238, "0.00"),""), "")</f>
        <v/>
      </c>
      <c r="C232" s="23" t="str">
        <f>IFERROR(IF(ISNUMBER('Revenues &amp; Outlays in GDP'!C238),TEXT('Revenues &amp; Outlays in GDP'!C238, "0.00"),""), "")</f>
        <v/>
      </c>
      <c r="D232" s="23" t="str">
        <f>IFERROR(IF(ISNUMBER('Revenues &amp; Outlays in GDP'!F238),TEXT('Revenues &amp; Outlays in GDP'!F238, "0.00"),""), "")</f>
        <v/>
      </c>
      <c r="E232" s="23" t="str">
        <f>IFERROR(IF(ISNUMBER('Revenues &amp; Outlays in GDP'!D238),TEXT('Revenues &amp; Outlays in GDP'!D238, "0.00"),""), "")</f>
        <v/>
      </c>
    </row>
    <row r="233" spans="1:5">
      <c r="A233" s="23" t="str">
        <f>TEXT(IF('Revenues &amp; Outlays in GDP'!B239&lt;&gt;0,'Revenues &amp; Outlays in GDP'!B239-364, ""), "mm/dd/yyyy")</f>
        <v/>
      </c>
      <c r="B233" s="23" t="str">
        <f>IFERROR(IF(ISNUMBER('Revenues &amp; Outlays in GDP'!E239),TEXT('Revenues &amp; Outlays in GDP'!E239, "0.00"),""), "")</f>
        <v/>
      </c>
      <c r="C233" s="23" t="str">
        <f>IFERROR(IF(ISNUMBER('Revenues &amp; Outlays in GDP'!C239),TEXT('Revenues &amp; Outlays in GDP'!C239, "0.00"),""), "")</f>
        <v/>
      </c>
      <c r="D233" s="23" t="str">
        <f>IFERROR(IF(ISNUMBER('Revenues &amp; Outlays in GDP'!F239),TEXT('Revenues &amp; Outlays in GDP'!F239, "0.00"),""), "")</f>
        <v/>
      </c>
      <c r="E233" s="23" t="str">
        <f>IFERROR(IF(ISNUMBER('Revenues &amp; Outlays in GDP'!D239),TEXT('Revenues &amp; Outlays in GDP'!D239, "0.00"),""), "")</f>
        <v/>
      </c>
    </row>
    <row r="234" spans="1:5">
      <c r="A234" s="23" t="str">
        <f>TEXT(IF('Revenues &amp; Outlays in GDP'!B240&lt;&gt;0,'Revenues &amp; Outlays in GDP'!B240-364, ""), "mm/dd/yyyy")</f>
        <v/>
      </c>
      <c r="B234" s="23" t="str">
        <f>IFERROR(IF(ISNUMBER('Revenues &amp; Outlays in GDP'!E240),TEXT('Revenues &amp; Outlays in GDP'!E240, "0.00"),""), "")</f>
        <v/>
      </c>
      <c r="C234" s="23" t="str">
        <f>IFERROR(IF(ISNUMBER('Revenues &amp; Outlays in GDP'!C240),TEXT('Revenues &amp; Outlays in GDP'!C240, "0.00"),""), "")</f>
        <v/>
      </c>
      <c r="D234" s="23" t="str">
        <f>IFERROR(IF(ISNUMBER('Revenues &amp; Outlays in GDP'!F240),TEXT('Revenues &amp; Outlays in GDP'!F240, "0.00"),""), "")</f>
        <v/>
      </c>
      <c r="E234" s="23" t="str">
        <f>IFERROR(IF(ISNUMBER('Revenues &amp; Outlays in GDP'!D240),TEXT('Revenues &amp; Outlays in GDP'!D240, "0.00"),""), "")</f>
        <v/>
      </c>
    </row>
    <row r="235" spans="1:5">
      <c r="A235" s="23" t="str">
        <f>TEXT(IF('Revenues &amp; Outlays in GDP'!B241&lt;&gt;0,'Revenues &amp; Outlays in GDP'!B241-364, ""), "mm/dd/yyyy")</f>
        <v/>
      </c>
      <c r="B235" s="23" t="str">
        <f>IFERROR(IF(ISNUMBER('Revenues &amp; Outlays in GDP'!E241),TEXT('Revenues &amp; Outlays in GDP'!E241, "0.00"),""), "")</f>
        <v/>
      </c>
      <c r="C235" s="23" t="str">
        <f>IFERROR(IF(ISNUMBER('Revenues &amp; Outlays in GDP'!C241),TEXT('Revenues &amp; Outlays in GDP'!C241, "0.00"),""), "")</f>
        <v/>
      </c>
      <c r="D235" s="23" t="str">
        <f>IFERROR(IF(ISNUMBER('Revenues &amp; Outlays in GDP'!F241),TEXT('Revenues &amp; Outlays in GDP'!F241, "0.00"),""), "")</f>
        <v/>
      </c>
      <c r="E235" s="23" t="str">
        <f>IFERROR(IF(ISNUMBER('Revenues &amp; Outlays in GDP'!D241),TEXT('Revenues &amp; Outlays in GDP'!D241, "0.00"),""), "")</f>
        <v/>
      </c>
    </row>
    <row r="236" spans="1:5">
      <c r="A236" s="23" t="str">
        <f>TEXT(IF('Revenues &amp; Outlays in GDP'!B242&lt;&gt;0,'Revenues &amp; Outlays in GDP'!B242-364, ""), "mm/dd/yyyy")</f>
        <v/>
      </c>
      <c r="B236" s="23" t="str">
        <f>IFERROR(IF(ISNUMBER('Revenues &amp; Outlays in GDP'!E242),TEXT('Revenues &amp; Outlays in GDP'!E242, "0.00"),""), "")</f>
        <v/>
      </c>
      <c r="C236" s="23" t="str">
        <f>IFERROR(IF(ISNUMBER('Revenues &amp; Outlays in GDP'!C242),TEXT('Revenues &amp; Outlays in GDP'!C242, "0.00"),""), "")</f>
        <v/>
      </c>
      <c r="D236" s="23" t="str">
        <f>IFERROR(IF(ISNUMBER('Revenues &amp; Outlays in GDP'!F242),TEXT('Revenues &amp; Outlays in GDP'!F242, "0.00"),""), "")</f>
        <v/>
      </c>
      <c r="E236" s="23" t="str">
        <f>IFERROR(IF(ISNUMBER('Revenues &amp; Outlays in GDP'!D242),TEXT('Revenues &amp; Outlays in GDP'!D242, "0.00"),""), "")</f>
        <v/>
      </c>
    </row>
    <row r="237" spans="1:5">
      <c r="A237" s="23" t="str">
        <f>TEXT(IF('Revenues &amp; Outlays in GDP'!B243&lt;&gt;0,'Revenues &amp; Outlays in GDP'!B243-364, ""), "mm/dd/yyyy")</f>
        <v/>
      </c>
      <c r="B237" s="23" t="str">
        <f>IFERROR(IF(ISNUMBER('Revenues &amp; Outlays in GDP'!E243),TEXT('Revenues &amp; Outlays in GDP'!E243, "0.00"),""), "")</f>
        <v/>
      </c>
      <c r="C237" s="23" t="str">
        <f>IFERROR(IF(ISNUMBER('Revenues &amp; Outlays in GDP'!C243),TEXT('Revenues &amp; Outlays in GDP'!C243, "0.00"),""), "")</f>
        <v/>
      </c>
      <c r="D237" s="23" t="str">
        <f>IFERROR(IF(ISNUMBER('Revenues &amp; Outlays in GDP'!F243),TEXT('Revenues &amp; Outlays in GDP'!F243, "0.00"),""), "")</f>
        <v/>
      </c>
      <c r="E237" s="23" t="str">
        <f>IFERROR(IF(ISNUMBER('Revenues &amp; Outlays in GDP'!D243),TEXT('Revenues &amp; Outlays in GDP'!D243, "0.00"),""), "")</f>
        <v/>
      </c>
    </row>
    <row r="238" spans="1:5">
      <c r="A238" s="23" t="str">
        <f>TEXT(IF('Revenues &amp; Outlays in GDP'!B244&lt;&gt;0,'Revenues &amp; Outlays in GDP'!B244-364, ""), "mm/dd/yyyy")</f>
        <v/>
      </c>
      <c r="B238" s="23" t="str">
        <f>IFERROR(IF(ISNUMBER('Revenues &amp; Outlays in GDP'!E244),TEXT('Revenues &amp; Outlays in GDP'!E244, "0.00"),""), "")</f>
        <v/>
      </c>
      <c r="C238" s="23" t="str">
        <f>IFERROR(IF(ISNUMBER('Revenues &amp; Outlays in GDP'!C244),TEXT('Revenues &amp; Outlays in GDP'!C244, "0.00"),""), "")</f>
        <v/>
      </c>
      <c r="D238" s="23" t="str">
        <f>IFERROR(IF(ISNUMBER('Revenues &amp; Outlays in GDP'!F244),TEXT('Revenues &amp; Outlays in GDP'!F244, "0.00"),""), "")</f>
        <v/>
      </c>
      <c r="E238" s="23" t="str">
        <f>IFERROR(IF(ISNUMBER('Revenues &amp; Outlays in GDP'!D244),TEXT('Revenues &amp; Outlays in GDP'!D244, "0.00"),""), "")</f>
        <v/>
      </c>
    </row>
    <row r="239" spans="1:5">
      <c r="A239" s="23" t="str">
        <f>TEXT(IF('Revenues &amp; Outlays in GDP'!B245&lt;&gt;0,'Revenues &amp; Outlays in GDP'!B245-364, ""), "mm/dd/yyyy")</f>
        <v/>
      </c>
      <c r="B239" s="23" t="str">
        <f>IFERROR(IF(ISNUMBER('Revenues &amp; Outlays in GDP'!E245),TEXT('Revenues &amp; Outlays in GDP'!E245, "0.00"),""), "")</f>
        <v/>
      </c>
      <c r="C239" s="23" t="str">
        <f>IFERROR(IF(ISNUMBER('Revenues &amp; Outlays in GDP'!C245),TEXT('Revenues &amp; Outlays in GDP'!C245, "0.00"),""), "")</f>
        <v/>
      </c>
      <c r="D239" s="23" t="str">
        <f>IFERROR(IF(ISNUMBER('Revenues &amp; Outlays in GDP'!F245),TEXT('Revenues &amp; Outlays in GDP'!F245, "0.00"),""), "")</f>
        <v/>
      </c>
      <c r="E239" s="23" t="str">
        <f>IFERROR(IF(ISNUMBER('Revenues &amp; Outlays in GDP'!D245),TEXT('Revenues &amp; Outlays in GDP'!D245, "0.00"),""), "")</f>
        <v/>
      </c>
    </row>
    <row r="240" spans="1:5">
      <c r="A240" s="23" t="str">
        <f>TEXT(IF('Revenues &amp; Outlays in GDP'!B246&lt;&gt;0,'Revenues &amp; Outlays in GDP'!B246-364, ""), "mm/dd/yyyy")</f>
        <v/>
      </c>
      <c r="B240" s="23" t="str">
        <f>IFERROR(IF(ISNUMBER('Revenues &amp; Outlays in GDP'!E246),TEXT('Revenues &amp; Outlays in GDP'!E246, "0.00"),""), "")</f>
        <v/>
      </c>
      <c r="C240" s="23" t="str">
        <f>IFERROR(IF(ISNUMBER('Revenues &amp; Outlays in GDP'!C246),TEXT('Revenues &amp; Outlays in GDP'!C246, "0.00"),""), "")</f>
        <v/>
      </c>
      <c r="D240" s="23" t="str">
        <f>IFERROR(IF(ISNUMBER('Revenues &amp; Outlays in GDP'!F246),TEXT('Revenues &amp; Outlays in GDP'!F246, "0.00"),""), "")</f>
        <v/>
      </c>
      <c r="E240" s="23" t="str">
        <f>IFERROR(IF(ISNUMBER('Revenues &amp; Outlays in GDP'!D246),TEXT('Revenues &amp; Outlays in GDP'!D246, "0.00"),""), "")</f>
        <v/>
      </c>
    </row>
    <row r="241" spans="1:5">
      <c r="A241" s="23" t="str">
        <f>TEXT(IF('Revenues &amp; Outlays in GDP'!B247&lt;&gt;0,'Revenues &amp; Outlays in GDP'!B247-364, ""), "mm/dd/yyyy")</f>
        <v/>
      </c>
      <c r="B241" s="23" t="str">
        <f>IFERROR(IF(ISNUMBER('Revenues &amp; Outlays in GDP'!E247),TEXT('Revenues &amp; Outlays in GDP'!E247, "0.00"),""), "")</f>
        <v/>
      </c>
      <c r="C241" s="23" t="str">
        <f>IFERROR(IF(ISNUMBER('Revenues &amp; Outlays in GDP'!C247),TEXT('Revenues &amp; Outlays in GDP'!C247, "0.00"),""), "")</f>
        <v/>
      </c>
      <c r="D241" s="23" t="str">
        <f>IFERROR(IF(ISNUMBER('Revenues &amp; Outlays in GDP'!F247),TEXT('Revenues &amp; Outlays in GDP'!F247, "0.00"),""), "")</f>
        <v/>
      </c>
      <c r="E241" s="23" t="str">
        <f>IFERROR(IF(ISNUMBER('Revenues &amp; Outlays in GDP'!D247),TEXT('Revenues &amp; Outlays in GDP'!D247, "0.00"),""), "")</f>
        <v/>
      </c>
    </row>
    <row r="242" spans="1:5">
      <c r="A242" s="23" t="str">
        <f>TEXT(IF('Revenues &amp; Outlays in GDP'!B248&lt;&gt;0,'Revenues &amp; Outlays in GDP'!B248-364, ""), "mm/dd/yyyy")</f>
        <v/>
      </c>
      <c r="B242" s="23" t="str">
        <f>IFERROR(IF(ISNUMBER('Revenues &amp; Outlays in GDP'!E248),TEXT('Revenues &amp; Outlays in GDP'!E248, "0.00"),""), "")</f>
        <v/>
      </c>
      <c r="C242" s="23" t="str">
        <f>IFERROR(IF(ISNUMBER('Revenues &amp; Outlays in GDP'!C248),TEXT('Revenues &amp; Outlays in GDP'!C248, "0.00"),""), "")</f>
        <v/>
      </c>
      <c r="D242" s="23" t="str">
        <f>IFERROR(IF(ISNUMBER('Revenues &amp; Outlays in GDP'!F248),TEXT('Revenues &amp; Outlays in GDP'!F248, "0.00"),""), "")</f>
        <v/>
      </c>
      <c r="E242" s="23" t="str">
        <f>IFERROR(IF(ISNUMBER('Revenues &amp; Outlays in GDP'!D248),TEXT('Revenues &amp; Outlays in GDP'!D248, "0.00"),""), "")</f>
        <v/>
      </c>
    </row>
    <row r="243" spans="1:5">
      <c r="A243" s="23" t="str">
        <f>TEXT(IF('Revenues &amp; Outlays in GDP'!B249&lt;&gt;0,'Revenues &amp; Outlays in GDP'!B249-364, ""), "mm/dd/yyyy")</f>
        <v/>
      </c>
      <c r="B243" s="23" t="str">
        <f>IFERROR(IF(ISNUMBER('Revenues &amp; Outlays in GDP'!E249),TEXT('Revenues &amp; Outlays in GDP'!E249, "0.00"),""), "")</f>
        <v/>
      </c>
      <c r="C243" s="23" t="str">
        <f>IFERROR(IF(ISNUMBER('Revenues &amp; Outlays in GDP'!C249),TEXT('Revenues &amp; Outlays in GDP'!C249, "0.00"),""), "")</f>
        <v/>
      </c>
      <c r="D243" s="23" t="str">
        <f>IFERROR(IF(ISNUMBER('Revenues &amp; Outlays in GDP'!F249),TEXT('Revenues &amp; Outlays in GDP'!F249, "0.00"),""), "")</f>
        <v/>
      </c>
      <c r="E243" s="23" t="str">
        <f>IFERROR(IF(ISNUMBER('Revenues &amp; Outlays in GDP'!D249),TEXT('Revenues &amp; Outlays in GDP'!D249, "0.00"),""), "")</f>
        <v/>
      </c>
    </row>
    <row r="244" spans="1:5">
      <c r="A244" s="23" t="str">
        <f>TEXT(IF('Revenues &amp; Outlays in GDP'!B250&lt;&gt;0,'Revenues &amp; Outlays in GDP'!B250-364, ""), "mm/dd/yyyy")</f>
        <v/>
      </c>
      <c r="B244" s="23" t="str">
        <f>IFERROR(IF(ISNUMBER('Revenues &amp; Outlays in GDP'!E250),TEXT('Revenues &amp; Outlays in GDP'!E250, "0.00"),""), "")</f>
        <v/>
      </c>
      <c r="C244" s="23" t="str">
        <f>IFERROR(IF(ISNUMBER('Revenues &amp; Outlays in GDP'!C250),TEXT('Revenues &amp; Outlays in GDP'!C250, "0.00"),""), "")</f>
        <v/>
      </c>
      <c r="D244" s="23" t="str">
        <f>IFERROR(IF(ISNUMBER('Revenues &amp; Outlays in GDP'!F250),TEXT('Revenues &amp; Outlays in GDP'!F250, "0.00"),""), "")</f>
        <v/>
      </c>
      <c r="E244" s="23" t="str">
        <f>IFERROR(IF(ISNUMBER('Revenues &amp; Outlays in GDP'!D250),TEXT('Revenues &amp; Outlays in GDP'!D250, "0.00"),""), "")</f>
        <v/>
      </c>
    </row>
    <row r="245" spans="1:5">
      <c r="A245" s="23" t="str">
        <f>TEXT(IF('Revenues &amp; Outlays in GDP'!B251&lt;&gt;0,'Revenues &amp; Outlays in GDP'!B251-364, ""), "mm/dd/yyyy")</f>
        <v/>
      </c>
      <c r="B245" s="23" t="str">
        <f>IFERROR(IF(ISNUMBER('Revenues &amp; Outlays in GDP'!E251),TEXT('Revenues &amp; Outlays in GDP'!E251, "0.00"),""), "")</f>
        <v/>
      </c>
      <c r="C245" s="23" t="str">
        <f>IFERROR(IF(ISNUMBER('Revenues &amp; Outlays in GDP'!C251),TEXT('Revenues &amp; Outlays in GDP'!C251, "0.00"),""), "")</f>
        <v/>
      </c>
      <c r="D245" s="23" t="str">
        <f>IFERROR(IF(ISNUMBER('Revenues &amp; Outlays in GDP'!F251),TEXT('Revenues &amp; Outlays in GDP'!F251, "0.00"),""), "")</f>
        <v/>
      </c>
      <c r="E245" s="23" t="str">
        <f>IFERROR(IF(ISNUMBER('Revenues &amp; Outlays in GDP'!D251),TEXT('Revenues &amp; Outlays in GDP'!D251, "0.00"),""), "")</f>
        <v/>
      </c>
    </row>
    <row r="246" spans="1:5">
      <c r="A246" s="23" t="str">
        <f>TEXT(IF('Revenues &amp; Outlays in GDP'!B252&lt;&gt;0,'Revenues &amp; Outlays in GDP'!B252-364, ""), "mm/dd/yyyy")</f>
        <v/>
      </c>
      <c r="B246" s="23" t="str">
        <f>IFERROR(IF(ISNUMBER('Revenues &amp; Outlays in GDP'!E252),TEXT('Revenues &amp; Outlays in GDP'!E252, "0.00"),""), "")</f>
        <v/>
      </c>
      <c r="C246" s="23" t="str">
        <f>IFERROR(IF(ISNUMBER('Revenues &amp; Outlays in GDP'!C252),TEXT('Revenues &amp; Outlays in GDP'!C252, "0.00"),""), "")</f>
        <v/>
      </c>
      <c r="D246" s="23" t="str">
        <f>IFERROR(IF(ISNUMBER('Revenues &amp; Outlays in GDP'!F252),TEXT('Revenues &amp; Outlays in GDP'!F252, "0.00"),""), "")</f>
        <v/>
      </c>
      <c r="E246" s="23" t="str">
        <f>IFERROR(IF(ISNUMBER('Revenues &amp; Outlays in GDP'!D252),TEXT('Revenues &amp; Outlays in GDP'!D252, "0.00"),""), "")</f>
        <v/>
      </c>
    </row>
    <row r="247" spans="1:5">
      <c r="A247" s="23" t="str">
        <f>TEXT(IF('Revenues &amp; Outlays in GDP'!B253&lt;&gt;0,'Revenues &amp; Outlays in GDP'!B253-364, ""), "mm/dd/yyyy")</f>
        <v/>
      </c>
      <c r="B247" s="23" t="str">
        <f>IFERROR(IF(ISNUMBER('Revenues &amp; Outlays in GDP'!E253),TEXT('Revenues &amp; Outlays in GDP'!E253, "0.00"),""), "")</f>
        <v/>
      </c>
      <c r="C247" s="23" t="str">
        <f>IFERROR(IF(ISNUMBER('Revenues &amp; Outlays in GDP'!C253),TEXT('Revenues &amp; Outlays in GDP'!C253, "0.00"),""), "")</f>
        <v/>
      </c>
      <c r="D247" s="23" t="str">
        <f>IFERROR(IF(ISNUMBER('Revenues &amp; Outlays in GDP'!F253),TEXT('Revenues &amp; Outlays in GDP'!F253, "0.00"),""), "")</f>
        <v/>
      </c>
      <c r="E247" s="23" t="str">
        <f>IFERROR(IF(ISNUMBER('Revenues &amp; Outlays in GDP'!D253),TEXT('Revenues &amp; Outlays in GDP'!D253, "0.00"),""), "")</f>
        <v/>
      </c>
    </row>
    <row r="248" spans="1:5">
      <c r="A248" s="23" t="str">
        <f>TEXT(IF('Revenues &amp; Outlays in GDP'!B254&lt;&gt;0,'Revenues &amp; Outlays in GDP'!B254-364, ""), "mm/dd/yyyy")</f>
        <v/>
      </c>
      <c r="B248" s="23" t="str">
        <f>IFERROR(IF(ISNUMBER('Revenues &amp; Outlays in GDP'!E254),TEXT('Revenues &amp; Outlays in GDP'!E254, "0.00"),""), "")</f>
        <v/>
      </c>
      <c r="C248" s="23" t="str">
        <f>IFERROR(IF(ISNUMBER('Revenues &amp; Outlays in GDP'!C254),TEXT('Revenues &amp; Outlays in GDP'!C254, "0.00"),""), "")</f>
        <v/>
      </c>
      <c r="D248" s="23" t="str">
        <f>IFERROR(IF(ISNUMBER('Revenues &amp; Outlays in GDP'!F254),TEXT('Revenues &amp; Outlays in GDP'!F254, "0.00"),""), "")</f>
        <v/>
      </c>
      <c r="E248" s="23" t="str">
        <f>IFERROR(IF(ISNUMBER('Revenues &amp; Outlays in GDP'!D254),TEXT('Revenues &amp; Outlays in GDP'!D254, "0.00"),""), "")</f>
        <v/>
      </c>
    </row>
    <row r="249" spans="1:5">
      <c r="A249" s="23" t="str">
        <f>TEXT(IF('Revenues &amp; Outlays in GDP'!B255&lt;&gt;0,'Revenues &amp; Outlays in GDP'!B255-364, ""), "mm/dd/yyyy")</f>
        <v/>
      </c>
      <c r="B249" s="23" t="str">
        <f>IFERROR(IF(ISNUMBER('Revenues &amp; Outlays in GDP'!E255),TEXT('Revenues &amp; Outlays in GDP'!E255, "0.00"),""), "")</f>
        <v/>
      </c>
      <c r="C249" s="23" t="str">
        <f>IFERROR(IF(ISNUMBER('Revenues &amp; Outlays in GDP'!C255),TEXT('Revenues &amp; Outlays in GDP'!C255, "0.00"),""), "")</f>
        <v/>
      </c>
      <c r="D249" s="23" t="str">
        <f>IFERROR(IF(ISNUMBER('Revenues &amp; Outlays in GDP'!F255),TEXT('Revenues &amp; Outlays in GDP'!F255, "0.00"),""), "")</f>
        <v/>
      </c>
      <c r="E249" s="23" t="str">
        <f>IFERROR(IF(ISNUMBER('Revenues &amp; Outlays in GDP'!D255),TEXT('Revenues &amp; Outlays in GDP'!D255, "0.00"),""), "")</f>
        <v/>
      </c>
    </row>
    <row r="250" spans="1:5">
      <c r="A250" s="23" t="str">
        <f>TEXT(IF('Revenues &amp; Outlays in GDP'!B256&lt;&gt;0,'Revenues &amp; Outlays in GDP'!B256-364, ""), "mm/dd/yyyy")</f>
        <v/>
      </c>
      <c r="B250" s="23" t="str">
        <f>IFERROR(IF(ISNUMBER('Revenues &amp; Outlays in GDP'!E256),TEXT('Revenues &amp; Outlays in GDP'!E256, "0.00"),""), "")</f>
        <v/>
      </c>
      <c r="C250" s="23" t="str">
        <f>IFERROR(IF(ISNUMBER('Revenues &amp; Outlays in GDP'!C256),TEXT('Revenues &amp; Outlays in GDP'!C256, "0.00"),""), "")</f>
        <v/>
      </c>
      <c r="D250" s="23" t="str">
        <f>IFERROR(IF(ISNUMBER('Revenues &amp; Outlays in GDP'!F256),TEXT('Revenues &amp; Outlays in GDP'!F256, "0.00"),""), "")</f>
        <v/>
      </c>
      <c r="E250" s="23" t="str">
        <f>IFERROR(IF(ISNUMBER('Revenues &amp; Outlays in GDP'!D256),TEXT('Revenues &amp; Outlays in GDP'!D256, "0.00"),""), "")</f>
        <v/>
      </c>
    </row>
    <row r="251" spans="1:5">
      <c r="A251" s="23" t="str">
        <f>TEXT(IF('Revenues &amp; Outlays in GDP'!B257&lt;&gt;0,'Revenues &amp; Outlays in GDP'!B257-364, ""), "mm/dd/yyyy")</f>
        <v/>
      </c>
      <c r="B251" s="23" t="str">
        <f>IFERROR(IF(ISNUMBER('Revenues &amp; Outlays in GDP'!E257),TEXT('Revenues &amp; Outlays in GDP'!E257, "0.00"),""), "")</f>
        <v/>
      </c>
      <c r="C251" s="23" t="str">
        <f>IFERROR(IF(ISNUMBER('Revenues &amp; Outlays in GDP'!C257),TEXT('Revenues &amp; Outlays in GDP'!C257, "0.00"),""), "")</f>
        <v/>
      </c>
      <c r="D251" s="23" t="str">
        <f>IFERROR(IF(ISNUMBER('Revenues &amp; Outlays in GDP'!F257),TEXT('Revenues &amp; Outlays in GDP'!F257, "0.00"),""), "")</f>
        <v/>
      </c>
      <c r="E251" s="23" t="str">
        <f>IFERROR(IF(ISNUMBER('Revenues &amp; Outlays in GDP'!D257),TEXT('Revenues &amp; Outlays in GDP'!D257, "0.00"),""), "")</f>
        <v/>
      </c>
    </row>
    <row r="252" spans="1:5">
      <c r="A252" s="23" t="str">
        <f>TEXT(IF('Revenues &amp; Outlays in GDP'!B258&lt;&gt;0,'Revenues &amp; Outlays in GDP'!B258-364, ""), "mm/dd/yyyy")</f>
        <v/>
      </c>
      <c r="B252" s="23" t="str">
        <f>IFERROR(IF(ISNUMBER('Revenues &amp; Outlays in GDP'!E258),TEXT('Revenues &amp; Outlays in GDP'!E258, "0.00"),""), "")</f>
        <v/>
      </c>
      <c r="C252" s="23" t="str">
        <f>IFERROR(IF(ISNUMBER('Revenues &amp; Outlays in GDP'!C258),TEXT('Revenues &amp; Outlays in GDP'!C258, "0.00"),""), "")</f>
        <v/>
      </c>
      <c r="D252" s="23" t="str">
        <f>IFERROR(IF(ISNUMBER('Revenues &amp; Outlays in GDP'!F258),TEXT('Revenues &amp; Outlays in GDP'!F258, "0.00"),""), "")</f>
        <v/>
      </c>
      <c r="E252" s="23" t="str">
        <f>IFERROR(IF(ISNUMBER('Revenues &amp; Outlays in GDP'!D258),TEXT('Revenues &amp; Outlays in GDP'!D258, "0.00"),""), "")</f>
        <v/>
      </c>
    </row>
    <row r="253" spans="1:5">
      <c r="A253" s="23" t="str">
        <f>TEXT(IF('Revenues &amp; Outlays in GDP'!B259&lt;&gt;0,'Revenues &amp; Outlays in GDP'!B259-364, ""), "mm/dd/yyyy")</f>
        <v/>
      </c>
      <c r="B253" s="23" t="str">
        <f>IFERROR(IF(ISNUMBER('Revenues &amp; Outlays in GDP'!E259),TEXT('Revenues &amp; Outlays in GDP'!E259, "0.00"),""), "")</f>
        <v/>
      </c>
      <c r="C253" s="23" t="str">
        <f>IFERROR(IF(ISNUMBER('Revenues &amp; Outlays in GDP'!C259),TEXT('Revenues &amp; Outlays in GDP'!C259, "0.00"),""), "")</f>
        <v/>
      </c>
      <c r="D253" s="23" t="str">
        <f>IFERROR(IF(ISNUMBER('Revenues &amp; Outlays in GDP'!F259),TEXT('Revenues &amp; Outlays in GDP'!F259, "0.00"),""), "")</f>
        <v/>
      </c>
      <c r="E253" s="23" t="str">
        <f>IFERROR(IF(ISNUMBER('Revenues &amp; Outlays in GDP'!D259),TEXT('Revenues &amp; Outlays in GDP'!D259, "0.00"),""), "")</f>
        <v/>
      </c>
    </row>
    <row r="254" spans="1:5">
      <c r="A254" s="23" t="str">
        <f>TEXT(IF('Revenues &amp; Outlays in GDP'!B260&lt;&gt;0,'Revenues &amp; Outlays in GDP'!B260-364, ""), "mm/dd/yyyy")</f>
        <v/>
      </c>
      <c r="B254" s="23" t="str">
        <f>IFERROR(IF(ISNUMBER('Revenues &amp; Outlays in GDP'!E260),TEXT('Revenues &amp; Outlays in GDP'!E260, "0.00"),""), "")</f>
        <v/>
      </c>
      <c r="C254" s="23" t="str">
        <f>IFERROR(IF(ISNUMBER('Revenues &amp; Outlays in GDP'!C260),TEXT('Revenues &amp; Outlays in GDP'!C260, "0.00"),""), "")</f>
        <v/>
      </c>
      <c r="D254" s="23" t="str">
        <f>IFERROR(IF(ISNUMBER('Revenues &amp; Outlays in GDP'!F260),TEXT('Revenues &amp; Outlays in GDP'!F260, "0.00"),""), "")</f>
        <v/>
      </c>
      <c r="E254" s="23" t="str">
        <f>IFERROR(IF(ISNUMBER('Revenues &amp; Outlays in GDP'!D260),TEXT('Revenues &amp; Outlays in GDP'!D260, "0.00"),""), "")</f>
        <v/>
      </c>
    </row>
    <row r="255" spans="1:5">
      <c r="A255" s="23" t="str">
        <f>TEXT(IF('Revenues &amp; Outlays in GDP'!B261&lt;&gt;0,'Revenues &amp; Outlays in GDP'!B261-364, ""), "mm/dd/yyyy")</f>
        <v/>
      </c>
      <c r="B255" s="23" t="str">
        <f>IFERROR(IF(ISNUMBER('Revenues &amp; Outlays in GDP'!E261),TEXT('Revenues &amp; Outlays in GDP'!E261, "0.00"),""), "")</f>
        <v/>
      </c>
      <c r="C255" s="23" t="str">
        <f>IFERROR(IF(ISNUMBER('Revenues &amp; Outlays in GDP'!C261),TEXT('Revenues &amp; Outlays in GDP'!C261, "0.00"),""), "")</f>
        <v/>
      </c>
      <c r="D255" s="23" t="str">
        <f>IFERROR(IF(ISNUMBER('Revenues &amp; Outlays in GDP'!F261),TEXT('Revenues &amp; Outlays in GDP'!F261, "0.00"),""), "")</f>
        <v/>
      </c>
      <c r="E255" s="23" t="str">
        <f>IFERROR(IF(ISNUMBER('Revenues &amp; Outlays in GDP'!D261),TEXT('Revenues &amp; Outlays in GDP'!D261, "0.00"),""), "")</f>
        <v/>
      </c>
    </row>
    <row r="256" spans="1:5">
      <c r="A256" s="23" t="str">
        <f>TEXT(IF('Revenues &amp; Outlays in GDP'!B262&lt;&gt;0,'Revenues &amp; Outlays in GDP'!B262-364, ""), "mm/dd/yyyy")</f>
        <v/>
      </c>
      <c r="B256" s="23" t="str">
        <f>IFERROR(IF(ISNUMBER('Revenues &amp; Outlays in GDP'!E262),TEXT('Revenues &amp; Outlays in GDP'!E262, "0.00"),""), "")</f>
        <v/>
      </c>
      <c r="C256" s="23" t="str">
        <f>IFERROR(IF(ISNUMBER('Revenues &amp; Outlays in GDP'!C262),TEXT('Revenues &amp; Outlays in GDP'!C262, "0.00"),""), "")</f>
        <v/>
      </c>
      <c r="D256" s="23" t="str">
        <f>IFERROR(IF(ISNUMBER('Revenues &amp; Outlays in GDP'!F262),TEXT('Revenues &amp; Outlays in GDP'!F262, "0.00"),""), "")</f>
        <v/>
      </c>
      <c r="E256" s="23" t="str">
        <f>IFERROR(IF(ISNUMBER('Revenues &amp; Outlays in GDP'!D262),TEXT('Revenues &amp; Outlays in GDP'!D262, "0.00"),""), "")</f>
        <v/>
      </c>
    </row>
    <row r="257" spans="1:5">
      <c r="A257" s="23" t="str">
        <f>TEXT(IF('Revenues &amp; Outlays in GDP'!B263&lt;&gt;0,'Revenues &amp; Outlays in GDP'!B263-364, ""), "mm/dd/yyyy")</f>
        <v/>
      </c>
      <c r="B257" s="23" t="str">
        <f>IFERROR(IF(ISNUMBER('Revenues &amp; Outlays in GDP'!E263),TEXT('Revenues &amp; Outlays in GDP'!E263, "0.00"),""), "")</f>
        <v/>
      </c>
      <c r="C257" s="23" t="str">
        <f>IFERROR(IF(ISNUMBER('Revenues &amp; Outlays in GDP'!C263),TEXT('Revenues &amp; Outlays in GDP'!C263, "0.00"),""), "")</f>
        <v/>
      </c>
      <c r="D257" s="23" t="str">
        <f>IFERROR(IF(ISNUMBER('Revenues &amp; Outlays in GDP'!F263),TEXT('Revenues &amp; Outlays in GDP'!F263, "0.00"),""), "")</f>
        <v/>
      </c>
      <c r="E257" s="23" t="str">
        <f>IFERROR(IF(ISNUMBER('Revenues &amp; Outlays in GDP'!D263),TEXT('Revenues &amp; Outlays in GDP'!D263, "0.00"),""), "")</f>
        <v/>
      </c>
    </row>
    <row r="258" spans="1:5">
      <c r="A258" s="23" t="str">
        <f>TEXT(IF('Revenues &amp; Outlays in GDP'!B264&lt;&gt;0,'Revenues &amp; Outlays in GDP'!B264-364, ""), "mm/dd/yyyy")</f>
        <v/>
      </c>
      <c r="B258" s="23" t="str">
        <f>IFERROR(IF(ISNUMBER('Revenues &amp; Outlays in GDP'!E264),TEXT('Revenues &amp; Outlays in GDP'!E264, "0.00"),""), "")</f>
        <v/>
      </c>
      <c r="C258" s="23" t="str">
        <f>IFERROR(IF(ISNUMBER('Revenues &amp; Outlays in GDP'!C264),TEXT('Revenues &amp; Outlays in GDP'!C264, "0.00"),""), "")</f>
        <v/>
      </c>
      <c r="D258" s="23" t="str">
        <f>IFERROR(IF(ISNUMBER('Revenues &amp; Outlays in GDP'!F264),TEXT('Revenues &amp; Outlays in GDP'!F264, "0.00"),""), "")</f>
        <v/>
      </c>
      <c r="E258" s="23" t="str">
        <f>IFERROR(IF(ISNUMBER('Revenues &amp; Outlays in GDP'!D264),TEXT('Revenues &amp; Outlays in GDP'!D264, "0.00"),""), "")</f>
        <v/>
      </c>
    </row>
    <row r="259" spans="1:5">
      <c r="A259" s="23" t="str">
        <f>TEXT(IF('Revenues &amp; Outlays in GDP'!B265&lt;&gt;0,'Revenues &amp; Outlays in GDP'!B265-364, ""), "mm/dd/yyyy")</f>
        <v/>
      </c>
      <c r="B259" s="23" t="str">
        <f>IFERROR(IF(ISNUMBER('Revenues &amp; Outlays in GDP'!E265),TEXT('Revenues &amp; Outlays in GDP'!E265, "0.00"),""), "")</f>
        <v/>
      </c>
      <c r="C259" s="23" t="str">
        <f>IFERROR(IF(ISNUMBER('Revenues &amp; Outlays in GDP'!C265),TEXT('Revenues &amp; Outlays in GDP'!C265, "0.00"),""), "")</f>
        <v/>
      </c>
      <c r="D259" s="23" t="str">
        <f>IFERROR(IF(ISNUMBER('Revenues &amp; Outlays in GDP'!F265),TEXT('Revenues &amp; Outlays in GDP'!F265, "0.00"),""), "")</f>
        <v/>
      </c>
      <c r="E259" s="23" t="str">
        <f>IFERROR(IF(ISNUMBER('Revenues &amp; Outlays in GDP'!D265),TEXT('Revenues &amp; Outlays in GDP'!D265, "0.00"),""), "")</f>
        <v/>
      </c>
    </row>
    <row r="260" spans="1:5">
      <c r="A260" s="23" t="str">
        <f>TEXT(IF('Revenues &amp; Outlays in GDP'!B266&lt;&gt;0,'Revenues &amp; Outlays in GDP'!B266-364, ""), "mm/dd/yyyy")</f>
        <v/>
      </c>
      <c r="B260" s="23" t="str">
        <f>IFERROR(IF(ISNUMBER('Revenues &amp; Outlays in GDP'!E266),TEXT('Revenues &amp; Outlays in GDP'!E266, "0.00"),""), "")</f>
        <v/>
      </c>
      <c r="C260" s="23" t="str">
        <f>IFERROR(IF(ISNUMBER('Revenues &amp; Outlays in GDP'!C266),TEXT('Revenues &amp; Outlays in GDP'!C266, "0.00"),""), "")</f>
        <v/>
      </c>
      <c r="D260" s="23" t="str">
        <f>IFERROR(IF(ISNUMBER('Revenues &amp; Outlays in GDP'!F266),TEXT('Revenues &amp; Outlays in GDP'!F266, "0.00"),""), "")</f>
        <v/>
      </c>
      <c r="E260" s="23" t="str">
        <f>IFERROR(IF(ISNUMBER('Revenues &amp; Outlays in GDP'!D266),TEXT('Revenues &amp; Outlays in GDP'!D266, "0.00"),""), "")</f>
        <v/>
      </c>
    </row>
    <row r="261" spans="1:5">
      <c r="A261" s="23" t="str">
        <f>TEXT(IF('Revenues &amp; Outlays in GDP'!B267&lt;&gt;0,'Revenues &amp; Outlays in GDP'!B267-364, ""), "mm/dd/yyyy")</f>
        <v/>
      </c>
      <c r="B261" s="23" t="str">
        <f>IFERROR(IF(ISNUMBER('Revenues &amp; Outlays in GDP'!E267),TEXT('Revenues &amp; Outlays in GDP'!E267, "0.00"),""), "")</f>
        <v/>
      </c>
      <c r="C261" s="23" t="str">
        <f>IFERROR(IF(ISNUMBER('Revenues &amp; Outlays in GDP'!C267),TEXT('Revenues &amp; Outlays in GDP'!C267, "0.00"),""), "")</f>
        <v/>
      </c>
      <c r="D261" s="23" t="str">
        <f>IFERROR(IF(ISNUMBER('Revenues &amp; Outlays in GDP'!F267),TEXT('Revenues &amp; Outlays in GDP'!F267, "0.00"),""), "")</f>
        <v/>
      </c>
      <c r="E261" s="23" t="str">
        <f>IFERROR(IF(ISNUMBER('Revenues &amp; Outlays in GDP'!D267),TEXT('Revenues &amp; Outlays in GDP'!D267, "0.00"),""), "")</f>
        <v/>
      </c>
    </row>
    <row r="262" spans="1:5">
      <c r="A262" s="23" t="str">
        <f>TEXT(IF('Revenues &amp; Outlays in GDP'!B268&lt;&gt;0,'Revenues &amp; Outlays in GDP'!B268-364, ""), "mm/dd/yyyy")</f>
        <v/>
      </c>
      <c r="B262" s="23" t="str">
        <f>IFERROR(IF(ISNUMBER('Revenues &amp; Outlays in GDP'!E268),TEXT('Revenues &amp; Outlays in GDP'!E268, "0.00"),""), "")</f>
        <v/>
      </c>
      <c r="C262" s="23" t="str">
        <f>IFERROR(IF(ISNUMBER('Revenues &amp; Outlays in GDP'!C268),TEXT('Revenues &amp; Outlays in GDP'!C268, "0.00"),""), "")</f>
        <v/>
      </c>
      <c r="D262" s="23" t="str">
        <f>IFERROR(IF(ISNUMBER('Revenues &amp; Outlays in GDP'!F268),TEXT('Revenues &amp; Outlays in GDP'!F268, "0.00"),""), "")</f>
        <v/>
      </c>
      <c r="E262" s="23" t="str">
        <f>IFERROR(IF(ISNUMBER('Revenues &amp; Outlays in GDP'!D268),TEXT('Revenues &amp; Outlays in GDP'!D268, "0.00"),""), "")</f>
        <v/>
      </c>
    </row>
    <row r="263" spans="1:5">
      <c r="A263" s="23" t="str">
        <f>TEXT(IF('Revenues &amp; Outlays in GDP'!B269&lt;&gt;0,'Revenues &amp; Outlays in GDP'!B269-364, ""), "mm/dd/yyyy")</f>
        <v/>
      </c>
      <c r="B263" s="23" t="str">
        <f>IFERROR(IF(ISNUMBER('Revenues &amp; Outlays in GDP'!E269),TEXT('Revenues &amp; Outlays in GDP'!E269, "0.00"),""), "")</f>
        <v/>
      </c>
      <c r="C263" s="23" t="str">
        <f>IFERROR(IF(ISNUMBER('Revenues &amp; Outlays in GDP'!C269),TEXT('Revenues &amp; Outlays in GDP'!C269, "0.00"),""), "")</f>
        <v/>
      </c>
      <c r="D263" s="23" t="str">
        <f>IFERROR(IF(ISNUMBER('Revenues &amp; Outlays in GDP'!F269),TEXT('Revenues &amp; Outlays in GDP'!F269, "0.00"),""), "")</f>
        <v/>
      </c>
      <c r="E263" s="23" t="str">
        <f>IFERROR(IF(ISNUMBER('Revenues &amp; Outlays in GDP'!D269),TEXT('Revenues &amp; Outlays in GDP'!D269, "0.00"),""), "")</f>
        <v/>
      </c>
    </row>
    <row r="264" spans="1:5">
      <c r="A264" s="23" t="str">
        <f>TEXT(IF('Revenues &amp; Outlays in GDP'!B270&lt;&gt;0,'Revenues &amp; Outlays in GDP'!B270-364, ""), "mm/dd/yyyy")</f>
        <v/>
      </c>
      <c r="B264" s="23" t="str">
        <f>IFERROR(IF(ISNUMBER('Revenues &amp; Outlays in GDP'!E270),TEXT('Revenues &amp; Outlays in GDP'!E270, "0.00"),""), "")</f>
        <v/>
      </c>
      <c r="C264" s="23" t="str">
        <f>IFERROR(IF(ISNUMBER('Revenues &amp; Outlays in GDP'!C270),TEXT('Revenues &amp; Outlays in GDP'!C270, "0.00"),""), "")</f>
        <v/>
      </c>
      <c r="D264" s="23" t="str">
        <f>IFERROR(IF(ISNUMBER('Revenues &amp; Outlays in GDP'!F270),TEXT('Revenues &amp; Outlays in GDP'!F270, "0.00"),""), "")</f>
        <v/>
      </c>
      <c r="E264" s="23" t="str">
        <f>IFERROR(IF(ISNUMBER('Revenues &amp; Outlays in GDP'!D270),TEXT('Revenues &amp; Outlays in GDP'!D270, "0.00"),""), "")</f>
        <v/>
      </c>
    </row>
    <row r="265" spans="1:5">
      <c r="A265" s="23" t="str">
        <f>TEXT(IF('Revenues &amp; Outlays in GDP'!B271&lt;&gt;0,'Revenues &amp; Outlays in GDP'!B271-364, ""), "mm/dd/yyyy")</f>
        <v/>
      </c>
      <c r="B265" s="23" t="str">
        <f>IFERROR(IF(ISNUMBER('Revenues &amp; Outlays in GDP'!E271),TEXT('Revenues &amp; Outlays in GDP'!E271, "0.00"),""), "")</f>
        <v/>
      </c>
      <c r="C265" s="23" t="str">
        <f>IFERROR(IF(ISNUMBER('Revenues &amp; Outlays in GDP'!C271),TEXT('Revenues &amp; Outlays in GDP'!C271, "0.00"),""), "")</f>
        <v/>
      </c>
      <c r="D265" s="23" t="str">
        <f>IFERROR(IF(ISNUMBER('Revenues &amp; Outlays in GDP'!F271),TEXT('Revenues &amp; Outlays in GDP'!F271, "0.00"),""), "")</f>
        <v/>
      </c>
      <c r="E265" s="23" t="str">
        <f>IFERROR(IF(ISNUMBER('Revenues &amp; Outlays in GDP'!D271),TEXT('Revenues &amp; Outlays in GDP'!D271, "0.00"),""), "")</f>
        <v/>
      </c>
    </row>
    <row r="266" spans="1:5">
      <c r="A266" s="23" t="str">
        <f>TEXT(IF('Revenues &amp; Outlays in GDP'!B272&lt;&gt;0,'Revenues &amp; Outlays in GDP'!B272-364, ""), "mm/dd/yyyy")</f>
        <v/>
      </c>
      <c r="B266" s="23" t="str">
        <f>IFERROR(IF(ISNUMBER('Revenues &amp; Outlays in GDP'!E272),TEXT('Revenues &amp; Outlays in GDP'!E272, "0.00"),""), "")</f>
        <v/>
      </c>
      <c r="C266" s="23" t="str">
        <f>IFERROR(IF(ISNUMBER('Revenues &amp; Outlays in GDP'!C272),TEXT('Revenues &amp; Outlays in GDP'!C272, "0.00"),""), "")</f>
        <v/>
      </c>
      <c r="D266" s="23" t="str">
        <f>IFERROR(IF(ISNUMBER('Revenues &amp; Outlays in GDP'!F272),TEXT('Revenues &amp; Outlays in GDP'!F272, "0.00"),""), "")</f>
        <v/>
      </c>
      <c r="E266" s="23" t="str">
        <f>IFERROR(IF(ISNUMBER('Revenues &amp; Outlays in GDP'!D272),TEXT('Revenues &amp; Outlays in GDP'!D272, "0.00"),""), "")</f>
        <v/>
      </c>
    </row>
    <row r="267" spans="1:5">
      <c r="A267" s="23" t="str">
        <f>TEXT(IF('Revenues &amp; Outlays in GDP'!B273&lt;&gt;0,'Revenues &amp; Outlays in GDP'!B273-364, ""), "mm/dd/yyyy")</f>
        <v/>
      </c>
      <c r="B267" s="23" t="str">
        <f>IFERROR(IF(ISNUMBER('Revenues &amp; Outlays in GDP'!E273),TEXT('Revenues &amp; Outlays in GDP'!E273, "0.00"),""), "")</f>
        <v/>
      </c>
      <c r="C267" s="23" t="str">
        <f>IFERROR(IF(ISNUMBER('Revenues &amp; Outlays in GDP'!C273),TEXT('Revenues &amp; Outlays in GDP'!C273, "0.00"),""), "")</f>
        <v/>
      </c>
      <c r="D267" s="23" t="str">
        <f>IFERROR(IF(ISNUMBER('Revenues &amp; Outlays in GDP'!F273),TEXT('Revenues &amp; Outlays in GDP'!F273, "0.00"),""), "")</f>
        <v/>
      </c>
      <c r="E267" s="23" t="str">
        <f>IFERROR(IF(ISNUMBER('Revenues &amp; Outlays in GDP'!D273),TEXT('Revenues &amp; Outlays in GDP'!D273, "0.00"),""), "")</f>
        <v/>
      </c>
    </row>
    <row r="268" spans="1:5">
      <c r="A268" s="23" t="str">
        <f>TEXT(IF('Revenues &amp; Outlays in GDP'!B274&lt;&gt;0,'Revenues &amp; Outlays in GDP'!B274-364, ""), "mm/dd/yyyy")</f>
        <v/>
      </c>
      <c r="B268" s="23" t="str">
        <f>IFERROR(IF(ISNUMBER('Revenues &amp; Outlays in GDP'!E274),TEXT('Revenues &amp; Outlays in GDP'!E274, "0.00"),""), "")</f>
        <v/>
      </c>
      <c r="C268" s="23" t="str">
        <f>IFERROR(IF(ISNUMBER('Revenues &amp; Outlays in GDP'!C274),TEXT('Revenues &amp; Outlays in GDP'!C274, "0.00"),""), "")</f>
        <v/>
      </c>
      <c r="D268" s="23" t="str">
        <f>IFERROR(IF(ISNUMBER('Revenues &amp; Outlays in GDP'!F274),TEXT('Revenues &amp; Outlays in GDP'!F274, "0.00"),""), "")</f>
        <v/>
      </c>
      <c r="E268" s="23" t="str">
        <f>IFERROR(IF(ISNUMBER('Revenues &amp; Outlays in GDP'!D274),TEXT('Revenues &amp; Outlays in GDP'!D274, "0.00"),""), "")</f>
        <v/>
      </c>
    </row>
    <row r="269" spans="1:5">
      <c r="A269" s="23" t="str">
        <f>TEXT(IF('Revenues &amp; Outlays in GDP'!B275&lt;&gt;0,'Revenues &amp; Outlays in GDP'!B275-364, ""), "mm/dd/yyyy")</f>
        <v/>
      </c>
      <c r="B269" s="23" t="str">
        <f>IFERROR(IF(ISNUMBER('Revenues &amp; Outlays in GDP'!E275),TEXT('Revenues &amp; Outlays in GDP'!E275, "0.00"),""), "")</f>
        <v/>
      </c>
      <c r="C269" s="23" t="str">
        <f>IFERROR(IF(ISNUMBER('Revenues &amp; Outlays in GDP'!C275),TEXT('Revenues &amp; Outlays in GDP'!C275, "0.00"),""), "")</f>
        <v/>
      </c>
      <c r="D269" s="23" t="str">
        <f>IFERROR(IF(ISNUMBER('Revenues &amp; Outlays in GDP'!F275),TEXT('Revenues &amp; Outlays in GDP'!F275, "0.00"),""), "")</f>
        <v/>
      </c>
      <c r="E269" s="23" t="str">
        <f>IFERROR(IF(ISNUMBER('Revenues &amp; Outlays in GDP'!D275),TEXT('Revenues &amp; Outlays in GDP'!D275, "0.00"),""), "")</f>
        <v/>
      </c>
    </row>
    <row r="270" spans="1:5">
      <c r="A270" s="23" t="str">
        <f>TEXT(IF('Revenues &amp; Outlays in GDP'!B276&lt;&gt;0,'Revenues &amp; Outlays in GDP'!B276-364, ""), "mm/dd/yyyy")</f>
        <v/>
      </c>
      <c r="B270" s="23" t="str">
        <f>IFERROR(IF(ISNUMBER('Revenues &amp; Outlays in GDP'!E276),TEXT('Revenues &amp; Outlays in GDP'!E276, "0.00"),""), "")</f>
        <v/>
      </c>
      <c r="C270" s="23" t="str">
        <f>IFERROR(IF(ISNUMBER('Revenues &amp; Outlays in GDP'!C276),TEXT('Revenues &amp; Outlays in GDP'!C276, "0.00"),""), "")</f>
        <v/>
      </c>
      <c r="D270" s="23" t="str">
        <f>IFERROR(IF(ISNUMBER('Revenues &amp; Outlays in GDP'!F276),TEXT('Revenues &amp; Outlays in GDP'!F276, "0.00"),""), "")</f>
        <v/>
      </c>
      <c r="E270" s="23" t="str">
        <f>IFERROR(IF(ISNUMBER('Revenues &amp; Outlays in GDP'!D276),TEXT('Revenues &amp; Outlays in GDP'!D276, "0.00"),""), "")</f>
        <v/>
      </c>
    </row>
    <row r="271" spans="1:5">
      <c r="A271" s="23" t="str">
        <f>TEXT(IF('Revenues &amp; Outlays in GDP'!B277&lt;&gt;0,'Revenues &amp; Outlays in GDP'!B277-364, ""), "mm/dd/yyyy")</f>
        <v/>
      </c>
      <c r="B271" s="23" t="str">
        <f>IFERROR(IF(ISNUMBER('Revenues &amp; Outlays in GDP'!E277),TEXT('Revenues &amp; Outlays in GDP'!E277, "0.00"),""), "")</f>
        <v/>
      </c>
      <c r="C271" s="23" t="str">
        <f>IFERROR(IF(ISNUMBER('Revenues &amp; Outlays in GDP'!C277),TEXT('Revenues &amp; Outlays in GDP'!C277, "0.00"),""), "")</f>
        <v/>
      </c>
      <c r="D271" s="23" t="str">
        <f>IFERROR(IF(ISNUMBER('Revenues &amp; Outlays in GDP'!F277),TEXT('Revenues &amp; Outlays in GDP'!F277, "0.00"),""), "")</f>
        <v/>
      </c>
      <c r="E271" s="23" t="str">
        <f>IFERROR(IF(ISNUMBER('Revenues &amp; Outlays in GDP'!D277),TEXT('Revenues &amp; Outlays in GDP'!D277, "0.00"),""), "")</f>
        <v/>
      </c>
    </row>
    <row r="272" spans="1:5">
      <c r="A272" s="23" t="str">
        <f>TEXT(IF('Revenues &amp; Outlays in GDP'!B278&lt;&gt;0,'Revenues &amp; Outlays in GDP'!B278-364, ""), "mm/dd/yyyy")</f>
        <v/>
      </c>
      <c r="B272" s="23" t="str">
        <f>IFERROR(IF(ISNUMBER('Revenues &amp; Outlays in GDP'!E278),TEXT('Revenues &amp; Outlays in GDP'!E278, "0.00"),""), "")</f>
        <v/>
      </c>
      <c r="C272" s="23" t="str">
        <f>IFERROR(IF(ISNUMBER('Revenues &amp; Outlays in GDP'!C278),TEXT('Revenues &amp; Outlays in GDP'!C278, "0.00"),""), "")</f>
        <v/>
      </c>
      <c r="D272" s="23" t="str">
        <f>IFERROR(IF(ISNUMBER('Revenues &amp; Outlays in GDP'!F278),TEXT('Revenues &amp; Outlays in GDP'!F278, "0.00"),""), "")</f>
        <v/>
      </c>
      <c r="E272" s="23" t="str">
        <f>IFERROR(IF(ISNUMBER('Revenues &amp; Outlays in GDP'!D278),TEXT('Revenues &amp; Outlays in GDP'!D278, "0.00"),""), "")</f>
        <v/>
      </c>
    </row>
    <row r="273" spans="1:5">
      <c r="A273" s="23" t="str">
        <f>TEXT(IF('Revenues &amp; Outlays in GDP'!B279&lt;&gt;0,'Revenues &amp; Outlays in GDP'!B279-364, ""), "mm/dd/yyyy")</f>
        <v/>
      </c>
      <c r="B273" s="23" t="str">
        <f>IFERROR(IF(ISNUMBER('Revenues &amp; Outlays in GDP'!E279),TEXT('Revenues &amp; Outlays in GDP'!E279, "0.00"),""), "")</f>
        <v/>
      </c>
      <c r="C273" s="23" t="str">
        <f>IFERROR(IF(ISNUMBER('Revenues &amp; Outlays in GDP'!C279),TEXT('Revenues &amp; Outlays in GDP'!C279, "0.00"),""), "")</f>
        <v/>
      </c>
      <c r="D273" s="23" t="str">
        <f>IFERROR(IF(ISNUMBER('Revenues &amp; Outlays in GDP'!F279),TEXT('Revenues &amp; Outlays in GDP'!F279, "0.00"),""), "")</f>
        <v/>
      </c>
      <c r="E273" s="23" t="str">
        <f>IFERROR(IF(ISNUMBER('Revenues &amp; Outlays in GDP'!D279),TEXT('Revenues &amp; Outlays in GDP'!D279, "0.00"),""), "")</f>
        <v/>
      </c>
    </row>
    <row r="274" spans="1:5">
      <c r="A274" s="23" t="str">
        <f>TEXT(IF('Revenues &amp; Outlays in GDP'!B280&lt;&gt;0,'Revenues &amp; Outlays in GDP'!B280-364, ""), "mm/dd/yyyy")</f>
        <v/>
      </c>
      <c r="B274" s="23" t="str">
        <f>IFERROR(IF(ISNUMBER('Revenues &amp; Outlays in GDP'!E280),TEXT('Revenues &amp; Outlays in GDP'!E280, "0.00"),""), "")</f>
        <v/>
      </c>
      <c r="C274" s="23" t="str">
        <f>IFERROR(IF(ISNUMBER('Revenues &amp; Outlays in GDP'!C280),TEXT('Revenues &amp; Outlays in GDP'!C280, "0.00"),""), "")</f>
        <v/>
      </c>
      <c r="D274" s="23" t="str">
        <f>IFERROR(IF(ISNUMBER('Revenues &amp; Outlays in GDP'!F280),TEXT('Revenues &amp; Outlays in GDP'!F280, "0.00"),""), "")</f>
        <v/>
      </c>
      <c r="E274" s="23" t="str">
        <f>IFERROR(IF(ISNUMBER('Revenues &amp; Outlays in GDP'!D280),TEXT('Revenues &amp; Outlays in GDP'!D280, "0.00"),""), "")</f>
        <v/>
      </c>
    </row>
    <row r="275" spans="1:5">
      <c r="A275" s="23" t="str">
        <f>TEXT(IF('Revenues &amp; Outlays in GDP'!B281&lt;&gt;0,'Revenues &amp; Outlays in GDP'!B281-364, ""), "mm/dd/yyyy")</f>
        <v/>
      </c>
      <c r="B275" s="23" t="str">
        <f>IFERROR(IF(ISNUMBER('Revenues &amp; Outlays in GDP'!E281),TEXT('Revenues &amp; Outlays in GDP'!E281, "0.00"),""), "")</f>
        <v/>
      </c>
      <c r="C275" s="23" t="str">
        <f>IFERROR(IF(ISNUMBER('Revenues &amp; Outlays in GDP'!C281),TEXT('Revenues &amp; Outlays in GDP'!C281, "0.00"),""), "")</f>
        <v/>
      </c>
      <c r="D275" s="23" t="str">
        <f>IFERROR(IF(ISNUMBER('Revenues &amp; Outlays in GDP'!F281),TEXT('Revenues &amp; Outlays in GDP'!F281, "0.00"),""), "")</f>
        <v/>
      </c>
      <c r="E275" s="23" t="str">
        <f>IFERROR(IF(ISNUMBER('Revenues &amp; Outlays in GDP'!D281),TEXT('Revenues &amp; Outlays in GDP'!D281, "0.00"),""), "")</f>
        <v/>
      </c>
    </row>
    <row r="276" spans="1:5">
      <c r="A276" s="23" t="str">
        <f>TEXT(IF('Revenues &amp; Outlays in GDP'!B282&lt;&gt;0,'Revenues &amp; Outlays in GDP'!B282-364, ""), "mm/dd/yyyy")</f>
        <v/>
      </c>
      <c r="B276" s="23" t="str">
        <f>IFERROR(IF(ISNUMBER('Revenues &amp; Outlays in GDP'!E282),TEXT('Revenues &amp; Outlays in GDP'!E282, "0.00"),""), "")</f>
        <v/>
      </c>
      <c r="C276" s="23" t="str">
        <f>IFERROR(IF(ISNUMBER('Revenues &amp; Outlays in GDP'!C282),TEXT('Revenues &amp; Outlays in GDP'!C282, "0.00"),""), "")</f>
        <v/>
      </c>
      <c r="D276" s="23" t="str">
        <f>IFERROR(IF(ISNUMBER('Revenues &amp; Outlays in GDP'!F282),TEXT('Revenues &amp; Outlays in GDP'!F282, "0.00"),""), "")</f>
        <v/>
      </c>
      <c r="E276" s="23" t="str">
        <f>IFERROR(IF(ISNUMBER('Revenues &amp; Outlays in GDP'!D282),TEXT('Revenues &amp; Outlays in GDP'!D282, "0.00"),""), "")</f>
        <v/>
      </c>
    </row>
    <row r="277" spans="1:5">
      <c r="A277" s="23" t="str">
        <f>TEXT(IF('Revenues &amp; Outlays in GDP'!B283&lt;&gt;0,'Revenues &amp; Outlays in GDP'!B283-364, ""), "mm/dd/yyyy")</f>
        <v/>
      </c>
      <c r="B277" s="23" t="str">
        <f>IFERROR(IF(ISNUMBER('Revenues &amp; Outlays in GDP'!E283),TEXT('Revenues &amp; Outlays in GDP'!E283, "0.00"),""), "")</f>
        <v/>
      </c>
      <c r="C277" s="23" t="str">
        <f>IFERROR(IF(ISNUMBER('Revenues &amp; Outlays in GDP'!C283),TEXT('Revenues &amp; Outlays in GDP'!C283, "0.00"),""), "")</f>
        <v/>
      </c>
      <c r="D277" s="23" t="str">
        <f>IFERROR(IF(ISNUMBER('Revenues &amp; Outlays in GDP'!F283),TEXT('Revenues &amp; Outlays in GDP'!F283, "0.00"),""), "")</f>
        <v/>
      </c>
      <c r="E277" s="23" t="str">
        <f>IFERROR(IF(ISNUMBER('Revenues &amp; Outlays in GDP'!D283),TEXT('Revenues &amp; Outlays in GDP'!D283, "0.00"),""), "")</f>
        <v/>
      </c>
    </row>
    <row r="278" spans="1:5">
      <c r="A278" s="23" t="str">
        <f>TEXT(IF('Revenues &amp; Outlays in GDP'!B284&lt;&gt;0,'Revenues &amp; Outlays in GDP'!B284-364, ""), "mm/dd/yyyy")</f>
        <v/>
      </c>
      <c r="B278" s="23" t="str">
        <f>IFERROR(IF(ISNUMBER('Revenues &amp; Outlays in GDP'!E284),TEXT('Revenues &amp; Outlays in GDP'!E284, "0.00"),""), "")</f>
        <v/>
      </c>
      <c r="C278" s="23" t="str">
        <f>IFERROR(IF(ISNUMBER('Revenues &amp; Outlays in GDP'!C284),TEXT('Revenues &amp; Outlays in GDP'!C284, "0.00"),""), "")</f>
        <v/>
      </c>
      <c r="D278" s="23" t="str">
        <f>IFERROR(IF(ISNUMBER('Revenues &amp; Outlays in GDP'!F284),TEXT('Revenues &amp; Outlays in GDP'!F284, "0.00"),""), "")</f>
        <v/>
      </c>
      <c r="E278" s="23" t="str">
        <f>IFERROR(IF(ISNUMBER('Revenues &amp; Outlays in GDP'!D284),TEXT('Revenues &amp; Outlays in GDP'!D284, "0.00"),""), "")</f>
        <v/>
      </c>
    </row>
    <row r="279" spans="1:5">
      <c r="A279" s="23" t="str">
        <f>TEXT(IF('Revenues &amp; Outlays in GDP'!B285&lt;&gt;0,'Revenues &amp; Outlays in GDP'!B285-364, ""), "mm/dd/yyyy")</f>
        <v/>
      </c>
      <c r="B279" s="23" t="str">
        <f>IFERROR(IF(ISNUMBER('Revenues &amp; Outlays in GDP'!E285),TEXT('Revenues &amp; Outlays in GDP'!E285, "0.00"),""), "")</f>
        <v/>
      </c>
      <c r="C279" s="23" t="str">
        <f>IFERROR(IF(ISNUMBER('Revenues &amp; Outlays in GDP'!C285),TEXT('Revenues &amp; Outlays in GDP'!C285, "0.00"),""), "")</f>
        <v/>
      </c>
      <c r="D279" s="23" t="str">
        <f>IFERROR(IF(ISNUMBER('Revenues &amp; Outlays in GDP'!F285),TEXT('Revenues &amp; Outlays in GDP'!F285, "0.00"),""), "")</f>
        <v/>
      </c>
      <c r="E279" s="23" t="str">
        <f>IFERROR(IF(ISNUMBER('Revenues &amp; Outlays in GDP'!D285),TEXT('Revenues &amp; Outlays in GDP'!D285, "0.00"),""), "")</f>
        <v/>
      </c>
    </row>
    <row r="280" spans="1:5">
      <c r="A280" s="23" t="str">
        <f>TEXT(IF('Revenues &amp; Outlays in GDP'!B286&lt;&gt;0,'Revenues &amp; Outlays in GDP'!B286-364, ""), "mm/dd/yyyy")</f>
        <v/>
      </c>
      <c r="B280" s="23" t="str">
        <f>IFERROR(IF(ISNUMBER('Revenues &amp; Outlays in GDP'!E286),TEXT('Revenues &amp; Outlays in GDP'!E286, "0.00"),""), "")</f>
        <v/>
      </c>
      <c r="C280" s="23" t="str">
        <f>IFERROR(IF(ISNUMBER('Revenues &amp; Outlays in GDP'!C286),TEXT('Revenues &amp; Outlays in GDP'!C286, "0.00"),""), "")</f>
        <v/>
      </c>
      <c r="D280" s="23" t="str">
        <f>IFERROR(IF(ISNUMBER('Revenues &amp; Outlays in GDP'!F286),TEXT('Revenues &amp; Outlays in GDP'!F286, "0.00"),""), "")</f>
        <v/>
      </c>
      <c r="E280" s="23" t="str">
        <f>IFERROR(IF(ISNUMBER('Revenues &amp; Outlays in GDP'!D286),TEXT('Revenues &amp; Outlays in GDP'!D286, "0.00"),""), "")</f>
        <v/>
      </c>
    </row>
    <row r="281" spans="1:5">
      <c r="A281" s="23" t="str">
        <f>TEXT(IF('Revenues &amp; Outlays in GDP'!B287&lt;&gt;0,'Revenues &amp; Outlays in GDP'!B287-364, ""), "mm/dd/yyyy")</f>
        <v/>
      </c>
      <c r="B281" s="23" t="str">
        <f>IFERROR(IF(ISNUMBER('Revenues &amp; Outlays in GDP'!E287),TEXT('Revenues &amp; Outlays in GDP'!E287, "0.00"),""), "")</f>
        <v/>
      </c>
      <c r="C281" s="23" t="str">
        <f>IFERROR(IF(ISNUMBER('Revenues &amp; Outlays in GDP'!C287),TEXT('Revenues &amp; Outlays in GDP'!C287, "0.00"),""), "")</f>
        <v/>
      </c>
      <c r="D281" s="23" t="str">
        <f>IFERROR(IF(ISNUMBER('Revenues &amp; Outlays in GDP'!F287),TEXT('Revenues &amp; Outlays in GDP'!F287, "0.00"),""), "")</f>
        <v/>
      </c>
      <c r="E281" s="23" t="str">
        <f>IFERROR(IF(ISNUMBER('Revenues &amp; Outlays in GDP'!D287),TEXT('Revenues &amp; Outlays in GDP'!D287, "0.00"),""), "")</f>
        <v/>
      </c>
    </row>
    <row r="282" spans="1:5">
      <c r="A282" s="23" t="str">
        <f>TEXT(IF('Revenues &amp; Outlays in GDP'!B288&lt;&gt;0,'Revenues &amp; Outlays in GDP'!B288-364, ""), "mm/dd/yyyy")</f>
        <v/>
      </c>
      <c r="B282" s="23" t="str">
        <f>IFERROR(IF(ISNUMBER('Revenues &amp; Outlays in GDP'!E288),TEXT('Revenues &amp; Outlays in GDP'!E288, "0.00"),""), "")</f>
        <v/>
      </c>
      <c r="C282" s="23" t="str">
        <f>IFERROR(IF(ISNUMBER('Revenues &amp; Outlays in GDP'!C288),TEXT('Revenues &amp; Outlays in GDP'!C288, "0.00"),""), "")</f>
        <v/>
      </c>
      <c r="D282" s="23" t="str">
        <f>IFERROR(IF(ISNUMBER('Revenues &amp; Outlays in GDP'!F288),TEXT('Revenues &amp; Outlays in GDP'!F288, "0.00"),""), "")</f>
        <v/>
      </c>
      <c r="E282" s="23" t="str">
        <f>IFERROR(IF(ISNUMBER('Revenues &amp; Outlays in GDP'!D288),TEXT('Revenues &amp; Outlays in GDP'!D288, "0.00"),""), "")</f>
        <v/>
      </c>
    </row>
    <row r="283" spans="1:5">
      <c r="A283" s="23" t="str">
        <f>TEXT(IF('Revenues &amp; Outlays in GDP'!B289&lt;&gt;0,'Revenues &amp; Outlays in GDP'!B289-364, ""), "mm/dd/yyyy")</f>
        <v/>
      </c>
      <c r="B283" s="23" t="str">
        <f>IFERROR(IF(ISNUMBER('Revenues &amp; Outlays in GDP'!E289),TEXT('Revenues &amp; Outlays in GDP'!E289, "0.00"),""), "")</f>
        <v/>
      </c>
      <c r="C283" s="23" t="str">
        <f>IFERROR(IF(ISNUMBER('Revenues &amp; Outlays in GDP'!C289),TEXT('Revenues &amp; Outlays in GDP'!C289, "0.00"),""), "")</f>
        <v/>
      </c>
      <c r="D283" s="23" t="str">
        <f>IFERROR(IF(ISNUMBER('Revenues &amp; Outlays in GDP'!F289),TEXT('Revenues &amp; Outlays in GDP'!F289, "0.00"),""), "")</f>
        <v/>
      </c>
      <c r="E283" s="23" t="str">
        <f>IFERROR(IF(ISNUMBER('Revenues &amp; Outlays in GDP'!D289),TEXT('Revenues &amp; Outlays in GDP'!D289, "0.00"),""), "")</f>
        <v/>
      </c>
    </row>
    <row r="284" spans="1:5">
      <c r="A284" s="23" t="str">
        <f>TEXT(IF('Revenues &amp; Outlays in GDP'!B290&lt;&gt;0,'Revenues &amp; Outlays in GDP'!B290-364, ""), "mm/dd/yyyy")</f>
        <v/>
      </c>
      <c r="B284" s="23" t="str">
        <f>IFERROR(IF(ISNUMBER('Revenues &amp; Outlays in GDP'!E290),TEXT('Revenues &amp; Outlays in GDP'!E290, "0.00"),""), "")</f>
        <v/>
      </c>
      <c r="C284" s="23" t="str">
        <f>IFERROR(IF(ISNUMBER('Revenues &amp; Outlays in GDP'!C290),TEXT('Revenues &amp; Outlays in GDP'!C290, "0.00"),""), "")</f>
        <v/>
      </c>
      <c r="D284" s="23" t="str">
        <f>IFERROR(IF(ISNUMBER('Revenues &amp; Outlays in GDP'!F290),TEXT('Revenues &amp; Outlays in GDP'!F290, "0.00"),""), "")</f>
        <v/>
      </c>
      <c r="E284" s="23" t="str">
        <f>IFERROR(IF(ISNUMBER('Revenues &amp; Outlays in GDP'!D290),TEXT('Revenues &amp; Outlays in GDP'!D290, "0.00"),""), "")</f>
        <v/>
      </c>
    </row>
    <row r="285" spans="1:5">
      <c r="A285" s="23" t="str">
        <f>TEXT(IF('Revenues &amp; Outlays in GDP'!B291&lt;&gt;0,'Revenues &amp; Outlays in GDP'!B291-364, ""), "mm/dd/yyyy")</f>
        <v/>
      </c>
      <c r="B285" s="23" t="str">
        <f>IFERROR(IF(ISNUMBER('Revenues &amp; Outlays in GDP'!E291),TEXT('Revenues &amp; Outlays in GDP'!E291, "0.00"),""), "")</f>
        <v/>
      </c>
      <c r="C285" s="23" t="str">
        <f>IFERROR(IF(ISNUMBER('Revenues &amp; Outlays in GDP'!C291),TEXT('Revenues &amp; Outlays in GDP'!C291, "0.00"),""), "")</f>
        <v/>
      </c>
      <c r="D285" s="23" t="str">
        <f>IFERROR(IF(ISNUMBER('Revenues &amp; Outlays in GDP'!F291),TEXT('Revenues &amp; Outlays in GDP'!F291, "0.00"),""), "")</f>
        <v/>
      </c>
      <c r="E285" s="23" t="str">
        <f>IFERROR(IF(ISNUMBER('Revenues &amp; Outlays in GDP'!D291),TEXT('Revenues &amp; Outlays in GDP'!D291, "0.00"),""), "")</f>
        <v/>
      </c>
    </row>
    <row r="286" spans="1:5">
      <c r="A286" s="23" t="str">
        <f>TEXT(IF('Revenues &amp; Outlays in GDP'!B292&lt;&gt;0,'Revenues &amp; Outlays in GDP'!B292-364, ""), "mm/dd/yyyy")</f>
        <v/>
      </c>
      <c r="B286" s="23" t="str">
        <f>IFERROR(IF(ISNUMBER('Revenues &amp; Outlays in GDP'!E292),TEXT('Revenues &amp; Outlays in GDP'!E292, "0.00"),""), "")</f>
        <v/>
      </c>
      <c r="C286" s="23" t="str">
        <f>IFERROR(IF(ISNUMBER('Revenues &amp; Outlays in GDP'!C292),TEXT('Revenues &amp; Outlays in GDP'!C292, "0.00"),""), "")</f>
        <v/>
      </c>
      <c r="D286" s="23" t="str">
        <f>IFERROR(IF(ISNUMBER('Revenues &amp; Outlays in GDP'!F292),TEXT('Revenues &amp; Outlays in GDP'!F292, "0.00"),""), "")</f>
        <v/>
      </c>
      <c r="E286" s="23" t="str">
        <f>IFERROR(IF(ISNUMBER('Revenues &amp; Outlays in GDP'!D292),TEXT('Revenues &amp; Outlays in GDP'!D292, "0.00"),""), "")</f>
        <v/>
      </c>
    </row>
    <row r="287" spans="1:5">
      <c r="A287" s="23" t="str">
        <f>TEXT(IF('Revenues &amp; Outlays in GDP'!B293&lt;&gt;0,'Revenues &amp; Outlays in GDP'!B293-364, ""), "mm/dd/yyyy")</f>
        <v/>
      </c>
      <c r="B287" s="23" t="str">
        <f>IFERROR(IF(ISNUMBER('Revenues &amp; Outlays in GDP'!E293),TEXT('Revenues &amp; Outlays in GDP'!E293, "0.00"),""), "")</f>
        <v/>
      </c>
      <c r="C287" s="23" t="str">
        <f>IFERROR(IF(ISNUMBER('Revenues &amp; Outlays in GDP'!C293),TEXT('Revenues &amp; Outlays in GDP'!C293, "0.00"),""), "")</f>
        <v/>
      </c>
      <c r="D287" s="23" t="str">
        <f>IFERROR(IF(ISNUMBER('Revenues &amp; Outlays in GDP'!F293),TEXT('Revenues &amp; Outlays in GDP'!F293, "0.00"),""), "")</f>
        <v/>
      </c>
      <c r="E287" s="23" t="str">
        <f>IFERROR(IF(ISNUMBER('Revenues &amp; Outlays in GDP'!D293),TEXT('Revenues &amp; Outlays in GDP'!D293, "0.00"),""), "")</f>
        <v/>
      </c>
    </row>
    <row r="288" spans="1:5">
      <c r="A288" s="23" t="str">
        <f>TEXT(IF('Revenues &amp; Outlays in GDP'!B294&lt;&gt;0,'Revenues &amp; Outlays in GDP'!B294-364, ""), "mm/dd/yyyy")</f>
        <v/>
      </c>
      <c r="B288" s="23" t="str">
        <f>IFERROR(IF(ISNUMBER('Revenues &amp; Outlays in GDP'!E294),TEXT('Revenues &amp; Outlays in GDP'!E294, "0.00"),""), "")</f>
        <v/>
      </c>
      <c r="C288" s="23" t="str">
        <f>IFERROR(IF(ISNUMBER('Revenues &amp; Outlays in GDP'!C294),TEXT('Revenues &amp; Outlays in GDP'!C294, "0.00"),""), "")</f>
        <v/>
      </c>
      <c r="D288" s="23" t="str">
        <f>IFERROR(IF(ISNUMBER('Revenues &amp; Outlays in GDP'!F294),TEXT('Revenues &amp; Outlays in GDP'!F294, "0.00"),""), "")</f>
        <v/>
      </c>
      <c r="E288" s="23" t="str">
        <f>IFERROR(IF(ISNUMBER('Revenues &amp; Outlays in GDP'!D294),TEXT('Revenues &amp; Outlays in GDP'!D294, "0.00"),""), "")</f>
        <v/>
      </c>
    </row>
    <row r="289" spans="1:5">
      <c r="A289" s="23" t="str">
        <f>TEXT(IF('Revenues &amp; Outlays in GDP'!B295&lt;&gt;0,'Revenues &amp; Outlays in GDP'!B295-364, ""), "mm/dd/yyyy")</f>
        <v/>
      </c>
      <c r="B289" s="23" t="str">
        <f>IFERROR(IF(ISNUMBER('Revenues &amp; Outlays in GDP'!E295),TEXT('Revenues &amp; Outlays in GDP'!E295, "0.00"),""), "")</f>
        <v/>
      </c>
      <c r="C289" s="23" t="str">
        <f>IFERROR(IF(ISNUMBER('Revenues &amp; Outlays in GDP'!C295),TEXT('Revenues &amp; Outlays in GDP'!C295, "0.00"),""), "")</f>
        <v/>
      </c>
      <c r="D289" s="23" t="str">
        <f>IFERROR(IF(ISNUMBER('Revenues &amp; Outlays in GDP'!F295),TEXT('Revenues &amp; Outlays in GDP'!F295, "0.00"),""), "")</f>
        <v/>
      </c>
      <c r="E289" s="23" t="str">
        <f>IFERROR(IF(ISNUMBER('Revenues &amp; Outlays in GDP'!D295),TEXT('Revenues &amp; Outlays in GDP'!D295, "0.00"),""), "")</f>
        <v/>
      </c>
    </row>
    <row r="290" spans="1:5">
      <c r="A290" s="23" t="str">
        <f>TEXT(IF('Revenues &amp; Outlays in GDP'!B296&lt;&gt;0,'Revenues &amp; Outlays in GDP'!B296-364, ""), "mm/dd/yyyy")</f>
        <v/>
      </c>
      <c r="B290" s="23" t="str">
        <f>IFERROR(IF(ISNUMBER('Revenues &amp; Outlays in GDP'!E296),TEXT('Revenues &amp; Outlays in GDP'!E296, "0.00"),""), "")</f>
        <v/>
      </c>
      <c r="C290" s="23" t="str">
        <f>IFERROR(IF(ISNUMBER('Revenues &amp; Outlays in GDP'!C296),TEXT('Revenues &amp; Outlays in GDP'!C296, "0.00"),""), "")</f>
        <v/>
      </c>
      <c r="D290" s="23" t="str">
        <f>IFERROR(IF(ISNUMBER('Revenues &amp; Outlays in GDP'!F296),TEXT('Revenues &amp; Outlays in GDP'!F296, "0.00"),""), "")</f>
        <v/>
      </c>
      <c r="E290" s="23" t="str">
        <f>IFERROR(IF(ISNUMBER('Revenues &amp; Outlays in GDP'!D296),TEXT('Revenues &amp; Outlays in GDP'!D296, "0.00"),""), "")</f>
        <v/>
      </c>
    </row>
    <row r="291" spans="1:5">
      <c r="A291" s="23" t="str">
        <f>TEXT(IF('Revenues &amp; Outlays in GDP'!B297&lt;&gt;0,'Revenues &amp; Outlays in GDP'!B297-364, ""), "mm/dd/yyyy")</f>
        <v/>
      </c>
      <c r="B291" s="23" t="str">
        <f>IFERROR(IF(ISNUMBER('Revenues &amp; Outlays in GDP'!E297),TEXT('Revenues &amp; Outlays in GDP'!E297, "0.00"),""), "")</f>
        <v/>
      </c>
      <c r="C291" s="23" t="str">
        <f>IFERROR(IF(ISNUMBER('Revenues &amp; Outlays in GDP'!C297),TEXT('Revenues &amp; Outlays in GDP'!C297, "0.00"),""), "")</f>
        <v/>
      </c>
      <c r="D291" s="23" t="str">
        <f>IFERROR(IF(ISNUMBER('Revenues &amp; Outlays in GDP'!F297),TEXT('Revenues &amp; Outlays in GDP'!F297, "0.00"),""), "")</f>
        <v/>
      </c>
      <c r="E291" s="23" t="str">
        <f>IFERROR(IF(ISNUMBER('Revenues &amp; Outlays in GDP'!D297),TEXT('Revenues &amp; Outlays in GDP'!D297, "0.00"),""), "")</f>
        <v/>
      </c>
    </row>
    <row r="292" spans="1:5">
      <c r="A292" s="23" t="str">
        <f>TEXT(IF('Revenues &amp; Outlays in GDP'!B298&lt;&gt;0,'Revenues &amp; Outlays in GDP'!B298-364, ""), "mm/dd/yyyy")</f>
        <v/>
      </c>
      <c r="B292" s="23" t="str">
        <f>IFERROR(IF(ISNUMBER('Revenues &amp; Outlays in GDP'!E298),TEXT('Revenues &amp; Outlays in GDP'!E298, "0.00"),""), "")</f>
        <v/>
      </c>
      <c r="C292" s="23" t="str">
        <f>IFERROR(IF(ISNUMBER('Revenues &amp; Outlays in GDP'!C298),TEXT('Revenues &amp; Outlays in GDP'!C298, "0.00"),""), "")</f>
        <v/>
      </c>
      <c r="D292" s="23" t="str">
        <f>IFERROR(IF(ISNUMBER('Revenues &amp; Outlays in GDP'!F298),TEXT('Revenues &amp; Outlays in GDP'!F298, "0.00"),""), "")</f>
        <v/>
      </c>
      <c r="E292" s="23" t="str">
        <f>IFERROR(IF(ISNUMBER('Revenues &amp; Outlays in GDP'!D298),TEXT('Revenues &amp; Outlays in GDP'!D298, "0.00"),""), "")</f>
        <v/>
      </c>
    </row>
    <row r="293" spans="1:5">
      <c r="A293" s="23" t="str">
        <f>TEXT(IF('Revenues &amp; Outlays in GDP'!B299&lt;&gt;0,'Revenues &amp; Outlays in GDP'!B299-364, ""), "mm/dd/yyyy")</f>
        <v/>
      </c>
      <c r="B293" s="23" t="str">
        <f>IFERROR(IF(ISNUMBER('Revenues &amp; Outlays in GDP'!E299),TEXT('Revenues &amp; Outlays in GDP'!E299, "0.00"),""), "")</f>
        <v/>
      </c>
      <c r="C293" s="23" t="str">
        <f>IFERROR(IF(ISNUMBER('Revenues &amp; Outlays in GDP'!C299),TEXT('Revenues &amp; Outlays in GDP'!C299, "0.00"),""), "")</f>
        <v/>
      </c>
      <c r="D293" s="23" t="str">
        <f>IFERROR(IF(ISNUMBER('Revenues &amp; Outlays in GDP'!F299),TEXT('Revenues &amp; Outlays in GDP'!F299, "0.00"),""), "")</f>
        <v/>
      </c>
      <c r="E293" s="23" t="str">
        <f>IFERROR(IF(ISNUMBER('Revenues &amp; Outlays in GDP'!D299),TEXT('Revenues &amp; Outlays in GDP'!D299, "0.00"),""), "")</f>
        <v/>
      </c>
    </row>
    <row r="294" spans="1:5">
      <c r="A294" s="23" t="str">
        <f>TEXT(IF('Revenues &amp; Outlays in GDP'!B300&lt;&gt;0,'Revenues &amp; Outlays in GDP'!B300-364, ""), "mm/dd/yyyy")</f>
        <v/>
      </c>
      <c r="B294" s="23" t="str">
        <f>IFERROR(IF(ISNUMBER('Revenues &amp; Outlays in GDP'!E300),TEXT('Revenues &amp; Outlays in GDP'!E300, "0.00"),""), "")</f>
        <v/>
      </c>
      <c r="C294" s="23" t="str">
        <f>IFERROR(IF(ISNUMBER('Revenues &amp; Outlays in GDP'!C300),TEXT('Revenues &amp; Outlays in GDP'!C300, "0.00"),""), "")</f>
        <v/>
      </c>
      <c r="D294" s="23" t="str">
        <f>IFERROR(IF(ISNUMBER('Revenues &amp; Outlays in GDP'!F300),TEXT('Revenues &amp; Outlays in GDP'!F300, "0.00"),""), "")</f>
        <v/>
      </c>
      <c r="E294" s="23" t="str">
        <f>IFERROR(IF(ISNUMBER('Revenues &amp; Outlays in GDP'!D300),TEXT('Revenues &amp; Outlays in GDP'!D300, "0.00"),""), "")</f>
        <v/>
      </c>
    </row>
    <row r="295" spans="1:5">
      <c r="A295" s="23" t="str">
        <f>TEXT(IF('Revenues &amp; Outlays in GDP'!B301&lt;&gt;0,'Revenues &amp; Outlays in GDP'!B301-364, ""), "mm/dd/yyyy")</f>
        <v/>
      </c>
      <c r="B295" s="23" t="str">
        <f>IFERROR(IF(ISNUMBER('Revenues &amp; Outlays in GDP'!E301),TEXT('Revenues &amp; Outlays in GDP'!E301, "0.00"),""), "")</f>
        <v/>
      </c>
      <c r="C295" s="23" t="str">
        <f>IFERROR(IF(ISNUMBER('Revenues &amp; Outlays in GDP'!C301),TEXT('Revenues &amp; Outlays in GDP'!C301, "0.00"),""), "")</f>
        <v/>
      </c>
      <c r="D295" s="23" t="str">
        <f>IFERROR(IF(ISNUMBER('Revenues &amp; Outlays in GDP'!F301),TEXT('Revenues &amp; Outlays in GDP'!F301, "0.00"),""), "")</f>
        <v/>
      </c>
      <c r="E295" s="23" t="str">
        <f>IFERROR(IF(ISNUMBER('Revenues &amp; Outlays in GDP'!D301),TEXT('Revenues &amp; Outlays in GDP'!D301, "0.00"),""), "")</f>
        <v/>
      </c>
    </row>
    <row r="296" spans="1:5">
      <c r="A296" s="23" t="str">
        <f>TEXT(IF('Revenues &amp; Outlays in GDP'!B302&lt;&gt;0,'Revenues &amp; Outlays in GDP'!B302-364, ""), "mm/dd/yyyy")</f>
        <v/>
      </c>
      <c r="B296" s="23" t="str">
        <f>IFERROR(IF(ISNUMBER('Revenues &amp; Outlays in GDP'!E302),TEXT('Revenues &amp; Outlays in GDP'!E302, "0.00"),""), "")</f>
        <v/>
      </c>
      <c r="C296" s="23" t="str">
        <f>IFERROR(IF(ISNUMBER('Revenues &amp; Outlays in GDP'!C302),TEXT('Revenues &amp; Outlays in GDP'!C302, "0.00"),""), "")</f>
        <v/>
      </c>
      <c r="D296" s="23" t="str">
        <f>IFERROR(IF(ISNUMBER('Revenues &amp; Outlays in GDP'!F302),TEXT('Revenues &amp; Outlays in GDP'!F302, "0.00"),""), "")</f>
        <v/>
      </c>
      <c r="E296" s="23" t="str">
        <f>IFERROR(IF(ISNUMBER('Revenues &amp; Outlays in GDP'!D302),TEXT('Revenues &amp; Outlays in GDP'!D302, "0.00"),""), "")</f>
        <v/>
      </c>
    </row>
    <row r="297" spans="1:5">
      <c r="A297" s="23" t="str">
        <f>TEXT(IF('Revenues &amp; Outlays in GDP'!B303&lt;&gt;0,'Revenues &amp; Outlays in GDP'!B303-364, ""), "mm/dd/yyyy")</f>
        <v/>
      </c>
      <c r="B297" s="23" t="str">
        <f>IFERROR(IF(ISNUMBER('Revenues &amp; Outlays in GDP'!E303),TEXT('Revenues &amp; Outlays in GDP'!E303, "0.00"),""), "")</f>
        <v/>
      </c>
      <c r="C297" s="23" t="str">
        <f>IFERROR(IF(ISNUMBER('Revenues &amp; Outlays in GDP'!C303),TEXT('Revenues &amp; Outlays in GDP'!C303, "0.00"),""), "")</f>
        <v/>
      </c>
      <c r="D297" s="23" t="str">
        <f>IFERROR(IF(ISNUMBER('Revenues &amp; Outlays in GDP'!F303),TEXT('Revenues &amp; Outlays in GDP'!F303, "0.00"),""), "")</f>
        <v/>
      </c>
      <c r="E297" s="23" t="str">
        <f>IFERROR(IF(ISNUMBER('Revenues &amp; Outlays in GDP'!D303),TEXT('Revenues &amp; Outlays in GDP'!D303, "0.00"),""), "")</f>
        <v/>
      </c>
    </row>
    <row r="298" spans="1:5">
      <c r="A298" s="23" t="str">
        <f>TEXT(IF('Revenues &amp; Outlays in GDP'!B304&lt;&gt;0,'Revenues &amp; Outlays in GDP'!B304-364, ""), "mm/dd/yyyy")</f>
        <v/>
      </c>
      <c r="B298" s="23" t="str">
        <f>IFERROR(IF(ISNUMBER('Revenues &amp; Outlays in GDP'!E304),TEXT('Revenues &amp; Outlays in GDP'!E304, "0.00"),""), "")</f>
        <v/>
      </c>
      <c r="C298" s="23" t="str">
        <f>IFERROR(IF(ISNUMBER('Revenues &amp; Outlays in GDP'!C304),TEXT('Revenues &amp; Outlays in GDP'!C304, "0.00"),""), "")</f>
        <v/>
      </c>
      <c r="D298" s="23" t="str">
        <f>IFERROR(IF(ISNUMBER('Revenues &amp; Outlays in GDP'!F304),TEXT('Revenues &amp; Outlays in GDP'!F304, "0.00"),""), "")</f>
        <v/>
      </c>
      <c r="E298" s="23" t="str">
        <f>IFERROR(IF(ISNUMBER('Revenues &amp; Outlays in GDP'!D304),TEXT('Revenues &amp; Outlays in GDP'!D304, "0.00"),""), "")</f>
        <v/>
      </c>
    </row>
    <row r="299" spans="1:5">
      <c r="A299" s="23" t="str">
        <f>TEXT(IF('Revenues &amp; Outlays in GDP'!B305&lt;&gt;0,'Revenues &amp; Outlays in GDP'!B305-364, ""), "mm/dd/yyyy")</f>
        <v/>
      </c>
      <c r="B299" s="23" t="str">
        <f>IFERROR(IF(ISNUMBER('Revenues &amp; Outlays in GDP'!E305),TEXT('Revenues &amp; Outlays in GDP'!E305, "0.00"),""), "")</f>
        <v/>
      </c>
      <c r="C299" s="23" t="str">
        <f>IFERROR(IF(ISNUMBER('Revenues &amp; Outlays in GDP'!C305),TEXT('Revenues &amp; Outlays in GDP'!C305, "0.00"),""), "")</f>
        <v/>
      </c>
      <c r="D299" s="23" t="str">
        <f>IFERROR(IF(ISNUMBER('Revenues &amp; Outlays in GDP'!F305),TEXT('Revenues &amp; Outlays in GDP'!F305, "0.00"),""), "")</f>
        <v/>
      </c>
      <c r="E299" s="23" t="str">
        <f>IFERROR(IF(ISNUMBER('Revenues &amp; Outlays in GDP'!D305),TEXT('Revenues &amp; Outlays in GDP'!D305, "0.00"),""), "")</f>
        <v/>
      </c>
    </row>
    <row r="300" spans="1:5">
      <c r="A300" s="23" t="str">
        <f>TEXT(IF('Revenues &amp; Outlays in GDP'!B306&lt;&gt;0,'Revenues &amp; Outlays in GDP'!B306-364, ""), "mm/dd/yyyy")</f>
        <v/>
      </c>
      <c r="B300" s="23" t="str">
        <f>IFERROR(IF(ISNUMBER('Revenues &amp; Outlays in GDP'!E306),TEXT('Revenues &amp; Outlays in GDP'!E306, "0.00"),""), "")</f>
        <v/>
      </c>
      <c r="C300" s="23" t="str">
        <f>IFERROR(IF(ISNUMBER('Revenues &amp; Outlays in GDP'!C306),TEXT('Revenues &amp; Outlays in GDP'!C306, "0.00"),""), "")</f>
        <v/>
      </c>
      <c r="D300" s="23" t="str">
        <f>IFERROR(IF(ISNUMBER('Revenues &amp; Outlays in GDP'!F306),TEXT('Revenues &amp; Outlays in GDP'!F306, "0.00"),""), "")</f>
        <v/>
      </c>
      <c r="E300" s="23" t="str">
        <f>IFERROR(IF(ISNUMBER('Revenues &amp; Outlays in GDP'!D306),TEXT('Revenues &amp; Outlays in GDP'!D306, "0.00"),""), "")</f>
        <v/>
      </c>
    </row>
    <row r="301" spans="1:5">
      <c r="A301" s="23" t="str">
        <f>TEXT(IF('Revenues &amp; Outlays in GDP'!B307&lt;&gt;0,'Revenues &amp; Outlays in GDP'!B307-364, ""), "mm/dd/yyyy")</f>
        <v/>
      </c>
      <c r="B301" s="23" t="str">
        <f>IFERROR(IF(ISNUMBER('Revenues &amp; Outlays in GDP'!E307),TEXT('Revenues &amp; Outlays in GDP'!E307, "0.00"),""), "")</f>
        <v/>
      </c>
      <c r="C301" s="23" t="str">
        <f>IFERROR(IF(ISNUMBER('Revenues &amp; Outlays in GDP'!C307),TEXT('Revenues &amp; Outlays in GDP'!C307, "0.00"),""), "")</f>
        <v/>
      </c>
      <c r="D301" s="23" t="str">
        <f>IFERROR(IF(ISNUMBER('Revenues &amp; Outlays in GDP'!F307),TEXT('Revenues &amp; Outlays in GDP'!F307, "0.00"),""), "")</f>
        <v/>
      </c>
      <c r="E301" s="23" t="str">
        <f>IFERROR(IF(ISNUMBER('Revenues &amp; Outlays in GDP'!D307),TEXT('Revenues &amp; Outlays in GDP'!D307, "0.00"),""), "")</f>
        <v/>
      </c>
    </row>
    <row r="302" spans="1:5">
      <c r="A302" s="23" t="str">
        <f>TEXT(IF('Revenues &amp; Outlays in GDP'!B308&lt;&gt;0,'Revenues &amp; Outlays in GDP'!B308-364, ""), "mm/dd/yyyy")</f>
        <v/>
      </c>
      <c r="B302" s="23" t="str">
        <f>IFERROR(IF(ISNUMBER('Revenues &amp; Outlays in GDP'!E308),TEXT('Revenues &amp; Outlays in GDP'!E308, "0.00"),""), "")</f>
        <v/>
      </c>
      <c r="C302" s="23" t="str">
        <f>IFERROR(IF(ISNUMBER('Revenues &amp; Outlays in GDP'!C308),TEXT('Revenues &amp; Outlays in GDP'!C308, "0.00"),""), "")</f>
        <v/>
      </c>
      <c r="D302" s="23" t="str">
        <f>IFERROR(IF(ISNUMBER('Revenues &amp; Outlays in GDP'!F308),TEXT('Revenues &amp; Outlays in GDP'!F308, "0.00"),""), "")</f>
        <v/>
      </c>
      <c r="E302" s="23" t="str">
        <f>IFERROR(IF(ISNUMBER('Revenues &amp; Outlays in GDP'!D308),TEXT('Revenues &amp; Outlays in GDP'!D308, "0.00"),""), "")</f>
        <v/>
      </c>
    </row>
    <row r="303" spans="1:5">
      <c r="A303" s="23" t="str">
        <f>TEXT(IF('Revenues &amp; Outlays in GDP'!B309&lt;&gt;0,'Revenues &amp; Outlays in GDP'!B309-364, ""), "mm/dd/yyyy")</f>
        <v/>
      </c>
      <c r="B303" s="23" t="str">
        <f>IFERROR(IF(ISNUMBER('Revenues &amp; Outlays in GDP'!E309),TEXT('Revenues &amp; Outlays in GDP'!E309, "0.00"),""), "")</f>
        <v/>
      </c>
      <c r="C303" s="23" t="str">
        <f>IFERROR(IF(ISNUMBER('Revenues &amp; Outlays in GDP'!C309),TEXT('Revenues &amp; Outlays in GDP'!C309, "0.00"),""), "")</f>
        <v/>
      </c>
      <c r="D303" s="23" t="str">
        <f>IFERROR(IF(ISNUMBER('Revenues &amp; Outlays in GDP'!F309),TEXT('Revenues &amp; Outlays in GDP'!F309, "0.00"),""), "")</f>
        <v/>
      </c>
      <c r="E303" s="23" t="str">
        <f>IFERROR(IF(ISNUMBER('Revenues &amp; Outlays in GDP'!D309),TEXT('Revenues &amp; Outlays in GDP'!D309, "0.00"),""), "")</f>
        <v/>
      </c>
    </row>
    <row r="304" spans="1:5">
      <c r="A304" s="23" t="str">
        <f>TEXT(IF('Revenues &amp; Outlays in GDP'!B310&lt;&gt;0,'Revenues &amp; Outlays in GDP'!B310-364, ""), "mm/dd/yyyy")</f>
        <v/>
      </c>
      <c r="B304" s="23" t="str">
        <f>IFERROR(IF(ISNUMBER('Revenues &amp; Outlays in GDP'!E310),TEXT('Revenues &amp; Outlays in GDP'!E310, "0.00"),""), "")</f>
        <v/>
      </c>
      <c r="C304" s="23" t="str">
        <f>IFERROR(IF(ISNUMBER('Revenues &amp; Outlays in GDP'!C310),TEXT('Revenues &amp; Outlays in GDP'!C310, "0.00"),""), "")</f>
        <v/>
      </c>
      <c r="D304" s="23" t="str">
        <f>IFERROR(IF(ISNUMBER('Revenues &amp; Outlays in GDP'!F310),TEXT('Revenues &amp; Outlays in GDP'!F310, "0.00"),""), "")</f>
        <v/>
      </c>
      <c r="E304" s="23" t="str">
        <f>IFERROR(IF(ISNUMBER('Revenues &amp; Outlays in GDP'!D310),TEXT('Revenues &amp; Outlays in GDP'!D310, "0.00"),""), "")</f>
        <v/>
      </c>
    </row>
    <row r="305" spans="1:5">
      <c r="A305" s="23" t="str">
        <f>TEXT(IF('Revenues &amp; Outlays in GDP'!B311&lt;&gt;0,'Revenues &amp; Outlays in GDP'!B311-364, ""), "mm/dd/yyyy")</f>
        <v/>
      </c>
      <c r="B305" s="23" t="str">
        <f>IFERROR(IF(ISNUMBER('Revenues &amp; Outlays in GDP'!E311),TEXT('Revenues &amp; Outlays in GDP'!E311, "0.00"),""), "")</f>
        <v/>
      </c>
      <c r="C305" s="23" t="str">
        <f>IFERROR(IF(ISNUMBER('Revenues &amp; Outlays in GDP'!C311),TEXT('Revenues &amp; Outlays in GDP'!C311, "0.00"),""), "")</f>
        <v/>
      </c>
      <c r="D305" s="23" t="str">
        <f>IFERROR(IF(ISNUMBER('Revenues &amp; Outlays in GDP'!F311),TEXT('Revenues &amp; Outlays in GDP'!F311, "0.00"),""), "")</f>
        <v/>
      </c>
      <c r="E305" s="23" t="str">
        <f>IFERROR(IF(ISNUMBER('Revenues &amp; Outlays in GDP'!D311),TEXT('Revenues &amp; Outlays in GDP'!D311, "0.00"),""), "")</f>
        <v/>
      </c>
    </row>
    <row r="306" spans="1:5">
      <c r="A306" s="23" t="str">
        <f>TEXT(IF('Revenues &amp; Outlays in GDP'!B312&lt;&gt;0,'Revenues &amp; Outlays in GDP'!B312-364, ""), "mm/dd/yyyy")</f>
        <v/>
      </c>
      <c r="B306" s="23" t="str">
        <f>IFERROR(IF(ISNUMBER('Revenues &amp; Outlays in GDP'!E312),TEXT('Revenues &amp; Outlays in GDP'!E312, "0.00"),""), "")</f>
        <v/>
      </c>
      <c r="C306" s="23" t="str">
        <f>IFERROR(IF(ISNUMBER('Revenues &amp; Outlays in GDP'!C312),TEXT('Revenues &amp; Outlays in GDP'!C312, "0.00"),""), "")</f>
        <v/>
      </c>
      <c r="D306" s="23" t="str">
        <f>IFERROR(IF(ISNUMBER('Revenues &amp; Outlays in GDP'!F312),TEXT('Revenues &amp; Outlays in GDP'!F312, "0.00"),""), "")</f>
        <v/>
      </c>
      <c r="E306" s="23" t="str">
        <f>IFERROR(IF(ISNUMBER('Revenues &amp; Outlays in GDP'!D312),TEXT('Revenues &amp; Outlays in GDP'!D312, "0.00"),""), "")</f>
        <v/>
      </c>
    </row>
    <row r="307" spans="1:5">
      <c r="A307" s="23" t="str">
        <f>TEXT(IF('Revenues &amp; Outlays in GDP'!B313&lt;&gt;0,'Revenues &amp; Outlays in GDP'!B313-364, ""), "mm/dd/yyyy")</f>
        <v/>
      </c>
      <c r="B307" s="23" t="str">
        <f>IFERROR(IF(ISNUMBER('Revenues &amp; Outlays in GDP'!E313),TEXT('Revenues &amp; Outlays in GDP'!E313, "0.00"),""), "")</f>
        <v/>
      </c>
      <c r="C307" s="23" t="str">
        <f>IFERROR(IF(ISNUMBER('Revenues &amp; Outlays in GDP'!C313),TEXT('Revenues &amp; Outlays in GDP'!C313, "0.00"),""), "")</f>
        <v/>
      </c>
      <c r="D307" s="23" t="str">
        <f>IFERROR(IF(ISNUMBER('Revenues &amp; Outlays in GDP'!F313),TEXT('Revenues &amp; Outlays in GDP'!F313, "0.00"),""), "")</f>
        <v/>
      </c>
      <c r="E307" s="23" t="str">
        <f>IFERROR(IF(ISNUMBER('Revenues &amp; Outlays in GDP'!D313),TEXT('Revenues &amp; Outlays in GDP'!D313, "0.00"),""), "")</f>
        <v/>
      </c>
    </row>
    <row r="308" spans="1:5">
      <c r="A308" s="23" t="str">
        <f>TEXT(IF('Revenues &amp; Outlays in GDP'!B314&lt;&gt;0,'Revenues &amp; Outlays in GDP'!B314-364, ""), "mm/dd/yyyy")</f>
        <v/>
      </c>
      <c r="B308" s="23" t="str">
        <f>IFERROR(IF(ISNUMBER('Revenues &amp; Outlays in GDP'!E314),TEXT('Revenues &amp; Outlays in GDP'!E314, "0.00"),""), "")</f>
        <v/>
      </c>
      <c r="C308" s="23" t="str">
        <f>IFERROR(IF(ISNUMBER('Revenues &amp; Outlays in GDP'!C314),TEXT('Revenues &amp; Outlays in GDP'!C314, "0.00"),""), "")</f>
        <v/>
      </c>
      <c r="D308" s="23" t="str">
        <f>IFERROR(IF(ISNUMBER('Revenues &amp; Outlays in GDP'!F314),TEXT('Revenues &amp; Outlays in GDP'!F314, "0.00"),""), "")</f>
        <v/>
      </c>
      <c r="E308" s="23" t="str">
        <f>IFERROR(IF(ISNUMBER('Revenues &amp; Outlays in GDP'!D314),TEXT('Revenues &amp; Outlays in GDP'!D314, "0.00"),""), "")</f>
        <v/>
      </c>
    </row>
    <row r="309" spans="1:5">
      <c r="A309" s="23" t="str">
        <f>TEXT(IF('Revenues &amp; Outlays in GDP'!B315&lt;&gt;0,'Revenues &amp; Outlays in GDP'!B315-364, ""), "mm/dd/yyyy")</f>
        <v/>
      </c>
      <c r="B309" s="23" t="str">
        <f>IFERROR(IF(ISNUMBER('Revenues &amp; Outlays in GDP'!E315),TEXT('Revenues &amp; Outlays in GDP'!E315, "0.00"),""), "")</f>
        <v/>
      </c>
      <c r="C309" s="23" t="str">
        <f>IFERROR(IF(ISNUMBER('Revenues &amp; Outlays in GDP'!C315),TEXT('Revenues &amp; Outlays in GDP'!C315, "0.00"),""), "")</f>
        <v/>
      </c>
      <c r="D309" s="23" t="str">
        <f>IFERROR(IF(ISNUMBER('Revenues &amp; Outlays in GDP'!F315),TEXT('Revenues &amp; Outlays in GDP'!F315, "0.00"),""), "")</f>
        <v/>
      </c>
      <c r="E309" s="23" t="str">
        <f>IFERROR(IF(ISNUMBER('Revenues &amp; Outlays in GDP'!D315),TEXT('Revenues &amp; Outlays in GDP'!D315, "0.00"),""), "")</f>
        <v/>
      </c>
    </row>
    <row r="310" spans="1:5">
      <c r="A310" s="23" t="str">
        <f>TEXT(IF('Revenues &amp; Outlays in GDP'!B316&lt;&gt;0,'Revenues &amp; Outlays in GDP'!B316-364, ""), "mm/dd/yyyy")</f>
        <v/>
      </c>
      <c r="B310" s="23" t="str">
        <f>IFERROR(IF(ISNUMBER('Revenues &amp; Outlays in GDP'!E316),TEXT('Revenues &amp; Outlays in GDP'!E316, "0.00"),""), "")</f>
        <v/>
      </c>
      <c r="C310" s="23" t="str">
        <f>IFERROR(IF(ISNUMBER('Revenues &amp; Outlays in GDP'!C316),TEXT('Revenues &amp; Outlays in GDP'!C316, "0.00"),""), "")</f>
        <v/>
      </c>
      <c r="D310" s="23" t="str">
        <f>IFERROR(IF(ISNUMBER('Revenues &amp; Outlays in GDP'!F316),TEXT('Revenues &amp; Outlays in GDP'!F316, "0.00"),""), "")</f>
        <v/>
      </c>
      <c r="E310" s="23" t="str">
        <f>IFERROR(IF(ISNUMBER('Revenues &amp; Outlays in GDP'!D316),TEXT('Revenues &amp; Outlays in GDP'!D316, "0.00"),""), "")</f>
        <v/>
      </c>
    </row>
    <row r="311" spans="1:5">
      <c r="A311" s="23" t="str">
        <f>TEXT(IF('Revenues &amp; Outlays in GDP'!B317&lt;&gt;0,'Revenues &amp; Outlays in GDP'!B317-364, ""), "mm/dd/yyyy")</f>
        <v/>
      </c>
      <c r="B311" s="23" t="str">
        <f>IFERROR(IF(ISNUMBER('Revenues &amp; Outlays in GDP'!E317),TEXT('Revenues &amp; Outlays in GDP'!E317, "0.00"),""), "")</f>
        <v/>
      </c>
      <c r="C311" s="23" t="str">
        <f>IFERROR(IF(ISNUMBER('Revenues &amp; Outlays in GDP'!C317),TEXT('Revenues &amp; Outlays in GDP'!C317, "0.00"),""), "")</f>
        <v/>
      </c>
      <c r="D311" s="23" t="str">
        <f>IFERROR(IF(ISNUMBER('Revenues &amp; Outlays in GDP'!F317),TEXT('Revenues &amp; Outlays in GDP'!F317, "0.00"),""), "")</f>
        <v/>
      </c>
      <c r="E311" s="23" t="str">
        <f>IFERROR(IF(ISNUMBER('Revenues &amp; Outlays in GDP'!D317),TEXT('Revenues &amp; Outlays in GDP'!D317, "0.00"),""), "")</f>
        <v/>
      </c>
    </row>
    <row r="312" spans="1:5">
      <c r="A312" s="23" t="str">
        <f>TEXT(IF('Revenues &amp; Outlays in GDP'!B318&lt;&gt;0,'Revenues &amp; Outlays in GDP'!B318-364, ""), "mm/dd/yyyy")</f>
        <v/>
      </c>
      <c r="B312" s="23" t="str">
        <f>IFERROR(IF(ISNUMBER('Revenues &amp; Outlays in GDP'!E318),TEXT('Revenues &amp; Outlays in GDP'!E318, "0.00"),""), "")</f>
        <v/>
      </c>
      <c r="C312" s="23" t="str">
        <f>IFERROR(IF(ISNUMBER('Revenues &amp; Outlays in GDP'!C318),TEXT('Revenues &amp; Outlays in GDP'!C318, "0.00"),""), "")</f>
        <v/>
      </c>
      <c r="D312" s="23" t="str">
        <f>IFERROR(IF(ISNUMBER('Revenues &amp; Outlays in GDP'!F318),TEXT('Revenues &amp; Outlays in GDP'!F318, "0.00"),""), "")</f>
        <v/>
      </c>
      <c r="E312" s="23" t="str">
        <f>IFERROR(IF(ISNUMBER('Revenues &amp; Outlays in GDP'!D318),TEXT('Revenues &amp; Outlays in GDP'!D318, "0.00"),""), "")</f>
        <v/>
      </c>
    </row>
    <row r="313" spans="1:5">
      <c r="A313" s="23" t="str">
        <f>TEXT(IF('Revenues &amp; Outlays in GDP'!B319&lt;&gt;0,'Revenues &amp; Outlays in GDP'!B319-364, ""), "mm/dd/yyyy")</f>
        <v/>
      </c>
      <c r="B313" s="23" t="str">
        <f>IFERROR(IF(ISNUMBER('Revenues &amp; Outlays in GDP'!E319),TEXT('Revenues &amp; Outlays in GDP'!E319, "0.00"),""), "")</f>
        <v/>
      </c>
      <c r="C313" s="23" t="str">
        <f>IFERROR(IF(ISNUMBER('Revenues &amp; Outlays in GDP'!C319),TEXT('Revenues &amp; Outlays in GDP'!C319, "0.00"),""), "")</f>
        <v/>
      </c>
      <c r="D313" s="23" t="str">
        <f>IFERROR(IF(ISNUMBER('Revenues &amp; Outlays in GDP'!F319),TEXT('Revenues &amp; Outlays in GDP'!F319, "0.00"),""), "")</f>
        <v/>
      </c>
      <c r="E313" s="23" t="str">
        <f>IFERROR(IF(ISNUMBER('Revenues &amp; Outlays in GDP'!D319),TEXT('Revenues &amp; Outlays in GDP'!D319, "0.00"),""), "")</f>
        <v/>
      </c>
    </row>
    <row r="314" spans="1:5">
      <c r="A314" s="23" t="str">
        <f>TEXT(IF('Revenues &amp; Outlays in GDP'!B320&lt;&gt;0,'Revenues &amp; Outlays in GDP'!B320-364, ""), "mm/dd/yyyy")</f>
        <v/>
      </c>
      <c r="B314" s="23" t="str">
        <f>IFERROR(IF(ISNUMBER('Revenues &amp; Outlays in GDP'!E320),TEXT('Revenues &amp; Outlays in GDP'!E320, "0.00"),""), "")</f>
        <v/>
      </c>
      <c r="C314" s="23" t="str">
        <f>IFERROR(IF(ISNUMBER('Revenues &amp; Outlays in GDP'!C320),TEXT('Revenues &amp; Outlays in GDP'!C320, "0.00"),""), "")</f>
        <v/>
      </c>
      <c r="D314" s="23" t="str">
        <f>IFERROR(IF(ISNUMBER('Revenues &amp; Outlays in GDP'!F320),TEXT('Revenues &amp; Outlays in GDP'!F320, "0.00"),""), "")</f>
        <v/>
      </c>
      <c r="E314" s="23" t="str">
        <f>IFERROR(IF(ISNUMBER('Revenues &amp; Outlays in GDP'!D320),TEXT('Revenues &amp; Outlays in GDP'!D320, "0.00"),""), "")</f>
        <v/>
      </c>
    </row>
    <row r="315" spans="1:5">
      <c r="A315" s="23" t="str">
        <f>TEXT(IF('Revenues &amp; Outlays in GDP'!B321&lt;&gt;0,'Revenues &amp; Outlays in GDP'!B321-364, ""), "mm/dd/yyyy")</f>
        <v/>
      </c>
      <c r="B315" s="23" t="str">
        <f>IFERROR(IF(ISNUMBER('Revenues &amp; Outlays in GDP'!E321),TEXT('Revenues &amp; Outlays in GDP'!E321, "0.00"),""), "")</f>
        <v/>
      </c>
      <c r="C315" s="23" t="str">
        <f>IFERROR(IF(ISNUMBER('Revenues &amp; Outlays in GDP'!C321),TEXT('Revenues &amp; Outlays in GDP'!C321, "0.00"),""), "")</f>
        <v/>
      </c>
      <c r="D315" s="23" t="str">
        <f>IFERROR(IF(ISNUMBER('Revenues &amp; Outlays in GDP'!F321),TEXT('Revenues &amp; Outlays in GDP'!F321, "0.00"),""), "")</f>
        <v/>
      </c>
      <c r="E315" s="23" t="str">
        <f>IFERROR(IF(ISNUMBER('Revenues &amp; Outlays in GDP'!D321),TEXT('Revenues &amp; Outlays in GDP'!D321, "0.00"),""), "")</f>
        <v/>
      </c>
    </row>
    <row r="316" spans="1:5">
      <c r="A316" s="23" t="str">
        <f>TEXT(IF('Revenues &amp; Outlays in GDP'!B322&lt;&gt;0,'Revenues &amp; Outlays in GDP'!B322-364, ""), "mm/dd/yyyy")</f>
        <v/>
      </c>
      <c r="B316" s="23" t="str">
        <f>IFERROR(IF(ISNUMBER('Revenues &amp; Outlays in GDP'!E322),TEXT('Revenues &amp; Outlays in GDP'!E322, "0.00"),""), "")</f>
        <v/>
      </c>
      <c r="C316" s="23" t="str">
        <f>IFERROR(IF(ISNUMBER('Revenues &amp; Outlays in GDP'!C322),TEXT('Revenues &amp; Outlays in GDP'!C322, "0.00"),""), "")</f>
        <v/>
      </c>
      <c r="D316" s="23" t="str">
        <f>IFERROR(IF(ISNUMBER('Revenues &amp; Outlays in GDP'!F322),TEXT('Revenues &amp; Outlays in GDP'!F322, "0.00"),""), "")</f>
        <v/>
      </c>
      <c r="E316" s="23" t="str">
        <f>IFERROR(IF(ISNUMBER('Revenues &amp; Outlays in GDP'!D322),TEXT('Revenues &amp; Outlays in GDP'!D322, "0.00"),""), "")</f>
        <v/>
      </c>
    </row>
    <row r="317" spans="1:5">
      <c r="A317" s="23" t="str">
        <f>TEXT(IF('Revenues &amp; Outlays in GDP'!B323&lt;&gt;0,'Revenues &amp; Outlays in GDP'!B323-364, ""), "mm/dd/yyyy")</f>
        <v/>
      </c>
      <c r="B317" s="23" t="str">
        <f>IFERROR(IF(ISNUMBER('Revenues &amp; Outlays in GDP'!E323),TEXT('Revenues &amp; Outlays in GDP'!E323, "0.00"),""), "")</f>
        <v/>
      </c>
      <c r="C317" s="23" t="str">
        <f>IFERROR(IF(ISNUMBER('Revenues &amp; Outlays in GDP'!C323),TEXT('Revenues &amp; Outlays in GDP'!C323, "0.00"),""), "")</f>
        <v/>
      </c>
      <c r="D317" s="23" t="str">
        <f>IFERROR(IF(ISNUMBER('Revenues &amp; Outlays in GDP'!F323),TEXT('Revenues &amp; Outlays in GDP'!F323, "0.00"),""), "")</f>
        <v/>
      </c>
      <c r="E317" s="23" t="str">
        <f>IFERROR(IF(ISNUMBER('Revenues &amp; Outlays in GDP'!D323),TEXT('Revenues &amp; Outlays in GDP'!D323, "0.00"),""), "")</f>
        <v/>
      </c>
    </row>
    <row r="318" spans="1:5">
      <c r="A318" s="23" t="str">
        <f>TEXT(IF('Revenues &amp; Outlays in GDP'!B324&lt;&gt;0,'Revenues &amp; Outlays in GDP'!B324-364, ""), "mm/dd/yyyy")</f>
        <v/>
      </c>
      <c r="B318" s="23" t="str">
        <f>IFERROR(IF(ISNUMBER('Revenues &amp; Outlays in GDP'!E324),TEXT('Revenues &amp; Outlays in GDP'!E324, "0.00"),""), "")</f>
        <v/>
      </c>
      <c r="C318" s="23" t="str">
        <f>IFERROR(IF(ISNUMBER('Revenues &amp; Outlays in GDP'!C324),TEXT('Revenues &amp; Outlays in GDP'!C324, "0.00"),""), "")</f>
        <v/>
      </c>
      <c r="D318" s="23" t="str">
        <f>IFERROR(IF(ISNUMBER('Revenues &amp; Outlays in GDP'!F324),TEXT('Revenues &amp; Outlays in GDP'!F324, "0.00"),""), "")</f>
        <v/>
      </c>
      <c r="E318" s="23" t="str">
        <f>IFERROR(IF(ISNUMBER('Revenues &amp; Outlays in GDP'!D324),TEXT('Revenues &amp; Outlays in GDP'!D324, "0.00"),""), "")</f>
        <v/>
      </c>
    </row>
    <row r="319" spans="1:5">
      <c r="A319" s="23" t="str">
        <f>TEXT(IF('Revenues &amp; Outlays in GDP'!B325&lt;&gt;0,'Revenues &amp; Outlays in GDP'!B325-364, ""), "mm/dd/yyyy")</f>
        <v/>
      </c>
      <c r="B319" s="23" t="str">
        <f>IFERROR(IF(ISNUMBER('Revenues &amp; Outlays in GDP'!E325),TEXT('Revenues &amp; Outlays in GDP'!E325, "0.00"),""), "")</f>
        <v/>
      </c>
      <c r="C319" s="23" t="str">
        <f>IFERROR(IF(ISNUMBER('Revenues &amp; Outlays in GDP'!C325),TEXT('Revenues &amp; Outlays in GDP'!C325, "0.00"),""), "")</f>
        <v/>
      </c>
      <c r="D319" s="23" t="str">
        <f>IFERROR(IF(ISNUMBER('Revenues &amp; Outlays in GDP'!F325),TEXT('Revenues &amp; Outlays in GDP'!F325, "0.00"),""), "")</f>
        <v/>
      </c>
      <c r="E319" s="23" t="str">
        <f>IFERROR(IF(ISNUMBER('Revenues &amp; Outlays in GDP'!D325),TEXT('Revenues &amp; Outlays in GDP'!D325, "0.00"),""), "")</f>
        <v/>
      </c>
    </row>
    <row r="320" spans="1:5">
      <c r="A320" s="23" t="str">
        <f>TEXT(IF('Revenues &amp; Outlays in GDP'!B326&lt;&gt;0,'Revenues &amp; Outlays in GDP'!B326-364, ""), "mm/dd/yyyy")</f>
        <v/>
      </c>
      <c r="B320" s="23" t="str">
        <f>IFERROR(IF(ISNUMBER('Revenues &amp; Outlays in GDP'!E326),TEXT('Revenues &amp; Outlays in GDP'!E326, "0.00"),""), "")</f>
        <v/>
      </c>
      <c r="C320" s="23" t="str">
        <f>IFERROR(IF(ISNUMBER('Revenues &amp; Outlays in GDP'!C326),TEXT('Revenues &amp; Outlays in GDP'!C326, "0.00"),""), "")</f>
        <v/>
      </c>
      <c r="D320" s="23" t="str">
        <f>IFERROR(IF(ISNUMBER('Revenues &amp; Outlays in GDP'!F326),TEXT('Revenues &amp; Outlays in GDP'!F326, "0.00"),""), "")</f>
        <v/>
      </c>
      <c r="E320" s="23" t="str">
        <f>IFERROR(IF(ISNUMBER('Revenues &amp; Outlays in GDP'!D326),TEXT('Revenues &amp; Outlays in GDP'!D326, "0.00"),""), "")</f>
        <v/>
      </c>
    </row>
    <row r="321" spans="1:5">
      <c r="A321" s="23" t="str">
        <f>TEXT(IF('Revenues &amp; Outlays in GDP'!B327&lt;&gt;0,'Revenues &amp; Outlays in GDP'!B327-364, ""), "mm/dd/yyyy")</f>
        <v/>
      </c>
      <c r="B321" s="23" t="str">
        <f>IFERROR(IF(ISNUMBER('Revenues &amp; Outlays in GDP'!E327),TEXT('Revenues &amp; Outlays in GDP'!E327, "0.00"),""), "")</f>
        <v/>
      </c>
      <c r="C321" s="23" t="str">
        <f>IFERROR(IF(ISNUMBER('Revenues &amp; Outlays in GDP'!C327),TEXT('Revenues &amp; Outlays in GDP'!C327, "0.00"),""), "")</f>
        <v/>
      </c>
      <c r="D321" s="23" t="str">
        <f>IFERROR(IF(ISNUMBER('Revenues &amp; Outlays in GDP'!F327),TEXT('Revenues &amp; Outlays in GDP'!F327, "0.00"),""), "")</f>
        <v/>
      </c>
      <c r="E321" s="23" t="str">
        <f>IFERROR(IF(ISNUMBER('Revenues &amp; Outlays in GDP'!D327),TEXT('Revenues &amp; Outlays in GDP'!D327, "0.00"),""), "")</f>
        <v/>
      </c>
    </row>
    <row r="322" spans="1:5">
      <c r="A322" s="23" t="str">
        <f>TEXT(IF('Revenues &amp; Outlays in GDP'!B328&lt;&gt;0,'Revenues &amp; Outlays in GDP'!B328-364, ""), "mm/dd/yyyy")</f>
        <v/>
      </c>
      <c r="B322" s="23" t="str">
        <f>IFERROR(IF(ISNUMBER('Revenues &amp; Outlays in GDP'!E328),TEXT('Revenues &amp; Outlays in GDP'!E328, "0.00"),""), "")</f>
        <v/>
      </c>
      <c r="C322" s="23" t="str">
        <f>IFERROR(IF(ISNUMBER('Revenues &amp; Outlays in GDP'!C328),TEXT('Revenues &amp; Outlays in GDP'!C328, "0.00"),""), "")</f>
        <v/>
      </c>
      <c r="D322" s="23" t="str">
        <f>IFERROR(IF(ISNUMBER('Revenues &amp; Outlays in GDP'!F328),TEXT('Revenues &amp; Outlays in GDP'!F328, "0.00"),""), "")</f>
        <v/>
      </c>
      <c r="E322" s="23" t="str">
        <f>IFERROR(IF(ISNUMBER('Revenues &amp; Outlays in GDP'!D328),TEXT('Revenues &amp; Outlays in GDP'!D328, "0.00"),""), "")</f>
        <v/>
      </c>
    </row>
    <row r="323" spans="1:5">
      <c r="A323" s="23" t="str">
        <f>TEXT(IF('Revenues &amp; Outlays in GDP'!B329&lt;&gt;0,'Revenues &amp; Outlays in GDP'!B329-364, ""), "mm/dd/yyyy")</f>
        <v/>
      </c>
      <c r="B323" s="23" t="str">
        <f>IFERROR(IF(ISNUMBER('Revenues &amp; Outlays in GDP'!E329),TEXT('Revenues &amp; Outlays in GDP'!E329, "0.00"),""), "")</f>
        <v/>
      </c>
      <c r="C323" s="23" t="str">
        <f>IFERROR(IF(ISNUMBER('Revenues &amp; Outlays in GDP'!C329),TEXT('Revenues &amp; Outlays in GDP'!C329, "0.00"),""), "")</f>
        <v/>
      </c>
      <c r="D323" s="23" t="str">
        <f>IFERROR(IF(ISNUMBER('Revenues &amp; Outlays in GDP'!F329),TEXT('Revenues &amp; Outlays in GDP'!F329, "0.00"),""), "")</f>
        <v/>
      </c>
      <c r="E323" s="23" t="str">
        <f>IFERROR(IF(ISNUMBER('Revenues &amp; Outlays in GDP'!D329),TEXT('Revenues &amp; Outlays in GDP'!D329, "0.00"),""), "")</f>
        <v/>
      </c>
    </row>
    <row r="324" spans="1:5">
      <c r="A324" s="23" t="str">
        <f>TEXT(IF('Revenues &amp; Outlays in GDP'!B330&lt;&gt;0,'Revenues &amp; Outlays in GDP'!B330-364, ""), "mm/dd/yyyy")</f>
        <v/>
      </c>
      <c r="B324" s="23" t="str">
        <f>IFERROR(IF(ISNUMBER('Revenues &amp; Outlays in GDP'!E330),TEXT('Revenues &amp; Outlays in GDP'!E330, "0.00"),""), "")</f>
        <v/>
      </c>
      <c r="C324" s="23" t="str">
        <f>IFERROR(IF(ISNUMBER('Revenues &amp; Outlays in GDP'!C330),TEXT('Revenues &amp; Outlays in GDP'!C330, "0.00"),""), "")</f>
        <v/>
      </c>
      <c r="D324" s="23" t="str">
        <f>IFERROR(IF(ISNUMBER('Revenues &amp; Outlays in GDP'!F330),TEXT('Revenues &amp; Outlays in GDP'!F330, "0.00"),""), "")</f>
        <v/>
      </c>
      <c r="E324" s="23" t="str">
        <f>IFERROR(IF(ISNUMBER('Revenues &amp; Outlays in GDP'!D330),TEXT('Revenues &amp; Outlays in GDP'!D330, "0.00"),""), "")</f>
        <v/>
      </c>
    </row>
    <row r="325" spans="1:5">
      <c r="A325" s="23" t="str">
        <f>TEXT(IF('Revenues &amp; Outlays in GDP'!B331&lt;&gt;0,'Revenues &amp; Outlays in GDP'!B331-364, ""), "mm/dd/yyyy")</f>
        <v/>
      </c>
      <c r="B325" s="23" t="str">
        <f>IFERROR(IF(ISNUMBER('Revenues &amp; Outlays in GDP'!E331),TEXT('Revenues &amp; Outlays in GDP'!E331, "0.00"),""), "")</f>
        <v/>
      </c>
      <c r="C325" s="23" t="str">
        <f>IFERROR(IF(ISNUMBER('Revenues &amp; Outlays in GDP'!C331),TEXT('Revenues &amp; Outlays in GDP'!C331, "0.00"),""), "")</f>
        <v/>
      </c>
      <c r="D325" s="23" t="str">
        <f>IFERROR(IF(ISNUMBER('Revenues &amp; Outlays in GDP'!F331),TEXT('Revenues &amp; Outlays in GDP'!F331, "0.00"),""), "")</f>
        <v/>
      </c>
      <c r="E325" s="23" t="str">
        <f>IFERROR(IF(ISNUMBER('Revenues &amp; Outlays in GDP'!D331),TEXT('Revenues &amp; Outlays in GDP'!D331, "0.00"),""), "")</f>
        <v/>
      </c>
    </row>
    <row r="326" spans="1:5">
      <c r="A326" s="23" t="str">
        <f>TEXT(IF('Revenues &amp; Outlays in GDP'!B332&lt;&gt;0,'Revenues &amp; Outlays in GDP'!B332-364, ""), "mm/dd/yyyy")</f>
        <v/>
      </c>
      <c r="B326" s="23" t="str">
        <f>IFERROR(IF(ISNUMBER('Revenues &amp; Outlays in GDP'!E332),TEXT('Revenues &amp; Outlays in GDP'!E332, "0.00"),""), "")</f>
        <v/>
      </c>
      <c r="C326" s="23" t="str">
        <f>IFERROR(IF(ISNUMBER('Revenues &amp; Outlays in GDP'!C332),TEXT('Revenues &amp; Outlays in GDP'!C332, "0.00"),""), "")</f>
        <v/>
      </c>
      <c r="D326" s="23" t="str">
        <f>IFERROR(IF(ISNUMBER('Revenues &amp; Outlays in GDP'!F332),TEXT('Revenues &amp; Outlays in GDP'!F332, "0.00"),""), "")</f>
        <v/>
      </c>
      <c r="E326" s="23" t="str">
        <f>IFERROR(IF(ISNUMBER('Revenues &amp; Outlays in GDP'!D332),TEXT('Revenues &amp; Outlays in GDP'!D332, "0.00"),""), "")</f>
        <v/>
      </c>
    </row>
    <row r="327" spans="1:5">
      <c r="A327" s="23" t="str">
        <f>TEXT(IF('Revenues &amp; Outlays in GDP'!B333&lt;&gt;0,'Revenues &amp; Outlays in GDP'!B333-364, ""), "mm/dd/yyyy")</f>
        <v/>
      </c>
      <c r="B327" s="23" t="str">
        <f>IFERROR(IF(ISNUMBER('Revenues &amp; Outlays in GDP'!E333),TEXT('Revenues &amp; Outlays in GDP'!E333, "0.00"),""), "")</f>
        <v/>
      </c>
      <c r="C327" s="23" t="str">
        <f>IFERROR(IF(ISNUMBER('Revenues &amp; Outlays in GDP'!C333),TEXT('Revenues &amp; Outlays in GDP'!C333, "0.00"),""), "")</f>
        <v/>
      </c>
      <c r="D327" s="23" t="str">
        <f>IFERROR(IF(ISNUMBER('Revenues &amp; Outlays in GDP'!F333),TEXT('Revenues &amp; Outlays in GDP'!F333, "0.00"),""), "")</f>
        <v/>
      </c>
      <c r="E327" s="23" t="str">
        <f>IFERROR(IF(ISNUMBER('Revenues &amp; Outlays in GDP'!D333),TEXT('Revenues &amp; Outlays in GDP'!D333, "0.00"),""), "")</f>
        <v/>
      </c>
    </row>
    <row r="328" spans="1:5">
      <c r="A328" s="23" t="str">
        <f>TEXT(IF('Revenues &amp; Outlays in GDP'!B334&lt;&gt;0,'Revenues &amp; Outlays in GDP'!B334-364, ""), "mm/dd/yyyy")</f>
        <v/>
      </c>
      <c r="B328" s="23" t="str">
        <f>IFERROR(IF(ISNUMBER('Revenues &amp; Outlays in GDP'!E334),TEXT('Revenues &amp; Outlays in GDP'!E334, "0.00"),""), "")</f>
        <v/>
      </c>
      <c r="C328" s="23" t="str">
        <f>IFERROR(IF(ISNUMBER('Revenues &amp; Outlays in GDP'!C334),TEXT('Revenues &amp; Outlays in GDP'!C334, "0.00"),""), "")</f>
        <v/>
      </c>
      <c r="D328" s="23" t="str">
        <f>IFERROR(IF(ISNUMBER('Revenues &amp; Outlays in GDP'!F334),TEXT('Revenues &amp; Outlays in GDP'!F334, "0.00"),""), "")</f>
        <v/>
      </c>
      <c r="E328" s="23" t="str">
        <f>IFERROR(IF(ISNUMBER('Revenues &amp; Outlays in GDP'!D334),TEXT('Revenues &amp; Outlays in GDP'!D334, "0.00"),""), "")</f>
        <v/>
      </c>
    </row>
    <row r="329" spans="1:5">
      <c r="A329" s="23" t="str">
        <f>TEXT(IF('Revenues &amp; Outlays in GDP'!B335&lt;&gt;0,'Revenues &amp; Outlays in GDP'!B335-364, ""), "mm/dd/yyyy")</f>
        <v/>
      </c>
      <c r="B329" s="23" t="str">
        <f>IFERROR(IF(ISNUMBER('Revenues &amp; Outlays in GDP'!E335),TEXT('Revenues &amp; Outlays in GDP'!E335, "0.00"),""), "")</f>
        <v/>
      </c>
      <c r="C329" s="23" t="str">
        <f>IFERROR(IF(ISNUMBER('Revenues &amp; Outlays in GDP'!C335),TEXT('Revenues &amp; Outlays in GDP'!C335, "0.00"),""), "")</f>
        <v/>
      </c>
      <c r="D329" s="23" t="str">
        <f>IFERROR(IF(ISNUMBER('Revenues &amp; Outlays in GDP'!F335),TEXT('Revenues &amp; Outlays in GDP'!F335, "0.00"),""), "")</f>
        <v/>
      </c>
      <c r="E329" s="23" t="str">
        <f>IFERROR(IF(ISNUMBER('Revenues &amp; Outlays in GDP'!D335),TEXT('Revenues &amp; Outlays in GDP'!D335, "0.00"),""), "")</f>
        <v/>
      </c>
    </row>
    <row r="330" spans="1:5">
      <c r="A330" s="23" t="str">
        <f>TEXT(IF('Revenues &amp; Outlays in GDP'!B336&lt;&gt;0,'Revenues &amp; Outlays in GDP'!B336-364, ""), "mm/dd/yyyy")</f>
        <v/>
      </c>
      <c r="B330" s="23" t="str">
        <f>IFERROR(IF(ISNUMBER('Revenues &amp; Outlays in GDP'!E336),TEXT('Revenues &amp; Outlays in GDP'!E336, "0.00"),""), "")</f>
        <v/>
      </c>
      <c r="C330" s="23" t="str">
        <f>IFERROR(IF(ISNUMBER('Revenues &amp; Outlays in GDP'!C336),TEXT('Revenues &amp; Outlays in GDP'!C336, "0.00"),""), "")</f>
        <v/>
      </c>
      <c r="D330" s="23" t="str">
        <f>IFERROR(IF(ISNUMBER('Revenues &amp; Outlays in GDP'!F336),TEXT('Revenues &amp; Outlays in GDP'!F336, "0.00"),""), "")</f>
        <v/>
      </c>
      <c r="E330" s="23" t="str">
        <f>IFERROR(IF(ISNUMBER('Revenues &amp; Outlays in GDP'!D336),TEXT('Revenues &amp; Outlays in GDP'!D336, "0.00"),""), "")</f>
        <v/>
      </c>
    </row>
    <row r="331" spans="1:5">
      <c r="A331" s="23" t="str">
        <f>TEXT(IF('Revenues &amp; Outlays in GDP'!B337&lt;&gt;0,'Revenues &amp; Outlays in GDP'!B337-364, ""), "mm/dd/yyyy")</f>
        <v/>
      </c>
      <c r="B331" s="23" t="str">
        <f>IFERROR(IF(ISNUMBER('Revenues &amp; Outlays in GDP'!E337),TEXT('Revenues &amp; Outlays in GDP'!E337, "0.00"),""), "")</f>
        <v/>
      </c>
      <c r="C331" s="23" t="str">
        <f>IFERROR(IF(ISNUMBER('Revenues &amp; Outlays in GDP'!C337),TEXT('Revenues &amp; Outlays in GDP'!C337, "0.00"),""), "")</f>
        <v/>
      </c>
      <c r="D331" s="23" t="str">
        <f>IFERROR(IF(ISNUMBER('Revenues &amp; Outlays in GDP'!F337),TEXT('Revenues &amp; Outlays in GDP'!F337, "0.00"),""), "")</f>
        <v/>
      </c>
      <c r="E331" s="23" t="str">
        <f>IFERROR(IF(ISNUMBER('Revenues &amp; Outlays in GDP'!D337),TEXT('Revenues &amp; Outlays in GDP'!D337, "0.00"),""), "")</f>
        <v/>
      </c>
    </row>
    <row r="332" spans="1:5">
      <c r="A332" s="23" t="str">
        <f>TEXT(IF('Revenues &amp; Outlays in GDP'!B338&lt;&gt;0,'Revenues &amp; Outlays in GDP'!B338-364, ""), "mm/dd/yyyy")</f>
        <v/>
      </c>
      <c r="B332" s="23" t="str">
        <f>IFERROR(IF(ISNUMBER('Revenues &amp; Outlays in GDP'!E338),TEXT('Revenues &amp; Outlays in GDP'!E338, "0.00"),""), "")</f>
        <v/>
      </c>
      <c r="C332" s="23" t="str">
        <f>IFERROR(IF(ISNUMBER('Revenues &amp; Outlays in GDP'!C338),TEXT('Revenues &amp; Outlays in GDP'!C338, "0.00"),""), "")</f>
        <v/>
      </c>
      <c r="D332" s="23" t="str">
        <f>IFERROR(IF(ISNUMBER('Revenues &amp; Outlays in GDP'!F338),TEXT('Revenues &amp; Outlays in GDP'!F338, "0.00"),""), "")</f>
        <v/>
      </c>
      <c r="E332" s="23" t="str">
        <f>IFERROR(IF(ISNUMBER('Revenues &amp; Outlays in GDP'!D338),TEXT('Revenues &amp; Outlays in GDP'!D338, "0.00"),""), "")</f>
        <v/>
      </c>
    </row>
    <row r="333" spans="1:5">
      <c r="A333" s="23" t="str">
        <f>TEXT(IF('Revenues &amp; Outlays in GDP'!B339&lt;&gt;0,'Revenues &amp; Outlays in GDP'!B339-364, ""), "mm/dd/yyyy")</f>
        <v/>
      </c>
      <c r="B333" s="23" t="str">
        <f>IFERROR(IF(ISNUMBER('Revenues &amp; Outlays in GDP'!E339),TEXT('Revenues &amp; Outlays in GDP'!E339, "0.00"),""), "")</f>
        <v/>
      </c>
      <c r="C333" s="23" t="str">
        <f>IFERROR(IF(ISNUMBER('Revenues &amp; Outlays in GDP'!C339),TEXT('Revenues &amp; Outlays in GDP'!C339, "0.00"),""), "")</f>
        <v/>
      </c>
      <c r="D333" s="23" t="str">
        <f>IFERROR(IF(ISNUMBER('Revenues &amp; Outlays in GDP'!F339),TEXT('Revenues &amp; Outlays in GDP'!F339, "0.00"),""), "")</f>
        <v/>
      </c>
      <c r="E333" s="23" t="str">
        <f>IFERROR(IF(ISNUMBER('Revenues &amp; Outlays in GDP'!D339),TEXT('Revenues &amp; Outlays in GDP'!D339, "0.00"),""), "")</f>
        <v/>
      </c>
    </row>
    <row r="334" spans="1:5">
      <c r="A334" s="23" t="str">
        <f>TEXT(IF('Revenues &amp; Outlays in GDP'!B340&lt;&gt;0,'Revenues &amp; Outlays in GDP'!B340-364, ""), "mm/dd/yyyy")</f>
        <v/>
      </c>
      <c r="B334" s="23" t="str">
        <f>IFERROR(IF(ISNUMBER('Revenues &amp; Outlays in GDP'!E340),TEXT('Revenues &amp; Outlays in GDP'!E340, "0.00"),""), "")</f>
        <v/>
      </c>
      <c r="C334" s="23" t="str">
        <f>IFERROR(IF(ISNUMBER('Revenues &amp; Outlays in GDP'!C340),TEXT('Revenues &amp; Outlays in GDP'!C340, "0.00"),""), "")</f>
        <v/>
      </c>
      <c r="D334" s="23" t="str">
        <f>IFERROR(IF(ISNUMBER('Revenues &amp; Outlays in GDP'!F340),TEXT('Revenues &amp; Outlays in GDP'!F340, "0.00"),""), "")</f>
        <v/>
      </c>
      <c r="E334" s="23" t="str">
        <f>IFERROR(IF(ISNUMBER('Revenues &amp; Outlays in GDP'!D340),TEXT('Revenues &amp; Outlays in GDP'!D340, "0.00"),""), "")</f>
        <v/>
      </c>
    </row>
    <row r="335" spans="1:5">
      <c r="A335" s="23" t="str">
        <f>TEXT(IF('Revenues &amp; Outlays in GDP'!B341&lt;&gt;0,'Revenues &amp; Outlays in GDP'!B341-364, ""), "mm/dd/yyyy")</f>
        <v/>
      </c>
      <c r="B335" s="23" t="str">
        <f>IFERROR(IF(ISNUMBER('Revenues &amp; Outlays in GDP'!E341),TEXT('Revenues &amp; Outlays in GDP'!E341, "0.00"),""), "")</f>
        <v/>
      </c>
      <c r="C335" s="23" t="str">
        <f>IFERROR(IF(ISNUMBER('Revenues &amp; Outlays in GDP'!C341),TEXT('Revenues &amp; Outlays in GDP'!C341, "0.00"),""), "")</f>
        <v/>
      </c>
      <c r="D335" s="23" t="str">
        <f>IFERROR(IF(ISNUMBER('Revenues &amp; Outlays in GDP'!F341),TEXT('Revenues &amp; Outlays in GDP'!F341, "0.00"),""), "")</f>
        <v/>
      </c>
      <c r="E335" s="23" t="str">
        <f>IFERROR(IF(ISNUMBER('Revenues &amp; Outlays in GDP'!D341),TEXT('Revenues &amp; Outlays in GDP'!D341, "0.00"),""), "")</f>
        <v/>
      </c>
    </row>
    <row r="336" spans="1:5">
      <c r="A336" s="23" t="str">
        <f>TEXT(IF('Revenues &amp; Outlays in GDP'!B342&lt;&gt;0,'Revenues &amp; Outlays in GDP'!B342-364, ""), "mm/dd/yyyy")</f>
        <v/>
      </c>
      <c r="B336" s="23" t="str">
        <f>IFERROR(IF(ISNUMBER('Revenues &amp; Outlays in GDP'!E342),TEXT('Revenues &amp; Outlays in GDP'!E342, "0.00"),""), "")</f>
        <v/>
      </c>
      <c r="C336" s="23" t="str">
        <f>IFERROR(IF(ISNUMBER('Revenues &amp; Outlays in GDP'!C342),TEXT('Revenues &amp; Outlays in GDP'!C342, "0.00"),""), "")</f>
        <v/>
      </c>
      <c r="D336" s="23" t="str">
        <f>IFERROR(IF(ISNUMBER('Revenues &amp; Outlays in GDP'!F342),TEXT('Revenues &amp; Outlays in GDP'!F342, "0.00"),""), "")</f>
        <v/>
      </c>
      <c r="E336" s="23" t="str">
        <f>IFERROR(IF(ISNUMBER('Revenues &amp; Outlays in GDP'!D342),TEXT('Revenues &amp; Outlays in GDP'!D342, "0.00"),""), "")</f>
        <v/>
      </c>
    </row>
    <row r="337" spans="1:5">
      <c r="A337" s="23" t="str">
        <f>TEXT(IF('Revenues &amp; Outlays in GDP'!B343&lt;&gt;0,'Revenues &amp; Outlays in GDP'!B343-364, ""), "mm/dd/yyyy")</f>
        <v/>
      </c>
      <c r="B337" s="23" t="str">
        <f>IFERROR(IF(ISNUMBER('Revenues &amp; Outlays in GDP'!E343),TEXT('Revenues &amp; Outlays in GDP'!E343, "0.00"),""), "")</f>
        <v/>
      </c>
      <c r="C337" s="23" t="str">
        <f>IFERROR(IF(ISNUMBER('Revenues &amp; Outlays in GDP'!C343),TEXT('Revenues &amp; Outlays in GDP'!C343, "0.00"),""), "")</f>
        <v/>
      </c>
      <c r="D337" s="23" t="str">
        <f>IFERROR(IF(ISNUMBER('Revenues &amp; Outlays in GDP'!F343),TEXT('Revenues &amp; Outlays in GDP'!F343, "0.00"),""), "")</f>
        <v/>
      </c>
      <c r="E337" s="23" t="str">
        <f>IFERROR(IF(ISNUMBER('Revenues &amp; Outlays in GDP'!D343),TEXT('Revenues &amp; Outlays in GDP'!D343, "0.00"),""), "")</f>
        <v/>
      </c>
    </row>
    <row r="338" spans="1:5">
      <c r="A338" s="23" t="str">
        <f>TEXT(IF('Revenues &amp; Outlays in GDP'!B344&lt;&gt;0,'Revenues &amp; Outlays in GDP'!B344-364, ""), "mm/dd/yyyy")</f>
        <v/>
      </c>
      <c r="B338" s="23" t="str">
        <f>IFERROR(IF(ISNUMBER('Revenues &amp; Outlays in GDP'!E344),TEXT('Revenues &amp; Outlays in GDP'!E344, "0.00"),""), "")</f>
        <v/>
      </c>
      <c r="C338" s="23" t="str">
        <f>IFERROR(IF(ISNUMBER('Revenues &amp; Outlays in GDP'!C344),TEXT('Revenues &amp; Outlays in GDP'!C344, "0.00"),""), "")</f>
        <v/>
      </c>
      <c r="D338" s="23" t="str">
        <f>IFERROR(IF(ISNUMBER('Revenues &amp; Outlays in GDP'!F344),TEXT('Revenues &amp; Outlays in GDP'!F344, "0.00"),""), "")</f>
        <v/>
      </c>
      <c r="E338" s="23" t="str">
        <f>IFERROR(IF(ISNUMBER('Revenues &amp; Outlays in GDP'!D344),TEXT('Revenues &amp; Outlays in GDP'!D344, "0.00"),""), "")</f>
        <v/>
      </c>
    </row>
    <row r="339" spans="1:5">
      <c r="A339" s="23" t="str">
        <f>TEXT(IF('Revenues &amp; Outlays in GDP'!B345&lt;&gt;0,'Revenues &amp; Outlays in GDP'!B345-364, ""), "mm/dd/yyyy")</f>
        <v/>
      </c>
      <c r="B339" s="23" t="str">
        <f>IFERROR(IF(ISNUMBER('Revenues &amp; Outlays in GDP'!E345),TEXT('Revenues &amp; Outlays in GDP'!E345, "0.00"),""), "")</f>
        <v/>
      </c>
      <c r="C339" s="23" t="str">
        <f>IFERROR(IF(ISNUMBER('Revenues &amp; Outlays in GDP'!C345),TEXT('Revenues &amp; Outlays in GDP'!C345, "0.00"),""), "")</f>
        <v/>
      </c>
      <c r="D339" s="23" t="str">
        <f>IFERROR(IF(ISNUMBER('Revenues &amp; Outlays in GDP'!F345),TEXT('Revenues &amp; Outlays in GDP'!F345, "0.00"),""), "")</f>
        <v/>
      </c>
      <c r="E339" s="23" t="str">
        <f>IFERROR(IF(ISNUMBER('Revenues &amp; Outlays in GDP'!D345),TEXT('Revenues &amp; Outlays in GDP'!D345, "0.00"),""), "")</f>
        <v/>
      </c>
    </row>
    <row r="340" spans="1:5">
      <c r="A340" s="23" t="str">
        <f>TEXT(IF('Revenues &amp; Outlays in GDP'!B346&lt;&gt;0,'Revenues &amp; Outlays in GDP'!B346-364, ""), "mm/dd/yyyy")</f>
        <v/>
      </c>
      <c r="B340" s="23" t="str">
        <f>IFERROR(IF(ISNUMBER('Revenues &amp; Outlays in GDP'!E346),TEXT('Revenues &amp; Outlays in GDP'!E346, "0.00"),""), "")</f>
        <v/>
      </c>
      <c r="C340" s="23" t="str">
        <f>IFERROR(IF(ISNUMBER('Revenues &amp; Outlays in GDP'!C346),TEXT('Revenues &amp; Outlays in GDP'!C346, "0.00"),""), "")</f>
        <v/>
      </c>
      <c r="D340" s="23" t="str">
        <f>IFERROR(IF(ISNUMBER('Revenues &amp; Outlays in GDP'!F346),TEXT('Revenues &amp; Outlays in GDP'!F346, "0.00"),""), "")</f>
        <v/>
      </c>
      <c r="E340" s="23" t="str">
        <f>IFERROR(IF(ISNUMBER('Revenues &amp; Outlays in GDP'!D346),TEXT('Revenues &amp; Outlays in GDP'!D346, "0.00"),""), "")</f>
        <v/>
      </c>
    </row>
    <row r="341" spans="1:5">
      <c r="A341" s="23" t="str">
        <f>TEXT(IF('Revenues &amp; Outlays in GDP'!B347&lt;&gt;0,'Revenues &amp; Outlays in GDP'!B347-364, ""), "mm/dd/yyyy")</f>
        <v/>
      </c>
      <c r="B341" s="23" t="str">
        <f>IFERROR(IF(ISNUMBER('Revenues &amp; Outlays in GDP'!E347),TEXT('Revenues &amp; Outlays in GDP'!E347, "0.00"),""), "")</f>
        <v/>
      </c>
      <c r="C341" s="23" t="str">
        <f>IFERROR(IF(ISNUMBER('Revenues &amp; Outlays in GDP'!C347),TEXT('Revenues &amp; Outlays in GDP'!C347, "0.00"),""), "")</f>
        <v/>
      </c>
      <c r="D341" s="23" t="str">
        <f>IFERROR(IF(ISNUMBER('Revenues &amp; Outlays in GDP'!F347),TEXT('Revenues &amp; Outlays in GDP'!F347, "0.00"),""), "")</f>
        <v/>
      </c>
      <c r="E341" s="23" t="str">
        <f>IFERROR(IF(ISNUMBER('Revenues &amp; Outlays in GDP'!D347),TEXT('Revenues &amp; Outlays in GDP'!D347, "0.00"),""), "")</f>
        <v/>
      </c>
    </row>
    <row r="342" spans="1:5">
      <c r="A342" s="23" t="str">
        <f>TEXT(IF('Revenues &amp; Outlays in GDP'!B348&lt;&gt;0,'Revenues &amp; Outlays in GDP'!B348-364, ""), "mm/dd/yyyy")</f>
        <v/>
      </c>
      <c r="B342" s="23" t="str">
        <f>IFERROR(IF(ISNUMBER('Revenues &amp; Outlays in GDP'!E348),TEXT('Revenues &amp; Outlays in GDP'!E348, "0.00"),""), "")</f>
        <v/>
      </c>
      <c r="C342" s="23" t="str">
        <f>IFERROR(IF(ISNUMBER('Revenues &amp; Outlays in GDP'!C348),TEXT('Revenues &amp; Outlays in GDP'!C348, "0.00"),""), "")</f>
        <v/>
      </c>
      <c r="D342" s="23" t="str">
        <f>IFERROR(IF(ISNUMBER('Revenues &amp; Outlays in GDP'!F348),TEXT('Revenues &amp; Outlays in GDP'!F348, "0.00"),""), "")</f>
        <v/>
      </c>
      <c r="E342" s="23" t="str">
        <f>IFERROR(IF(ISNUMBER('Revenues &amp; Outlays in GDP'!D348),TEXT('Revenues &amp; Outlays in GDP'!D348, "0.00"),""), "")</f>
        <v/>
      </c>
    </row>
    <row r="343" spans="1:5">
      <c r="A343" s="23" t="str">
        <f>TEXT(IF('Revenues &amp; Outlays in GDP'!B349&lt;&gt;0,'Revenues &amp; Outlays in GDP'!B349-364, ""), "mm/dd/yyyy")</f>
        <v/>
      </c>
      <c r="B343" s="23" t="str">
        <f>IFERROR(IF(ISNUMBER('Revenues &amp; Outlays in GDP'!E349),TEXT('Revenues &amp; Outlays in GDP'!E349, "0.00"),""), "")</f>
        <v/>
      </c>
      <c r="C343" s="23" t="str">
        <f>IFERROR(IF(ISNUMBER('Revenues &amp; Outlays in GDP'!C349),TEXT('Revenues &amp; Outlays in GDP'!C349, "0.00"),""), "")</f>
        <v/>
      </c>
      <c r="D343" s="23" t="str">
        <f>IFERROR(IF(ISNUMBER('Revenues &amp; Outlays in GDP'!F349),TEXT('Revenues &amp; Outlays in GDP'!F349, "0.00"),""), "")</f>
        <v/>
      </c>
      <c r="E343" s="23" t="str">
        <f>IFERROR(IF(ISNUMBER('Revenues &amp; Outlays in GDP'!D349),TEXT('Revenues &amp; Outlays in GDP'!D349, "0.00"),""), "")</f>
        <v/>
      </c>
    </row>
    <row r="344" spans="1:5">
      <c r="A344" s="23" t="str">
        <f>TEXT(IF('Revenues &amp; Outlays in GDP'!B350&lt;&gt;0,'Revenues &amp; Outlays in GDP'!B350-364, ""), "mm/dd/yyyy")</f>
        <v/>
      </c>
      <c r="B344" s="23" t="str">
        <f>IFERROR(IF(ISNUMBER('Revenues &amp; Outlays in GDP'!E350),TEXT('Revenues &amp; Outlays in GDP'!E350, "0.00"),""), "")</f>
        <v/>
      </c>
      <c r="C344" s="23" t="str">
        <f>IFERROR(IF(ISNUMBER('Revenues &amp; Outlays in GDP'!C350),TEXT('Revenues &amp; Outlays in GDP'!C350, "0.00"),""), "")</f>
        <v/>
      </c>
      <c r="D344" s="23" t="str">
        <f>IFERROR(IF(ISNUMBER('Revenues &amp; Outlays in GDP'!F350),TEXT('Revenues &amp; Outlays in GDP'!F350, "0.00"),""), "")</f>
        <v/>
      </c>
      <c r="E344" s="23" t="str">
        <f>IFERROR(IF(ISNUMBER('Revenues &amp; Outlays in GDP'!D350),TEXT('Revenues &amp; Outlays in GDP'!D350, "0.00"),""), "")</f>
        <v/>
      </c>
    </row>
    <row r="345" spans="1:5">
      <c r="A345" s="23" t="str">
        <f>TEXT(IF('Revenues &amp; Outlays in GDP'!B351&lt;&gt;0,'Revenues &amp; Outlays in GDP'!B351-364, ""), "mm/dd/yyyy")</f>
        <v/>
      </c>
      <c r="B345" s="23" t="str">
        <f>IFERROR(IF(ISNUMBER('Revenues &amp; Outlays in GDP'!E351),TEXT('Revenues &amp; Outlays in GDP'!E351, "0.00"),""), "")</f>
        <v/>
      </c>
      <c r="C345" s="23" t="str">
        <f>IFERROR(IF(ISNUMBER('Revenues &amp; Outlays in GDP'!C351),TEXT('Revenues &amp; Outlays in GDP'!C351, "0.00"),""), "")</f>
        <v/>
      </c>
      <c r="D345" s="23" t="str">
        <f>IFERROR(IF(ISNUMBER('Revenues &amp; Outlays in GDP'!F351),TEXT('Revenues &amp; Outlays in GDP'!F351, "0.00"),""), "")</f>
        <v/>
      </c>
      <c r="E345" s="23" t="str">
        <f>IFERROR(IF(ISNUMBER('Revenues &amp; Outlays in GDP'!D351),TEXT('Revenues &amp; Outlays in GDP'!D351, "0.00"),""), "")</f>
        <v/>
      </c>
    </row>
    <row r="346" spans="1:5">
      <c r="A346" s="23" t="str">
        <f>TEXT(IF('Revenues &amp; Outlays in GDP'!B352&lt;&gt;0,'Revenues &amp; Outlays in GDP'!B352-364, ""), "mm/dd/yyyy")</f>
        <v/>
      </c>
      <c r="B346" s="23" t="str">
        <f>IFERROR(IF(ISNUMBER('Revenues &amp; Outlays in GDP'!E352),TEXT('Revenues &amp; Outlays in GDP'!E352, "0.00"),""), "")</f>
        <v/>
      </c>
      <c r="C346" s="23" t="str">
        <f>IFERROR(IF(ISNUMBER('Revenues &amp; Outlays in GDP'!C352),TEXT('Revenues &amp; Outlays in GDP'!C352, "0.00"),""), "")</f>
        <v/>
      </c>
      <c r="D346" s="23" t="str">
        <f>IFERROR(IF(ISNUMBER('Revenues &amp; Outlays in GDP'!F352),TEXT('Revenues &amp; Outlays in GDP'!F352, "0.00"),""), "")</f>
        <v/>
      </c>
      <c r="E346" s="23" t="str">
        <f>IFERROR(IF(ISNUMBER('Revenues &amp; Outlays in GDP'!D352),TEXT('Revenues &amp; Outlays in GDP'!D352, "0.00"),""), "")</f>
        <v/>
      </c>
    </row>
    <row r="347" spans="1:5">
      <c r="A347" s="23" t="str">
        <f>TEXT(IF('Revenues &amp; Outlays in GDP'!B353&lt;&gt;0,'Revenues &amp; Outlays in GDP'!B353-364, ""), "mm/dd/yyyy")</f>
        <v/>
      </c>
      <c r="B347" s="23" t="str">
        <f>IFERROR(IF(ISNUMBER('Revenues &amp; Outlays in GDP'!E353),TEXT('Revenues &amp; Outlays in GDP'!E353, "0.00"),""), "")</f>
        <v/>
      </c>
      <c r="C347" s="23" t="str">
        <f>IFERROR(IF(ISNUMBER('Revenues &amp; Outlays in GDP'!C353),TEXT('Revenues &amp; Outlays in GDP'!C353, "0.00"),""), "")</f>
        <v/>
      </c>
      <c r="D347" s="23" t="str">
        <f>IFERROR(IF(ISNUMBER('Revenues &amp; Outlays in GDP'!F353),TEXT('Revenues &amp; Outlays in GDP'!F353, "0.00"),""), "")</f>
        <v/>
      </c>
      <c r="E347" s="23" t="str">
        <f>IFERROR(IF(ISNUMBER('Revenues &amp; Outlays in GDP'!D353),TEXT('Revenues &amp; Outlays in GDP'!D353, "0.00"),""), "")</f>
        <v/>
      </c>
    </row>
    <row r="348" spans="1:5">
      <c r="A348" s="23" t="str">
        <f>TEXT(IF('Revenues &amp; Outlays in GDP'!B354&lt;&gt;0,'Revenues &amp; Outlays in GDP'!B354-364, ""), "mm/dd/yyyy")</f>
        <v/>
      </c>
      <c r="B348" s="23" t="str">
        <f>IFERROR(IF(ISNUMBER('Revenues &amp; Outlays in GDP'!E354),TEXT('Revenues &amp; Outlays in GDP'!E354, "0.00"),""), "")</f>
        <v/>
      </c>
      <c r="C348" s="23" t="str">
        <f>IFERROR(IF(ISNUMBER('Revenues &amp; Outlays in GDP'!C354),TEXT('Revenues &amp; Outlays in GDP'!C354, "0.00"),""), "")</f>
        <v/>
      </c>
      <c r="D348" s="23" t="str">
        <f>IFERROR(IF(ISNUMBER('Revenues &amp; Outlays in GDP'!F354),TEXT('Revenues &amp; Outlays in GDP'!F354, "0.00"),""), "")</f>
        <v/>
      </c>
      <c r="E348" s="23" t="str">
        <f>IFERROR(IF(ISNUMBER('Revenues &amp; Outlays in GDP'!D354),TEXT('Revenues &amp; Outlays in GDP'!D354, "0.00"),""), "")</f>
        <v/>
      </c>
    </row>
    <row r="349" spans="1:5">
      <c r="A349" s="23" t="str">
        <f>TEXT(IF('Revenues &amp; Outlays in GDP'!B355&lt;&gt;0,'Revenues &amp; Outlays in GDP'!B355-364, ""), "mm/dd/yyyy")</f>
        <v/>
      </c>
      <c r="B349" s="23" t="str">
        <f>IFERROR(IF(ISNUMBER('Revenues &amp; Outlays in GDP'!E355),TEXT('Revenues &amp; Outlays in GDP'!E355, "0.00"),""), "")</f>
        <v/>
      </c>
      <c r="C349" s="23" t="str">
        <f>IFERROR(IF(ISNUMBER('Revenues &amp; Outlays in GDP'!C355),TEXT('Revenues &amp; Outlays in GDP'!C355, "0.00"),""), "")</f>
        <v/>
      </c>
      <c r="D349" s="23" t="str">
        <f>IFERROR(IF(ISNUMBER('Revenues &amp; Outlays in GDP'!F355),TEXT('Revenues &amp; Outlays in GDP'!F355, "0.00"),""), "")</f>
        <v/>
      </c>
      <c r="E349" s="23" t="str">
        <f>IFERROR(IF(ISNUMBER('Revenues &amp; Outlays in GDP'!D355),TEXT('Revenues &amp; Outlays in GDP'!D355, "0.00"),""), "")</f>
        <v/>
      </c>
    </row>
    <row r="350" spans="1:5">
      <c r="A350" s="23" t="str">
        <f>TEXT(IF('Revenues &amp; Outlays in GDP'!B356&lt;&gt;0,'Revenues &amp; Outlays in GDP'!B356-364, ""), "mm/dd/yyyy")</f>
        <v/>
      </c>
      <c r="B350" s="23" t="str">
        <f>IFERROR(IF(ISNUMBER('Revenues &amp; Outlays in GDP'!E356),TEXT('Revenues &amp; Outlays in GDP'!E356, "0.00"),""), "")</f>
        <v/>
      </c>
      <c r="C350" s="23" t="str">
        <f>IFERROR(IF(ISNUMBER('Revenues &amp; Outlays in GDP'!C356),TEXT('Revenues &amp; Outlays in GDP'!C356, "0.00"),""), "")</f>
        <v/>
      </c>
      <c r="D350" s="23" t="str">
        <f>IFERROR(IF(ISNUMBER('Revenues &amp; Outlays in GDP'!F356),TEXT('Revenues &amp; Outlays in GDP'!F356, "0.00"),""), "")</f>
        <v/>
      </c>
      <c r="E350" s="23" t="str">
        <f>IFERROR(IF(ISNUMBER('Revenues &amp; Outlays in GDP'!D356),TEXT('Revenues &amp; Outlays in GDP'!D356, "0.00"),""), "")</f>
        <v/>
      </c>
    </row>
    <row r="351" spans="1:5">
      <c r="A351" s="23" t="str">
        <f>TEXT(IF('Revenues &amp; Outlays in GDP'!B357&lt;&gt;0,'Revenues &amp; Outlays in GDP'!B357-364, ""), "mm/dd/yyyy")</f>
        <v/>
      </c>
      <c r="B351" s="23" t="str">
        <f>IFERROR(IF(ISNUMBER('Revenues &amp; Outlays in GDP'!E357),TEXT('Revenues &amp; Outlays in GDP'!E357, "0.00"),""), "")</f>
        <v/>
      </c>
      <c r="C351" s="23" t="str">
        <f>IFERROR(IF(ISNUMBER('Revenues &amp; Outlays in GDP'!C357),TEXT('Revenues &amp; Outlays in GDP'!C357, "0.00"),""), "")</f>
        <v/>
      </c>
      <c r="D351" s="23" t="str">
        <f>IFERROR(IF(ISNUMBER('Revenues &amp; Outlays in GDP'!F357),TEXT('Revenues &amp; Outlays in GDP'!F357, "0.00"),""), "")</f>
        <v/>
      </c>
      <c r="E351" s="23" t="str">
        <f>IFERROR(IF(ISNUMBER('Revenues &amp; Outlays in GDP'!D357),TEXT('Revenues &amp; Outlays in GDP'!D357, "0.00"),""), "")</f>
        <v/>
      </c>
    </row>
    <row r="352" spans="1:5">
      <c r="A352" s="23" t="str">
        <f>TEXT(IF('Revenues &amp; Outlays in GDP'!B358&lt;&gt;0,'Revenues &amp; Outlays in GDP'!B358-364, ""), "mm/dd/yyyy")</f>
        <v/>
      </c>
      <c r="B352" s="23" t="str">
        <f>IFERROR(IF(ISNUMBER('Revenues &amp; Outlays in GDP'!E358),TEXT('Revenues &amp; Outlays in GDP'!E358, "0.00"),""), "")</f>
        <v/>
      </c>
      <c r="C352" s="23" t="str">
        <f>IFERROR(IF(ISNUMBER('Revenues &amp; Outlays in GDP'!C358),TEXT('Revenues &amp; Outlays in GDP'!C358, "0.00"),""), "")</f>
        <v/>
      </c>
      <c r="D352" s="23" t="str">
        <f>IFERROR(IF(ISNUMBER('Revenues &amp; Outlays in GDP'!F358),TEXT('Revenues &amp; Outlays in GDP'!F358, "0.00"),""), "")</f>
        <v/>
      </c>
      <c r="E352" s="23" t="str">
        <f>IFERROR(IF(ISNUMBER('Revenues &amp; Outlays in GDP'!D358),TEXT('Revenues &amp; Outlays in GDP'!D358, "0.00"),""), "")</f>
        <v/>
      </c>
    </row>
    <row r="353" spans="1:5">
      <c r="A353" s="23" t="str">
        <f>TEXT(IF('Revenues &amp; Outlays in GDP'!B359&lt;&gt;0,'Revenues &amp; Outlays in GDP'!B359-364, ""), "mm/dd/yyyy")</f>
        <v/>
      </c>
      <c r="B353" s="23" t="str">
        <f>IFERROR(IF(ISNUMBER('Revenues &amp; Outlays in GDP'!E359),TEXT('Revenues &amp; Outlays in GDP'!E359, "0.00"),""), "")</f>
        <v/>
      </c>
      <c r="C353" s="23" t="str">
        <f>IFERROR(IF(ISNUMBER('Revenues &amp; Outlays in GDP'!C359),TEXT('Revenues &amp; Outlays in GDP'!C359, "0.00"),""), "")</f>
        <v/>
      </c>
      <c r="D353" s="23" t="str">
        <f>IFERROR(IF(ISNUMBER('Revenues &amp; Outlays in GDP'!F359),TEXT('Revenues &amp; Outlays in GDP'!F359, "0.00"),""), "")</f>
        <v/>
      </c>
      <c r="E353" s="23" t="str">
        <f>IFERROR(IF(ISNUMBER('Revenues &amp; Outlays in GDP'!D359),TEXT('Revenues &amp; Outlays in GDP'!D359, "0.00"),""), "")</f>
        <v/>
      </c>
    </row>
    <row r="354" spans="1:5">
      <c r="A354" s="23" t="str">
        <f>TEXT(IF('Revenues &amp; Outlays in GDP'!B360&lt;&gt;0,'Revenues &amp; Outlays in GDP'!B360-364, ""), "mm/dd/yyyy")</f>
        <v/>
      </c>
      <c r="B354" s="23" t="str">
        <f>IFERROR(IF(ISNUMBER('Revenues &amp; Outlays in GDP'!E360),TEXT('Revenues &amp; Outlays in GDP'!E360, "0.00"),""), "")</f>
        <v/>
      </c>
      <c r="C354" s="23" t="str">
        <f>IFERROR(IF(ISNUMBER('Revenues &amp; Outlays in GDP'!C360),TEXT('Revenues &amp; Outlays in GDP'!C360, "0.00"),""), "")</f>
        <v/>
      </c>
      <c r="D354" s="23" t="str">
        <f>IFERROR(IF(ISNUMBER('Revenues &amp; Outlays in GDP'!F360),TEXT('Revenues &amp; Outlays in GDP'!F360, "0.00"),""), "")</f>
        <v/>
      </c>
      <c r="E354" s="23" t="str">
        <f>IFERROR(IF(ISNUMBER('Revenues &amp; Outlays in GDP'!D360),TEXT('Revenues &amp; Outlays in GDP'!D360, "0.00"),""), "")</f>
        <v/>
      </c>
    </row>
    <row r="355" spans="1:5">
      <c r="A355" s="23" t="str">
        <f>TEXT(IF('Revenues &amp; Outlays in GDP'!B361&lt;&gt;0,'Revenues &amp; Outlays in GDP'!B361-364, ""), "mm/dd/yyyy")</f>
        <v/>
      </c>
      <c r="B355" s="23" t="str">
        <f>IFERROR(IF(ISNUMBER('Revenues &amp; Outlays in GDP'!E361),TEXT('Revenues &amp; Outlays in GDP'!E361, "0.00"),""), "")</f>
        <v/>
      </c>
      <c r="C355" s="23" t="str">
        <f>IFERROR(IF(ISNUMBER('Revenues &amp; Outlays in GDP'!C361),TEXT('Revenues &amp; Outlays in GDP'!C361, "0.00"),""), "")</f>
        <v/>
      </c>
      <c r="D355" s="23" t="str">
        <f>IFERROR(IF(ISNUMBER('Revenues &amp; Outlays in GDP'!F361),TEXT('Revenues &amp; Outlays in GDP'!F361, "0.00"),""), "")</f>
        <v/>
      </c>
      <c r="E355" s="23" t="str">
        <f>IFERROR(IF(ISNUMBER('Revenues &amp; Outlays in GDP'!D361),TEXT('Revenues &amp; Outlays in GDP'!D361, "0.00"),""), "")</f>
        <v/>
      </c>
    </row>
    <row r="356" spans="1:5">
      <c r="A356" s="23" t="str">
        <f>TEXT(IF('Revenues &amp; Outlays in GDP'!B362&lt;&gt;0,'Revenues &amp; Outlays in GDP'!B362-364, ""), "mm/dd/yyyy")</f>
        <v/>
      </c>
      <c r="B356" s="23" t="str">
        <f>IFERROR(IF(ISNUMBER('Revenues &amp; Outlays in GDP'!E362),TEXT('Revenues &amp; Outlays in GDP'!E362, "0.00"),""), "")</f>
        <v/>
      </c>
      <c r="C356" s="23" t="str">
        <f>IFERROR(IF(ISNUMBER('Revenues &amp; Outlays in GDP'!C362),TEXT('Revenues &amp; Outlays in GDP'!C362, "0.00"),""), "")</f>
        <v/>
      </c>
      <c r="D356" s="23" t="str">
        <f>IFERROR(IF(ISNUMBER('Revenues &amp; Outlays in GDP'!F362),TEXT('Revenues &amp; Outlays in GDP'!F362, "0.00"),""), "")</f>
        <v/>
      </c>
      <c r="E356" s="23" t="str">
        <f>IFERROR(IF(ISNUMBER('Revenues &amp; Outlays in GDP'!D362),TEXT('Revenues &amp; Outlays in GDP'!D362, "0.00"),""), "")</f>
        <v/>
      </c>
    </row>
    <row r="357" spans="1:5">
      <c r="A357" s="23" t="str">
        <f>TEXT(IF('Revenues &amp; Outlays in GDP'!B363&lt;&gt;0,'Revenues &amp; Outlays in GDP'!B363-364, ""), "mm/dd/yyyy")</f>
        <v/>
      </c>
      <c r="B357" s="23" t="str">
        <f>IFERROR(IF(ISNUMBER('Revenues &amp; Outlays in GDP'!E363),TEXT('Revenues &amp; Outlays in GDP'!E363, "0.00"),""), "")</f>
        <v/>
      </c>
      <c r="C357" s="23" t="str">
        <f>IFERROR(IF(ISNUMBER('Revenues &amp; Outlays in GDP'!C363),TEXT('Revenues &amp; Outlays in GDP'!C363, "0.00"),""), "")</f>
        <v/>
      </c>
      <c r="D357" s="23" t="str">
        <f>IFERROR(IF(ISNUMBER('Revenues &amp; Outlays in GDP'!F363),TEXT('Revenues &amp; Outlays in GDP'!F363, "0.00"),""), "")</f>
        <v/>
      </c>
      <c r="E357" s="23" t="str">
        <f>IFERROR(IF(ISNUMBER('Revenues &amp; Outlays in GDP'!D363),TEXT('Revenues &amp; Outlays in GDP'!D363, "0.00"),""), "")</f>
        <v/>
      </c>
    </row>
    <row r="358" spans="1:5">
      <c r="A358" s="23" t="str">
        <f>TEXT(IF('Revenues &amp; Outlays in GDP'!B364&lt;&gt;0,'Revenues &amp; Outlays in GDP'!B364-364, ""), "mm/dd/yyyy")</f>
        <v/>
      </c>
      <c r="B358" s="23" t="str">
        <f>IFERROR(IF(ISNUMBER('Revenues &amp; Outlays in GDP'!E364),TEXT('Revenues &amp; Outlays in GDP'!E364, "0.00"),""), "")</f>
        <v/>
      </c>
      <c r="C358" s="23" t="str">
        <f>IFERROR(IF(ISNUMBER('Revenues &amp; Outlays in GDP'!C364),TEXT('Revenues &amp; Outlays in GDP'!C364, "0.00"),""), "")</f>
        <v/>
      </c>
      <c r="D358" s="23" t="str">
        <f>IFERROR(IF(ISNUMBER('Revenues &amp; Outlays in GDP'!F364),TEXT('Revenues &amp; Outlays in GDP'!F364, "0.00"),""), "")</f>
        <v/>
      </c>
      <c r="E358" s="23" t="str">
        <f>IFERROR(IF(ISNUMBER('Revenues &amp; Outlays in GDP'!D364),TEXT('Revenues &amp; Outlays in GDP'!D364, "0.00"),""), "")</f>
        <v/>
      </c>
    </row>
    <row r="359" spans="1:5">
      <c r="A359" s="23" t="str">
        <f>TEXT(IF('Revenues &amp; Outlays in GDP'!B365&lt;&gt;0,'Revenues &amp; Outlays in GDP'!B365-364, ""), "mm/dd/yyyy")</f>
        <v/>
      </c>
      <c r="B359" s="23" t="str">
        <f>IFERROR(IF(ISNUMBER('Revenues &amp; Outlays in GDP'!E365),TEXT('Revenues &amp; Outlays in GDP'!E365, "0.00"),""), "")</f>
        <v/>
      </c>
      <c r="C359" s="23" t="str">
        <f>IFERROR(IF(ISNUMBER('Revenues &amp; Outlays in GDP'!C365),TEXT('Revenues &amp; Outlays in GDP'!C365, "0.00"),""), "")</f>
        <v/>
      </c>
      <c r="D359" s="23" t="str">
        <f>IFERROR(IF(ISNUMBER('Revenues &amp; Outlays in GDP'!F365),TEXT('Revenues &amp; Outlays in GDP'!F365, "0.00"),""), "")</f>
        <v/>
      </c>
      <c r="E359" s="23" t="str">
        <f>IFERROR(IF(ISNUMBER('Revenues &amp; Outlays in GDP'!D365),TEXT('Revenues &amp; Outlays in GDP'!D365, "0.00"),""), "")</f>
        <v/>
      </c>
    </row>
    <row r="360" spans="1:5">
      <c r="A360" s="23" t="str">
        <f>TEXT(IF('Revenues &amp; Outlays in GDP'!B366&lt;&gt;0,'Revenues &amp; Outlays in GDP'!B366-364, ""), "mm/dd/yyyy")</f>
        <v/>
      </c>
      <c r="B360" s="23" t="str">
        <f>IFERROR(IF(ISNUMBER('Revenues &amp; Outlays in GDP'!E366),TEXT('Revenues &amp; Outlays in GDP'!E366, "0.00"),""), "")</f>
        <v/>
      </c>
      <c r="C360" s="23" t="str">
        <f>IFERROR(IF(ISNUMBER('Revenues &amp; Outlays in GDP'!C366),TEXT('Revenues &amp; Outlays in GDP'!C366, "0.00"),""), "")</f>
        <v/>
      </c>
      <c r="D360" s="23" t="str">
        <f>IFERROR(IF(ISNUMBER('Revenues &amp; Outlays in GDP'!F366),TEXT('Revenues &amp; Outlays in GDP'!F366, "0.00"),""), "")</f>
        <v/>
      </c>
      <c r="E360" s="23" t="str">
        <f>IFERROR(IF(ISNUMBER('Revenues &amp; Outlays in GDP'!D366),TEXT('Revenues &amp; Outlays in GDP'!D366, "0.00"),""), "")</f>
        <v/>
      </c>
    </row>
    <row r="361" spans="1:5">
      <c r="A361" s="23" t="str">
        <f>TEXT(IF('Revenues &amp; Outlays in GDP'!B367&lt;&gt;0,'Revenues &amp; Outlays in GDP'!B367-364, ""), "mm/dd/yyyy")</f>
        <v/>
      </c>
      <c r="B361" s="23" t="str">
        <f>IFERROR(IF(ISNUMBER('Revenues &amp; Outlays in GDP'!E367),TEXT('Revenues &amp; Outlays in GDP'!E367, "0.00"),""), "")</f>
        <v/>
      </c>
      <c r="C361" s="23" t="str">
        <f>IFERROR(IF(ISNUMBER('Revenues &amp; Outlays in GDP'!C367),TEXT('Revenues &amp; Outlays in GDP'!C367, "0.00"),""), "")</f>
        <v/>
      </c>
      <c r="D361" s="23" t="str">
        <f>IFERROR(IF(ISNUMBER('Revenues &amp; Outlays in GDP'!F367),TEXT('Revenues &amp; Outlays in GDP'!F367, "0.00"),""), "")</f>
        <v/>
      </c>
      <c r="E361" s="23" t="str">
        <f>IFERROR(IF(ISNUMBER('Revenues &amp; Outlays in GDP'!D367),TEXT('Revenues &amp; Outlays in GDP'!D367, "0.00"),""), "")</f>
        <v/>
      </c>
    </row>
    <row r="362" spans="1:5">
      <c r="A362" s="23" t="str">
        <f>TEXT(IF('Revenues &amp; Outlays in GDP'!B368&lt;&gt;0,'Revenues &amp; Outlays in GDP'!B368-364, ""), "mm/dd/yyyy")</f>
        <v/>
      </c>
      <c r="B362" s="23" t="str">
        <f>IFERROR(IF(ISNUMBER('Revenues &amp; Outlays in GDP'!E368),TEXT('Revenues &amp; Outlays in GDP'!E368, "0.00"),""), "")</f>
        <v/>
      </c>
      <c r="C362" s="23" t="str">
        <f>IFERROR(IF(ISNUMBER('Revenues &amp; Outlays in GDP'!C368),TEXT('Revenues &amp; Outlays in GDP'!C368, "0.00"),""), "")</f>
        <v/>
      </c>
      <c r="D362" s="23" t="str">
        <f>IFERROR(IF(ISNUMBER('Revenues &amp; Outlays in GDP'!F368),TEXT('Revenues &amp; Outlays in GDP'!F368, "0.00"),""), "")</f>
        <v/>
      </c>
      <c r="E362" s="23" t="str">
        <f>IFERROR(IF(ISNUMBER('Revenues &amp; Outlays in GDP'!D368),TEXT('Revenues &amp; Outlays in GDP'!D368, "0.00"),""), "")</f>
        <v/>
      </c>
    </row>
    <row r="363" spans="1:5">
      <c r="A363" s="23" t="str">
        <f>TEXT(IF('Revenues &amp; Outlays in GDP'!B369&lt;&gt;0,'Revenues &amp; Outlays in GDP'!B369-364, ""), "mm/dd/yyyy")</f>
        <v/>
      </c>
      <c r="B363" s="23" t="str">
        <f>IFERROR(IF(ISNUMBER('Revenues &amp; Outlays in GDP'!E369),TEXT('Revenues &amp; Outlays in GDP'!E369, "0.00"),""), "")</f>
        <v/>
      </c>
      <c r="C363" s="23" t="str">
        <f>IFERROR(IF(ISNUMBER('Revenues &amp; Outlays in GDP'!C369),TEXT('Revenues &amp; Outlays in GDP'!C369, "0.00"),""), "")</f>
        <v/>
      </c>
      <c r="D363" s="23" t="str">
        <f>IFERROR(IF(ISNUMBER('Revenues &amp; Outlays in GDP'!F369),TEXT('Revenues &amp; Outlays in GDP'!F369, "0.00"),""), "")</f>
        <v/>
      </c>
      <c r="E363" s="23" t="str">
        <f>IFERROR(IF(ISNUMBER('Revenues &amp; Outlays in GDP'!D369),TEXT('Revenues &amp; Outlays in GDP'!D369, "0.00"),""), "")</f>
        <v/>
      </c>
    </row>
    <row r="364" spans="1:5">
      <c r="A364" s="23" t="str">
        <f>TEXT(IF('Revenues &amp; Outlays in GDP'!B370&lt;&gt;0,'Revenues &amp; Outlays in GDP'!B370-364, ""), "mm/dd/yyyy")</f>
        <v/>
      </c>
      <c r="B364" s="23" t="str">
        <f>IFERROR(IF(ISNUMBER('Revenues &amp; Outlays in GDP'!E370),TEXT('Revenues &amp; Outlays in GDP'!E370, "0.00"),""), "")</f>
        <v/>
      </c>
      <c r="C364" s="23" t="str">
        <f>IFERROR(IF(ISNUMBER('Revenues &amp; Outlays in GDP'!C370),TEXT('Revenues &amp; Outlays in GDP'!C370, "0.00"),""), "")</f>
        <v/>
      </c>
      <c r="D364" s="23" t="str">
        <f>IFERROR(IF(ISNUMBER('Revenues &amp; Outlays in GDP'!F370),TEXT('Revenues &amp; Outlays in GDP'!F370, "0.00"),""), "")</f>
        <v/>
      </c>
      <c r="E364" s="23" t="str">
        <f>IFERROR(IF(ISNUMBER('Revenues &amp; Outlays in GDP'!D370),TEXT('Revenues &amp; Outlays in GDP'!D370, "0.00"),""), "")</f>
        <v/>
      </c>
    </row>
    <row r="365" spans="1:5">
      <c r="A365" s="23" t="str">
        <f>TEXT(IF('Revenues &amp; Outlays in GDP'!B371&lt;&gt;0,'Revenues &amp; Outlays in GDP'!B371-364, ""), "mm/dd/yyyy")</f>
        <v/>
      </c>
      <c r="B365" s="23" t="str">
        <f>IFERROR(IF(ISNUMBER('Revenues &amp; Outlays in GDP'!E371),TEXT('Revenues &amp; Outlays in GDP'!E371, "0.00"),""), "")</f>
        <v/>
      </c>
      <c r="C365" s="23" t="str">
        <f>IFERROR(IF(ISNUMBER('Revenues &amp; Outlays in GDP'!C371),TEXT('Revenues &amp; Outlays in GDP'!C371, "0.00"),""), "")</f>
        <v/>
      </c>
      <c r="D365" s="23" t="str">
        <f>IFERROR(IF(ISNUMBER('Revenues &amp; Outlays in GDP'!F371),TEXT('Revenues &amp; Outlays in GDP'!F371, "0.00"),""), "")</f>
        <v/>
      </c>
      <c r="E365" s="23" t="str">
        <f>IFERROR(IF(ISNUMBER('Revenues &amp; Outlays in GDP'!D371),TEXT('Revenues &amp; Outlays in GDP'!D371, "0.00"),""), "")</f>
        <v/>
      </c>
    </row>
    <row r="366" spans="1:5">
      <c r="A366" s="23" t="str">
        <f>TEXT(IF('Revenues &amp; Outlays in GDP'!B372&lt;&gt;0,'Revenues &amp; Outlays in GDP'!B372-364, ""), "mm/dd/yyyy")</f>
        <v/>
      </c>
      <c r="B366" s="23" t="str">
        <f>IFERROR(IF(ISNUMBER('Revenues &amp; Outlays in GDP'!E372),TEXT('Revenues &amp; Outlays in GDP'!E372, "0.00"),""), "")</f>
        <v/>
      </c>
      <c r="C366" s="23" t="str">
        <f>IFERROR(IF(ISNUMBER('Revenues &amp; Outlays in GDP'!C372),TEXT('Revenues &amp; Outlays in GDP'!C372, "0.00"),""), "")</f>
        <v/>
      </c>
      <c r="D366" s="23" t="str">
        <f>IFERROR(IF(ISNUMBER('Revenues &amp; Outlays in GDP'!F372),TEXT('Revenues &amp; Outlays in GDP'!F372, "0.00"),""), "")</f>
        <v/>
      </c>
      <c r="E366" s="23" t="str">
        <f>IFERROR(IF(ISNUMBER('Revenues &amp; Outlays in GDP'!D372),TEXT('Revenues &amp; Outlays in GDP'!D372, "0.00"),""), "")</f>
        <v/>
      </c>
    </row>
    <row r="367" spans="1:5">
      <c r="A367" s="23" t="str">
        <f>TEXT(IF('Revenues &amp; Outlays in GDP'!B373&lt;&gt;0,'Revenues &amp; Outlays in GDP'!B373-364, ""), "mm/dd/yyyy")</f>
        <v/>
      </c>
      <c r="B367" s="23" t="str">
        <f>IFERROR(IF(ISNUMBER('Revenues &amp; Outlays in GDP'!E373),TEXT('Revenues &amp; Outlays in GDP'!E373, "0.00"),""), "")</f>
        <v/>
      </c>
      <c r="C367" s="23" t="str">
        <f>IFERROR(IF(ISNUMBER('Revenues &amp; Outlays in GDP'!C373),TEXT('Revenues &amp; Outlays in GDP'!C373, "0.00"),""), "")</f>
        <v/>
      </c>
      <c r="D367" s="23" t="str">
        <f>IFERROR(IF(ISNUMBER('Revenues &amp; Outlays in GDP'!F373),TEXT('Revenues &amp; Outlays in GDP'!F373, "0.00"),""), "")</f>
        <v/>
      </c>
      <c r="E367" s="23" t="str">
        <f>IFERROR(IF(ISNUMBER('Revenues &amp; Outlays in GDP'!D373),TEXT('Revenues &amp; Outlays in GDP'!D373, "0.00"),""), "")</f>
        <v/>
      </c>
    </row>
    <row r="368" spans="1:5">
      <c r="A368" s="23" t="str">
        <f>TEXT(IF('Revenues &amp; Outlays in GDP'!B374&lt;&gt;0,'Revenues &amp; Outlays in GDP'!B374-364, ""), "mm/dd/yyyy")</f>
        <v/>
      </c>
      <c r="B368" s="23" t="str">
        <f>IFERROR(IF(ISNUMBER('Revenues &amp; Outlays in GDP'!E374),TEXT('Revenues &amp; Outlays in GDP'!E374, "0.00"),""), "")</f>
        <v/>
      </c>
      <c r="C368" s="23" t="str">
        <f>IFERROR(IF(ISNUMBER('Revenues &amp; Outlays in GDP'!C374),TEXT('Revenues &amp; Outlays in GDP'!C374, "0.00"),""), "")</f>
        <v/>
      </c>
      <c r="D368" s="23" t="str">
        <f>IFERROR(IF(ISNUMBER('Revenues &amp; Outlays in GDP'!F374),TEXT('Revenues &amp; Outlays in GDP'!F374, "0.00"),""), "")</f>
        <v/>
      </c>
      <c r="E368" s="23" t="str">
        <f>IFERROR(IF(ISNUMBER('Revenues &amp; Outlays in GDP'!D374),TEXT('Revenues &amp; Outlays in GDP'!D374, "0.00"),""), "")</f>
        <v/>
      </c>
    </row>
    <row r="369" spans="1:5">
      <c r="A369" s="23" t="str">
        <f>TEXT(IF('Revenues &amp; Outlays in GDP'!B375&lt;&gt;0,'Revenues &amp; Outlays in GDP'!B375-364, ""), "mm/dd/yyyy")</f>
        <v/>
      </c>
      <c r="B369" s="23" t="str">
        <f>IFERROR(IF(ISNUMBER('Revenues &amp; Outlays in GDP'!E375),TEXT('Revenues &amp; Outlays in GDP'!E375, "0.00"),""), "")</f>
        <v/>
      </c>
      <c r="C369" s="23" t="str">
        <f>IFERROR(IF(ISNUMBER('Revenues &amp; Outlays in GDP'!C375),TEXT('Revenues &amp; Outlays in GDP'!C375, "0.00"),""), "")</f>
        <v/>
      </c>
      <c r="D369" s="23" t="str">
        <f>IFERROR(IF(ISNUMBER('Revenues &amp; Outlays in GDP'!F375),TEXT('Revenues &amp; Outlays in GDP'!F375, "0.00"),""), "")</f>
        <v/>
      </c>
      <c r="E369" s="23" t="str">
        <f>IFERROR(IF(ISNUMBER('Revenues &amp; Outlays in GDP'!D375),TEXT('Revenues &amp; Outlays in GDP'!D375, "0.00"),""), "")</f>
        <v/>
      </c>
    </row>
    <row r="370" spans="1:5">
      <c r="A370" s="23" t="str">
        <f>TEXT(IF('Revenues &amp; Outlays in GDP'!B376&lt;&gt;0,'Revenues &amp; Outlays in GDP'!B376-364, ""), "mm/dd/yyyy")</f>
        <v/>
      </c>
      <c r="B370" s="23" t="str">
        <f>IFERROR(IF(ISNUMBER('Revenues &amp; Outlays in GDP'!E376),TEXT('Revenues &amp; Outlays in GDP'!E376, "0.00"),""), "")</f>
        <v/>
      </c>
      <c r="C370" s="23" t="str">
        <f>IFERROR(IF(ISNUMBER('Revenues &amp; Outlays in GDP'!C376),TEXT('Revenues &amp; Outlays in GDP'!C376, "0.00"),""), "")</f>
        <v/>
      </c>
      <c r="D370" s="23" t="str">
        <f>IFERROR(IF(ISNUMBER('Revenues &amp; Outlays in GDP'!F376),TEXT('Revenues &amp; Outlays in GDP'!F376, "0.00"),""), "")</f>
        <v/>
      </c>
      <c r="E370" s="23" t="str">
        <f>IFERROR(IF(ISNUMBER('Revenues &amp; Outlays in GDP'!D376),TEXT('Revenues &amp; Outlays in GDP'!D376, "0.00"),""), "")</f>
        <v/>
      </c>
    </row>
    <row r="371" spans="1:5">
      <c r="A371" s="23" t="str">
        <f>TEXT(IF('Revenues &amp; Outlays in GDP'!B377&lt;&gt;0,'Revenues &amp; Outlays in GDP'!B377-364, ""), "mm/dd/yyyy")</f>
        <v/>
      </c>
      <c r="B371" s="23" t="str">
        <f>IFERROR(IF(ISNUMBER('Revenues &amp; Outlays in GDP'!E377),TEXT('Revenues &amp; Outlays in GDP'!E377, "0.00"),""), "")</f>
        <v/>
      </c>
      <c r="C371" s="23" t="str">
        <f>IFERROR(IF(ISNUMBER('Revenues &amp; Outlays in GDP'!C377),TEXT('Revenues &amp; Outlays in GDP'!C377, "0.00"),""), "")</f>
        <v/>
      </c>
      <c r="D371" s="23" t="str">
        <f>IFERROR(IF(ISNUMBER('Revenues &amp; Outlays in GDP'!F377),TEXT('Revenues &amp; Outlays in GDP'!F377, "0.00"),""), "")</f>
        <v/>
      </c>
      <c r="E371" s="23" t="str">
        <f>IFERROR(IF(ISNUMBER('Revenues &amp; Outlays in GDP'!D377),TEXT('Revenues &amp; Outlays in GDP'!D377, "0.00"),""), "")</f>
        <v/>
      </c>
    </row>
    <row r="372" spans="1:5">
      <c r="A372" s="23" t="str">
        <f>TEXT(IF('Revenues &amp; Outlays in GDP'!B378&lt;&gt;0,'Revenues &amp; Outlays in GDP'!B378-364, ""), "mm/dd/yyyy")</f>
        <v/>
      </c>
      <c r="B372" s="23" t="str">
        <f>IFERROR(IF(ISNUMBER('Revenues &amp; Outlays in GDP'!E378),TEXT('Revenues &amp; Outlays in GDP'!E378, "0.00"),""), "")</f>
        <v/>
      </c>
      <c r="C372" s="23" t="str">
        <f>IFERROR(IF(ISNUMBER('Revenues &amp; Outlays in GDP'!C378),TEXT('Revenues &amp; Outlays in GDP'!C378, "0.00"),""), "")</f>
        <v/>
      </c>
      <c r="D372" s="23" t="str">
        <f>IFERROR(IF(ISNUMBER('Revenues &amp; Outlays in GDP'!F378),TEXT('Revenues &amp; Outlays in GDP'!F378, "0.00"),""), "")</f>
        <v/>
      </c>
      <c r="E372" s="23" t="str">
        <f>IFERROR(IF(ISNUMBER('Revenues &amp; Outlays in GDP'!D378),TEXT('Revenues &amp; Outlays in GDP'!D378, "0.00"),""), "")</f>
        <v/>
      </c>
    </row>
    <row r="373" spans="1:5">
      <c r="A373" s="23" t="str">
        <f>TEXT(IF('Revenues &amp; Outlays in GDP'!B379&lt;&gt;0,'Revenues &amp; Outlays in GDP'!B379-364, ""), "mm/dd/yyyy")</f>
        <v/>
      </c>
      <c r="B373" s="23" t="str">
        <f>IFERROR(IF(ISNUMBER('Revenues &amp; Outlays in GDP'!E379),TEXT('Revenues &amp; Outlays in GDP'!E379, "0.00"),""), "")</f>
        <v/>
      </c>
      <c r="C373" s="23" t="str">
        <f>IFERROR(IF(ISNUMBER('Revenues &amp; Outlays in GDP'!C379),TEXT('Revenues &amp; Outlays in GDP'!C379, "0.00"),""), "")</f>
        <v/>
      </c>
      <c r="D373" s="23" t="str">
        <f>IFERROR(IF(ISNUMBER('Revenues &amp; Outlays in GDP'!F379),TEXT('Revenues &amp; Outlays in GDP'!F379, "0.00"),""), "")</f>
        <v/>
      </c>
      <c r="E373" s="23" t="str">
        <f>IFERROR(IF(ISNUMBER('Revenues &amp; Outlays in GDP'!D379),TEXT('Revenues &amp; Outlays in GDP'!D379, "0.00"),""), "")</f>
        <v/>
      </c>
    </row>
    <row r="374" spans="1:5">
      <c r="A374" s="23" t="str">
        <f>TEXT(IF('Revenues &amp; Outlays in GDP'!B380&lt;&gt;0,'Revenues &amp; Outlays in GDP'!B380-364, ""), "mm/dd/yyyy")</f>
        <v/>
      </c>
      <c r="B374" s="23" t="str">
        <f>IFERROR(IF(ISNUMBER('Revenues &amp; Outlays in GDP'!E380),TEXT('Revenues &amp; Outlays in GDP'!E380, "0.00"),""), "")</f>
        <v/>
      </c>
      <c r="C374" s="23" t="str">
        <f>IFERROR(IF(ISNUMBER('Revenues &amp; Outlays in GDP'!C380),TEXT('Revenues &amp; Outlays in GDP'!C380, "0.00"),""), "")</f>
        <v/>
      </c>
      <c r="D374" s="23" t="str">
        <f>IFERROR(IF(ISNUMBER('Revenues &amp; Outlays in GDP'!F380),TEXT('Revenues &amp; Outlays in GDP'!F380, "0.00"),""), "")</f>
        <v/>
      </c>
      <c r="E374" s="23" t="str">
        <f>IFERROR(IF(ISNUMBER('Revenues &amp; Outlays in GDP'!D380),TEXT('Revenues &amp; Outlays in GDP'!D380, "0.00"),""), "")</f>
        <v/>
      </c>
    </row>
    <row r="375" spans="1:5">
      <c r="A375" s="23" t="str">
        <f>TEXT(IF('Revenues &amp; Outlays in GDP'!B381&lt;&gt;0,'Revenues &amp; Outlays in GDP'!B381-364, ""), "mm/dd/yyyy")</f>
        <v/>
      </c>
      <c r="B375" s="23" t="str">
        <f>IFERROR(IF(ISNUMBER('Revenues &amp; Outlays in GDP'!E381),TEXT('Revenues &amp; Outlays in GDP'!E381, "0.00"),""), "")</f>
        <v/>
      </c>
      <c r="C375" s="23" t="str">
        <f>IFERROR(IF(ISNUMBER('Revenues &amp; Outlays in GDP'!C381),TEXT('Revenues &amp; Outlays in GDP'!C381, "0.00"),""), "")</f>
        <v/>
      </c>
      <c r="D375" s="23" t="str">
        <f>IFERROR(IF(ISNUMBER('Revenues &amp; Outlays in GDP'!F381),TEXT('Revenues &amp; Outlays in GDP'!F381, "0.00"),""), "")</f>
        <v/>
      </c>
      <c r="E375" s="23" t="str">
        <f>IFERROR(IF(ISNUMBER('Revenues &amp; Outlays in GDP'!D381),TEXT('Revenues &amp; Outlays in GDP'!D381, "0.00"),""), "")</f>
        <v/>
      </c>
    </row>
    <row r="376" spans="1:5">
      <c r="A376" s="23" t="str">
        <f>TEXT(IF('Revenues &amp; Outlays in GDP'!B382&lt;&gt;0,'Revenues &amp; Outlays in GDP'!B382-364, ""), "mm/dd/yyyy")</f>
        <v/>
      </c>
      <c r="B376" s="23" t="str">
        <f>IFERROR(IF(ISNUMBER('Revenues &amp; Outlays in GDP'!E382),TEXT('Revenues &amp; Outlays in GDP'!E382, "0.00"),""), "")</f>
        <v/>
      </c>
      <c r="C376" s="23" t="str">
        <f>IFERROR(IF(ISNUMBER('Revenues &amp; Outlays in GDP'!C382),TEXT('Revenues &amp; Outlays in GDP'!C382, "0.00"),""), "")</f>
        <v/>
      </c>
      <c r="D376" s="23" t="str">
        <f>IFERROR(IF(ISNUMBER('Revenues &amp; Outlays in GDP'!F382),TEXT('Revenues &amp; Outlays in GDP'!F382, "0.00"),""), "")</f>
        <v/>
      </c>
      <c r="E376" s="23" t="str">
        <f>IFERROR(IF(ISNUMBER('Revenues &amp; Outlays in GDP'!D382),TEXT('Revenues &amp; Outlays in GDP'!D382, "0.00"),""), "")</f>
        <v/>
      </c>
    </row>
    <row r="377" spans="1:5">
      <c r="A377" s="23" t="str">
        <f>TEXT(IF('Revenues &amp; Outlays in GDP'!B383&lt;&gt;0,'Revenues &amp; Outlays in GDP'!B383-364, ""), "mm/dd/yyyy")</f>
        <v/>
      </c>
      <c r="B377" s="23" t="str">
        <f>IFERROR(IF(ISNUMBER('Revenues &amp; Outlays in GDP'!E383),TEXT('Revenues &amp; Outlays in GDP'!E383, "0.00"),""), "")</f>
        <v/>
      </c>
      <c r="C377" s="23" t="str">
        <f>IFERROR(IF(ISNUMBER('Revenues &amp; Outlays in GDP'!C383),TEXT('Revenues &amp; Outlays in GDP'!C383, "0.00"),""), "")</f>
        <v/>
      </c>
      <c r="D377" s="23" t="str">
        <f>IFERROR(IF(ISNUMBER('Revenues &amp; Outlays in GDP'!F383),TEXT('Revenues &amp; Outlays in GDP'!F383, "0.00"),""), "")</f>
        <v/>
      </c>
      <c r="E377" s="23" t="str">
        <f>IFERROR(IF(ISNUMBER('Revenues &amp; Outlays in GDP'!D383),TEXT('Revenues &amp; Outlays in GDP'!D383, "0.00"),""), "")</f>
        <v/>
      </c>
    </row>
    <row r="378" spans="1:5">
      <c r="A378" s="23" t="str">
        <f>TEXT(IF('Revenues &amp; Outlays in GDP'!B384&lt;&gt;0,'Revenues &amp; Outlays in GDP'!B384-364, ""), "mm/dd/yyyy")</f>
        <v/>
      </c>
      <c r="B378" s="23" t="str">
        <f>IFERROR(IF(ISNUMBER('Revenues &amp; Outlays in GDP'!E384),TEXT('Revenues &amp; Outlays in GDP'!E384, "0.00"),""), "")</f>
        <v/>
      </c>
      <c r="C378" s="23" t="str">
        <f>IFERROR(IF(ISNUMBER('Revenues &amp; Outlays in GDP'!C384),TEXT('Revenues &amp; Outlays in GDP'!C384, "0.00"),""), "")</f>
        <v/>
      </c>
      <c r="D378" s="23" t="str">
        <f>IFERROR(IF(ISNUMBER('Revenues &amp; Outlays in GDP'!F384),TEXT('Revenues &amp; Outlays in GDP'!F384, "0.00"),""), "")</f>
        <v/>
      </c>
      <c r="E378" s="23" t="str">
        <f>IFERROR(IF(ISNUMBER('Revenues &amp; Outlays in GDP'!D384),TEXT('Revenues &amp; Outlays in GDP'!D384, "0.00"),""), "")</f>
        <v/>
      </c>
    </row>
    <row r="379" spans="1:5">
      <c r="A379" s="23" t="str">
        <f>TEXT(IF('Revenues &amp; Outlays in GDP'!B385&lt;&gt;0,'Revenues &amp; Outlays in GDP'!B385-364, ""), "mm/dd/yyyy")</f>
        <v/>
      </c>
      <c r="B379" s="23" t="str">
        <f>IFERROR(IF(ISNUMBER('Revenues &amp; Outlays in GDP'!E385),TEXT('Revenues &amp; Outlays in GDP'!E385, "0.00"),""), "")</f>
        <v/>
      </c>
      <c r="C379" s="23" t="str">
        <f>IFERROR(IF(ISNUMBER('Revenues &amp; Outlays in GDP'!C385),TEXT('Revenues &amp; Outlays in GDP'!C385, "0.00"),""), "")</f>
        <v/>
      </c>
      <c r="D379" s="23" t="str">
        <f>IFERROR(IF(ISNUMBER('Revenues &amp; Outlays in GDP'!F385),TEXT('Revenues &amp; Outlays in GDP'!F385, "0.00"),""), "")</f>
        <v/>
      </c>
      <c r="E379" s="23" t="str">
        <f>IFERROR(IF(ISNUMBER('Revenues &amp; Outlays in GDP'!D385),TEXT('Revenues &amp; Outlays in GDP'!D385, "0.00"),""), "")</f>
        <v/>
      </c>
    </row>
    <row r="380" spans="1:5">
      <c r="A380" s="23" t="str">
        <f>TEXT(IF('Revenues &amp; Outlays in GDP'!B386&lt;&gt;0,'Revenues &amp; Outlays in GDP'!B386-364, ""), "mm/dd/yyyy")</f>
        <v/>
      </c>
      <c r="B380" s="23" t="str">
        <f>IFERROR(IF(ISNUMBER('Revenues &amp; Outlays in GDP'!E386),TEXT('Revenues &amp; Outlays in GDP'!E386, "0.00"),""), "")</f>
        <v/>
      </c>
      <c r="C380" s="23" t="str">
        <f>IFERROR(IF(ISNUMBER('Revenues &amp; Outlays in GDP'!C386),TEXT('Revenues &amp; Outlays in GDP'!C386, "0.00"),""), "")</f>
        <v/>
      </c>
      <c r="D380" s="23" t="str">
        <f>IFERROR(IF(ISNUMBER('Revenues &amp; Outlays in GDP'!F386),TEXT('Revenues &amp; Outlays in GDP'!F386, "0.00"),""), "")</f>
        <v/>
      </c>
      <c r="E380" s="23" t="str">
        <f>IFERROR(IF(ISNUMBER('Revenues &amp; Outlays in GDP'!D386),TEXT('Revenues &amp; Outlays in GDP'!D386, "0.00"),""), "")</f>
        <v/>
      </c>
    </row>
    <row r="381" spans="1:5">
      <c r="A381" s="23" t="str">
        <f>TEXT(IF('Revenues &amp; Outlays in GDP'!B387&lt;&gt;0,'Revenues &amp; Outlays in GDP'!B387-364, ""), "mm/dd/yyyy")</f>
        <v/>
      </c>
      <c r="B381" s="23" t="str">
        <f>IFERROR(IF(ISNUMBER('Revenues &amp; Outlays in GDP'!E387),TEXT('Revenues &amp; Outlays in GDP'!E387, "0.00"),""), "")</f>
        <v/>
      </c>
      <c r="C381" s="23" t="str">
        <f>IFERROR(IF(ISNUMBER('Revenues &amp; Outlays in GDP'!C387),TEXT('Revenues &amp; Outlays in GDP'!C387, "0.00"),""), "")</f>
        <v/>
      </c>
      <c r="D381" s="23" t="str">
        <f>IFERROR(IF(ISNUMBER('Revenues &amp; Outlays in GDP'!F387),TEXT('Revenues &amp; Outlays in GDP'!F387, "0.00"),""), "")</f>
        <v/>
      </c>
      <c r="E381" s="23" t="str">
        <f>IFERROR(IF(ISNUMBER('Revenues &amp; Outlays in GDP'!D387),TEXT('Revenues &amp; Outlays in GDP'!D387, "0.00"),""), "")</f>
        <v/>
      </c>
    </row>
    <row r="382" spans="1:5">
      <c r="A382" s="23" t="str">
        <f>TEXT(IF('Revenues &amp; Outlays in GDP'!B388&lt;&gt;0,'Revenues &amp; Outlays in GDP'!B388-364, ""), "mm/dd/yyyy")</f>
        <v/>
      </c>
      <c r="B382" s="23" t="str">
        <f>IFERROR(IF(ISNUMBER('Revenues &amp; Outlays in GDP'!E388),TEXT('Revenues &amp; Outlays in GDP'!E388, "0.00"),""), "")</f>
        <v/>
      </c>
      <c r="C382" s="23" t="str">
        <f>IFERROR(IF(ISNUMBER('Revenues &amp; Outlays in GDP'!C388),TEXT('Revenues &amp; Outlays in GDP'!C388, "0.00"),""), "")</f>
        <v/>
      </c>
      <c r="D382" s="23" t="str">
        <f>IFERROR(IF(ISNUMBER('Revenues &amp; Outlays in GDP'!F388),TEXT('Revenues &amp; Outlays in GDP'!F388, "0.00"),""), "")</f>
        <v/>
      </c>
      <c r="E382" s="23" t="str">
        <f>IFERROR(IF(ISNUMBER('Revenues &amp; Outlays in GDP'!D388),TEXT('Revenues &amp; Outlays in GDP'!D388, "0.00"),""), "")</f>
        <v/>
      </c>
    </row>
    <row r="383" spans="1:5">
      <c r="A383" s="23" t="str">
        <f>TEXT(IF('Revenues &amp; Outlays in GDP'!B389&lt;&gt;0,'Revenues &amp; Outlays in GDP'!B389-364, ""), "mm/dd/yyyy")</f>
        <v/>
      </c>
      <c r="B383" s="23" t="str">
        <f>IFERROR(IF(ISNUMBER('Revenues &amp; Outlays in GDP'!E389),TEXT('Revenues &amp; Outlays in GDP'!E389, "0.00"),""), "")</f>
        <v/>
      </c>
      <c r="C383" s="23" t="str">
        <f>IFERROR(IF(ISNUMBER('Revenues &amp; Outlays in GDP'!C389),TEXT('Revenues &amp; Outlays in GDP'!C389, "0.00"),""), "")</f>
        <v/>
      </c>
      <c r="D383" s="23" t="str">
        <f>IFERROR(IF(ISNUMBER('Revenues &amp; Outlays in GDP'!F389),TEXT('Revenues &amp; Outlays in GDP'!F389, "0.00"),""), "")</f>
        <v/>
      </c>
      <c r="E383" s="23" t="str">
        <f>IFERROR(IF(ISNUMBER('Revenues &amp; Outlays in GDP'!D389),TEXT('Revenues &amp; Outlays in GDP'!D389, "0.00"),""), "")</f>
        <v/>
      </c>
    </row>
    <row r="384" spans="1:5">
      <c r="A384" s="23" t="str">
        <f>TEXT(IF('Revenues &amp; Outlays in GDP'!B390&lt;&gt;0,'Revenues &amp; Outlays in GDP'!B390-364, ""), "mm/dd/yyyy")</f>
        <v/>
      </c>
      <c r="B384" s="23" t="str">
        <f>IFERROR(IF(ISNUMBER('Revenues &amp; Outlays in GDP'!E390),TEXT('Revenues &amp; Outlays in GDP'!E390, "0.00"),""), "")</f>
        <v/>
      </c>
      <c r="C384" s="23" t="str">
        <f>IFERROR(IF(ISNUMBER('Revenues &amp; Outlays in GDP'!C390),TEXT('Revenues &amp; Outlays in GDP'!C390, "0.00"),""), "")</f>
        <v/>
      </c>
      <c r="D384" s="23" t="str">
        <f>IFERROR(IF(ISNUMBER('Revenues &amp; Outlays in GDP'!F390),TEXT('Revenues &amp; Outlays in GDP'!F390, "0.00"),""), "")</f>
        <v/>
      </c>
      <c r="E384" s="23" t="str">
        <f>IFERROR(IF(ISNUMBER('Revenues &amp; Outlays in GDP'!D390),TEXT('Revenues &amp; Outlays in GDP'!D390, "0.00"),""), "")</f>
        <v/>
      </c>
    </row>
    <row r="385" spans="1:5">
      <c r="A385" s="23" t="str">
        <f>TEXT(IF('Revenues &amp; Outlays in GDP'!B391&lt;&gt;0,'Revenues &amp; Outlays in GDP'!B391-364, ""), "mm/dd/yyyy")</f>
        <v/>
      </c>
      <c r="B385" s="23" t="str">
        <f>IFERROR(IF(ISNUMBER('Revenues &amp; Outlays in GDP'!E391),TEXT('Revenues &amp; Outlays in GDP'!E391, "0.00"),""), "")</f>
        <v/>
      </c>
      <c r="C385" s="23" t="str">
        <f>IFERROR(IF(ISNUMBER('Revenues &amp; Outlays in GDP'!C391),TEXT('Revenues &amp; Outlays in GDP'!C391, "0.00"),""), "")</f>
        <v/>
      </c>
      <c r="D385" s="23" t="str">
        <f>IFERROR(IF(ISNUMBER('Revenues &amp; Outlays in GDP'!F391),TEXT('Revenues &amp; Outlays in GDP'!F391, "0.00"),""), "")</f>
        <v/>
      </c>
      <c r="E385" s="23" t="str">
        <f>IFERROR(IF(ISNUMBER('Revenues &amp; Outlays in GDP'!D391),TEXT('Revenues &amp; Outlays in GDP'!D391, "0.00"),""), "")</f>
        <v/>
      </c>
    </row>
    <row r="386" spans="1:5">
      <c r="A386" s="23" t="str">
        <f>TEXT(IF('Revenues &amp; Outlays in GDP'!B392&lt;&gt;0,'Revenues &amp; Outlays in GDP'!B392-364, ""), "mm/dd/yyyy")</f>
        <v/>
      </c>
      <c r="B386" s="23" t="str">
        <f>IFERROR(IF(ISNUMBER('Revenues &amp; Outlays in GDP'!E392),TEXT('Revenues &amp; Outlays in GDP'!E392, "0.00"),""), "")</f>
        <v/>
      </c>
      <c r="C386" s="23" t="str">
        <f>IFERROR(IF(ISNUMBER('Revenues &amp; Outlays in GDP'!C392),TEXT('Revenues &amp; Outlays in GDP'!C392, "0.00"),""), "")</f>
        <v/>
      </c>
      <c r="D386" s="23" t="str">
        <f>IFERROR(IF(ISNUMBER('Revenues &amp; Outlays in GDP'!F392),TEXT('Revenues &amp; Outlays in GDP'!F392, "0.00"),""), "")</f>
        <v/>
      </c>
      <c r="E386" s="23" t="str">
        <f>IFERROR(IF(ISNUMBER('Revenues &amp; Outlays in GDP'!D392),TEXT('Revenues &amp; Outlays in GDP'!D392, "0.00"),""), "")</f>
        <v/>
      </c>
    </row>
    <row r="387" spans="1:5">
      <c r="A387" s="23" t="str">
        <f>TEXT(IF('Revenues &amp; Outlays in GDP'!B393&lt;&gt;0,'Revenues &amp; Outlays in GDP'!B393-364, ""), "mm/dd/yyyy")</f>
        <v/>
      </c>
      <c r="B387" s="23" t="str">
        <f>IFERROR(IF(ISNUMBER('Revenues &amp; Outlays in GDP'!E393),TEXT('Revenues &amp; Outlays in GDP'!E393, "0.00"),""), "")</f>
        <v/>
      </c>
      <c r="C387" s="23" t="str">
        <f>IFERROR(IF(ISNUMBER('Revenues &amp; Outlays in GDP'!C393),TEXT('Revenues &amp; Outlays in GDP'!C393, "0.00"),""), "")</f>
        <v/>
      </c>
      <c r="D387" s="23" t="str">
        <f>IFERROR(IF(ISNUMBER('Revenues &amp; Outlays in GDP'!F393),TEXT('Revenues &amp; Outlays in GDP'!F393, "0.00"),""), "")</f>
        <v/>
      </c>
      <c r="E387" s="23" t="str">
        <f>IFERROR(IF(ISNUMBER('Revenues &amp; Outlays in GDP'!D393),TEXT('Revenues &amp; Outlays in GDP'!D393, "0.00"),""), "")</f>
        <v/>
      </c>
    </row>
    <row r="388" spans="1:5">
      <c r="A388" s="23" t="str">
        <f>TEXT(IF('Revenues &amp; Outlays in GDP'!B394&lt;&gt;0,'Revenues &amp; Outlays in GDP'!B394-364, ""), "mm/dd/yyyy")</f>
        <v/>
      </c>
      <c r="B388" s="23" t="str">
        <f>IFERROR(IF(ISNUMBER('Revenues &amp; Outlays in GDP'!E394),TEXT('Revenues &amp; Outlays in GDP'!E394, "0.00"),""), "")</f>
        <v/>
      </c>
      <c r="C388" s="23" t="str">
        <f>IFERROR(IF(ISNUMBER('Revenues &amp; Outlays in GDP'!C394),TEXT('Revenues &amp; Outlays in GDP'!C394, "0.00"),""), "")</f>
        <v/>
      </c>
      <c r="D388" s="23" t="str">
        <f>IFERROR(IF(ISNUMBER('Revenues &amp; Outlays in GDP'!F394),TEXT('Revenues &amp; Outlays in GDP'!F394, "0.00"),""), "")</f>
        <v/>
      </c>
      <c r="E388" s="23" t="str">
        <f>IFERROR(IF(ISNUMBER('Revenues &amp; Outlays in GDP'!D394),TEXT('Revenues &amp; Outlays in GDP'!D394, "0.00"),""), "")</f>
        <v/>
      </c>
    </row>
    <row r="389" spans="1:5">
      <c r="A389" s="23" t="str">
        <f>TEXT(IF('Revenues &amp; Outlays in GDP'!B395&lt;&gt;0,'Revenues &amp; Outlays in GDP'!B395-364, ""), "mm/dd/yyyy")</f>
        <v/>
      </c>
      <c r="B389" s="23" t="str">
        <f>IFERROR(IF(ISNUMBER('Revenues &amp; Outlays in GDP'!E395),TEXT('Revenues &amp; Outlays in GDP'!E395, "0.00"),""), "")</f>
        <v/>
      </c>
      <c r="C389" s="23" t="str">
        <f>IFERROR(IF(ISNUMBER('Revenues &amp; Outlays in GDP'!C395),TEXT('Revenues &amp; Outlays in GDP'!C395, "0.00"),""), "")</f>
        <v/>
      </c>
      <c r="D389" s="23" t="str">
        <f>IFERROR(IF(ISNUMBER('Revenues &amp; Outlays in GDP'!F395),TEXT('Revenues &amp; Outlays in GDP'!F395, "0.00"),""), "")</f>
        <v/>
      </c>
      <c r="E389" s="23" t="str">
        <f>IFERROR(IF(ISNUMBER('Revenues &amp; Outlays in GDP'!D395),TEXT('Revenues &amp; Outlays in GDP'!D395, "0.00"),""), "")</f>
        <v/>
      </c>
    </row>
    <row r="390" spans="1:5">
      <c r="A390" s="23" t="str">
        <f>TEXT(IF('Revenues &amp; Outlays in GDP'!B396&lt;&gt;0,'Revenues &amp; Outlays in GDP'!B396-364, ""), "mm/dd/yyyy")</f>
        <v/>
      </c>
      <c r="B390" s="23" t="str">
        <f>IFERROR(IF(ISNUMBER('Revenues &amp; Outlays in GDP'!E396),TEXT('Revenues &amp; Outlays in GDP'!E396, "0.00"),""), "")</f>
        <v/>
      </c>
      <c r="C390" s="23" t="str">
        <f>IFERROR(IF(ISNUMBER('Revenues &amp; Outlays in GDP'!C396),TEXT('Revenues &amp; Outlays in GDP'!C396, "0.00"),""), "")</f>
        <v/>
      </c>
      <c r="D390" s="23" t="str">
        <f>IFERROR(IF(ISNUMBER('Revenues &amp; Outlays in GDP'!F396),TEXT('Revenues &amp; Outlays in GDP'!F396, "0.00"),""), "")</f>
        <v/>
      </c>
      <c r="E390" s="23" t="str">
        <f>IFERROR(IF(ISNUMBER('Revenues &amp; Outlays in GDP'!D396),TEXT('Revenues &amp; Outlays in GDP'!D396, "0.00"),""), "")</f>
        <v/>
      </c>
    </row>
    <row r="391" spans="1:5">
      <c r="A391" s="23" t="str">
        <f>TEXT(IF('Revenues &amp; Outlays in GDP'!B397&lt;&gt;0,'Revenues &amp; Outlays in GDP'!B397-364, ""), "mm/dd/yyyy")</f>
        <v/>
      </c>
      <c r="B391" s="23" t="str">
        <f>IFERROR(IF(ISNUMBER('Revenues &amp; Outlays in GDP'!E397),TEXT('Revenues &amp; Outlays in GDP'!E397, "0.00"),""), "")</f>
        <v/>
      </c>
      <c r="C391" s="23" t="str">
        <f>IFERROR(IF(ISNUMBER('Revenues &amp; Outlays in GDP'!C397),TEXT('Revenues &amp; Outlays in GDP'!C397, "0.00"),""), "")</f>
        <v/>
      </c>
      <c r="D391" s="23" t="str">
        <f>IFERROR(IF(ISNUMBER('Revenues &amp; Outlays in GDP'!F397),TEXT('Revenues &amp; Outlays in GDP'!F397, "0.00"),""), "")</f>
        <v/>
      </c>
      <c r="E391" s="23" t="str">
        <f>IFERROR(IF(ISNUMBER('Revenues &amp; Outlays in GDP'!D397),TEXT('Revenues &amp; Outlays in GDP'!D397, "0.00"),""), "")</f>
        <v/>
      </c>
    </row>
    <row r="392" spans="1:5">
      <c r="A392" s="23" t="str">
        <f>TEXT(IF('Revenues &amp; Outlays in GDP'!B398&lt;&gt;0,'Revenues &amp; Outlays in GDP'!B398-364, ""), "mm/dd/yyyy")</f>
        <v/>
      </c>
      <c r="B392" s="23" t="str">
        <f>IFERROR(IF(ISNUMBER('Revenues &amp; Outlays in GDP'!E398),TEXT('Revenues &amp; Outlays in GDP'!E398, "0.00"),""), "")</f>
        <v/>
      </c>
      <c r="C392" s="23" t="str">
        <f>IFERROR(IF(ISNUMBER('Revenues &amp; Outlays in GDP'!C398),TEXT('Revenues &amp; Outlays in GDP'!C398, "0.00"),""), "")</f>
        <v/>
      </c>
      <c r="D392" s="23" t="str">
        <f>IFERROR(IF(ISNUMBER('Revenues &amp; Outlays in GDP'!F398),TEXT('Revenues &amp; Outlays in GDP'!F398, "0.00"),""), "")</f>
        <v/>
      </c>
      <c r="E392" s="23" t="str">
        <f>IFERROR(IF(ISNUMBER('Revenues &amp; Outlays in GDP'!D398),TEXT('Revenues &amp; Outlays in GDP'!D398, "0.00"),""), "")</f>
        <v/>
      </c>
    </row>
    <row r="393" spans="1:5">
      <c r="A393" s="23" t="str">
        <f>TEXT(IF('Revenues &amp; Outlays in GDP'!B399&lt;&gt;0,'Revenues &amp; Outlays in GDP'!B399-364, ""), "mm/dd/yyyy")</f>
        <v/>
      </c>
      <c r="B393" s="23" t="str">
        <f>IFERROR(IF(ISNUMBER('Revenues &amp; Outlays in GDP'!E399),TEXT('Revenues &amp; Outlays in GDP'!E399, "0.00"),""), "")</f>
        <v/>
      </c>
      <c r="C393" s="23" t="str">
        <f>IFERROR(IF(ISNUMBER('Revenues &amp; Outlays in GDP'!C399),TEXT('Revenues &amp; Outlays in GDP'!C399, "0.00"),""), "")</f>
        <v/>
      </c>
      <c r="D393" s="23" t="str">
        <f>IFERROR(IF(ISNUMBER('Revenues &amp; Outlays in GDP'!F399),TEXT('Revenues &amp; Outlays in GDP'!F399, "0.00"),""), "")</f>
        <v/>
      </c>
      <c r="E393" s="23" t="str">
        <f>IFERROR(IF(ISNUMBER('Revenues &amp; Outlays in GDP'!D399),TEXT('Revenues &amp; Outlays in GDP'!D399, "0.00"),""), "")</f>
        <v/>
      </c>
    </row>
    <row r="394" spans="1:5">
      <c r="A394" s="23" t="str">
        <f>TEXT(IF('Revenues &amp; Outlays in GDP'!B400&lt;&gt;0,'Revenues &amp; Outlays in GDP'!B400-364, ""), "mm/dd/yyyy")</f>
        <v/>
      </c>
      <c r="B394" s="23" t="str">
        <f>IFERROR(IF(ISNUMBER('Revenues &amp; Outlays in GDP'!E400),TEXT('Revenues &amp; Outlays in GDP'!E400, "0.00"),""), "")</f>
        <v/>
      </c>
      <c r="C394" s="23" t="str">
        <f>IFERROR(IF(ISNUMBER('Revenues &amp; Outlays in GDP'!C400),TEXT('Revenues &amp; Outlays in GDP'!C400, "0.00"),""), "")</f>
        <v/>
      </c>
      <c r="D394" s="23" t="str">
        <f>IFERROR(IF(ISNUMBER('Revenues &amp; Outlays in GDP'!F400),TEXT('Revenues &amp; Outlays in GDP'!F400, "0.00"),""), "")</f>
        <v/>
      </c>
      <c r="E394" s="23" t="str">
        <f>IFERROR(IF(ISNUMBER('Revenues &amp; Outlays in GDP'!D400),TEXT('Revenues &amp; Outlays in GDP'!D400, "0.00"),""), "")</f>
        <v/>
      </c>
    </row>
    <row r="395" spans="1:5">
      <c r="A395" s="23" t="str">
        <f>TEXT(IF('Revenues &amp; Outlays in GDP'!B401&lt;&gt;0,'Revenues &amp; Outlays in GDP'!B401-364, ""), "mm/dd/yyyy")</f>
        <v/>
      </c>
      <c r="B395" s="23" t="str">
        <f>IFERROR(IF(ISNUMBER('Revenues &amp; Outlays in GDP'!E401),TEXT('Revenues &amp; Outlays in GDP'!E401, "0.00"),""), "")</f>
        <v/>
      </c>
      <c r="C395" s="23" t="str">
        <f>IFERROR(IF(ISNUMBER('Revenues &amp; Outlays in GDP'!C401),TEXT('Revenues &amp; Outlays in GDP'!C401, "0.00"),""), "")</f>
        <v/>
      </c>
      <c r="D395" s="23" t="str">
        <f>IFERROR(IF(ISNUMBER('Revenues &amp; Outlays in GDP'!F401),TEXT('Revenues &amp; Outlays in GDP'!F401, "0.00"),""), "")</f>
        <v/>
      </c>
      <c r="E395" s="23" t="str">
        <f>IFERROR(IF(ISNUMBER('Revenues &amp; Outlays in GDP'!D401),TEXT('Revenues &amp; Outlays in GDP'!D401, "0.00"),""), "")</f>
        <v/>
      </c>
    </row>
    <row r="396" spans="1:5">
      <c r="A396" s="23" t="str">
        <f>TEXT(IF('Revenues &amp; Outlays in GDP'!B402&lt;&gt;0,'Revenues &amp; Outlays in GDP'!B402-364, ""), "mm/dd/yyyy")</f>
        <v/>
      </c>
      <c r="B396" s="23" t="str">
        <f>IFERROR(IF(ISNUMBER('Revenues &amp; Outlays in GDP'!E402),TEXT('Revenues &amp; Outlays in GDP'!E402, "0.00"),""), "")</f>
        <v/>
      </c>
      <c r="C396" s="23" t="str">
        <f>IFERROR(IF(ISNUMBER('Revenues &amp; Outlays in GDP'!C402),TEXT('Revenues &amp; Outlays in GDP'!C402, "0.00"),""), "")</f>
        <v/>
      </c>
      <c r="D396" s="23" t="str">
        <f>IFERROR(IF(ISNUMBER('Revenues &amp; Outlays in GDP'!F402),TEXT('Revenues &amp; Outlays in GDP'!F402, "0.00"),""), "")</f>
        <v/>
      </c>
      <c r="E396" s="23" t="str">
        <f>IFERROR(IF(ISNUMBER('Revenues &amp; Outlays in GDP'!D402),TEXT('Revenues &amp; Outlays in GDP'!D402, "0.00"),""), "")</f>
        <v/>
      </c>
    </row>
    <row r="397" spans="1:5">
      <c r="A397" s="23" t="str">
        <f>TEXT(IF('Revenues &amp; Outlays in GDP'!B403&lt;&gt;0,'Revenues &amp; Outlays in GDP'!B403-364, ""), "mm/dd/yyyy")</f>
        <v/>
      </c>
      <c r="B397" s="23" t="str">
        <f>IFERROR(IF(ISNUMBER('Revenues &amp; Outlays in GDP'!E403),TEXT('Revenues &amp; Outlays in GDP'!E403, "0.00"),""), "")</f>
        <v/>
      </c>
      <c r="C397" s="23" t="str">
        <f>IFERROR(IF(ISNUMBER('Revenues &amp; Outlays in GDP'!C403),TEXT('Revenues &amp; Outlays in GDP'!C403, "0.00"),""), "")</f>
        <v/>
      </c>
      <c r="D397" s="23" t="str">
        <f>IFERROR(IF(ISNUMBER('Revenues &amp; Outlays in GDP'!F403),TEXT('Revenues &amp; Outlays in GDP'!F403, "0.00"),""), "")</f>
        <v/>
      </c>
      <c r="E397" s="23" t="str">
        <f>IFERROR(IF(ISNUMBER('Revenues &amp; Outlays in GDP'!D403),TEXT('Revenues &amp; Outlays in GDP'!D403, "0.00"),""), "")</f>
        <v/>
      </c>
    </row>
    <row r="398" spans="1:5">
      <c r="A398" s="23" t="str">
        <f>TEXT(IF('Revenues &amp; Outlays in GDP'!B404&lt;&gt;0,'Revenues &amp; Outlays in GDP'!B404-364, ""), "mm/dd/yyyy")</f>
        <v/>
      </c>
      <c r="B398" s="23" t="str">
        <f>IFERROR(IF(ISNUMBER('Revenues &amp; Outlays in GDP'!E404),TEXT('Revenues &amp; Outlays in GDP'!E404, "0.00"),""), "")</f>
        <v/>
      </c>
      <c r="C398" s="23" t="str">
        <f>IFERROR(IF(ISNUMBER('Revenues &amp; Outlays in GDP'!C404),TEXT('Revenues &amp; Outlays in GDP'!C404, "0.00"),""), "")</f>
        <v/>
      </c>
      <c r="D398" s="23" t="str">
        <f>IFERROR(IF(ISNUMBER('Revenues &amp; Outlays in GDP'!F404),TEXT('Revenues &amp; Outlays in GDP'!F404, "0.00"),""), "")</f>
        <v/>
      </c>
      <c r="E398" s="23" t="str">
        <f>IFERROR(IF(ISNUMBER('Revenues &amp; Outlays in GDP'!D404),TEXT('Revenues &amp; Outlays in GDP'!D404, "0.00"),""), "")</f>
        <v/>
      </c>
    </row>
    <row r="399" spans="1:5">
      <c r="A399" s="23" t="str">
        <f>TEXT(IF('Revenues &amp; Outlays in GDP'!B405&lt;&gt;0,'Revenues &amp; Outlays in GDP'!B405-364, ""), "mm/dd/yyyy")</f>
        <v/>
      </c>
      <c r="B399" s="23" t="str">
        <f>IFERROR(IF(ISNUMBER('Revenues &amp; Outlays in GDP'!E405),TEXT('Revenues &amp; Outlays in GDP'!E405, "0.00"),""), "")</f>
        <v/>
      </c>
      <c r="C399" s="23" t="str">
        <f>IFERROR(IF(ISNUMBER('Revenues &amp; Outlays in GDP'!C405),TEXT('Revenues &amp; Outlays in GDP'!C405, "0.00"),""), "")</f>
        <v/>
      </c>
      <c r="D399" s="23" t="str">
        <f>IFERROR(IF(ISNUMBER('Revenues &amp; Outlays in GDP'!F405),TEXT('Revenues &amp; Outlays in GDP'!F405, "0.00"),""), "")</f>
        <v/>
      </c>
      <c r="E399" s="23" t="str">
        <f>IFERROR(IF(ISNUMBER('Revenues &amp; Outlays in GDP'!D405),TEXT('Revenues &amp; Outlays in GDP'!D405, "0.00"),""), "")</f>
        <v/>
      </c>
    </row>
    <row r="400" spans="1:5">
      <c r="A400" s="23" t="str">
        <f>TEXT(IF('Revenues &amp; Outlays in GDP'!B406&lt;&gt;0,'Revenues &amp; Outlays in GDP'!B406-364, ""), "mm/dd/yyyy")</f>
        <v/>
      </c>
      <c r="B400" s="23" t="str">
        <f>IFERROR(IF(ISNUMBER('Revenues &amp; Outlays in GDP'!E406),TEXT('Revenues &amp; Outlays in GDP'!E406, "0.00"),""), "")</f>
        <v/>
      </c>
      <c r="C400" s="23" t="str">
        <f>IFERROR(IF(ISNUMBER('Revenues &amp; Outlays in GDP'!C406),TEXT('Revenues &amp; Outlays in GDP'!C406, "0.00"),""), "")</f>
        <v/>
      </c>
      <c r="D400" s="23" t="str">
        <f>IFERROR(IF(ISNUMBER('Revenues &amp; Outlays in GDP'!F406),TEXT('Revenues &amp; Outlays in GDP'!F406, "0.00"),""), "")</f>
        <v/>
      </c>
      <c r="E400" s="23" t="str">
        <f>IFERROR(IF(ISNUMBER('Revenues &amp; Outlays in GDP'!D406),TEXT('Revenues &amp; Outlays in GDP'!D406, "0.00"),""), "")</f>
        <v/>
      </c>
    </row>
    <row r="401" spans="1:5">
      <c r="A401" s="23" t="str">
        <f>TEXT(IF('Revenues &amp; Outlays in GDP'!B407&lt;&gt;0,'Revenues &amp; Outlays in GDP'!B407-364, ""), "mm/dd/yyyy")</f>
        <v/>
      </c>
      <c r="B401" s="23" t="str">
        <f>IFERROR(IF(ISNUMBER('Revenues &amp; Outlays in GDP'!E407),TEXT('Revenues &amp; Outlays in GDP'!E407, "0.00"),""), "")</f>
        <v/>
      </c>
      <c r="C401" s="23" t="str">
        <f>IFERROR(IF(ISNUMBER('Revenues &amp; Outlays in GDP'!C407),TEXT('Revenues &amp; Outlays in GDP'!C407, "0.00"),""), "")</f>
        <v/>
      </c>
      <c r="D401" s="23" t="str">
        <f>IFERROR(IF(ISNUMBER('Revenues &amp; Outlays in GDP'!F407),TEXT('Revenues &amp; Outlays in GDP'!F407, "0.00"),""), "")</f>
        <v/>
      </c>
      <c r="E401" s="23" t="str">
        <f>IFERROR(IF(ISNUMBER('Revenues &amp; Outlays in GDP'!D407),TEXT('Revenues &amp; Outlays in GDP'!D407, "0.00"),""), "")</f>
        <v/>
      </c>
    </row>
    <row r="402" spans="1:5">
      <c r="A402" s="23" t="str">
        <f>TEXT(IF('Revenues &amp; Outlays in GDP'!B408&lt;&gt;0,'Revenues &amp; Outlays in GDP'!B408-364, ""), "mm/dd/yyyy")</f>
        <v/>
      </c>
      <c r="B402" s="23" t="str">
        <f>IFERROR(IF(ISNUMBER('Revenues &amp; Outlays in GDP'!E408),TEXT('Revenues &amp; Outlays in GDP'!E408, "0.00"),""), "")</f>
        <v/>
      </c>
      <c r="C402" s="23" t="str">
        <f>IFERROR(IF(ISNUMBER('Revenues &amp; Outlays in GDP'!C408),TEXT('Revenues &amp; Outlays in GDP'!C408, "0.00"),""), "")</f>
        <v/>
      </c>
      <c r="D402" s="23" t="str">
        <f>IFERROR(IF(ISNUMBER('Revenues &amp; Outlays in GDP'!F408),TEXT('Revenues &amp; Outlays in GDP'!F408, "0.00"),""), "")</f>
        <v/>
      </c>
      <c r="E402" s="23" t="str">
        <f>IFERROR(IF(ISNUMBER('Revenues &amp; Outlays in GDP'!D408),TEXT('Revenues &amp; Outlays in GDP'!D408, "0.00"),""), "")</f>
        <v/>
      </c>
    </row>
    <row r="403" spans="1:5">
      <c r="A403" s="23" t="str">
        <f>TEXT(IF('Revenues &amp; Outlays in GDP'!B409&lt;&gt;0,'Revenues &amp; Outlays in GDP'!B409-364, ""), "mm/dd/yyyy")</f>
        <v/>
      </c>
      <c r="B403" s="23" t="str">
        <f>IFERROR(IF(ISNUMBER('Revenues &amp; Outlays in GDP'!E409),TEXT('Revenues &amp; Outlays in GDP'!E409, "0.00"),""), "")</f>
        <v/>
      </c>
      <c r="C403" s="23" t="str">
        <f>IFERROR(IF(ISNUMBER('Revenues &amp; Outlays in GDP'!C409),TEXT('Revenues &amp; Outlays in GDP'!C409, "0.00"),""), "")</f>
        <v/>
      </c>
      <c r="D403" s="23" t="str">
        <f>IFERROR(IF(ISNUMBER('Revenues &amp; Outlays in GDP'!F409),TEXT('Revenues &amp; Outlays in GDP'!F409, "0.00"),""), "")</f>
        <v/>
      </c>
      <c r="E403" s="23" t="str">
        <f>IFERROR(IF(ISNUMBER('Revenues &amp; Outlays in GDP'!D409),TEXT('Revenues &amp; Outlays in GDP'!D409, "0.00"),""), "")</f>
        <v/>
      </c>
    </row>
    <row r="404" spans="1:5">
      <c r="A404" s="23" t="str">
        <f>TEXT(IF('Revenues &amp; Outlays in GDP'!B410&lt;&gt;0,'Revenues &amp; Outlays in GDP'!B410-364, ""), "mm/dd/yyyy")</f>
        <v/>
      </c>
      <c r="B404" s="23" t="str">
        <f>IFERROR(IF(ISNUMBER('Revenues &amp; Outlays in GDP'!E410),TEXT('Revenues &amp; Outlays in GDP'!E410, "0.00"),""), "")</f>
        <v/>
      </c>
      <c r="C404" s="23" t="str">
        <f>IFERROR(IF(ISNUMBER('Revenues &amp; Outlays in GDP'!C410),TEXT('Revenues &amp; Outlays in GDP'!C410, "0.00"),""), "")</f>
        <v/>
      </c>
      <c r="D404" s="23" t="str">
        <f>IFERROR(IF(ISNUMBER('Revenues &amp; Outlays in GDP'!F410),TEXT('Revenues &amp; Outlays in GDP'!F410, "0.00"),""), "")</f>
        <v/>
      </c>
      <c r="E404" s="23" t="str">
        <f>IFERROR(IF(ISNUMBER('Revenues &amp; Outlays in GDP'!D410),TEXT('Revenues &amp; Outlays in GDP'!D410, "0.00"),""), "")</f>
        <v/>
      </c>
    </row>
    <row r="405" spans="1:5">
      <c r="A405" s="23" t="str">
        <f>TEXT(IF('Revenues &amp; Outlays in GDP'!B411&lt;&gt;0,'Revenues &amp; Outlays in GDP'!B411-364, ""), "mm/dd/yyyy")</f>
        <v/>
      </c>
      <c r="B405" s="23" t="str">
        <f>IFERROR(IF(ISNUMBER('Revenues &amp; Outlays in GDP'!E411),TEXT('Revenues &amp; Outlays in GDP'!E411, "0.00"),""), "")</f>
        <v/>
      </c>
      <c r="C405" s="23" t="str">
        <f>IFERROR(IF(ISNUMBER('Revenues &amp; Outlays in GDP'!C411),TEXT('Revenues &amp; Outlays in GDP'!C411, "0.00"),""), "")</f>
        <v/>
      </c>
      <c r="D405" s="23" t="str">
        <f>IFERROR(IF(ISNUMBER('Revenues &amp; Outlays in GDP'!F411),TEXT('Revenues &amp; Outlays in GDP'!F411, "0.00"),""), "")</f>
        <v/>
      </c>
      <c r="E405" s="23" t="str">
        <f>IFERROR(IF(ISNUMBER('Revenues &amp; Outlays in GDP'!D411),TEXT('Revenues &amp; Outlays in GDP'!D411, "0.00"),""), "")</f>
        <v/>
      </c>
    </row>
    <row r="406" spans="1:5">
      <c r="A406" s="23" t="str">
        <f>TEXT(IF('Revenues &amp; Outlays in GDP'!B412&lt;&gt;0,'Revenues &amp; Outlays in GDP'!B412-364, ""), "mm/dd/yyyy")</f>
        <v/>
      </c>
      <c r="B406" s="23" t="str">
        <f>IFERROR(IF(ISNUMBER('Revenues &amp; Outlays in GDP'!E412),TEXT('Revenues &amp; Outlays in GDP'!E412, "0.00"),""), "")</f>
        <v/>
      </c>
      <c r="C406" s="23" t="str">
        <f>IFERROR(IF(ISNUMBER('Revenues &amp; Outlays in GDP'!C412),TEXT('Revenues &amp; Outlays in GDP'!C412, "0.00"),""), "")</f>
        <v/>
      </c>
      <c r="D406" s="23" t="str">
        <f>IFERROR(IF(ISNUMBER('Revenues &amp; Outlays in GDP'!F412),TEXT('Revenues &amp; Outlays in GDP'!F412, "0.00"),""), "")</f>
        <v/>
      </c>
      <c r="E406" s="23" t="str">
        <f>IFERROR(IF(ISNUMBER('Revenues &amp; Outlays in GDP'!D412),TEXT('Revenues &amp; Outlays in GDP'!D412, "0.00"),""), "")</f>
        <v/>
      </c>
    </row>
    <row r="407" spans="1:5">
      <c r="A407" s="23" t="str">
        <f>TEXT(IF('Revenues &amp; Outlays in GDP'!B413&lt;&gt;0,'Revenues &amp; Outlays in GDP'!B413-364, ""), "mm/dd/yyyy")</f>
        <v/>
      </c>
      <c r="B407" s="23" t="str">
        <f>IFERROR(IF(ISNUMBER('Revenues &amp; Outlays in GDP'!E413),TEXT('Revenues &amp; Outlays in GDP'!E413, "0.00"),""), "")</f>
        <v/>
      </c>
      <c r="C407" s="23" t="str">
        <f>IFERROR(IF(ISNUMBER('Revenues &amp; Outlays in GDP'!C413),TEXT('Revenues &amp; Outlays in GDP'!C413, "0.00"),""), "")</f>
        <v/>
      </c>
      <c r="D407" s="23" t="str">
        <f>IFERROR(IF(ISNUMBER('Revenues &amp; Outlays in GDP'!F413),TEXT('Revenues &amp; Outlays in GDP'!F413, "0.00"),""), "")</f>
        <v/>
      </c>
      <c r="E407" s="23" t="str">
        <f>IFERROR(IF(ISNUMBER('Revenues &amp; Outlays in GDP'!D413),TEXT('Revenues &amp; Outlays in GDP'!D413, "0.00"),""), "")</f>
        <v/>
      </c>
    </row>
    <row r="408" spans="1:5">
      <c r="A408" s="23" t="str">
        <f>TEXT(IF('Revenues &amp; Outlays in GDP'!B414&lt;&gt;0,'Revenues &amp; Outlays in GDP'!B414-364, ""), "mm/dd/yyyy")</f>
        <v/>
      </c>
      <c r="B408" s="23" t="str">
        <f>IFERROR(IF(ISNUMBER('Revenues &amp; Outlays in GDP'!E414),TEXT('Revenues &amp; Outlays in GDP'!E414, "0.00"),""), "")</f>
        <v/>
      </c>
      <c r="C408" s="23" t="str">
        <f>IFERROR(IF(ISNUMBER('Revenues &amp; Outlays in GDP'!C414),TEXT('Revenues &amp; Outlays in GDP'!C414, "0.00"),""), "")</f>
        <v/>
      </c>
      <c r="D408" s="23" t="str">
        <f>IFERROR(IF(ISNUMBER('Revenues &amp; Outlays in GDP'!F414),TEXT('Revenues &amp; Outlays in GDP'!F414, "0.00"),""), "")</f>
        <v/>
      </c>
      <c r="E408" s="23" t="str">
        <f>IFERROR(IF(ISNUMBER('Revenues &amp; Outlays in GDP'!D414),TEXT('Revenues &amp; Outlays in GDP'!D414, "0.00"),""), "")</f>
        <v/>
      </c>
    </row>
    <row r="409" spans="1:5">
      <c r="A409" s="23" t="str">
        <f>TEXT(IF('Revenues &amp; Outlays in GDP'!B415&lt;&gt;0,'Revenues &amp; Outlays in GDP'!B415-364, ""), "mm/dd/yyyy")</f>
        <v/>
      </c>
      <c r="B409" s="23" t="str">
        <f>IFERROR(IF(ISNUMBER('Revenues &amp; Outlays in GDP'!E415),TEXT('Revenues &amp; Outlays in GDP'!E415, "0.00"),""), "")</f>
        <v/>
      </c>
      <c r="C409" s="23" t="str">
        <f>IFERROR(IF(ISNUMBER('Revenues &amp; Outlays in GDP'!C415),TEXT('Revenues &amp; Outlays in GDP'!C415, "0.00"),""), "")</f>
        <v/>
      </c>
      <c r="D409" s="23" t="str">
        <f>IFERROR(IF(ISNUMBER('Revenues &amp; Outlays in GDP'!F415),TEXT('Revenues &amp; Outlays in GDP'!F415, "0.00"),""), "")</f>
        <v/>
      </c>
      <c r="E409" s="23" t="str">
        <f>IFERROR(IF(ISNUMBER('Revenues &amp; Outlays in GDP'!D415),TEXT('Revenues &amp; Outlays in GDP'!D415, "0.00"),""), "")</f>
        <v/>
      </c>
    </row>
    <row r="410" spans="1:5">
      <c r="A410" s="23" t="str">
        <f>TEXT(IF('Revenues &amp; Outlays in GDP'!B416&lt;&gt;0,'Revenues &amp; Outlays in GDP'!B416-364, ""), "mm/dd/yyyy")</f>
        <v/>
      </c>
      <c r="B410" s="23" t="str">
        <f>IFERROR(IF(ISNUMBER('Revenues &amp; Outlays in GDP'!E416),TEXT('Revenues &amp; Outlays in GDP'!E416, "0.00"),""), "")</f>
        <v/>
      </c>
      <c r="C410" s="23" t="str">
        <f>IFERROR(IF(ISNUMBER('Revenues &amp; Outlays in GDP'!C416),TEXT('Revenues &amp; Outlays in GDP'!C416, "0.00"),""), "")</f>
        <v/>
      </c>
      <c r="D410" s="23" t="str">
        <f>IFERROR(IF(ISNUMBER('Revenues &amp; Outlays in GDP'!F416),TEXT('Revenues &amp; Outlays in GDP'!F416, "0.00"),""), "")</f>
        <v/>
      </c>
      <c r="E410" s="23" t="str">
        <f>IFERROR(IF(ISNUMBER('Revenues &amp; Outlays in GDP'!D416),TEXT('Revenues &amp; Outlays in GDP'!D416, "0.00"),""), "")</f>
        <v/>
      </c>
    </row>
    <row r="411" spans="1:5">
      <c r="A411" s="23" t="str">
        <f>TEXT(IF('Revenues &amp; Outlays in GDP'!B417&lt;&gt;0,'Revenues &amp; Outlays in GDP'!B417-364, ""), "mm/dd/yyyy")</f>
        <v/>
      </c>
      <c r="B411" s="23" t="str">
        <f>IFERROR(IF(ISNUMBER('Revenues &amp; Outlays in GDP'!E417),TEXT('Revenues &amp; Outlays in GDP'!E417, "0.00"),""), "")</f>
        <v/>
      </c>
      <c r="C411" s="23" t="str">
        <f>IFERROR(IF(ISNUMBER('Revenues &amp; Outlays in GDP'!C417),TEXT('Revenues &amp; Outlays in GDP'!C417, "0.00"),""), "")</f>
        <v/>
      </c>
      <c r="D411" s="23" t="str">
        <f>IFERROR(IF(ISNUMBER('Revenues &amp; Outlays in GDP'!F417),TEXT('Revenues &amp; Outlays in GDP'!F417, "0.00"),""), "")</f>
        <v/>
      </c>
      <c r="E411" s="23" t="str">
        <f>IFERROR(IF(ISNUMBER('Revenues &amp; Outlays in GDP'!D417),TEXT('Revenues &amp; Outlays in GDP'!D417, "0.00"),""), "")</f>
        <v/>
      </c>
    </row>
    <row r="412" spans="1:5">
      <c r="A412" s="23" t="str">
        <f>TEXT(IF('Revenues &amp; Outlays in GDP'!B418&lt;&gt;0,'Revenues &amp; Outlays in GDP'!B418-364, ""), "mm/dd/yyyy")</f>
        <v/>
      </c>
      <c r="B412" s="23" t="str">
        <f>IFERROR(IF(ISNUMBER('Revenues &amp; Outlays in GDP'!E418),TEXT('Revenues &amp; Outlays in GDP'!E418, "0.00"),""), "")</f>
        <v/>
      </c>
      <c r="C412" s="23" t="str">
        <f>IFERROR(IF(ISNUMBER('Revenues &amp; Outlays in GDP'!C418),TEXT('Revenues &amp; Outlays in GDP'!C418, "0.00"),""), "")</f>
        <v/>
      </c>
      <c r="D412" s="23" t="str">
        <f>IFERROR(IF(ISNUMBER('Revenues &amp; Outlays in GDP'!F418),TEXT('Revenues &amp; Outlays in GDP'!F418, "0.00"),""), "")</f>
        <v/>
      </c>
      <c r="E412" s="23" t="str">
        <f>IFERROR(IF(ISNUMBER('Revenues &amp; Outlays in GDP'!D418),TEXT('Revenues &amp; Outlays in GDP'!D418, "0.00"),""), "")</f>
        <v/>
      </c>
    </row>
    <row r="413" spans="1:5">
      <c r="A413" s="23" t="str">
        <f>TEXT(IF('Revenues &amp; Outlays in GDP'!B419&lt;&gt;0,'Revenues &amp; Outlays in GDP'!B419-364, ""), "mm/dd/yyyy")</f>
        <v/>
      </c>
      <c r="B413" s="23" t="str">
        <f>IFERROR(IF(ISNUMBER('Revenues &amp; Outlays in GDP'!E419),TEXT('Revenues &amp; Outlays in GDP'!E419, "0.00"),""), "")</f>
        <v/>
      </c>
      <c r="C413" s="23" t="str">
        <f>IFERROR(IF(ISNUMBER('Revenues &amp; Outlays in GDP'!C419),TEXT('Revenues &amp; Outlays in GDP'!C419, "0.00"),""), "")</f>
        <v/>
      </c>
      <c r="D413" s="23" t="str">
        <f>IFERROR(IF(ISNUMBER('Revenues &amp; Outlays in GDP'!F419),TEXT('Revenues &amp; Outlays in GDP'!F419, "0.00"),""), "")</f>
        <v/>
      </c>
      <c r="E413" s="23" t="str">
        <f>IFERROR(IF(ISNUMBER('Revenues &amp; Outlays in GDP'!D419),TEXT('Revenues &amp; Outlays in GDP'!D419, "0.00"),""), "")</f>
        <v/>
      </c>
    </row>
    <row r="414" spans="1:5">
      <c r="A414" s="23" t="str">
        <f>TEXT(IF('Revenues &amp; Outlays in GDP'!B420&lt;&gt;0,'Revenues &amp; Outlays in GDP'!B420-364, ""), "mm/dd/yyyy")</f>
        <v/>
      </c>
      <c r="B414" s="23" t="str">
        <f>IFERROR(IF(ISNUMBER('Revenues &amp; Outlays in GDP'!E420),TEXT('Revenues &amp; Outlays in GDP'!E420, "0.00"),""), "")</f>
        <v/>
      </c>
      <c r="C414" s="23" t="str">
        <f>IFERROR(IF(ISNUMBER('Revenues &amp; Outlays in GDP'!C420),TEXT('Revenues &amp; Outlays in GDP'!C420, "0.00"),""), "")</f>
        <v/>
      </c>
      <c r="D414" s="23" t="str">
        <f>IFERROR(IF(ISNUMBER('Revenues &amp; Outlays in GDP'!F420),TEXT('Revenues &amp; Outlays in GDP'!F420, "0.00"),""), "")</f>
        <v/>
      </c>
      <c r="E414" s="23" t="str">
        <f>IFERROR(IF(ISNUMBER('Revenues &amp; Outlays in GDP'!D420),TEXT('Revenues &amp; Outlays in GDP'!D420, "0.00"),""), "")</f>
        <v/>
      </c>
    </row>
    <row r="415" spans="1:5">
      <c r="A415" s="23" t="str">
        <f>TEXT(IF('Revenues &amp; Outlays in GDP'!B421&lt;&gt;0,'Revenues &amp; Outlays in GDP'!B421-364, ""), "mm/dd/yyyy")</f>
        <v/>
      </c>
      <c r="B415" s="23" t="str">
        <f>IFERROR(IF(ISNUMBER('Revenues &amp; Outlays in GDP'!E421),TEXT('Revenues &amp; Outlays in GDP'!E421, "0.00"),""), "")</f>
        <v/>
      </c>
      <c r="C415" s="23" t="str">
        <f>IFERROR(IF(ISNUMBER('Revenues &amp; Outlays in GDP'!C421),TEXT('Revenues &amp; Outlays in GDP'!C421, "0.00"),""), "")</f>
        <v/>
      </c>
      <c r="D415" s="23" t="str">
        <f>IFERROR(IF(ISNUMBER('Revenues &amp; Outlays in GDP'!F421),TEXT('Revenues &amp; Outlays in GDP'!F421, "0.00"),""), "")</f>
        <v/>
      </c>
      <c r="E415" s="23" t="str">
        <f>IFERROR(IF(ISNUMBER('Revenues &amp; Outlays in GDP'!D421),TEXT('Revenues &amp; Outlays in GDP'!D421, "0.00"),""), "")</f>
        <v/>
      </c>
    </row>
    <row r="416" spans="1:5">
      <c r="A416" s="23" t="str">
        <f>TEXT(IF('Revenues &amp; Outlays in GDP'!B422&lt;&gt;0,'Revenues &amp; Outlays in GDP'!B422-364, ""), "mm/dd/yyyy")</f>
        <v/>
      </c>
      <c r="B416" s="23" t="str">
        <f>IFERROR(IF(ISNUMBER('Revenues &amp; Outlays in GDP'!E422),TEXT('Revenues &amp; Outlays in GDP'!E422, "0.00"),""), "")</f>
        <v/>
      </c>
      <c r="C416" s="23" t="str">
        <f>IFERROR(IF(ISNUMBER('Revenues &amp; Outlays in GDP'!C422),TEXT('Revenues &amp; Outlays in GDP'!C422, "0.00"),""), "")</f>
        <v/>
      </c>
      <c r="D416" s="23" t="str">
        <f>IFERROR(IF(ISNUMBER('Revenues &amp; Outlays in GDP'!F422),TEXT('Revenues &amp; Outlays in GDP'!F422, "0.00"),""), "")</f>
        <v/>
      </c>
      <c r="E416" s="23" t="str">
        <f>IFERROR(IF(ISNUMBER('Revenues &amp; Outlays in GDP'!D422),TEXT('Revenues &amp; Outlays in GDP'!D422, "0.00"),""), "")</f>
        <v/>
      </c>
    </row>
    <row r="417" spans="1:5">
      <c r="A417" s="23" t="str">
        <f>TEXT(IF('Revenues &amp; Outlays in GDP'!B423&lt;&gt;0,'Revenues &amp; Outlays in GDP'!B423-364, ""), "mm/dd/yyyy")</f>
        <v/>
      </c>
      <c r="B417" s="23" t="str">
        <f>IFERROR(IF(ISNUMBER('Revenues &amp; Outlays in GDP'!E423),TEXT('Revenues &amp; Outlays in GDP'!E423, "0.00"),""), "")</f>
        <v/>
      </c>
      <c r="C417" s="23" t="str">
        <f>IFERROR(IF(ISNUMBER('Revenues &amp; Outlays in GDP'!C423),TEXT('Revenues &amp; Outlays in GDP'!C423, "0.00"),""), "")</f>
        <v/>
      </c>
      <c r="D417" s="23" t="str">
        <f>IFERROR(IF(ISNUMBER('Revenues &amp; Outlays in GDP'!F423),TEXT('Revenues &amp; Outlays in GDP'!F423, "0.00"),""), "")</f>
        <v/>
      </c>
      <c r="E417" s="23" t="str">
        <f>IFERROR(IF(ISNUMBER('Revenues &amp; Outlays in GDP'!D423),TEXT('Revenues &amp; Outlays in GDP'!D423, "0.00"),""), "")</f>
        <v/>
      </c>
    </row>
    <row r="418" spans="1:5">
      <c r="A418" s="23" t="str">
        <f>TEXT(IF('Revenues &amp; Outlays in GDP'!B424&lt;&gt;0,'Revenues &amp; Outlays in GDP'!B424-364, ""), "mm/dd/yyyy")</f>
        <v/>
      </c>
      <c r="B418" s="23" t="str">
        <f>IFERROR(IF(ISNUMBER('Revenues &amp; Outlays in GDP'!E424),TEXT('Revenues &amp; Outlays in GDP'!E424, "0.00"),""), "")</f>
        <v/>
      </c>
      <c r="C418" s="23" t="str">
        <f>IFERROR(IF(ISNUMBER('Revenues &amp; Outlays in GDP'!C424),TEXT('Revenues &amp; Outlays in GDP'!C424, "0.00"),""), "")</f>
        <v/>
      </c>
      <c r="D418" s="23" t="str">
        <f>IFERROR(IF(ISNUMBER('Revenues &amp; Outlays in GDP'!F424),TEXT('Revenues &amp; Outlays in GDP'!F424, "0.00"),""), "")</f>
        <v/>
      </c>
      <c r="E418" s="23" t="str">
        <f>IFERROR(IF(ISNUMBER('Revenues &amp; Outlays in GDP'!D424),TEXT('Revenues &amp; Outlays in GDP'!D424, "0.00"),""), "")</f>
        <v/>
      </c>
    </row>
    <row r="419" spans="1:5">
      <c r="A419" s="23" t="str">
        <f>TEXT(IF('Revenues &amp; Outlays in GDP'!B425&lt;&gt;0,'Revenues &amp; Outlays in GDP'!B425-364, ""), "mm/dd/yyyy")</f>
        <v/>
      </c>
      <c r="B419" s="23" t="str">
        <f>IFERROR(IF(ISNUMBER('Revenues &amp; Outlays in GDP'!E425),TEXT('Revenues &amp; Outlays in GDP'!E425, "0.00"),""), "")</f>
        <v/>
      </c>
      <c r="C419" s="23" t="str">
        <f>IFERROR(IF(ISNUMBER('Revenues &amp; Outlays in GDP'!C425),TEXT('Revenues &amp; Outlays in GDP'!C425, "0.00"),""), "")</f>
        <v/>
      </c>
      <c r="D419" s="23" t="str">
        <f>IFERROR(IF(ISNUMBER('Revenues &amp; Outlays in GDP'!F425),TEXT('Revenues &amp; Outlays in GDP'!F425, "0.00"),""), "")</f>
        <v/>
      </c>
      <c r="E419" s="23" t="str">
        <f>IFERROR(IF(ISNUMBER('Revenues &amp; Outlays in GDP'!D425),TEXT('Revenues &amp; Outlays in GDP'!D425, "0.00"),""), "")</f>
        <v/>
      </c>
    </row>
    <row r="420" spans="1:5">
      <c r="A420" s="23" t="str">
        <f>TEXT(IF('Revenues &amp; Outlays in GDP'!B426&lt;&gt;0,'Revenues &amp; Outlays in GDP'!B426-364, ""), "mm/dd/yyyy")</f>
        <v/>
      </c>
      <c r="B420" s="23" t="str">
        <f>IFERROR(IF(ISNUMBER('Revenues &amp; Outlays in GDP'!E426),TEXT('Revenues &amp; Outlays in GDP'!E426, "0.00"),""), "")</f>
        <v/>
      </c>
      <c r="C420" s="23" t="str">
        <f>IFERROR(IF(ISNUMBER('Revenues &amp; Outlays in GDP'!C426),TEXT('Revenues &amp; Outlays in GDP'!C426, "0.00"),""), "")</f>
        <v/>
      </c>
      <c r="D420" s="23" t="str">
        <f>IFERROR(IF(ISNUMBER('Revenues &amp; Outlays in GDP'!F426),TEXT('Revenues &amp; Outlays in GDP'!F426, "0.00"),""), "")</f>
        <v/>
      </c>
      <c r="E420" s="23" t="str">
        <f>IFERROR(IF(ISNUMBER('Revenues &amp; Outlays in GDP'!D426),TEXT('Revenues &amp; Outlays in GDP'!D426, "0.00"),""), "")</f>
        <v/>
      </c>
    </row>
    <row r="421" spans="1:5">
      <c r="A421" s="23" t="str">
        <f>TEXT(IF('Revenues &amp; Outlays in GDP'!B427&lt;&gt;0,'Revenues &amp; Outlays in GDP'!B427-364, ""), "mm/dd/yyyy")</f>
        <v/>
      </c>
      <c r="B421" s="23" t="str">
        <f>IFERROR(IF(ISNUMBER('Revenues &amp; Outlays in GDP'!E427),TEXT('Revenues &amp; Outlays in GDP'!E427, "0.00"),""), "")</f>
        <v/>
      </c>
      <c r="C421" s="23" t="str">
        <f>IFERROR(IF(ISNUMBER('Revenues &amp; Outlays in GDP'!C427),TEXT('Revenues &amp; Outlays in GDP'!C427, "0.00"),""), "")</f>
        <v/>
      </c>
      <c r="D421" s="23" t="str">
        <f>IFERROR(IF(ISNUMBER('Revenues &amp; Outlays in GDP'!F427),TEXT('Revenues &amp; Outlays in GDP'!F427, "0.00"),""), "")</f>
        <v/>
      </c>
      <c r="E421" s="23" t="str">
        <f>IFERROR(IF(ISNUMBER('Revenues &amp; Outlays in GDP'!D427),TEXT('Revenues &amp; Outlays in GDP'!D427, "0.00"),""), "")</f>
        <v/>
      </c>
    </row>
    <row r="422" spans="1:5">
      <c r="A422" s="23" t="str">
        <f>TEXT(IF('Revenues &amp; Outlays in GDP'!B428&lt;&gt;0,'Revenues &amp; Outlays in GDP'!B428-364, ""), "mm/dd/yyyy")</f>
        <v/>
      </c>
      <c r="B422" s="23" t="str">
        <f>IFERROR(IF(ISNUMBER('Revenues &amp; Outlays in GDP'!E428),TEXT('Revenues &amp; Outlays in GDP'!E428, "0.00"),""), "")</f>
        <v/>
      </c>
      <c r="C422" s="23" t="str">
        <f>IFERROR(IF(ISNUMBER('Revenues &amp; Outlays in GDP'!C428),TEXT('Revenues &amp; Outlays in GDP'!C428, "0.00"),""), "")</f>
        <v/>
      </c>
      <c r="D422" s="23" t="str">
        <f>IFERROR(IF(ISNUMBER('Revenues &amp; Outlays in GDP'!F428),TEXT('Revenues &amp; Outlays in GDP'!F428, "0.00"),""), "")</f>
        <v/>
      </c>
      <c r="E422" s="23" t="str">
        <f>IFERROR(IF(ISNUMBER('Revenues &amp; Outlays in GDP'!D428),TEXT('Revenues &amp; Outlays in GDP'!D428, "0.00"),""), "")</f>
        <v/>
      </c>
    </row>
    <row r="423" spans="1:5">
      <c r="A423" s="23" t="str">
        <f>TEXT(IF('Revenues &amp; Outlays in GDP'!B429&lt;&gt;0,'Revenues &amp; Outlays in GDP'!B429-364, ""), "mm/dd/yyyy")</f>
        <v/>
      </c>
      <c r="B423" s="23" t="str">
        <f>IFERROR(IF(ISNUMBER('Revenues &amp; Outlays in GDP'!E429),TEXT('Revenues &amp; Outlays in GDP'!E429, "0.00"),""), "")</f>
        <v/>
      </c>
      <c r="C423" s="23" t="str">
        <f>IFERROR(IF(ISNUMBER('Revenues &amp; Outlays in GDP'!C429),TEXT('Revenues &amp; Outlays in GDP'!C429, "0.00"),""), "")</f>
        <v/>
      </c>
      <c r="D423" s="23" t="str">
        <f>IFERROR(IF(ISNUMBER('Revenues &amp; Outlays in GDP'!F429),TEXT('Revenues &amp; Outlays in GDP'!F429, "0.00"),""), "")</f>
        <v/>
      </c>
      <c r="E423" s="23" t="str">
        <f>IFERROR(IF(ISNUMBER('Revenues &amp; Outlays in GDP'!D429),TEXT('Revenues &amp; Outlays in GDP'!D429, "0.00"),""), "")</f>
        <v/>
      </c>
    </row>
    <row r="424" spans="1:5">
      <c r="A424" s="23" t="str">
        <f>TEXT(IF('Revenues &amp; Outlays in GDP'!B430&lt;&gt;0,'Revenues &amp; Outlays in GDP'!B430-364, ""), "mm/dd/yyyy")</f>
        <v/>
      </c>
      <c r="B424" s="23" t="str">
        <f>IFERROR(IF(ISNUMBER('Revenues &amp; Outlays in GDP'!E430),TEXT('Revenues &amp; Outlays in GDP'!E430, "0.00"),""), "")</f>
        <v/>
      </c>
      <c r="C424" s="23" t="str">
        <f>IFERROR(IF(ISNUMBER('Revenues &amp; Outlays in GDP'!C430),TEXT('Revenues &amp; Outlays in GDP'!C430, "0.00"),""), "")</f>
        <v/>
      </c>
      <c r="D424" s="23" t="str">
        <f>IFERROR(IF(ISNUMBER('Revenues &amp; Outlays in GDP'!F430),TEXT('Revenues &amp; Outlays in GDP'!F430, "0.00"),""), "")</f>
        <v/>
      </c>
      <c r="E424" s="23" t="str">
        <f>IFERROR(IF(ISNUMBER('Revenues &amp; Outlays in GDP'!D430),TEXT('Revenues &amp; Outlays in GDP'!D430, "0.00"),""), "")</f>
        <v/>
      </c>
    </row>
    <row r="425" spans="1:5">
      <c r="A425" s="23" t="str">
        <f>TEXT(IF('Revenues &amp; Outlays in GDP'!B431&lt;&gt;0,'Revenues &amp; Outlays in GDP'!B431-364, ""), "mm/dd/yyyy")</f>
        <v/>
      </c>
      <c r="B425" s="23" t="str">
        <f>IFERROR(IF(ISNUMBER('Revenues &amp; Outlays in GDP'!E431),TEXT('Revenues &amp; Outlays in GDP'!E431, "0.00"),""), "")</f>
        <v/>
      </c>
      <c r="C425" s="23" t="str">
        <f>IFERROR(IF(ISNUMBER('Revenues &amp; Outlays in GDP'!C431),TEXT('Revenues &amp; Outlays in GDP'!C431, "0.00"),""), "")</f>
        <v/>
      </c>
      <c r="D425" s="23" t="str">
        <f>IFERROR(IF(ISNUMBER('Revenues &amp; Outlays in GDP'!F431),TEXT('Revenues &amp; Outlays in GDP'!F431, "0.00"),""), "")</f>
        <v/>
      </c>
      <c r="E425" s="23" t="str">
        <f>IFERROR(IF(ISNUMBER('Revenues &amp; Outlays in GDP'!D431),TEXT('Revenues &amp; Outlays in GDP'!D431, "0.00"),""), "")</f>
        <v/>
      </c>
    </row>
    <row r="426" spans="1:5">
      <c r="A426" s="23" t="str">
        <f>TEXT(IF('Revenues &amp; Outlays in GDP'!B432&lt;&gt;0,'Revenues &amp; Outlays in GDP'!B432-364, ""), "mm/dd/yyyy")</f>
        <v/>
      </c>
      <c r="B426" s="23" t="str">
        <f>IFERROR(IF(ISNUMBER('Revenues &amp; Outlays in GDP'!E432),TEXT('Revenues &amp; Outlays in GDP'!E432, "0.00"),""), "")</f>
        <v/>
      </c>
      <c r="C426" s="23" t="str">
        <f>IFERROR(IF(ISNUMBER('Revenues &amp; Outlays in GDP'!C432),TEXT('Revenues &amp; Outlays in GDP'!C432, "0.00"),""), "")</f>
        <v/>
      </c>
      <c r="D426" s="23" t="str">
        <f>IFERROR(IF(ISNUMBER('Revenues &amp; Outlays in GDP'!F432),TEXT('Revenues &amp; Outlays in GDP'!F432, "0.00"),""), "")</f>
        <v/>
      </c>
      <c r="E426" s="23" t="str">
        <f>IFERROR(IF(ISNUMBER('Revenues &amp; Outlays in GDP'!D432),TEXT('Revenues &amp; Outlays in GDP'!D432, "0.00"),""), "")</f>
        <v/>
      </c>
    </row>
    <row r="427" spans="1:5">
      <c r="A427" s="23" t="str">
        <f>TEXT(IF('Revenues &amp; Outlays in GDP'!B433&lt;&gt;0,'Revenues &amp; Outlays in GDP'!B433-364, ""), "mm/dd/yyyy")</f>
        <v/>
      </c>
      <c r="B427" s="23" t="str">
        <f>IFERROR(IF(ISNUMBER('Revenues &amp; Outlays in GDP'!E433),TEXT('Revenues &amp; Outlays in GDP'!E433, "0.00"),""), "")</f>
        <v/>
      </c>
      <c r="C427" s="23" t="str">
        <f>IFERROR(IF(ISNUMBER('Revenues &amp; Outlays in GDP'!C433),TEXT('Revenues &amp; Outlays in GDP'!C433, "0.00"),""), "")</f>
        <v/>
      </c>
      <c r="D427" s="23" t="str">
        <f>IFERROR(IF(ISNUMBER('Revenues &amp; Outlays in GDP'!F433),TEXT('Revenues &amp; Outlays in GDP'!F433, "0.00"),""), "")</f>
        <v/>
      </c>
      <c r="E427" s="23" t="str">
        <f>IFERROR(IF(ISNUMBER('Revenues &amp; Outlays in GDP'!D433),TEXT('Revenues &amp; Outlays in GDP'!D433, "0.00"),""), "")</f>
        <v/>
      </c>
    </row>
    <row r="428" spans="1:5">
      <c r="A428" s="23" t="str">
        <f>TEXT(IF('Revenues &amp; Outlays in GDP'!B434&lt;&gt;0,'Revenues &amp; Outlays in GDP'!B434-364, ""), "mm/dd/yyyy")</f>
        <v/>
      </c>
      <c r="B428" s="23" t="str">
        <f>IFERROR(IF(ISNUMBER('Revenues &amp; Outlays in GDP'!E434),TEXT('Revenues &amp; Outlays in GDP'!E434, "0.00"),""), "")</f>
        <v/>
      </c>
      <c r="C428" s="23" t="str">
        <f>IFERROR(IF(ISNUMBER('Revenues &amp; Outlays in GDP'!C434),TEXT('Revenues &amp; Outlays in GDP'!C434, "0.00"),""), "")</f>
        <v/>
      </c>
      <c r="D428" s="23" t="str">
        <f>IFERROR(IF(ISNUMBER('Revenues &amp; Outlays in GDP'!F434),TEXT('Revenues &amp; Outlays in GDP'!F434, "0.00"),""), "")</f>
        <v/>
      </c>
      <c r="E428" s="23" t="str">
        <f>IFERROR(IF(ISNUMBER('Revenues &amp; Outlays in GDP'!D434),TEXT('Revenues &amp; Outlays in GDP'!D434, "0.00"),""), "")</f>
        <v/>
      </c>
    </row>
    <row r="429" spans="1:5">
      <c r="A429" s="23" t="str">
        <f>TEXT(IF('Revenues &amp; Outlays in GDP'!B435&lt;&gt;0,'Revenues &amp; Outlays in GDP'!B435-364, ""), "mm/dd/yyyy")</f>
        <v/>
      </c>
      <c r="B429" s="23" t="str">
        <f>IFERROR(IF(ISNUMBER('Revenues &amp; Outlays in GDP'!E435),TEXT('Revenues &amp; Outlays in GDP'!E435, "0.00"),""), "")</f>
        <v/>
      </c>
      <c r="C429" s="23" t="str">
        <f>IFERROR(IF(ISNUMBER('Revenues &amp; Outlays in GDP'!C435),TEXT('Revenues &amp; Outlays in GDP'!C435, "0.00"),""), "")</f>
        <v/>
      </c>
      <c r="D429" s="23" t="str">
        <f>IFERROR(IF(ISNUMBER('Revenues &amp; Outlays in GDP'!F435),TEXT('Revenues &amp; Outlays in GDP'!F435, "0.00"),""), "")</f>
        <v/>
      </c>
      <c r="E429" s="23" t="str">
        <f>IFERROR(IF(ISNUMBER('Revenues &amp; Outlays in GDP'!D435),TEXT('Revenues &amp; Outlays in GDP'!D435, "0.00"),""), "")</f>
        <v/>
      </c>
    </row>
    <row r="430" spans="1:5">
      <c r="A430" s="23" t="str">
        <f>TEXT(IF('Revenues &amp; Outlays in GDP'!B436&lt;&gt;0,'Revenues &amp; Outlays in GDP'!B436-364, ""), "mm/dd/yyyy")</f>
        <v/>
      </c>
      <c r="B430" s="23" t="str">
        <f>IFERROR(IF(ISNUMBER('Revenues &amp; Outlays in GDP'!E436),TEXT('Revenues &amp; Outlays in GDP'!E436, "0.00"),""), "")</f>
        <v/>
      </c>
      <c r="C430" s="23" t="str">
        <f>IFERROR(IF(ISNUMBER('Revenues &amp; Outlays in GDP'!C436),TEXT('Revenues &amp; Outlays in GDP'!C436, "0.00"),""), "")</f>
        <v/>
      </c>
      <c r="D430" s="23" t="str">
        <f>IFERROR(IF(ISNUMBER('Revenues &amp; Outlays in GDP'!F436),TEXT('Revenues &amp; Outlays in GDP'!F436, "0.00"),""), "")</f>
        <v/>
      </c>
      <c r="E430" s="23" t="str">
        <f>IFERROR(IF(ISNUMBER('Revenues &amp; Outlays in GDP'!D436),TEXT('Revenues &amp; Outlays in GDP'!D436, "0.00"),""), "")</f>
        <v/>
      </c>
    </row>
    <row r="431" spans="1:5">
      <c r="A431" s="23" t="str">
        <f>TEXT(IF('Revenues &amp; Outlays in GDP'!B437&lt;&gt;0,'Revenues &amp; Outlays in GDP'!B437-364, ""), "mm/dd/yyyy")</f>
        <v/>
      </c>
      <c r="B431" s="23" t="str">
        <f>IFERROR(IF(ISNUMBER('Revenues &amp; Outlays in GDP'!E437),TEXT('Revenues &amp; Outlays in GDP'!E437, "0.00"),""), "")</f>
        <v/>
      </c>
      <c r="C431" s="23" t="str">
        <f>IFERROR(IF(ISNUMBER('Revenues &amp; Outlays in GDP'!C437),TEXT('Revenues &amp; Outlays in GDP'!C437, "0.00"),""), "")</f>
        <v/>
      </c>
      <c r="D431" s="23" t="str">
        <f>IFERROR(IF(ISNUMBER('Revenues &amp; Outlays in GDP'!F437),TEXT('Revenues &amp; Outlays in GDP'!F437, "0.00"),""), "")</f>
        <v/>
      </c>
      <c r="E431" s="23" t="str">
        <f>IFERROR(IF(ISNUMBER('Revenues &amp; Outlays in GDP'!D437),TEXT('Revenues &amp; Outlays in GDP'!D437, "0.00"),""), "")</f>
        <v/>
      </c>
    </row>
    <row r="432" spans="1:5">
      <c r="A432" s="23" t="str">
        <f>TEXT(IF('Revenues &amp; Outlays in GDP'!B438&lt;&gt;0,'Revenues &amp; Outlays in GDP'!B438-364, ""), "mm/dd/yyyy")</f>
        <v/>
      </c>
      <c r="B432" s="23" t="str">
        <f>IFERROR(IF(ISNUMBER('Revenues &amp; Outlays in GDP'!E438),TEXT('Revenues &amp; Outlays in GDP'!E438, "0.00"),""), "")</f>
        <v/>
      </c>
      <c r="C432" s="23" t="str">
        <f>IFERROR(IF(ISNUMBER('Revenues &amp; Outlays in GDP'!C438),TEXT('Revenues &amp; Outlays in GDP'!C438, "0.00"),""), "")</f>
        <v/>
      </c>
      <c r="D432" s="23" t="str">
        <f>IFERROR(IF(ISNUMBER('Revenues &amp; Outlays in GDP'!F438),TEXT('Revenues &amp; Outlays in GDP'!F438, "0.00"),""), "")</f>
        <v/>
      </c>
      <c r="E432" s="23" t="str">
        <f>IFERROR(IF(ISNUMBER('Revenues &amp; Outlays in GDP'!D438),TEXT('Revenues &amp; Outlays in GDP'!D438, "0.00"),""), "")</f>
        <v/>
      </c>
    </row>
    <row r="433" spans="1:5">
      <c r="A433" s="23" t="str">
        <f>TEXT(IF('Revenues &amp; Outlays in GDP'!B439&lt;&gt;0,'Revenues &amp; Outlays in GDP'!B439-364, ""), "mm/dd/yyyy")</f>
        <v/>
      </c>
      <c r="B433" s="23" t="str">
        <f>IFERROR(IF(ISNUMBER('Revenues &amp; Outlays in GDP'!E439),TEXT('Revenues &amp; Outlays in GDP'!E439, "0.00"),""), "")</f>
        <v/>
      </c>
      <c r="C433" s="23" t="str">
        <f>IFERROR(IF(ISNUMBER('Revenues &amp; Outlays in GDP'!C439),TEXT('Revenues &amp; Outlays in GDP'!C439, "0.00"),""), "")</f>
        <v/>
      </c>
      <c r="D433" s="23" t="str">
        <f>IFERROR(IF(ISNUMBER('Revenues &amp; Outlays in GDP'!F439),TEXT('Revenues &amp; Outlays in GDP'!F439, "0.00"),""), "")</f>
        <v/>
      </c>
      <c r="E433" s="23" t="str">
        <f>IFERROR(IF(ISNUMBER('Revenues &amp; Outlays in GDP'!D439),TEXT('Revenues &amp; Outlays in GDP'!D439, "0.00"),""), "")</f>
        <v/>
      </c>
    </row>
    <row r="434" spans="1:5">
      <c r="A434" s="23" t="str">
        <f>TEXT(IF('Revenues &amp; Outlays in GDP'!B440&lt;&gt;0,'Revenues &amp; Outlays in GDP'!B440-364, ""), "mm/dd/yyyy")</f>
        <v/>
      </c>
      <c r="B434" s="23" t="str">
        <f>IFERROR(IF(ISNUMBER('Revenues &amp; Outlays in GDP'!E440),TEXT('Revenues &amp; Outlays in GDP'!E440, "0.00"),""), "")</f>
        <v/>
      </c>
      <c r="C434" s="23" t="str">
        <f>IFERROR(IF(ISNUMBER('Revenues &amp; Outlays in GDP'!C440),TEXT('Revenues &amp; Outlays in GDP'!C440, "0.00"),""), "")</f>
        <v/>
      </c>
      <c r="D434" s="23" t="str">
        <f>IFERROR(IF(ISNUMBER('Revenues &amp; Outlays in GDP'!F440),TEXT('Revenues &amp; Outlays in GDP'!F440, "0.00"),""), "")</f>
        <v/>
      </c>
      <c r="E434" s="23" t="str">
        <f>IFERROR(IF(ISNUMBER('Revenues &amp; Outlays in GDP'!D440),TEXT('Revenues &amp; Outlays in GDP'!D440, "0.00"),""), "")</f>
        <v/>
      </c>
    </row>
    <row r="435" spans="1:5">
      <c r="A435" s="23" t="str">
        <f>TEXT(IF('Revenues &amp; Outlays in GDP'!B441&lt;&gt;0,'Revenues &amp; Outlays in GDP'!B441-364, ""), "mm/dd/yyyy")</f>
        <v/>
      </c>
      <c r="B435" s="23" t="str">
        <f>IFERROR(IF(ISNUMBER('Revenues &amp; Outlays in GDP'!E441),TEXT('Revenues &amp; Outlays in GDP'!E441, "0.00"),""), "")</f>
        <v/>
      </c>
      <c r="C435" s="23" t="str">
        <f>IFERROR(IF(ISNUMBER('Revenues &amp; Outlays in GDP'!C441),TEXT('Revenues &amp; Outlays in GDP'!C441, "0.00"),""), "")</f>
        <v/>
      </c>
      <c r="D435" s="23" t="str">
        <f>IFERROR(IF(ISNUMBER('Revenues &amp; Outlays in GDP'!F441),TEXT('Revenues &amp; Outlays in GDP'!F441, "0.00"),""), "")</f>
        <v/>
      </c>
      <c r="E435" s="23" t="str">
        <f>IFERROR(IF(ISNUMBER('Revenues &amp; Outlays in GDP'!D441),TEXT('Revenues &amp; Outlays in GDP'!D441, "0.00"),""), "")</f>
        <v/>
      </c>
    </row>
    <row r="436" spans="1:5">
      <c r="A436" s="23" t="str">
        <f>TEXT(IF('Revenues &amp; Outlays in GDP'!B442&lt;&gt;0,'Revenues &amp; Outlays in GDP'!B442-364, ""), "mm/dd/yyyy")</f>
        <v/>
      </c>
      <c r="B436" s="23" t="str">
        <f>IFERROR(IF(ISNUMBER('Revenues &amp; Outlays in GDP'!E442),TEXT('Revenues &amp; Outlays in GDP'!E442, "0.00"),""), "")</f>
        <v/>
      </c>
      <c r="C436" s="23" t="str">
        <f>IFERROR(IF(ISNUMBER('Revenues &amp; Outlays in GDP'!C442),TEXT('Revenues &amp; Outlays in GDP'!C442, "0.00"),""), "")</f>
        <v/>
      </c>
      <c r="D436" s="23" t="str">
        <f>IFERROR(IF(ISNUMBER('Revenues &amp; Outlays in GDP'!F442),TEXT('Revenues &amp; Outlays in GDP'!F442, "0.00"),""), "")</f>
        <v/>
      </c>
      <c r="E436" s="23" t="str">
        <f>IFERROR(IF(ISNUMBER('Revenues &amp; Outlays in GDP'!D442),TEXT('Revenues &amp; Outlays in GDP'!D442, "0.00"),""), "")</f>
        <v/>
      </c>
    </row>
    <row r="437" spans="1:5">
      <c r="A437" s="23" t="str">
        <f>TEXT(IF('Revenues &amp; Outlays in GDP'!B443&lt;&gt;0,'Revenues &amp; Outlays in GDP'!B443-364, ""), "mm/dd/yyyy")</f>
        <v/>
      </c>
      <c r="B437" s="23" t="str">
        <f>IFERROR(IF(ISNUMBER('Revenues &amp; Outlays in GDP'!E443),TEXT('Revenues &amp; Outlays in GDP'!E443, "0.00"),""), "")</f>
        <v/>
      </c>
      <c r="C437" s="23" t="str">
        <f>IFERROR(IF(ISNUMBER('Revenues &amp; Outlays in GDP'!C443),TEXT('Revenues &amp; Outlays in GDP'!C443, "0.00"),""), "")</f>
        <v/>
      </c>
      <c r="D437" s="23" t="str">
        <f>IFERROR(IF(ISNUMBER('Revenues &amp; Outlays in GDP'!F443),TEXT('Revenues &amp; Outlays in GDP'!F443, "0.00"),""), "")</f>
        <v/>
      </c>
      <c r="E437" s="23" t="str">
        <f>IFERROR(IF(ISNUMBER('Revenues &amp; Outlays in GDP'!D443),TEXT('Revenues &amp; Outlays in GDP'!D443, "0.00"),""), "")</f>
        <v/>
      </c>
    </row>
    <row r="438" spans="1:5">
      <c r="A438" s="23" t="str">
        <f>TEXT(IF('Revenues &amp; Outlays in GDP'!B444&lt;&gt;0,'Revenues &amp; Outlays in GDP'!B444-364, ""), "mm/dd/yyyy")</f>
        <v/>
      </c>
      <c r="B438" s="23" t="str">
        <f>IFERROR(IF(ISNUMBER('Revenues &amp; Outlays in GDP'!E444),TEXT('Revenues &amp; Outlays in GDP'!E444, "0.00"),""), "")</f>
        <v/>
      </c>
      <c r="C438" s="23" t="str">
        <f>IFERROR(IF(ISNUMBER('Revenues &amp; Outlays in GDP'!C444),TEXT('Revenues &amp; Outlays in GDP'!C444, "0.00"),""), "")</f>
        <v/>
      </c>
      <c r="D438" s="23" t="str">
        <f>IFERROR(IF(ISNUMBER('Revenues &amp; Outlays in GDP'!F444),TEXT('Revenues &amp; Outlays in GDP'!F444, "0.00"),""), "")</f>
        <v/>
      </c>
      <c r="E438" s="23" t="str">
        <f>IFERROR(IF(ISNUMBER('Revenues &amp; Outlays in GDP'!D444),TEXT('Revenues &amp; Outlays in GDP'!D444, "0.00"),""), "")</f>
        <v/>
      </c>
    </row>
    <row r="439" spans="1:5">
      <c r="A439" s="23" t="str">
        <f>TEXT(IF('Revenues &amp; Outlays in GDP'!B445&lt;&gt;0,'Revenues &amp; Outlays in GDP'!B445-364, ""), "mm/dd/yyyy")</f>
        <v/>
      </c>
      <c r="B439" s="23" t="str">
        <f>IFERROR(IF(ISNUMBER('Revenues &amp; Outlays in GDP'!E445),TEXT('Revenues &amp; Outlays in GDP'!E445, "0.00"),""), "")</f>
        <v/>
      </c>
      <c r="C439" s="23" t="str">
        <f>IFERROR(IF(ISNUMBER('Revenues &amp; Outlays in GDP'!C445),TEXT('Revenues &amp; Outlays in GDP'!C445, "0.00"),""), "")</f>
        <v/>
      </c>
      <c r="D439" s="23" t="str">
        <f>IFERROR(IF(ISNUMBER('Revenues &amp; Outlays in GDP'!F445),TEXT('Revenues &amp; Outlays in GDP'!F445, "0.00"),""), "")</f>
        <v/>
      </c>
      <c r="E439" s="23" t="str">
        <f>IFERROR(IF(ISNUMBER('Revenues &amp; Outlays in GDP'!D445),TEXT('Revenues &amp; Outlays in GDP'!D445, "0.00"),""), "")</f>
        <v/>
      </c>
    </row>
    <row r="440" spans="1:5">
      <c r="A440" s="23" t="str">
        <f>TEXT(IF('Revenues &amp; Outlays in GDP'!B446&lt;&gt;0,'Revenues &amp; Outlays in GDP'!B446-364, ""), "mm/dd/yyyy")</f>
        <v/>
      </c>
      <c r="B440" s="23" t="str">
        <f>IFERROR(IF(ISNUMBER('Revenues &amp; Outlays in GDP'!E446),TEXT('Revenues &amp; Outlays in GDP'!E446, "0.00"),""), "")</f>
        <v/>
      </c>
      <c r="C440" s="23" t="str">
        <f>IFERROR(IF(ISNUMBER('Revenues &amp; Outlays in GDP'!C446),TEXT('Revenues &amp; Outlays in GDP'!C446, "0.00"),""), "")</f>
        <v/>
      </c>
      <c r="D440" s="23" t="str">
        <f>IFERROR(IF(ISNUMBER('Revenues &amp; Outlays in GDP'!F446),TEXT('Revenues &amp; Outlays in GDP'!F446, "0.00"),""), "")</f>
        <v/>
      </c>
      <c r="E440" s="23" t="str">
        <f>IFERROR(IF(ISNUMBER('Revenues &amp; Outlays in GDP'!D446),TEXT('Revenues &amp; Outlays in GDP'!D446, "0.00"),""), "")</f>
        <v/>
      </c>
    </row>
    <row r="441" spans="1:5">
      <c r="A441" s="23" t="str">
        <f>TEXT(IF('Revenues &amp; Outlays in GDP'!B447&lt;&gt;0,'Revenues &amp; Outlays in GDP'!B447-364, ""), "mm/dd/yyyy")</f>
        <v/>
      </c>
      <c r="B441" s="23" t="str">
        <f>IFERROR(IF(ISNUMBER('Revenues &amp; Outlays in GDP'!E447),TEXT('Revenues &amp; Outlays in GDP'!E447, "0.00"),""), "")</f>
        <v/>
      </c>
      <c r="C441" s="23" t="str">
        <f>IFERROR(IF(ISNUMBER('Revenues &amp; Outlays in GDP'!C447),TEXT('Revenues &amp; Outlays in GDP'!C447, "0.00"),""), "")</f>
        <v/>
      </c>
      <c r="D441" s="23" t="str">
        <f>IFERROR(IF(ISNUMBER('Revenues &amp; Outlays in GDP'!F447),TEXT('Revenues &amp; Outlays in GDP'!F447, "0.00"),""), "")</f>
        <v/>
      </c>
      <c r="E441" s="23" t="str">
        <f>IFERROR(IF(ISNUMBER('Revenues &amp; Outlays in GDP'!D447),TEXT('Revenues &amp; Outlays in GDP'!D447, "0.00"),""), "")</f>
        <v/>
      </c>
    </row>
    <row r="442" spans="1:5">
      <c r="A442" s="23" t="str">
        <f>TEXT(IF('Revenues &amp; Outlays in GDP'!B448&lt;&gt;0,'Revenues &amp; Outlays in GDP'!B448-364, ""), "mm/dd/yyyy")</f>
        <v/>
      </c>
      <c r="B442" s="23" t="str">
        <f>IFERROR(IF(ISNUMBER('Revenues &amp; Outlays in GDP'!E448),TEXT('Revenues &amp; Outlays in GDP'!E448, "0.00"),""), "")</f>
        <v/>
      </c>
      <c r="C442" s="23" t="str">
        <f>IFERROR(IF(ISNUMBER('Revenues &amp; Outlays in GDP'!C448),TEXT('Revenues &amp; Outlays in GDP'!C448, "0.00"),""), "")</f>
        <v/>
      </c>
      <c r="D442" s="23" t="str">
        <f>IFERROR(IF(ISNUMBER('Revenues &amp; Outlays in GDP'!F448),TEXT('Revenues &amp; Outlays in GDP'!F448, "0.00"),""), "")</f>
        <v/>
      </c>
      <c r="E442" s="23" t="str">
        <f>IFERROR(IF(ISNUMBER('Revenues &amp; Outlays in GDP'!D448),TEXT('Revenues &amp; Outlays in GDP'!D448, "0.00"),""), "")</f>
        <v/>
      </c>
    </row>
    <row r="443" spans="1:5">
      <c r="A443" s="23" t="str">
        <f>TEXT(IF('Revenues &amp; Outlays in GDP'!B449&lt;&gt;0,'Revenues &amp; Outlays in GDP'!B449-364, ""), "mm/dd/yyyy")</f>
        <v/>
      </c>
      <c r="B443" s="23" t="str">
        <f>IFERROR(IF(ISNUMBER('Revenues &amp; Outlays in GDP'!E449),TEXT('Revenues &amp; Outlays in GDP'!E449, "0.00"),""), "")</f>
        <v/>
      </c>
      <c r="C443" s="23" t="str">
        <f>IFERROR(IF(ISNUMBER('Revenues &amp; Outlays in GDP'!C449),TEXT('Revenues &amp; Outlays in GDP'!C449, "0.00"),""), "")</f>
        <v/>
      </c>
      <c r="D443" s="23" t="str">
        <f>IFERROR(IF(ISNUMBER('Revenues &amp; Outlays in GDP'!F449),TEXT('Revenues &amp; Outlays in GDP'!F449, "0.00"),""), "")</f>
        <v/>
      </c>
      <c r="E443" s="23" t="str">
        <f>IFERROR(IF(ISNUMBER('Revenues &amp; Outlays in GDP'!D449),TEXT('Revenues &amp; Outlays in GDP'!D449, "0.00"),""), "")</f>
        <v/>
      </c>
    </row>
    <row r="444" spans="1:5">
      <c r="A444" s="23" t="str">
        <f>TEXT(IF('Revenues &amp; Outlays in GDP'!B450&lt;&gt;0,'Revenues &amp; Outlays in GDP'!B450-364, ""), "mm/dd/yyyy")</f>
        <v/>
      </c>
      <c r="B444" s="23" t="str">
        <f>IFERROR(IF(ISNUMBER('Revenues &amp; Outlays in GDP'!E450),TEXT('Revenues &amp; Outlays in GDP'!E450, "0.00"),""), "")</f>
        <v/>
      </c>
      <c r="C444" s="23" t="str">
        <f>IFERROR(IF(ISNUMBER('Revenues &amp; Outlays in GDP'!C450),TEXT('Revenues &amp; Outlays in GDP'!C450, "0.00"),""), "")</f>
        <v/>
      </c>
      <c r="D444" s="23" t="str">
        <f>IFERROR(IF(ISNUMBER('Revenues &amp; Outlays in GDP'!F450),TEXT('Revenues &amp; Outlays in GDP'!F450, "0.00"),""), "")</f>
        <v/>
      </c>
      <c r="E444" s="23" t="str">
        <f>IFERROR(IF(ISNUMBER('Revenues &amp; Outlays in GDP'!D450),TEXT('Revenues &amp; Outlays in GDP'!D450, "0.00"),""), "")</f>
        <v/>
      </c>
    </row>
    <row r="445" spans="1:5">
      <c r="A445" s="23" t="str">
        <f>TEXT(IF('Revenues &amp; Outlays in GDP'!B451&lt;&gt;0,'Revenues &amp; Outlays in GDP'!B451-364, ""), "mm/dd/yyyy")</f>
        <v/>
      </c>
      <c r="B445" s="23" t="str">
        <f>IFERROR(IF(ISNUMBER('Revenues &amp; Outlays in GDP'!E451),TEXT('Revenues &amp; Outlays in GDP'!E451, "0.00"),""), "")</f>
        <v/>
      </c>
      <c r="C445" s="23" t="str">
        <f>IFERROR(IF(ISNUMBER('Revenues &amp; Outlays in GDP'!C451),TEXT('Revenues &amp; Outlays in GDP'!C451, "0.00"),""), "")</f>
        <v/>
      </c>
      <c r="D445" s="23" t="str">
        <f>IFERROR(IF(ISNUMBER('Revenues &amp; Outlays in GDP'!F451),TEXT('Revenues &amp; Outlays in GDP'!F451, "0.00"),""), "")</f>
        <v/>
      </c>
      <c r="E445" s="23" t="str">
        <f>IFERROR(IF(ISNUMBER('Revenues &amp; Outlays in GDP'!D451),TEXT('Revenues &amp; Outlays in GDP'!D451, "0.00"),""), "")</f>
        <v/>
      </c>
    </row>
    <row r="446" spans="1:5">
      <c r="A446" s="23" t="str">
        <f>TEXT(IF('Revenues &amp; Outlays in GDP'!B452&lt;&gt;0,'Revenues &amp; Outlays in GDP'!B452-364, ""), "mm/dd/yyyy")</f>
        <v/>
      </c>
      <c r="B446" s="23" t="str">
        <f>IFERROR(IF(ISNUMBER('Revenues &amp; Outlays in GDP'!E452),TEXT('Revenues &amp; Outlays in GDP'!E452, "0.00"),""), "")</f>
        <v/>
      </c>
      <c r="C446" s="23" t="str">
        <f>IFERROR(IF(ISNUMBER('Revenues &amp; Outlays in GDP'!C452),TEXT('Revenues &amp; Outlays in GDP'!C452, "0.00"),""), "")</f>
        <v/>
      </c>
      <c r="D446" s="23" t="str">
        <f>IFERROR(IF(ISNUMBER('Revenues &amp; Outlays in GDP'!F452),TEXT('Revenues &amp; Outlays in GDP'!F452, "0.00"),""), "")</f>
        <v/>
      </c>
      <c r="E446" s="23" t="str">
        <f>IFERROR(IF(ISNUMBER('Revenues &amp; Outlays in GDP'!D452),TEXT('Revenues &amp; Outlays in GDP'!D452, "0.00"),""), "")</f>
        <v/>
      </c>
    </row>
    <row r="447" spans="1:5">
      <c r="A447" s="23" t="str">
        <f>TEXT(IF('Revenues &amp; Outlays in GDP'!B453&lt;&gt;0,'Revenues &amp; Outlays in GDP'!B453-364, ""), "mm/dd/yyyy")</f>
        <v/>
      </c>
      <c r="B447" s="23" t="str">
        <f>IFERROR(IF(ISNUMBER('Revenues &amp; Outlays in GDP'!E453),TEXT('Revenues &amp; Outlays in GDP'!E453, "0.00"),""), "")</f>
        <v/>
      </c>
      <c r="C447" s="23" t="str">
        <f>IFERROR(IF(ISNUMBER('Revenues &amp; Outlays in GDP'!C453),TEXT('Revenues &amp; Outlays in GDP'!C453, "0.00"),""), "")</f>
        <v/>
      </c>
      <c r="D447" s="23" t="str">
        <f>IFERROR(IF(ISNUMBER('Revenues &amp; Outlays in GDP'!F453),TEXT('Revenues &amp; Outlays in GDP'!F453, "0.00"),""), "")</f>
        <v/>
      </c>
      <c r="E447" s="23" t="str">
        <f>IFERROR(IF(ISNUMBER('Revenues &amp; Outlays in GDP'!D453),TEXT('Revenues &amp; Outlays in GDP'!D453, "0.00"),""), "")</f>
        <v/>
      </c>
    </row>
    <row r="448" spans="1:5">
      <c r="A448" s="23" t="str">
        <f>TEXT(IF('Revenues &amp; Outlays in GDP'!B454&lt;&gt;0,'Revenues &amp; Outlays in GDP'!B454-364, ""), "mm/dd/yyyy")</f>
        <v/>
      </c>
      <c r="B448" s="23" t="str">
        <f>IFERROR(IF(ISNUMBER('Revenues &amp; Outlays in GDP'!E454),TEXT('Revenues &amp; Outlays in GDP'!E454, "0.00"),""), "")</f>
        <v/>
      </c>
      <c r="C448" s="23" t="str">
        <f>IFERROR(IF(ISNUMBER('Revenues &amp; Outlays in GDP'!C454),TEXT('Revenues &amp; Outlays in GDP'!C454, "0.00"),""), "")</f>
        <v/>
      </c>
      <c r="D448" s="23" t="str">
        <f>IFERROR(IF(ISNUMBER('Revenues &amp; Outlays in GDP'!F454),TEXT('Revenues &amp; Outlays in GDP'!F454, "0.00"),""), "")</f>
        <v/>
      </c>
      <c r="E448" s="23" t="str">
        <f>IFERROR(IF(ISNUMBER('Revenues &amp; Outlays in GDP'!D454),TEXT('Revenues &amp; Outlays in GDP'!D454, "0.00"),""), "")</f>
        <v/>
      </c>
    </row>
    <row r="449" spans="1:5">
      <c r="A449" s="23" t="str">
        <f>TEXT(IF('Revenues &amp; Outlays in GDP'!B455&lt;&gt;0,'Revenues &amp; Outlays in GDP'!B455-364, ""), "mm/dd/yyyy")</f>
        <v/>
      </c>
      <c r="B449" s="23" t="str">
        <f>IFERROR(IF(ISNUMBER('Revenues &amp; Outlays in GDP'!E455),TEXT('Revenues &amp; Outlays in GDP'!E455, "0.00"),""), "")</f>
        <v/>
      </c>
      <c r="C449" s="23" t="str">
        <f>IFERROR(IF(ISNUMBER('Revenues &amp; Outlays in GDP'!C455),TEXT('Revenues &amp; Outlays in GDP'!C455, "0.00"),""), "")</f>
        <v/>
      </c>
      <c r="D449" s="23" t="str">
        <f>IFERROR(IF(ISNUMBER('Revenues &amp; Outlays in GDP'!F455),TEXT('Revenues &amp; Outlays in GDP'!F455, "0.00"),""), "")</f>
        <v/>
      </c>
      <c r="E449" s="23" t="str">
        <f>IFERROR(IF(ISNUMBER('Revenues &amp; Outlays in GDP'!D455),TEXT('Revenues &amp; Outlays in GDP'!D455, "0.00"),""), "")</f>
        <v/>
      </c>
    </row>
    <row r="450" spans="1:5">
      <c r="A450" s="23" t="str">
        <f>TEXT(IF('Revenues &amp; Outlays in GDP'!B456&lt;&gt;0,'Revenues &amp; Outlays in GDP'!B456-364, ""), "mm/dd/yyyy")</f>
        <v/>
      </c>
      <c r="B450" s="23" t="str">
        <f>IFERROR(IF(ISNUMBER('Revenues &amp; Outlays in GDP'!E456),TEXT('Revenues &amp; Outlays in GDP'!E456, "0.00"),""), "")</f>
        <v/>
      </c>
      <c r="C450" s="23" t="str">
        <f>IFERROR(IF(ISNUMBER('Revenues &amp; Outlays in GDP'!C456),TEXT('Revenues &amp; Outlays in GDP'!C456, "0.00"),""), "")</f>
        <v/>
      </c>
      <c r="D450" s="23" t="str">
        <f>IFERROR(IF(ISNUMBER('Revenues &amp; Outlays in GDP'!F456),TEXT('Revenues &amp; Outlays in GDP'!F456, "0.00"),""), "")</f>
        <v/>
      </c>
      <c r="E450" s="23" t="str">
        <f>IFERROR(IF(ISNUMBER('Revenues &amp; Outlays in GDP'!D456),TEXT('Revenues &amp; Outlays in GDP'!D456, "0.00"),""), "")</f>
        <v/>
      </c>
    </row>
    <row r="451" spans="1:5">
      <c r="A451" s="23" t="str">
        <f>TEXT(IF('Revenues &amp; Outlays in GDP'!B457&lt;&gt;0,'Revenues &amp; Outlays in GDP'!B457-364, ""), "mm/dd/yyyy")</f>
        <v/>
      </c>
      <c r="B451" s="23" t="str">
        <f>IFERROR(IF(ISNUMBER('Revenues &amp; Outlays in GDP'!E457),TEXT('Revenues &amp; Outlays in GDP'!E457, "0.00"),""), "")</f>
        <v/>
      </c>
      <c r="C451" s="23" t="str">
        <f>IFERROR(IF(ISNUMBER('Revenues &amp; Outlays in GDP'!C457),TEXT('Revenues &amp; Outlays in GDP'!C457, "0.00"),""), "")</f>
        <v/>
      </c>
      <c r="D451" s="23" t="str">
        <f>IFERROR(IF(ISNUMBER('Revenues &amp; Outlays in GDP'!F457),TEXT('Revenues &amp; Outlays in GDP'!F457, "0.00"),""), "")</f>
        <v/>
      </c>
      <c r="E451" s="23" t="str">
        <f>IFERROR(IF(ISNUMBER('Revenues &amp; Outlays in GDP'!D457),TEXT('Revenues &amp; Outlays in GDP'!D457, "0.00"),""), "")</f>
        <v/>
      </c>
    </row>
    <row r="452" spans="1:5">
      <c r="A452" s="23" t="str">
        <f>TEXT(IF('Revenues &amp; Outlays in GDP'!B458&lt;&gt;0,'Revenues &amp; Outlays in GDP'!B458-364, ""), "mm/dd/yyyy")</f>
        <v/>
      </c>
      <c r="B452" s="23" t="str">
        <f>IFERROR(IF(ISNUMBER('Revenues &amp; Outlays in GDP'!E458),TEXT('Revenues &amp; Outlays in GDP'!E458, "0.00"),""), "")</f>
        <v/>
      </c>
      <c r="C452" s="23" t="str">
        <f>IFERROR(IF(ISNUMBER('Revenues &amp; Outlays in GDP'!C458),TEXT('Revenues &amp; Outlays in GDP'!C458, "0.00"),""), "")</f>
        <v/>
      </c>
      <c r="D452" s="23" t="str">
        <f>IFERROR(IF(ISNUMBER('Revenues &amp; Outlays in GDP'!F458),TEXT('Revenues &amp; Outlays in GDP'!F458, "0.00"),""), "")</f>
        <v/>
      </c>
      <c r="E452" s="23" t="str">
        <f>IFERROR(IF(ISNUMBER('Revenues &amp; Outlays in GDP'!D458),TEXT('Revenues &amp; Outlays in GDP'!D458, "0.00"),""), "")</f>
        <v/>
      </c>
    </row>
    <row r="453" spans="1:5">
      <c r="A453" s="23" t="str">
        <f>TEXT(IF('Revenues &amp; Outlays in GDP'!B459&lt;&gt;0,'Revenues &amp; Outlays in GDP'!B459-364, ""), "mm/dd/yyyy")</f>
        <v/>
      </c>
      <c r="B453" s="23" t="str">
        <f>IFERROR(IF(ISNUMBER('Revenues &amp; Outlays in GDP'!E459),TEXT('Revenues &amp; Outlays in GDP'!E459, "0.00"),""), "")</f>
        <v/>
      </c>
      <c r="C453" s="23" t="str">
        <f>IFERROR(IF(ISNUMBER('Revenues &amp; Outlays in GDP'!C459),TEXT('Revenues &amp; Outlays in GDP'!C459, "0.00"),""), "")</f>
        <v/>
      </c>
      <c r="D453" s="23" t="str">
        <f>IFERROR(IF(ISNUMBER('Revenues &amp; Outlays in GDP'!F459),TEXT('Revenues &amp; Outlays in GDP'!F459, "0.00"),""), "")</f>
        <v/>
      </c>
      <c r="E453" s="23" t="str">
        <f>IFERROR(IF(ISNUMBER('Revenues &amp; Outlays in GDP'!D459),TEXT('Revenues &amp; Outlays in GDP'!D459, "0.00"),""), "")</f>
        <v/>
      </c>
    </row>
    <row r="454" spans="1:5">
      <c r="A454" s="23" t="str">
        <f>TEXT(IF('Revenues &amp; Outlays in GDP'!B460&lt;&gt;0,'Revenues &amp; Outlays in GDP'!B460-364, ""), "mm/dd/yyyy")</f>
        <v/>
      </c>
      <c r="B454" s="23" t="str">
        <f>IFERROR(IF(ISNUMBER('Revenues &amp; Outlays in GDP'!E460),TEXT('Revenues &amp; Outlays in GDP'!E460, "0.00"),""), "")</f>
        <v/>
      </c>
      <c r="C454" s="23" t="str">
        <f>IFERROR(IF(ISNUMBER('Revenues &amp; Outlays in GDP'!C460),TEXT('Revenues &amp; Outlays in GDP'!C460, "0.00"),""), "")</f>
        <v/>
      </c>
      <c r="D454" s="23" t="str">
        <f>IFERROR(IF(ISNUMBER('Revenues &amp; Outlays in GDP'!F460),TEXT('Revenues &amp; Outlays in GDP'!F460, "0.00"),""), "")</f>
        <v/>
      </c>
      <c r="E454" s="23" t="str">
        <f>IFERROR(IF(ISNUMBER('Revenues &amp; Outlays in GDP'!D460),TEXT('Revenues &amp; Outlays in GDP'!D460, "0.00"),""), "")</f>
        <v/>
      </c>
    </row>
    <row r="455" spans="1:5">
      <c r="A455" s="23" t="str">
        <f>TEXT(IF('Revenues &amp; Outlays in GDP'!B461&lt;&gt;0,'Revenues &amp; Outlays in GDP'!B461-364, ""), "mm/dd/yyyy")</f>
        <v/>
      </c>
      <c r="B455" s="23" t="str">
        <f>IFERROR(IF(ISNUMBER('Revenues &amp; Outlays in GDP'!E461),TEXT('Revenues &amp; Outlays in GDP'!E461, "0.00"),""), "")</f>
        <v/>
      </c>
      <c r="C455" s="23" t="str">
        <f>IFERROR(IF(ISNUMBER('Revenues &amp; Outlays in GDP'!C461),TEXT('Revenues &amp; Outlays in GDP'!C461, "0.00"),""), "")</f>
        <v/>
      </c>
      <c r="D455" s="23" t="str">
        <f>IFERROR(IF(ISNUMBER('Revenues &amp; Outlays in GDP'!F461),TEXT('Revenues &amp; Outlays in GDP'!F461, "0.00"),""), "")</f>
        <v/>
      </c>
      <c r="E455" s="23" t="str">
        <f>IFERROR(IF(ISNUMBER('Revenues &amp; Outlays in GDP'!D461),TEXT('Revenues &amp; Outlays in GDP'!D461, "0.00"),""), "")</f>
        <v/>
      </c>
    </row>
    <row r="456" spans="1:5">
      <c r="A456" s="23" t="str">
        <f>TEXT(IF('Revenues &amp; Outlays in GDP'!B462&lt;&gt;0,'Revenues &amp; Outlays in GDP'!B462-364, ""), "mm/dd/yyyy")</f>
        <v/>
      </c>
      <c r="B456" s="23" t="str">
        <f>IFERROR(IF(ISNUMBER('Revenues &amp; Outlays in GDP'!E462),TEXT('Revenues &amp; Outlays in GDP'!E462, "0.00"),""), "")</f>
        <v/>
      </c>
      <c r="C456" s="23" t="str">
        <f>IFERROR(IF(ISNUMBER('Revenues &amp; Outlays in GDP'!C462),TEXT('Revenues &amp; Outlays in GDP'!C462, "0.00"),""), "")</f>
        <v/>
      </c>
      <c r="D456" s="23" t="str">
        <f>IFERROR(IF(ISNUMBER('Revenues &amp; Outlays in GDP'!F462),TEXT('Revenues &amp; Outlays in GDP'!F462, "0.00"),""), "")</f>
        <v/>
      </c>
      <c r="E456" s="23" t="str">
        <f>IFERROR(IF(ISNUMBER('Revenues &amp; Outlays in GDP'!D462),TEXT('Revenues &amp; Outlays in GDP'!D462, "0.00"),""), "")</f>
        <v/>
      </c>
    </row>
    <row r="457" spans="1:5">
      <c r="A457" s="23" t="str">
        <f>TEXT(IF('Revenues &amp; Outlays in GDP'!B463&lt;&gt;0,'Revenues &amp; Outlays in GDP'!B463-364, ""), "mm/dd/yyyy")</f>
        <v/>
      </c>
      <c r="B457" s="23" t="str">
        <f>IFERROR(IF(ISNUMBER('Revenues &amp; Outlays in GDP'!E463),TEXT('Revenues &amp; Outlays in GDP'!E463, "0.00"),""), "")</f>
        <v/>
      </c>
      <c r="C457" s="23" t="str">
        <f>IFERROR(IF(ISNUMBER('Revenues &amp; Outlays in GDP'!C463),TEXT('Revenues &amp; Outlays in GDP'!C463, "0.00"),""), "")</f>
        <v/>
      </c>
      <c r="D457" s="23" t="str">
        <f>IFERROR(IF(ISNUMBER('Revenues &amp; Outlays in GDP'!F463),TEXT('Revenues &amp; Outlays in GDP'!F463, "0.00"),""), "")</f>
        <v/>
      </c>
      <c r="E457" s="23" t="str">
        <f>IFERROR(IF(ISNUMBER('Revenues &amp; Outlays in GDP'!D463),TEXT('Revenues &amp; Outlays in GDP'!D463, "0.00"),""), "")</f>
        <v/>
      </c>
    </row>
    <row r="458" spans="1:5">
      <c r="A458" s="23" t="str">
        <f>TEXT(IF('Revenues &amp; Outlays in GDP'!B464&lt;&gt;0,'Revenues &amp; Outlays in GDP'!B464-364, ""), "mm/dd/yyyy")</f>
        <v/>
      </c>
      <c r="B458" s="23" t="str">
        <f>IFERROR(IF(ISNUMBER('Revenues &amp; Outlays in GDP'!E464),TEXT('Revenues &amp; Outlays in GDP'!E464, "0.00"),""), "")</f>
        <v/>
      </c>
      <c r="C458" s="23" t="str">
        <f>IFERROR(IF(ISNUMBER('Revenues &amp; Outlays in GDP'!C464),TEXT('Revenues &amp; Outlays in GDP'!C464, "0.00"),""), "")</f>
        <v/>
      </c>
      <c r="D458" s="23" t="str">
        <f>IFERROR(IF(ISNUMBER('Revenues &amp; Outlays in GDP'!F464),TEXT('Revenues &amp; Outlays in GDP'!F464, "0.00"),""), "")</f>
        <v/>
      </c>
      <c r="E458" s="23" t="str">
        <f>IFERROR(IF(ISNUMBER('Revenues &amp; Outlays in GDP'!D464),TEXT('Revenues &amp; Outlays in GDP'!D464, "0.00"),""), "")</f>
        <v/>
      </c>
    </row>
    <row r="459" spans="1:5">
      <c r="A459" s="23" t="str">
        <f>TEXT(IF('Revenues &amp; Outlays in GDP'!B465&lt;&gt;0,'Revenues &amp; Outlays in GDP'!B465-364, ""), "mm/dd/yyyy")</f>
        <v/>
      </c>
      <c r="B459" s="23" t="str">
        <f>IFERROR(IF(ISNUMBER('Revenues &amp; Outlays in GDP'!E465),TEXT('Revenues &amp; Outlays in GDP'!E465, "0.00"),""), "")</f>
        <v/>
      </c>
      <c r="C459" s="23" t="str">
        <f>IFERROR(IF(ISNUMBER('Revenues &amp; Outlays in GDP'!C465),TEXT('Revenues &amp; Outlays in GDP'!C465, "0.00"),""), "")</f>
        <v/>
      </c>
      <c r="D459" s="23" t="str">
        <f>IFERROR(IF(ISNUMBER('Revenues &amp; Outlays in GDP'!F465),TEXT('Revenues &amp; Outlays in GDP'!F465, "0.00"),""), "")</f>
        <v/>
      </c>
      <c r="E459" s="23" t="str">
        <f>IFERROR(IF(ISNUMBER('Revenues &amp; Outlays in GDP'!D465),TEXT('Revenues &amp; Outlays in GDP'!D465, "0.00"),""), "")</f>
        <v/>
      </c>
    </row>
    <row r="460" spans="1:5">
      <c r="A460" s="23" t="str">
        <f>TEXT(IF('Revenues &amp; Outlays in GDP'!B466&lt;&gt;0,'Revenues &amp; Outlays in GDP'!B466-364, ""), "mm/dd/yyyy")</f>
        <v/>
      </c>
      <c r="B460" s="23" t="str">
        <f>IFERROR(IF(ISNUMBER('Revenues &amp; Outlays in GDP'!E466),TEXT('Revenues &amp; Outlays in GDP'!E466, "0.00"),""), "")</f>
        <v/>
      </c>
      <c r="C460" s="23" t="str">
        <f>IFERROR(IF(ISNUMBER('Revenues &amp; Outlays in GDP'!C466),TEXT('Revenues &amp; Outlays in GDP'!C466, "0.00"),""), "")</f>
        <v/>
      </c>
      <c r="D460" s="23" t="str">
        <f>IFERROR(IF(ISNUMBER('Revenues &amp; Outlays in GDP'!F466),TEXT('Revenues &amp; Outlays in GDP'!F466, "0.00"),""), "")</f>
        <v/>
      </c>
      <c r="E460" s="23" t="str">
        <f>IFERROR(IF(ISNUMBER('Revenues &amp; Outlays in GDP'!D466),TEXT('Revenues &amp; Outlays in GDP'!D466, "0.00"),""), "")</f>
        <v/>
      </c>
    </row>
    <row r="461" spans="1:5">
      <c r="A461" s="23" t="str">
        <f>TEXT(IF('Revenues &amp; Outlays in GDP'!B467&lt;&gt;0,'Revenues &amp; Outlays in GDP'!B467-364, ""), "mm/dd/yyyy")</f>
        <v/>
      </c>
      <c r="B461" s="23" t="str">
        <f>IFERROR(IF(ISNUMBER('Revenues &amp; Outlays in GDP'!E467),TEXT('Revenues &amp; Outlays in GDP'!E467, "0.00"),""), "")</f>
        <v/>
      </c>
      <c r="C461" s="23" t="str">
        <f>IFERROR(IF(ISNUMBER('Revenues &amp; Outlays in GDP'!C467),TEXT('Revenues &amp; Outlays in GDP'!C467, "0.00"),""), "")</f>
        <v/>
      </c>
      <c r="D461" s="23" t="str">
        <f>IFERROR(IF(ISNUMBER('Revenues &amp; Outlays in GDP'!F467),TEXT('Revenues &amp; Outlays in GDP'!F467, "0.00"),""), "")</f>
        <v/>
      </c>
      <c r="E461" s="23" t="str">
        <f>IFERROR(IF(ISNUMBER('Revenues &amp; Outlays in GDP'!D467),TEXT('Revenues &amp; Outlays in GDP'!D467, "0.00"),""), "")</f>
        <v/>
      </c>
    </row>
    <row r="462" spans="1:5">
      <c r="A462" s="23" t="str">
        <f>TEXT(IF('Revenues &amp; Outlays in GDP'!B468&lt;&gt;0,'Revenues &amp; Outlays in GDP'!B468-364, ""), "mm/dd/yyyy")</f>
        <v/>
      </c>
      <c r="B462" s="23" t="str">
        <f>IFERROR(IF(ISNUMBER('Revenues &amp; Outlays in GDP'!E468),TEXT('Revenues &amp; Outlays in GDP'!E468, "0.00"),""), "")</f>
        <v/>
      </c>
      <c r="C462" s="23" t="str">
        <f>IFERROR(IF(ISNUMBER('Revenues &amp; Outlays in GDP'!C468),TEXT('Revenues &amp; Outlays in GDP'!C468, "0.00"),""), "")</f>
        <v/>
      </c>
      <c r="D462" s="23" t="str">
        <f>IFERROR(IF(ISNUMBER('Revenues &amp; Outlays in GDP'!F468),TEXT('Revenues &amp; Outlays in GDP'!F468, "0.00"),""), "")</f>
        <v/>
      </c>
      <c r="E462" s="23" t="str">
        <f>IFERROR(IF(ISNUMBER('Revenues &amp; Outlays in GDP'!D468),TEXT('Revenues &amp; Outlays in GDP'!D468, "0.00"),""), "")</f>
        <v/>
      </c>
    </row>
    <row r="463" spans="1:5">
      <c r="A463" s="23" t="str">
        <f>TEXT(IF('Revenues &amp; Outlays in GDP'!B469&lt;&gt;0,'Revenues &amp; Outlays in GDP'!B469-364, ""), "mm/dd/yyyy")</f>
        <v/>
      </c>
      <c r="B463" s="23" t="str">
        <f>IFERROR(IF(ISNUMBER('Revenues &amp; Outlays in GDP'!E469),TEXT('Revenues &amp; Outlays in GDP'!E469, "0.00"),""), "")</f>
        <v/>
      </c>
      <c r="C463" s="23" t="str">
        <f>IFERROR(IF(ISNUMBER('Revenues &amp; Outlays in GDP'!C469),TEXT('Revenues &amp; Outlays in GDP'!C469, "0.00"),""), "")</f>
        <v/>
      </c>
      <c r="D463" s="23" t="str">
        <f>IFERROR(IF(ISNUMBER('Revenues &amp; Outlays in GDP'!F469),TEXT('Revenues &amp; Outlays in GDP'!F469, "0.00"),""), "")</f>
        <v/>
      </c>
      <c r="E463" s="23" t="str">
        <f>IFERROR(IF(ISNUMBER('Revenues &amp; Outlays in GDP'!D469),TEXT('Revenues &amp; Outlays in GDP'!D469, "0.00"),""), "")</f>
        <v/>
      </c>
    </row>
    <row r="464" spans="1:5">
      <c r="A464" s="23" t="str">
        <f>TEXT(IF('Revenues &amp; Outlays in GDP'!B470&lt;&gt;0,'Revenues &amp; Outlays in GDP'!B470-364, ""), "mm/dd/yyyy")</f>
        <v/>
      </c>
      <c r="B464" s="23" t="str">
        <f>IFERROR(IF(ISNUMBER('Revenues &amp; Outlays in GDP'!E470),TEXT('Revenues &amp; Outlays in GDP'!E470, "0.00"),""), "")</f>
        <v/>
      </c>
      <c r="C464" s="23" t="str">
        <f>IFERROR(IF(ISNUMBER('Revenues &amp; Outlays in GDP'!C470),TEXT('Revenues &amp; Outlays in GDP'!C470, "0.00"),""), "")</f>
        <v/>
      </c>
      <c r="D464" s="23" t="str">
        <f>IFERROR(IF(ISNUMBER('Revenues &amp; Outlays in GDP'!F470),TEXT('Revenues &amp; Outlays in GDP'!F470, "0.00"),""), "")</f>
        <v/>
      </c>
      <c r="E464" s="23" t="str">
        <f>IFERROR(IF(ISNUMBER('Revenues &amp; Outlays in GDP'!D470),TEXT('Revenues &amp; Outlays in GDP'!D470, "0.00"),""), "")</f>
        <v/>
      </c>
    </row>
    <row r="465" spans="1:5">
      <c r="A465" s="23" t="str">
        <f>TEXT(IF('Revenues &amp; Outlays in GDP'!B471&lt;&gt;0,'Revenues &amp; Outlays in GDP'!B471-364, ""), "mm/dd/yyyy")</f>
        <v/>
      </c>
      <c r="B465" s="23" t="str">
        <f>IFERROR(IF(ISNUMBER('Revenues &amp; Outlays in GDP'!E471),TEXT('Revenues &amp; Outlays in GDP'!E471, "0.00"),""), "")</f>
        <v/>
      </c>
      <c r="C465" s="23" t="str">
        <f>IFERROR(IF(ISNUMBER('Revenues &amp; Outlays in GDP'!C471),TEXT('Revenues &amp; Outlays in GDP'!C471, "0.00"),""), "")</f>
        <v/>
      </c>
      <c r="D465" s="23" t="str">
        <f>IFERROR(IF(ISNUMBER('Revenues &amp; Outlays in GDP'!F471),TEXT('Revenues &amp; Outlays in GDP'!F471, "0.00"),""), "")</f>
        <v/>
      </c>
      <c r="E465" s="23" t="str">
        <f>IFERROR(IF(ISNUMBER('Revenues &amp; Outlays in GDP'!D471),TEXT('Revenues &amp; Outlays in GDP'!D471, "0.00"),""), "")</f>
        <v/>
      </c>
    </row>
    <row r="466" spans="1:5">
      <c r="A466" s="23" t="str">
        <f>TEXT(IF('Revenues &amp; Outlays in GDP'!B472&lt;&gt;0,'Revenues &amp; Outlays in GDP'!B472-364, ""), "mm/dd/yyyy")</f>
        <v/>
      </c>
      <c r="B466" s="23" t="str">
        <f>IFERROR(IF(ISNUMBER('Revenues &amp; Outlays in GDP'!E472),TEXT('Revenues &amp; Outlays in GDP'!E472, "0.00"),""), "")</f>
        <v/>
      </c>
      <c r="C466" s="23" t="str">
        <f>IFERROR(IF(ISNUMBER('Revenues &amp; Outlays in GDP'!C472),TEXT('Revenues &amp; Outlays in GDP'!C472, "0.00"),""), "")</f>
        <v/>
      </c>
      <c r="D466" s="23" t="str">
        <f>IFERROR(IF(ISNUMBER('Revenues &amp; Outlays in GDP'!F472),TEXT('Revenues &amp; Outlays in GDP'!F472, "0.00"),""), "")</f>
        <v/>
      </c>
      <c r="E466" s="23" t="str">
        <f>IFERROR(IF(ISNUMBER('Revenues &amp; Outlays in GDP'!D472),TEXT('Revenues &amp; Outlays in GDP'!D472, "0.00"),""), "")</f>
        <v/>
      </c>
    </row>
    <row r="467" spans="1:5">
      <c r="A467" s="23" t="str">
        <f>TEXT(IF('Revenues &amp; Outlays in GDP'!B473&lt;&gt;0,'Revenues &amp; Outlays in GDP'!B473-364, ""), "mm/dd/yyyy")</f>
        <v/>
      </c>
      <c r="B467" s="23" t="str">
        <f>IFERROR(IF(ISNUMBER('Revenues &amp; Outlays in GDP'!E473),TEXT('Revenues &amp; Outlays in GDP'!E473, "0.00"),""), "")</f>
        <v/>
      </c>
      <c r="C467" s="23" t="str">
        <f>IFERROR(IF(ISNUMBER('Revenues &amp; Outlays in GDP'!C473),TEXT('Revenues &amp; Outlays in GDP'!C473, "0.00"),""), "")</f>
        <v/>
      </c>
      <c r="D467" s="23" t="str">
        <f>IFERROR(IF(ISNUMBER('Revenues &amp; Outlays in GDP'!F473),TEXT('Revenues &amp; Outlays in GDP'!F473, "0.00"),""), "")</f>
        <v/>
      </c>
      <c r="E467" s="23" t="str">
        <f>IFERROR(IF(ISNUMBER('Revenues &amp; Outlays in GDP'!D473),TEXT('Revenues &amp; Outlays in GDP'!D473, "0.00"),""), "")</f>
        <v/>
      </c>
    </row>
    <row r="468" spans="1:5">
      <c r="A468" s="23" t="str">
        <f>TEXT(IF('Revenues &amp; Outlays in GDP'!B474&lt;&gt;0,'Revenues &amp; Outlays in GDP'!B474-364, ""), "mm/dd/yyyy")</f>
        <v/>
      </c>
      <c r="B468" s="23" t="str">
        <f>IFERROR(IF(ISNUMBER('Revenues &amp; Outlays in GDP'!E474),TEXT('Revenues &amp; Outlays in GDP'!E474, "0.00"),""), "")</f>
        <v/>
      </c>
      <c r="C468" s="23" t="str">
        <f>IFERROR(IF(ISNUMBER('Revenues &amp; Outlays in GDP'!C474),TEXT('Revenues &amp; Outlays in GDP'!C474, "0.00"),""), "")</f>
        <v/>
      </c>
      <c r="D468" s="23" t="str">
        <f>IFERROR(IF(ISNUMBER('Revenues &amp; Outlays in GDP'!F474),TEXT('Revenues &amp; Outlays in GDP'!F474, "0.00"),""), "")</f>
        <v/>
      </c>
      <c r="E468" s="23" t="str">
        <f>IFERROR(IF(ISNUMBER('Revenues &amp; Outlays in GDP'!D474),TEXT('Revenues &amp; Outlays in GDP'!D474, "0.00"),""), "")</f>
        <v/>
      </c>
    </row>
    <row r="469" spans="1:5">
      <c r="A469" s="23" t="str">
        <f>TEXT(IF('Revenues &amp; Outlays in GDP'!B475&lt;&gt;0,'Revenues &amp; Outlays in GDP'!B475-364, ""), "mm/dd/yyyy")</f>
        <v/>
      </c>
      <c r="B469" s="23" t="str">
        <f>IFERROR(IF(ISNUMBER('Revenues &amp; Outlays in GDP'!E475),TEXT('Revenues &amp; Outlays in GDP'!E475, "0.00"),""), "")</f>
        <v/>
      </c>
      <c r="C469" s="23" t="str">
        <f>IFERROR(IF(ISNUMBER('Revenues &amp; Outlays in GDP'!C475),TEXT('Revenues &amp; Outlays in GDP'!C475, "0.00"),""), "")</f>
        <v/>
      </c>
      <c r="D469" s="23" t="str">
        <f>IFERROR(IF(ISNUMBER('Revenues &amp; Outlays in GDP'!F475),TEXT('Revenues &amp; Outlays in GDP'!F475, "0.00"),""), "")</f>
        <v/>
      </c>
      <c r="E469" s="23" t="str">
        <f>IFERROR(IF(ISNUMBER('Revenues &amp; Outlays in GDP'!D475),TEXT('Revenues &amp; Outlays in GDP'!D475, "0.00"),""), "")</f>
        <v/>
      </c>
    </row>
    <row r="470" spans="1:5">
      <c r="A470" s="23" t="str">
        <f>TEXT(IF('Revenues &amp; Outlays in GDP'!B476&lt;&gt;0,'Revenues &amp; Outlays in GDP'!B476-364, ""), "mm/dd/yyyy")</f>
        <v/>
      </c>
      <c r="B470" s="23" t="str">
        <f>IFERROR(IF(ISNUMBER('Revenues &amp; Outlays in GDP'!E476),TEXT('Revenues &amp; Outlays in GDP'!E476, "0.00"),""), "")</f>
        <v/>
      </c>
      <c r="C470" s="23" t="str">
        <f>IFERROR(IF(ISNUMBER('Revenues &amp; Outlays in GDP'!C476),TEXT('Revenues &amp; Outlays in GDP'!C476, "0.00"),""), "")</f>
        <v/>
      </c>
      <c r="D470" s="23" t="str">
        <f>IFERROR(IF(ISNUMBER('Revenues &amp; Outlays in GDP'!F476),TEXT('Revenues &amp; Outlays in GDP'!F476, "0.00"),""), "")</f>
        <v/>
      </c>
      <c r="E470" s="23" t="str">
        <f>IFERROR(IF(ISNUMBER('Revenues &amp; Outlays in GDP'!D476),TEXT('Revenues &amp; Outlays in GDP'!D476, "0.00"),""), "")</f>
        <v/>
      </c>
    </row>
    <row r="471" spans="1:5">
      <c r="A471" s="23" t="str">
        <f>TEXT(IF('Revenues &amp; Outlays in GDP'!B477&lt;&gt;0,'Revenues &amp; Outlays in GDP'!B477-364, ""), "mm/dd/yyyy")</f>
        <v/>
      </c>
      <c r="B471" s="23" t="str">
        <f>IFERROR(IF(ISNUMBER('Revenues &amp; Outlays in GDP'!E477),TEXT('Revenues &amp; Outlays in GDP'!E477, "0.00"),""), "")</f>
        <v/>
      </c>
      <c r="C471" s="23" t="str">
        <f>IFERROR(IF(ISNUMBER('Revenues &amp; Outlays in GDP'!C477),TEXT('Revenues &amp; Outlays in GDP'!C477, "0.00"),""), "")</f>
        <v/>
      </c>
      <c r="D471" s="23" t="str">
        <f>IFERROR(IF(ISNUMBER('Revenues &amp; Outlays in GDP'!F477),TEXT('Revenues &amp; Outlays in GDP'!F477, "0.00"),""), "")</f>
        <v/>
      </c>
      <c r="E471" s="23" t="str">
        <f>IFERROR(IF(ISNUMBER('Revenues &amp; Outlays in GDP'!D477),TEXT('Revenues &amp; Outlays in GDP'!D477, "0.00"),""), "")</f>
        <v/>
      </c>
    </row>
    <row r="472" spans="1:5">
      <c r="A472" s="23" t="str">
        <f>TEXT(IF('Revenues &amp; Outlays in GDP'!B478&lt;&gt;0,'Revenues &amp; Outlays in GDP'!B478-364, ""), "mm/dd/yyyy")</f>
        <v/>
      </c>
      <c r="B472" s="23" t="str">
        <f>IFERROR(IF(ISNUMBER('Revenues &amp; Outlays in GDP'!E478),TEXT('Revenues &amp; Outlays in GDP'!E478, "0.00"),""), "")</f>
        <v/>
      </c>
      <c r="C472" s="23" t="str">
        <f>IFERROR(IF(ISNUMBER('Revenues &amp; Outlays in GDP'!C478),TEXT('Revenues &amp; Outlays in GDP'!C478, "0.00"),""), "")</f>
        <v/>
      </c>
      <c r="D472" s="23" t="str">
        <f>IFERROR(IF(ISNUMBER('Revenues &amp; Outlays in GDP'!F478),TEXT('Revenues &amp; Outlays in GDP'!F478, "0.00"),""), "")</f>
        <v/>
      </c>
      <c r="E472" s="23" t="str">
        <f>IFERROR(IF(ISNUMBER('Revenues &amp; Outlays in GDP'!D478),TEXT('Revenues &amp; Outlays in GDP'!D478, "0.00"),""), "")</f>
        <v/>
      </c>
    </row>
    <row r="473" spans="1:5">
      <c r="A473" s="23" t="str">
        <f>TEXT(IF('Revenues &amp; Outlays in GDP'!B479&lt;&gt;0,'Revenues &amp; Outlays in GDP'!B479-364, ""), "mm/dd/yyyy")</f>
        <v/>
      </c>
      <c r="B473" s="23" t="str">
        <f>IFERROR(IF(ISNUMBER('Revenues &amp; Outlays in GDP'!E479),TEXT('Revenues &amp; Outlays in GDP'!E479, "0.00"),""), "")</f>
        <v/>
      </c>
      <c r="C473" s="23" t="str">
        <f>IFERROR(IF(ISNUMBER('Revenues &amp; Outlays in GDP'!C479),TEXT('Revenues &amp; Outlays in GDP'!C479, "0.00"),""), "")</f>
        <v/>
      </c>
      <c r="D473" s="23" t="str">
        <f>IFERROR(IF(ISNUMBER('Revenues &amp; Outlays in GDP'!F479),TEXT('Revenues &amp; Outlays in GDP'!F479, "0.00"),""), "")</f>
        <v/>
      </c>
      <c r="E473" s="23" t="str">
        <f>IFERROR(IF(ISNUMBER('Revenues &amp; Outlays in GDP'!D479),TEXT('Revenues &amp; Outlays in GDP'!D479, "0.00"),""), "")</f>
        <v/>
      </c>
    </row>
    <row r="474" spans="1:5">
      <c r="A474" s="23" t="str">
        <f>TEXT(IF('Revenues &amp; Outlays in GDP'!B480&lt;&gt;0,'Revenues &amp; Outlays in GDP'!B480-364, ""), "mm/dd/yyyy")</f>
        <v/>
      </c>
      <c r="B474" s="23" t="str">
        <f>IFERROR(IF(ISNUMBER('Revenues &amp; Outlays in GDP'!E480),TEXT('Revenues &amp; Outlays in GDP'!E480, "0.00"),""), "")</f>
        <v/>
      </c>
      <c r="C474" s="23" t="str">
        <f>IFERROR(IF(ISNUMBER('Revenues &amp; Outlays in GDP'!C480),TEXT('Revenues &amp; Outlays in GDP'!C480, "0.00"),""), "")</f>
        <v/>
      </c>
      <c r="D474" s="23" t="str">
        <f>IFERROR(IF(ISNUMBER('Revenues &amp; Outlays in GDP'!F480),TEXT('Revenues &amp; Outlays in GDP'!F480, "0.00"),""), "")</f>
        <v/>
      </c>
      <c r="E474" s="23" t="str">
        <f>IFERROR(IF(ISNUMBER('Revenues &amp; Outlays in GDP'!D480),TEXT('Revenues &amp; Outlays in GDP'!D480, "0.00"),""), "")</f>
        <v/>
      </c>
    </row>
    <row r="475" spans="1:5">
      <c r="A475" s="23" t="str">
        <f>TEXT(IF('Revenues &amp; Outlays in GDP'!B481&lt;&gt;0,'Revenues &amp; Outlays in GDP'!B481-364, ""), "mm/dd/yyyy")</f>
        <v/>
      </c>
      <c r="B475" s="23" t="str">
        <f>IFERROR(IF(ISNUMBER('Revenues &amp; Outlays in GDP'!E481),TEXT('Revenues &amp; Outlays in GDP'!E481, "0.00"),""), "")</f>
        <v/>
      </c>
      <c r="C475" s="23" t="str">
        <f>IFERROR(IF(ISNUMBER('Revenues &amp; Outlays in GDP'!C481),TEXT('Revenues &amp; Outlays in GDP'!C481, "0.00"),""), "")</f>
        <v/>
      </c>
      <c r="D475" s="23" t="str">
        <f>IFERROR(IF(ISNUMBER('Revenues &amp; Outlays in GDP'!F481),TEXT('Revenues &amp; Outlays in GDP'!F481, "0.00"),""), "")</f>
        <v/>
      </c>
      <c r="E475" s="23" t="str">
        <f>IFERROR(IF(ISNUMBER('Revenues &amp; Outlays in GDP'!D481),TEXT('Revenues &amp; Outlays in GDP'!D481, "0.00"),""), "")</f>
        <v/>
      </c>
    </row>
    <row r="476" spans="1:5">
      <c r="A476" s="23" t="str">
        <f>TEXT(IF('Revenues &amp; Outlays in GDP'!B482&lt;&gt;0,'Revenues &amp; Outlays in GDP'!B482-364, ""), "mm/dd/yyyy")</f>
        <v/>
      </c>
      <c r="B476" s="23" t="str">
        <f>IFERROR(IF(ISNUMBER('Revenues &amp; Outlays in GDP'!E482),TEXT('Revenues &amp; Outlays in GDP'!E482, "0.00"),""), "")</f>
        <v/>
      </c>
      <c r="C476" s="23" t="str">
        <f>IFERROR(IF(ISNUMBER('Revenues &amp; Outlays in GDP'!C482),TEXT('Revenues &amp; Outlays in GDP'!C482, "0.00"),""), "")</f>
        <v/>
      </c>
      <c r="D476" s="23" t="str">
        <f>IFERROR(IF(ISNUMBER('Revenues &amp; Outlays in GDP'!F482),TEXT('Revenues &amp; Outlays in GDP'!F482, "0.00"),""), "")</f>
        <v/>
      </c>
      <c r="E476" s="23" t="str">
        <f>IFERROR(IF(ISNUMBER('Revenues &amp; Outlays in GDP'!D482),TEXT('Revenues &amp; Outlays in GDP'!D482, "0.00"),""), "")</f>
        <v/>
      </c>
    </row>
    <row r="477" spans="1:5">
      <c r="A477" s="23" t="str">
        <f>TEXT(IF('Revenues &amp; Outlays in GDP'!B483&lt;&gt;0,'Revenues &amp; Outlays in GDP'!B483-364, ""), "mm/dd/yyyy")</f>
        <v/>
      </c>
      <c r="B477" s="23" t="str">
        <f>IFERROR(IF(ISNUMBER('Revenues &amp; Outlays in GDP'!E483),TEXT('Revenues &amp; Outlays in GDP'!E483, "0.00"),""), "")</f>
        <v/>
      </c>
      <c r="C477" s="23" t="str">
        <f>IFERROR(IF(ISNUMBER('Revenues &amp; Outlays in GDP'!C483),TEXT('Revenues &amp; Outlays in GDP'!C483, "0.00"),""), "")</f>
        <v/>
      </c>
      <c r="D477" s="23" t="str">
        <f>IFERROR(IF(ISNUMBER('Revenues &amp; Outlays in GDP'!F483),TEXT('Revenues &amp; Outlays in GDP'!F483, "0.00"),""), "")</f>
        <v/>
      </c>
      <c r="E477" s="23" t="str">
        <f>IFERROR(IF(ISNUMBER('Revenues &amp; Outlays in GDP'!D483),TEXT('Revenues &amp; Outlays in GDP'!D483, "0.00"),""), "")</f>
        <v/>
      </c>
    </row>
    <row r="478" spans="1:5">
      <c r="A478" s="23" t="str">
        <f>TEXT(IF('Revenues &amp; Outlays in GDP'!B484&lt;&gt;0,'Revenues &amp; Outlays in GDP'!B484-364, ""), "mm/dd/yyyy")</f>
        <v/>
      </c>
      <c r="B478" s="23" t="str">
        <f>IFERROR(IF(ISNUMBER('Revenues &amp; Outlays in GDP'!E484),TEXT('Revenues &amp; Outlays in GDP'!E484, "0.00"),""), "")</f>
        <v/>
      </c>
      <c r="C478" s="23" t="str">
        <f>IFERROR(IF(ISNUMBER('Revenues &amp; Outlays in GDP'!C484),TEXT('Revenues &amp; Outlays in GDP'!C484, "0.00"),""), "")</f>
        <v/>
      </c>
      <c r="D478" s="23" t="str">
        <f>IFERROR(IF(ISNUMBER('Revenues &amp; Outlays in GDP'!F484),TEXT('Revenues &amp; Outlays in GDP'!F484, "0.00"),""), "")</f>
        <v/>
      </c>
      <c r="E478" s="23" t="str">
        <f>IFERROR(IF(ISNUMBER('Revenues &amp; Outlays in GDP'!D484),TEXT('Revenues &amp; Outlays in GDP'!D484, "0.00"),""), "")</f>
        <v/>
      </c>
    </row>
    <row r="479" spans="1:5">
      <c r="A479" s="23" t="str">
        <f>TEXT(IF('Revenues &amp; Outlays in GDP'!B485&lt;&gt;0,'Revenues &amp; Outlays in GDP'!B485-364, ""), "mm/dd/yyyy")</f>
        <v/>
      </c>
      <c r="B479" s="23" t="str">
        <f>IFERROR(IF(ISNUMBER('Revenues &amp; Outlays in GDP'!E485),TEXT('Revenues &amp; Outlays in GDP'!E485, "0.00"),""), "")</f>
        <v/>
      </c>
      <c r="C479" s="23" t="str">
        <f>IFERROR(IF(ISNUMBER('Revenues &amp; Outlays in GDP'!C485),TEXT('Revenues &amp; Outlays in GDP'!C485, "0.00"),""), "")</f>
        <v/>
      </c>
      <c r="D479" s="23" t="str">
        <f>IFERROR(IF(ISNUMBER('Revenues &amp; Outlays in GDP'!F485),TEXT('Revenues &amp; Outlays in GDP'!F485, "0.00"),""), "")</f>
        <v/>
      </c>
      <c r="E479" s="23" t="str">
        <f>IFERROR(IF(ISNUMBER('Revenues &amp; Outlays in GDP'!D485),TEXT('Revenues &amp; Outlays in GDP'!D485, "0.00"),""), "")</f>
        <v/>
      </c>
    </row>
    <row r="480" spans="1:5">
      <c r="A480" s="23" t="str">
        <f>TEXT(IF('Revenues &amp; Outlays in GDP'!B486&lt;&gt;0,'Revenues &amp; Outlays in GDP'!B486-364, ""), "mm/dd/yyyy")</f>
        <v/>
      </c>
      <c r="B480" s="23" t="str">
        <f>IFERROR(IF(ISNUMBER('Revenues &amp; Outlays in GDP'!E486),TEXT('Revenues &amp; Outlays in GDP'!E486, "0.00"),""), "")</f>
        <v/>
      </c>
      <c r="C480" s="23" t="str">
        <f>IFERROR(IF(ISNUMBER('Revenues &amp; Outlays in GDP'!C486),TEXT('Revenues &amp; Outlays in GDP'!C486, "0.00"),""), "")</f>
        <v/>
      </c>
      <c r="D480" s="23" t="str">
        <f>IFERROR(IF(ISNUMBER('Revenues &amp; Outlays in GDP'!F486),TEXT('Revenues &amp; Outlays in GDP'!F486, "0.00"),""), "")</f>
        <v/>
      </c>
      <c r="E480" s="23" t="str">
        <f>IFERROR(IF(ISNUMBER('Revenues &amp; Outlays in GDP'!D486),TEXT('Revenues &amp; Outlays in GDP'!D486, "0.00"),""), "")</f>
        <v/>
      </c>
    </row>
    <row r="481" spans="1:5">
      <c r="A481" s="23" t="str">
        <f>TEXT(IF('Revenues &amp; Outlays in GDP'!B487&lt;&gt;0,'Revenues &amp; Outlays in GDP'!B487-364, ""), "mm/dd/yyyy")</f>
        <v/>
      </c>
      <c r="B481" s="23" t="str">
        <f>IFERROR(IF(ISNUMBER('Revenues &amp; Outlays in GDP'!E487),TEXT('Revenues &amp; Outlays in GDP'!E487, "0.00"),""), "")</f>
        <v/>
      </c>
      <c r="C481" s="23" t="str">
        <f>IFERROR(IF(ISNUMBER('Revenues &amp; Outlays in GDP'!C487),TEXT('Revenues &amp; Outlays in GDP'!C487, "0.00"),""), "")</f>
        <v/>
      </c>
      <c r="D481" s="23" t="str">
        <f>IFERROR(IF(ISNUMBER('Revenues &amp; Outlays in GDP'!F487),TEXT('Revenues &amp; Outlays in GDP'!F487, "0.00"),""), "")</f>
        <v/>
      </c>
      <c r="E481" s="23" t="str">
        <f>IFERROR(IF(ISNUMBER('Revenues &amp; Outlays in GDP'!D487),TEXT('Revenues &amp; Outlays in GDP'!D487, "0.00"),""), "")</f>
        <v/>
      </c>
    </row>
    <row r="482" spans="1:5">
      <c r="A482" s="23" t="str">
        <f>TEXT(IF('Revenues &amp; Outlays in GDP'!B488&lt;&gt;0,'Revenues &amp; Outlays in GDP'!B488-364, ""), "mm/dd/yyyy")</f>
        <v/>
      </c>
      <c r="B482" s="23" t="str">
        <f>IFERROR(IF(ISNUMBER('Revenues &amp; Outlays in GDP'!E488),TEXT('Revenues &amp; Outlays in GDP'!E488, "0.00"),""), "")</f>
        <v/>
      </c>
      <c r="C482" s="23" t="str">
        <f>IFERROR(IF(ISNUMBER('Revenues &amp; Outlays in GDP'!C488),TEXT('Revenues &amp; Outlays in GDP'!C488, "0.00"),""), "")</f>
        <v/>
      </c>
      <c r="D482" s="23" t="str">
        <f>IFERROR(IF(ISNUMBER('Revenues &amp; Outlays in GDP'!F488),TEXT('Revenues &amp; Outlays in GDP'!F488, "0.00"),""), "")</f>
        <v/>
      </c>
      <c r="E482" s="23" t="str">
        <f>IFERROR(IF(ISNUMBER('Revenues &amp; Outlays in GDP'!D488),TEXT('Revenues &amp; Outlays in GDP'!D488, "0.00"),""), "")</f>
        <v/>
      </c>
    </row>
    <row r="483" spans="1:5">
      <c r="A483" s="23" t="str">
        <f>TEXT(IF('Revenues &amp; Outlays in GDP'!B489&lt;&gt;0,'Revenues &amp; Outlays in GDP'!B489-364, ""), "mm/dd/yyyy")</f>
        <v/>
      </c>
      <c r="B483" s="23" t="str">
        <f>IFERROR(IF(ISNUMBER('Revenues &amp; Outlays in GDP'!E489),TEXT('Revenues &amp; Outlays in GDP'!E489, "0.00"),""), "")</f>
        <v/>
      </c>
      <c r="C483" s="23" t="str">
        <f>IFERROR(IF(ISNUMBER('Revenues &amp; Outlays in GDP'!C489),TEXT('Revenues &amp; Outlays in GDP'!C489, "0.00"),""), "")</f>
        <v/>
      </c>
      <c r="D483" s="23" t="str">
        <f>IFERROR(IF(ISNUMBER('Revenues &amp; Outlays in GDP'!F489),TEXT('Revenues &amp; Outlays in GDP'!F489, "0.00"),""), "")</f>
        <v/>
      </c>
      <c r="E483" s="23" t="str">
        <f>IFERROR(IF(ISNUMBER('Revenues &amp; Outlays in GDP'!D489),TEXT('Revenues &amp; Outlays in GDP'!D489, "0.00"),""), "")</f>
        <v/>
      </c>
    </row>
    <row r="484" spans="1:5">
      <c r="A484" s="23" t="str">
        <f>TEXT(IF('Revenues &amp; Outlays in GDP'!B490&lt;&gt;0,'Revenues &amp; Outlays in GDP'!B490-364, ""), "mm/dd/yyyy")</f>
        <v/>
      </c>
      <c r="B484" s="23" t="str">
        <f>IFERROR(IF(ISNUMBER('Revenues &amp; Outlays in GDP'!E490),TEXT('Revenues &amp; Outlays in GDP'!E490, "0.00"),""), "")</f>
        <v/>
      </c>
      <c r="C484" s="23" t="str">
        <f>IFERROR(IF(ISNUMBER('Revenues &amp; Outlays in GDP'!C490),TEXT('Revenues &amp; Outlays in GDP'!C490, "0.00"),""), "")</f>
        <v/>
      </c>
      <c r="D484" s="23" t="str">
        <f>IFERROR(IF(ISNUMBER('Revenues &amp; Outlays in GDP'!F490),TEXT('Revenues &amp; Outlays in GDP'!F490, "0.00"),""), "")</f>
        <v/>
      </c>
      <c r="E484" s="23" t="str">
        <f>IFERROR(IF(ISNUMBER('Revenues &amp; Outlays in GDP'!D490),TEXT('Revenues &amp; Outlays in GDP'!D490, "0.00"),""), "")</f>
        <v/>
      </c>
    </row>
    <row r="485" spans="1:5">
      <c r="A485" s="23" t="str">
        <f>TEXT(IF('Revenues &amp; Outlays in GDP'!B491&lt;&gt;0,'Revenues &amp; Outlays in GDP'!B491-364, ""), "mm/dd/yyyy")</f>
        <v/>
      </c>
      <c r="B485" s="23" t="str">
        <f>IFERROR(IF(ISNUMBER('Revenues &amp; Outlays in GDP'!E491),TEXT('Revenues &amp; Outlays in GDP'!E491, "0.00"),""), "")</f>
        <v/>
      </c>
      <c r="C485" s="23" t="str">
        <f>IFERROR(IF(ISNUMBER('Revenues &amp; Outlays in GDP'!C491),TEXT('Revenues &amp; Outlays in GDP'!C491, "0.00"),""), "")</f>
        <v/>
      </c>
      <c r="D485" s="23" t="str">
        <f>IFERROR(IF(ISNUMBER('Revenues &amp; Outlays in GDP'!F491),TEXT('Revenues &amp; Outlays in GDP'!F491, "0.00"),""), "")</f>
        <v/>
      </c>
      <c r="E485" s="23" t="str">
        <f>IFERROR(IF(ISNUMBER('Revenues &amp; Outlays in GDP'!D491),TEXT('Revenues &amp; Outlays in GDP'!D491, "0.00"),""), "")</f>
        <v/>
      </c>
    </row>
    <row r="486" spans="1:5">
      <c r="A486" s="23" t="str">
        <f>TEXT(IF('Revenues &amp; Outlays in GDP'!B492&lt;&gt;0,'Revenues &amp; Outlays in GDP'!B492-364, ""), "mm/dd/yyyy")</f>
        <v/>
      </c>
      <c r="B486" s="23" t="str">
        <f>IFERROR(IF(ISNUMBER('Revenues &amp; Outlays in GDP'!E492),TEXT('Revenues &amp; Outlays in GDP'!E492, "0.00"),""), "")</f>
        <v/>
      </c>
      <c r="C486" s="23" t="str">
        <f>IFERROR(IF(ISNUMBER('Revenues &amp; Outlays in GDP'!C492),TEXT('Revenues &amp; Outlays in GDP'!C492, "0.00"),""), "")</f>
        <v/>
      </c>
      <c r="D486" s="23" t="str">
        <f>IFERROR(IF(ISNUMBER('Revenues &amp; Outlays in GDP'!F492),TEXT('Revenues &amp; Outlays in GDP'!F492, "0.00"),""), "")</f>
        <v/>
      </c>
      <c r="E486" s="23" t="str">
        <f>IFERROR(IF(ISNUMBER('Revenues &amp; Outlays in GDP'!D492),TEXT('Revenues &amp; Outlays in GDP'!D492, "0.00"),""), "")</f>
        <v/>
      </c>
    </row>
    <row r="487" spans="1:5">
      <c r="A487" s="23" t="str">
        <f>TEXT(IF('Revenues &amp; Outlays in GDP'!B493&lt;&gt;0,'Revenues &amp; Outlays in GDP'!B493-364, ""), "mm/dd/yyyy")</f>
        <v/>
      </c>
      <c r="B487" s="23" t="str">
        <f>IFERROR(IF(ISNUMBER('Revenues &amp; Outlays in GDP'!E493),TEXT('Revenues &amp; Outlays in GDP'!E493, "0.00"),""), "")</f>
        <v/>
      </c>
      <c r="C487" s="23" t="str">
        <f>IFERROR(IF(ISNUMBER('Revenues &amp; Outlays in GDP'!C493),TEXT('Revenues &amp; Outlays in GDP'!C493, "0.00"),""), "")</f>
        <v/>
      </c>
      <c r="D487" s="23" t="str">
        <f>IFERROR(IF(ISNUMBER('Revenues &amp; Outlays in GDP'!F493),TEXT('Revenues &amp; Outlays in GDP'!F493, "0.00"),""), "")</f>
        <v/>
      </c>
      <c r="E487" s="23" t="str">
        <f>IFERROR(IF(ISNUMBER('Revenues &amp; Outlays in GDP'!D493),TEXT('Revenues &amp; Outlays in GDP'!D493, "0.00"),""), "")</f>
        <v/>
      </c>
    </row>
    <row r="488" spans="1:5">
      <c r="A488" s="23" t="str">
        <f>TEXT(IF('Revenues &amp; Outlays in GDP'!B494&lt;&gt;0,'Revenues &amp; Outlays in GDP'!B494-364, ""), "mm/dd/yyyy")</f>
        <v/>
      </c>
      <c r="B488" s="23" t="str">
        <f>IFERROR(IF(ISNUMBER('Revenues &amp; Outlays in GDP'!E494),TEXT('Revenues &amp; Outlays in GDP'!E494, "0.00"),""), "")</f>
        <v/>
      </c>
      <c r="C488" s="23" t="str">
        <f>IFERROR(IF(ISNUMBER('Revenues &amp; Outlays in GDP'!C494),TEXT('Revenues &amp; Outlays in GDP'!C494, "0.00"),""), "")</f>
        <v/>
      </c>
      <c r="D488" s="23" t="str">
        <f>IFERROR(IF(ISNUMBER('Revenues &amp; Outlays in GDP'!F494),TEXT('Revenues &amp; Outlays in GDP'!F494, "0.00"),""), "")</f>
        <v/>
      </c>
      <c r="E488" s="23" t="str">
        <f>IFERROR(IF(ISNUMBER('Revenues &amp; Outlays in GDP'!D494),TEXT('Revenues &amp; Outlays in GDP'!D494, "0.00"),""), "")</f>
        <v/>
      </c>
    </row>
    <row r="489" spans="1:5">
      <c r="A489" s="23" t="str">
        <f>TEXT(IF('Revenues &amp; Outlays in GDP'!B495&lt;&gt;0,'Revenues &amp; Outlays in GDP'!B495-364, ""), "mm/dd/yyyy")</f>
        <v/>
      </c>
      <c r="B489" s="23" t="str">
        <f>IFERROR(IF(ISNUMBER('Revenues &amp; Outlays in GDP'!E495),TEXT('Revenues &amp; Outlays in GDP'!E495, "0.00"),""), "")</f>
        <v/>
      </c>
      <c r="C489" s="23" t="str">
        <f>IFERROR(IF(ISNUMBER('Revenues &amp; Outlays in GDP'!C495),TEXT('Revenues &amp; Outlays in GDP'!C495, "0.00"),""), "")</f>
        <v/>
      </c>
      <c r="D489" s="23" t="str">
        <f>IFERROR(IF(ISNUMBER('Revenues &amp; Outlays in GDP'!F495),TEXT('Revenues &amp; Outlays in GDP'!F495, "0.00"),""), "")</f>
        <v/>
      </c>
      <c r="E489" s="23" t="str">
        <f>IFERROR(IF(ISNUMBER('Revenues &amp; Outlays in GDP'!D495),TEXT('Revenues &amp; Outlays in GDP'!D495, "0.00"),""), "")</f>
        <v/>
      </c>
    </row>
    <row r="490" spans="1:5">
      <c r="A490" s="23" t="str">
        <f>TEXT(IF('Revenues &amp; Outlays in GDP'!B496&lt;&gt;0,'Revenues &amp; Outlays in GDP'!B496-364, ""), "mm/dd/yyyy")</f>
        <v/>
      </c>
      <c r="B490" s="23" t="str">
        <f>IFERROR(IF(ISNUMBER('Revenues &amp; Outlays in GDP'!E496),TEXT('Revenues &amp; Outlays in GDP'!E496, "0.00"),""), "")</f>
        <v/>
      </c>
      <c r="C490" s="23" t="str">
        <f>IFERROR(IF(ISNUMBER('Revenues &amp; Outlays in GDP'!C496),TEXT('Revenues &amp; Outlays in GDP'!C496, "0.00"),""), "")</f>
        <v/>
      </c>
      <c r="D490" s="23" t="str">
        <f>IFERROR(IF(ISNUMBER('Revenues &amp; Outlays in GDP'!F496),TEXT('Revenues &amp; Outlays in GDP'!F496, "0.00"),""), "")</f>
        <v/>
      </c>
      <c r="E490" s="23" t="str">
        <f>IFERROR(IF(ISNUMBER('Revenues &amp; Outlays in GDP'!D496),TEXT('Revenues &amp; Outlays in GDP'!D496, "0.00"),""), "")</f>
        <v/>
      </c>
    </row>
    <row r="491" spans="1:5">
      <c r="A491" s="23" t="str">
        <f>TEXT(IF('Revenues &amp; Outlays in GDP'!B497&lt;&gt;0,'Revenues &amp; Outlays in GDP'!B497-364, ""), "mm/dd/yyyy")</f>
        <v/>
      </c>
      <c r="B491" s="23" t="str">
        <f>IFERROR(IF(ISNUMBER('Revenues &amp; Outlays in GDP'!E497),TEXT('Revenues &amp; Outlays in GDP'!E497, "0.00"),""), "")</f>
        <v/>
      </c>
      <c r="C491" s="23" t="str">
        <f>IFERROR(IF(ISNUMBER('Revenues &amp; Outlays in GDP'!C497),TEXT('Revenues &amp; Outlays in GDP'!C497, "0.00"),""), "")</f>
        <v/>
      </c>
      <c r="D491" s="23" t="str">
        <f>IFERROR(IF(ISNUMBER('Revenues &amp; Outlays in GDP'!F497),TEXT('Revenues &amp; Outlays in GDP'!F497, "0.00"),""), "")</f>
        <v/>
      </c>
      <c r="E491" s="23" t="str">
        <f>IFERROR(IF(ISNUMBER('Revenues &amp; Outlays in GDP'!D497),TEXT('Revenues &amp; Outlays in GDP'!D497, "0.00"),""), "")</f>
        <v/>
      </c>
    </row>
    <row r="492" spans="1:5">
      <c r="A492" s="23" t="str">
        <f>TEXT(IF('Revenues &amp; Outlays in GDP'!B498&lt;&gt;0,'Revenues &amp; Outlays in GDP'!B498-364, ""), "mm/dd/yyyy")</f>
        <v/>
      </c>
      <c r="B492" s="23" t="str">
        <f>IFERROR(IF(ISNUMBER('Revenues &amp; Outlays in GDP'!E498),TEXT('Revenues &amp; Outlays in GDP'!E498, "0.00"),""), "")</f>
        <v/>
      </c>
      <c r="C492" s="23" t="str">
        <f>IFERROR(IF(ISNUMBER('Revenues &amp; Outlays in GDP'!C498),TEXT('Revenues &amp; Outlays in GDP'!C498, "0.00"),""), "")</f>
        <v/>
      </c>
      <c r="D492" s="23" t="str">
        <f>IFERROR(IF(ISNUMBER('Revenues &amp; Outlays in GDP'!F498),TEXT('Revenues &amp; Outlays in GDP'!F498, "0.00"),""), "")</f>
        <v/>
      </c>
      <c r="E492" s="23" t="str">
        <f>IFERROR(IF(ISNUMBER('Revenues &amp; Outlays in GDP'!D498),TEXT('Revenues &amp; Outlays in GDP'!D498, "0.00"),""), "")</f>
        <v/>
      </c>
    </row>
    <row r="493" spans="1:5">
      <c r="A493" s="23" t="str">
        <f>TEXT(IF('Revenues &amp; Outlays in GDP'!B499&lt;&gt;0,'Revenues &amp; Outlays in GDP'!B499-364, ""), "mm/dd/yyyy")</f>
        <v/>
      </c>
      <c r="B493" s="23" t="str">
        <f>IFERROR(IF(ISNUMBER('Revenues &amp; Outlays in GDP'!E499),TEXT('Revenues &amp; Outlays in GDP'!E499, "0.00"),""), "")</f>
        <v/>
      </c>
      <c r="C493" s="23" t="str">
        <f>IFERROR(IF(ISNUMBER('Revenues &amp; Outlays in GDP'!C499),TEXT('Revenues &amp; Outlays in GDP'!C499, "0.00"),""), "")</f>
        <v/>
      </c>
      <c r="D493" s="23" t="str">
        <f>IFERROR(IF(ISNUMBER('Revenues &amp; Outlays in GDP'!F499),TEXT('Revenues &amp; Outlays in GDP'!F499, "0.00"),""), "")</f>
        <v/>
      </c>
      <c r="E493" s="23" t="str">
        <f>IFERROR(IF(ISNUMBER('Revenues &amp; Outlays in GDP'!D499),TEXT('Revenues &amp; Outlays in GDP'!D499, "0.00"),""), "")</f>
        <v/>
      </c>
    </row>
    <row r="494" spans="1:5">
      <c r="A494" s="23" t="str">
        <f>TEXT(IF('Revenues &amp; Outlays in GDP'!B500&lt;&gt;0,'Revenues &amp; Outlays in GDP'!B500-364, ""), "mm/dd/yyyy")</f>
        <v/>
      </c>
      <c r="B494" s="23" t="str">
        <f>IFERROR(IF(ISNUMBER('Revenues &amp; Outlays in GDP'!E500),TEXT('Revenues &amp; Outlays in GDP'!E500, "0.00"),""), "")</f>
        <v/>
      </c>
      <c r="C494" s="23" t="str">
        <f>IFERROR(IF(ISNUMBER('Revenues &amp; Outlays in GDP'!C500),TEXT('Revenues &amp; Outlays in GDP'!C500, "0.00"),""), "")</f>
        <v/>
      </c>
      <c r="D494" s="23" t="str">
        <f>IFERROR(IF(ISNUMBER('Revenues &amp; Outlays in GDP'!F500),TEXT('Revenues &amp; Outlays in GDP'!F500, "0.00"),""), "")</f>
        <v/>
      </c>
      <c r="E494" s="23" t="str">
        <f>IFERROR(IF(ISNUMBER('Revenues &amp; Outlays in GDP'!D500),TEXT('Revenues &amp; Outlays in GDP'!D500, "0.00"),""), "")</f>
        <v/>
      </c>
    </row>
    <row r="495" spans="1:5">
      <c r="A495" s="23" t="str">
        <f>TEXT(IF('Revenues &amp; Outlays in GDP'!B501&lt;&gt;0,'Revenues &amp; Outlays in GDP'!B501-364, ""), "mm/dd/yyyy")</f>
        <v/>
      </c>
      <c r="B495" s="23" t="str">
        <f>IFERROR(IF(ISNUMBER('Revenues &amp; Outlays in GDP'!E501),TEXT('Revenues &amp; Outlays in GDP'!E501, "0.00"),""), "")</f>
        <v/>
      </c>
      <c r="C495" s="23" t="str">
        <f>IFERROR(IF(ISNUMBER('Revenues &amp; Outlays in GDP'!C501),TEXT('Revenues &amp; Outlays in GDP'!C501, "0.00"),""), "")</f>
        <v/>
      </c>
      <c r="D495" s="23" t="str">
        <f>IFERROR(IF(ISNUMBER('Revenues &amp; Outlays in GDP'!F501),TEXT('Revenues &amp; Outlays in GDP'!F501, "0.00"),""), "")</f>
        <v/>
      </c>
      <c r="E495" s="23" t="str">
        <f>IFERROR(IF(ISNUMBER('Revenues &amp; Outlays in GDP'!D501),TEXT('Revenues &amp; Outlays in GDP'!D501, "0.00"),""), "")</f>
        <v/>
      </c>
    </row>
    <row r="496" spans="1:5">
      <c r="A496" s="23" t="str">
        <f>TEXT(IF('Revenues &amp; Outlays in GDP'!B502&lt;&gt;0,'Revenues &amp; Outlays in GDP'!B502-364, ""), "mm/dd/yyyy")</f>
        <v/>
      </c>
      <c r="B496" s="23" t="str">
        <f>IFERROR(IF(ISNUMBER('Revenues &amp; Outlays in GDP'!E502),TEXT('Revenues &amp; Outlays in GDP'!E502, "0.00"),""), "")</f>
        <v/>
      </c>
      <c r="C496" s="23" t="str">
        <f>IFERROR(IF(ISNUMBER('Revenues &amp; Outlays in GDP'!C502),TEXT('Revenues &amp; Outlays in GDP'!C502, "0.00"),""), "")</f>
        <v/>
      </c>
      <c r="D496" s="23" t="str">
        <f>IFERROR(IF(ISNUMBER('Revenues &amp; Outlays in GDP'!F502),TEXT('Revenues &amp; Outlays in GDP'!F502, "0.00"),""), "")</f>
        <v/>
      </c>
      <c r="E496" s="23" t="str">
        <f>IFERROR(IF(ISNUMBER('Revenues &amp; Outlays in GDP'!D502),TEXT('Revenues &amp; Outlays in GDP'!D502, "0.00"),""), "")</f>
        <v/>
      </c>
    </row>
    <row r="497" spans="1:5">
      <c r="A497" s="23" t="str">
        <f>TEXT(IF('Revenues &amp; Outlays in GDP'!B503&lt;&gt;0,'Revenues &amp; Outlays in GDP'!B503-364, ""), "mm/dd/yyyy")</f>
        <v/>
      </c>
      <c r="B497" s="23" t="str">
        <f>IFERROR(IF(ISNUMBER('Revenues &amp; Outlays in GDP'!E503),TEXT('Revenues &amp; Outlays in GDP'!E503, "0.00"),""), "")</f>
        <v/>
      </c>
      <c r="C497" s="23" t="str">
        <f>IFERROR(IF(ISNUMBER('Revenues &amp; Outlays in GDP'!C503),TEXT('Revenues &amp; Outlays in GDP'!C503, "0.00"),""), "")</f>
        <v/>
      </c>
      <c r="D497" s="23" t="str">
        <f>IFERROR(IF(ISNUMBER('Revenues &amp; Outlays in GDP'!F503),TEXT('Revenues &amp; Outlays in GDP'!F503, "0.00"),""), "")</f>
        <v/>
      </c>
      <c r="E497" s="23" t="str">
        <f>IFERROR(IF(ISNUMBER('Revenues &amp; Outlays in GDP'!D503),TEXT('Revenues &amp; Outlays in GDP'!D503, "0.00"),""), "")</f>
        <v/>
      </c>
    </row>
    <row r="498" spans="1:5">
      <c r="A498" s="23" t="str">
        <f>TEXT(IF('Revenues &amp; Outlays in GDP'!B504&lt;&gt;0,'Revenues &amp; Outlays in GDP'!B504-364, ""), "mm/dd/yyyy")</f>
        <v/>
      </c>
      <c r="B498" s="23" t="str">
        <f>IFERROR(IF(ISNUMBER('Revenues &amp; Outlays in GDP'!E504),TEXT('Revenues &amp; Outlays in GDP'!E504, "0.00"),""), "")</f>
        <v/>
      </c>
      <c r="C498" s="23" t="str">
        <f>IFERROR(IF(ISNUMBER('Revenues &amp; Outlays in GDP'!C504),TEXT('Revenues &amp; Outlays in GDP'!C504, "0.00"),""), "")</f>
        <v/>
      </c>
      <c r="D498" s="23" t="str">
        <f>IFERROR(IF(ISNUMBER('Revenues &amp; Outlays in GDP'!F504),TEXT('Revenues &amp; Outlays in GDP'!F504, "0.00"),""), "")</f>
        <v/>
      </c>
      <c r="E498" s="23" t="str">
        <f>IFERROR(IF(ISNUMBER('Revenues &amp; Outlays in GDP'!D504),TEXT('Revenues &amp; Outlays in GDP'!D504, "0.00"),""), "")</f>
        <v/>
      </c>
    </row>
    <row r="499" spans="1:5">
      <c r="A499" s="23" t="str">
        <f>TEXT(IF('Revenues &amp; Outlays in GDP'!B505&lt;&gt;0,'Revenues &amp; Outlays in GDP'!B505-364, ""), "mm/dd/yyyy")</f>
        <v/>
      </c>
      <c r="B499" s="23" t="str">
        <f>IFERROR(IF(ISNUMBER('Revenues &amp; Outlays in GDP'!E505),TEXT('Revenues &amp; Outlays in GDP'!E505, "0.00"),""), "")</f>
        <v/>
      </c>
      <c r="C499" s="23" t="str">
        <f>IFERROR(IF(ISNUMBER('Revenues &amp; Outlays in GDP'!C505),TEXT('Revenues &amp; Outlays in GDP'!C505, "0.00"),""), "")</f>
        <v/>
      </c>
      <c r="D499" s="23" t="str">
        <f>IFERROR(IF(ISNUMBER('Revenues &amp; Outlays in GDP'!F505),TEXT('Revenues &amp; Outlays in GDP'!F505, "0.00"),""), "")</f>
        <v/>
      </c>
      <c r="E499" s="23" t="str">
        <f>IFERROR(IF(ISNUMBER('Revenues &amp; Outlays in GDP'!D505),TEXT('Revenues &amp; Outlays in GDP'!D505, "0.00"),""), "")</f>
        <v/>
      </c>
    </row>
    <row r="500" spans="1:5">
      <c r="A500" s="23" t="str">
        <f>TEXT(IF('Revenues &amp; Outlays in GDP'!B506&lt;&gt;0,'Revenues &amp; Outlays in GDP'!B506-364, ""), "mm/dd/yyyy")</f>
        <v/>
      </c>
      <c r="B500" s="23" t="str">
        <f>IFERROR(IF(ISNUMBER('Revenues &amp; Outlays in GDP'!E506),TEXT('Revenues &amp; Outlays in GDP'!E506, "0.00"),""), "")</f>
        <v/>
      </c>
      <c r="C500" s="23" t="str">
        <f>IFERROR(IF(ISNUMBER('Revenues &amp; Outlays in GDP'!C506),TEXT('Revenues &amp; Outlays in GDP'!C506, "0.00"),""), "")</f>
        <v/>
      </c>
      <c r="D500" s="23" t="str">
        <f>IFERROR(IF(ISNUMBER('Revenues &amp; Outlays in GDP'!F506),TEXT('Revenues &amp; Outlays in GDP'!F506, "0.00"),""), "")</f>
        <v/>
      </c>
      <c r="E500" s="23" t="str">
        <f>IFERROR(IF(ISNUMBER('Revenues &amp; Outlays in GDP'!D506),TEXT('Revenues &amp; Outlays in GDP'!D506, "0.00"),""), "")</f>
        <v/>
      </c>
    </row>
    <row r="501" spans="1:5">
      <c r="A501" s="23" t="str">
        <f>TEXT(IF('Revenues &amp; Outlays in GDP'!B507&lt;&gt;0,'Revenues &amp; Outlays in GDP'!B507-364, ""), "mm/dd/yyyy")</f>
        <v/>
      </c>
      <c r="B501" s="23" t="str">
        <f>IFERROR(IF(ISNUMBER('Revenues &amp; Outlays in GDP'!E507),TEXT('Revenues &amp; Outlays in GDP'!E507, "0.00"),""), "")</f>
        <v/>
      </c>
      <c r="C501" s="23" t="str">
        <f>IFERROR(IF(ISNUMBER('Revenues &amp; Outlays in GDP'!C507),TEXT('Revenues &amp; Outlays in GDP'!C507, "0.00"),""), "")</f>
        <v/>
      </c>
      <c r="D501" s="23" t="str">
        <f>IFERROR(IF(ISNUMBER('Revenues &amp; Outlays in GDP'!F507),TEXT('Revenues &amp; Outlays in GDP'!F507, "0.00"),""), "")</f>
        <v/>
      </c>
      <c r="E501" s="23" t="str">
        <f>IFERROR(IF(ISNUMBER('Revenues &amp; Outlays in GDP'!D507),TEXT('Revenues &amp; Outlays in GDP'!D507, "0.00"),""), "")</f>
        <v/>
      </c>
    </row>
    <row r="502" spans="1:5">
      <c r="A502" s="23" t="str">
        <f>TEXT(IF('Revenues &amp; Outlays in GDP'!B508&lt;&gt;0,'Revenues &amp; Outlays in GDP'!B508-364, ""), "mm/dd/yyyy")</f>
        <v/>
      </c>
      <c r="B502" s="23" t="str">
        <f>IFERROR(IF(ISNUMBER('Revenues &amp; Outlays in GDP'!E508),TEXT('Revenues &amp; Outlays in GDP'!E508, "0.00"),""), "")</f>
        <v/>
      </c>
      <c r="C502" s="23" t="str">
        <f>IFERROR(IF(ISNUMBER('Revenues &amp; Outlays in GDP'!C508),TEXT('Revenues &amp; Outlays in GDP'!C508, "0.00"),""), "")</f>
        <v/>
      </c>
      <c r="D502" s="23" t="str">
        <f>IFERROR(IF(ISNUMBER('Revenues &amp; Outlays in GDP'!F508),TEXT('Revenues &amp; Outlays in GDP'!F508, "0.00"),""), "")</f>
        <v/>
      </c>
      <c r="E502" s="23" t="str">
        <f>IFERROR(IF(ISNUMBER('Revenues &amp; Outlays in GDP'!D508),TEXT('Revenues &amp; Outlays in GDP'!D508, "0.00"),""), "")</f>
        <v/>
      </c>
    </row>
    <row r="503" spans="1:5">
      <c r="A503" s="23" t="str">
        <f>TEXT(IF('Revenues &amp; Outlays in GDP'!B509&lt;&gt;0,'Revenues &amp; Outlays in GDP'!B509-364, ""), "mm/dd/yyyy")</f>
        <v/>
      </c>
      <c r="B503" s="23" t="str">
        <f>IFERROR(IF(ISNUMBER('Revenues &amp; Outlays in GDP'!E509),TEXT('Revenues &amp; Outlays in GDP'!E509, "0.00"),""), "")</f>
        <v/>
      </c>
      <c r="C503" s="23" t="str">
        <f>IFERROR(IF(ISNUMBER('Revenues &amp; Outlays in GDP'!C509),TEXT('Revenues &amp; Outlays in GDP'!C509, "0.00"),""), "")</f>
        <v/>
      </c>
      <c r="D503" s="23" t="str">
        <f>IFERROR(IF(ISNUMBER('Revenues &amp; Outlays in GDP'!F509),TEXT('Revenues &amp; Outlays in GDP'!F509, "0.00"),""), "")</f>
        <v/>
      </c>
      <c r="E503" s="23" t="str">
        <f>IFERROR(IF(ISNUMBER('Revenues &amp; Outlays in GDP'!D509),TEXT('Revenues &amp; Outlays in GDP'!D509, "0.00"),""), "")</f>
        <v/>
      </c>
    </row>
    <row r="504" spans="1:5">
      <c r="A504" s="23" t="str">
        <f>TEXT(IF('Revenues &amp; Outlays in GDP'!B510&lt;&gt;0,'Revenues &amp; Outlays in GDP'!B510-364, ""), "mm/dd/yyyy")</f>
        <v/>
      </c>
      <c r="B504" s="23" t="str">
        <f>IFERROR(IF(ISNUMBER('Revenues &amp; Outlays in GDP'!E510),TEXT('Revenues &amp; Outlays in GDP'!E510, "0.00"),""), "")</f>
        <v/>
      </c>
      <c r="C504" s="23" t="str">
        <f>IFERROR(IF(ISNUMBER('Revenues &amp; Outlays in GDP'!C510),TEXT('Revenues &amp; Outlays in GDP'!C510, "0.00"),""), "")</f>
        <v/>
      </c>
      <c r="D504" s="23" t="str">
        <f>IFERROR(IF(ISNUMBER('Revenues &amp; Outlays in GDP'!F510),TEXT('Revenues &amp; Outlays in GDP'!F510, "0.00"),""), "")</f>
        <v/>
      </c>
      <c r="E504" s="23" t="str">
        <f>IFERROR(IF(ISNUMBER('Revenues &amp; Outlays in GDP'!D510),TEXT('Revenues &amp; Outlays in GDP'!D510, "0.00"),""), "")</f>
        <v/>
      </c>
    </row>
    <row r="505" spans="1:5">
      <c r="A505" s="23" t="str">
        <f>TEXT(IF('Revenues &amp; Outlays in GDP'!B511&lt;&gt;0,'Revenues &amp; Outlays in GDP'!B511-364, ""), "mm/dd/yyyy")</f>
        <v/>
      </c>
      <c r="B505" s="23" t="str">
        <f>IFERROR(IF(ISNUMBER('Revenues &amp; Outlays in GDP'!E511),TEXT('Revenues &amp; Outlays in GDP'!E511, "0.00"),""), "")</f>
        <v/>
      </c>
      <c r="C505" s="23" t="str">
        <f>IFERROR(IF(ISNUMBER('Revenues &amp; Outlays in GDP'!C511),TEXT('Revenues &amp; Outlays in GDP'!C511, "0.00"),""), "")</f>
        <v/>
      </c>
      <c r="D505" s="23" t="str">
        <f>IFERROR(IF(ISNUMBER('Revenues &amp; Outlays in GDP'!F511),TEXT('Revenues &amp; Outlays in GDP'!F511, "0.00"),""), "")</f>
        <v/>
      </c>
      <c r="E505" s="23" t="str">
        <f>IFERROR(IF(ISNUMBER('Revenues &amp; Outlays in GDP'!D511),TEXT('Revenues &amp; Outlays in GDP'!D511, "0.00"),""), "")</f>
        <v/>
      </c>
    </row>
    <row r="506" spans="1:5">
      <c r="A506" s="23" t="str">
        <f>TEXT(IF('Revenues &amp; Outlays in GDP'!B512&lt;&gt;0,'Revenues &amp; Outlays in GDP'!B512-364, ""), "mm/dd/yyyy")</f>
        <v/>
      </c>
      <c r="B506" s="23" t="str">
        <f>IFERROR(IF(ISNUMBER('Revenues &amp; Outlays in GDP'!E512),TEXT('Revenues &amp; Outlays in GDP'!E512, "0.00"),""), "")</f>
        <v/>
      </c>
      <c r="C506" s="23" t="str">
        <f>IFERROR(IF(ISNUMBER('Revenues &amp; Outlays in GDP'!C512),TEXT('Revenues &amp; Outlays in GDP'!C512, "0.00"),""), "")</f>
        <v/>
      </c>
      <c r="D506" s="23" t="str">
        <f>IFERROR(IF(ISNUMBER('Revenues &amp; Outlays in GDP'!F512),TEXT('Revenues &amp; Outlays in GDP'!F512, "0.00"),""), "")</f>
        <v/>
      </c>
      <c r="E506" s="23" t="str">
        <f>IFERROR(IF(ISNUMBER('Revenues &amp; Outlays in GDP'!D512),TEXT('Revenues &amp; Outlays in GDP'!D512, "0.00"),""), "")</f>
        <v/>
      </c>
    </row>
    <row r="507" spans="1:5">
      <c r="A507" s="23" t="str">
        <f>TEXT(IF('Revenues &amp; Outlays in GDP'!B513&lt;&gt;0,'Revenues &amp; Outlays in GDP'!B513-364, ""), "mm/dd/yyyy")</f>
        <v/>
      </c>
      <c r="B507" s="23" t="str">
        <f>IFERROR(IF(ISNUMBER('Revenues &amp; Outlays in GDP'!E513),TEXT('Revenues &amp; Outlays in GDP'!E513, "0.00"),""), "")</f>
        <v/>
      </c>
      <c r="C507" s="23" t="str">
        <f>IFERROR(IF(ISNUMBER('Revenues &amp; Outlays in GDP'!C513),TEXT('Revenues &amp; Outlays in GDP'!C513, "0.00"),""), "")</f>
        <v/>
      </c>
      <c r="D507" s="23" t="str">
        <f>IFERROR(IF(ISNUMBER('Revenues &amp; Outlays in GDP'!F513),TEXT('Revenues &amp; Outlays in GDP'!F513, "0.00"),""), "")</f>
        <v/>
      </c>
      <c r="E507" s="23" t="str">
        <f>IFERROR(IF(ISNUMBER('Revenues &amp; Outlays in GDP'!D513),TEXT('Revenues &amp; Outlays in GDP'!D513, "0.00"),""), "")</f>
        <v/>
      </c>
    </row>
    <row r="508" spans="1:5">
      <c r="A508" s="23" t="str">
        <f>TEXT(IF('Revenues &amp; Outlays in GDP'!B514&lt;&gt;0,'Revenues &amp; Outlays in GDP'!B514-364, ""), "mm/dd/yyyy")</f>
        <v/>
      </c>
      <c r="B508" s="23" t="str">
        <f>IFERROR(IF(ISNUMBER('Revenues &amp; Outlays in GDP'!E514),TEXT('Revenues &amp; Outlays in GDP'!E514, "0.00"),""), "")</f>
        <v/>
      </c>
      <c r="C508" s="23" t="str">
        <f>IFERROR(IF(ISNUMBER('Revenues &amp; Outlays in GDP'!C514),TEXT('Revenues &amp; Outlays in GDP'!C514, "0.00"),""), "")</f>
        <v/>
      </c>
      <c r="D508" s="23" t="str">
        <f>IFERROR(IF(ISNUMBER('Revenues &amp; Outlays in GDP'!F514),TEXT('Revenues &amp; Outlays in GDP'!F514, "0.00"),""), "")</f>
        <v/>
      </c>
      <c r="E508" s="23" t="str">
        <f>IFERROR(IF(ISNUMBER('Revenues &amp; Outlays in GDP'!D514),TEXT('Revenues &amp; Outlays in GDP'!D514, "0.00"),""), "")</f>
        <v/>
      </c>
    </row>
    <row r="509" spans="1:5">
      <c r="A509" s="23" t="str">
        <f>TEXT(IF('Revenues &amp; Outlays in GDP'!B515&lt;&gt;0,'Revenues &amp; Outlays in GDP'!B515-364, ""), "mm/dd/yyyy")</f>
        <v/>
      </c>
      <c r="B509" s="23" t="str">
        <f>IFERROR(IF(ISNUMBER('Revenues &amp; Outlays in GDP'!E515),TEXT('Revenues &amp; Outlays in GDP'!E515, "0.00"),""), "")</f>
        <v/>
      </c>
      <c r="C509" s="23" t="str">
        <f>IFERROR(IF(ISNUMBER('Revenues &amp; Outlays in GDP'!C515),TEXT('Revenues &amp; Outlays in GDP'!C515, "0.00"),""), "")</f>
        <v/>
      </c>
      <c r="D509" s="23" t="str">
        <f>IFERROR(IF(ISNUMBER('Revenues &amp; Outlays in GDP'!F515),TEXT('Revenues &amp; Outlays in GDP'!F515, "0.00"),""), "")</f>
        <v/>
      </c>
      <c r="E509" s="23" t="str">
        <f>IFERROR(IF(ISNUMBER('Revenues &amp; Outlays in GDP'!D515),TEXT('Revenues &amp; Outlays in GDP'!D515, "0.00"),""), "")</f>
        <v/>
      </c>
    </row>
    <row r="510" spans="1:5">
      <c r="A510" s="23" t="str">
        <f>TEXT(IF('Revenues &amp; Outlays in GDP'!B516&lt;&gt;0,'Revenues &amp; Outlays in GDP'!B516-364, ""), "mm/dd/yyyy")</f>
        <v/>
      </c>
      <c r="B510" s="23" t="str">
        <f>IFERROR(IF(ISNUMBER('Revenues &amp; Outlays in GDP'!E516),TEXT('Revenues &amp; Outlays in GDP'!E516, "0.00"),""), "")</f>
        <v/>
      </c>
      <c r="C510" s="23" t="str">
        <f>IFERROR(IF(ISNUMBER('Revenues &amp; Outlays in GDP'!C516),TEXT('Revenues &amp; Outlays in GDP'!C516, "0.00"),""), "")</f>
        <v/>
      </c>
      <c r="D510" s="23" t="str">
        <f>IFERROR(IF(ISNUMBER('Revenues &amp; Outlays in GDP'!F516),TEXT('Revenues &amp; Outlays in GDP'!F516, "0.00"),""), "")</f>
        <v/>
      </c>
      <c r="E510" s="23" t="str">
        <f>IFERROR(IF(ISNUMBER('Revenues &amp; Outlays in GDP'!D516),TEXT('Revenues &amp; Outlays in GDP'!D516, "0.00"),""), "")</f>
        <v/>
      </c>
    </row>
    <row r="511" spans="1:5">
      <c r="A511" s="23" t="str">
        <f>TEXT(IF('Revenues &amp; Outlays in GDP'!B517&lt;&gt;0,'Revenues &amp; Outlays in GDP'!B517-364, ""), "mm/dd/yyyy")</f>
        <v/>
      </c>
      <c r="B511" s="23" t="str">
        <f>IFERROR(IF(ISNUMBER('Revenues &amp; Outlays in GDP'!E517),TEXT('Revenues &amp; Outlays in GDP'!E517, "0.00"),""), "")</f>
        <v/>
      </c>
      <c r="C511" s="23" t="str">
        <f>IFERROR(IF(ISNUMBER('Revenues &amp; Outlays in GDP'!C517),TEXT('Revenues &amp; Outlays in GDP'!C517, "0.00"),""), "")</f>
        <v/>
      </c>
      <c r="D511" s="23" t="str">
        <f>IFERROR(IF(ISNUMBER('Revenues &amp; Outlays in GDP'!F517),TEXT('Revenues &amp; Outlays in GDP'!F517, "0.00"),""), "")</f>
        <v/>
      </c>
      <c r="E511" s="23" t="str">
        <f>IFERROR(IF(ISNUMBER('Revenues &amp; Outlays in GDP'!D517),TEXT('Revenues &amp; Outlays in GDP'!D517, "0.00"),""), "")</f>
        <v/>
      </c>
    </row>
    <row r="512" spans="1:5">
      <c r="A512" s="23" t="str">
        <f>TEXT(IF('Revenues &amp; Outlays in GDP'!B518&lt;&gt;0,'Revenues &amp; Outlays in GDP'!B518-364, ""), "mm/dd/yyyy")</f>
        <v/>
      </c>
      <c r="B512" s="23" t="str">
        <f>IFERROR(IF(ISNUMBER('Revenues &amp; Outlays in GDP'!E518),TEXT('Revenues &amp; Outlays in GDP'!E518, "0.00"),""), "")</f>
        <v/>
      </c>
      <c r="C512" s="23" t="str">
        <f>IFERROR(IF(ISNUMBER('Revenues &amp; Outlays in GDP'!C518),TEXT('Revenues &amp; Outlays in GDP'!C518, "0.00"),""), "")</f>
        <v/>
      </c>
      <c r="D512" s="23" t="str">
        <f>IFERROR(IF(ISNUMBER('Revenues &amp; Outlays in GDP'!F518),TEXT('Revenues &amp; Outlays in GDP'!F518, "0.00"),""), "")</f>
        <v/>
      </c>
      <c r="E512" s="23" t="str">
        <f>IFERROR(IF(ISNUMBER('Revenues &amp; Outlays in GDP'!D518),TEXT('Revenues &amp; Outlays in GDP'!D518, "0.00"),""), "")</f>
        <v/>
      </c>
    </row>
    <row r="513" spans="1:5">
      <c r="A513" s="23" t="str">
        <f>TEXT(IF('Revenues &amp; Outlays in GDP'!B519&lt;&gt;0,'Revenues &amp; Outlays in GDP'!B519-364, ""), "mm/dd/yyyy")</f>
        <v/>
      </c>
      <c r="B513" s="23" t="str">
        <f>IFERROR(IF(ISNUMBER('Revenues &amp; Outlays in GDP'!E519),TEXT('Revenues &amp; Outlays in GDP'!E519, "0.00"),""), "")</f>
        <v/>
      </c>
      <c r="C513" s="23" t="str">
        <f>IFERROR(IF(ISNUMBER('Revenues &amp; Outlays in GDP'!C519),TEXT('Revenues &amp; Outlays in GDP'!C519, "0.00"),""), "")</f>
        <v/>
      </c>
      <c r="D513" s="23" t="str">
        <f>IFERROR(IF(ISNUMBER('Revenues &amp; Outlays in GDP'!F519),TEXT('Revenues &amp; Outlays in GDP'!F519, "0.00"),""), "")</f>
        <v/>
      </c>
      <c r="E513" s="23" t="str">
        <f>IFERROR(IF(ISNUMBER('Revenues &amp; Outlays in GDP'!D519),TEXT('Revenues &amp; Outlays in GDP'!D519, "0.00"),""), "")</f>
        <v/>
      </c>
    </row>
    <row r="514" spans="1:5">
      <c r="A514" s="23" t="str">
        <f>TEXT(IF('Revenues &amp; Outlays in GDP'!B520&lt;&gt;0,'Revenues &amp; Outlays in GDP'!B520-364, ""), "mm/dd/yyyy")</f>
        <v/>
      </c>
      <c r="B514" s="23" t="str">
        <f>IFERROR(IF(ISNUMBER('Revenues &amp; Outlays in GDP'!E520),TEXT('Revenues &amp; Outlays in GDP'!E520, "0.00"),""), "")</f>
        <v/>
      </c>
      <c r="C514" s="23" t="str">
        <f>IFERROR(IF(ISNUMBER('Revenues &amp; Outlays in GDP'!C520),TEXT('Revenues &amp; Outlays in GDP'!C520, "0.00"),""), "")</f>
        <v/>
      </c>
      <c r="D514" s="23" t="str">
        <f>IFERROR(IF(ISNUMBER('Revenues &amp; Outlays in GDP'!F520),TEXT('Revenues &amp; Outlays in GDP'!F520, "0.00"),""), "")</f>
        <v/>
      </c>
      <c r="E514" s="23" t="str">
        <f>IFERROR(IF(ISNUMBER('Revenues &amp; Outlays in GDP'!D520),TEXT('Revenues &amp; Outlays in GDP'!D520, "0.00"),""), "")</f>
        <v/>
      </c>
    </row>
    <row r="515" spans="1:5">
      <c r="A515" s="23" t="str">
        <f>TEXT(IF('Revenues &amp; Outlays in GDP'!B521&lt;&gt;0,'Revenues &amp; Outlays in GDP'!B521-364, ""), "mm/dd/yyyy")</f>
        <v/>
      </c>
      <c r="B515" s="23" t="str">
        <f>IFERROR(IF(ISNUMBER('Revenues &amp; Outlays in GDP'!E521),TEXT('Revenues &amp; Outlays in GDP'!E521, "0.00"),""), "")</f>
        <v/>
      </c>
      <c r="C515" s="23" t="str">
        <f>IFERROR(IF(ISNUMBER('Revenues &amp; Outlays in GDP'!C521),TEXT('Revenues &amp; Outlays in GDP'!C521, "0.00"),""), "")</f>
        <v/>
      </c>
      <c r="D515" s="23" t="str">
        <f>IFERROR(IF(ISNUMBER('Revenues &amp; Outlays in GDP'!F521),TEXT('Revenues &amp; Outlays in GDP'!F521, "0.00"),""), "")</f>
        <v/>
      </c>
      <c r="E515" s="23" t="str">
        <f>IFERROR(IF(ISNUMBER('Revenues &amp; Outlays in GDP'!D521),TEXT('Revenues &amp; Outlays in GDP'!D521, "0.00"),""), "")</f>
        <v/>
      </c>
    </row>
    <row r="516" spans="1:5">
      <c r="A516" s="23" t="str">
        <f>TEXT(IF('Revenues &amp; Outlays in GDP'!B522&lt;&gt;0,'Revenues &amp; Outlays in GDP'!B522-364, ""), "mm/dd/yyyy")</f>
        <v/>
      </c>
      <c r="B516" s="23" t="str">
        <f>IFERROR(IF(ISNUMBER('Revenues &amp; Outlays in GDP'!E522),TEXT('Revenues &amp; Outlays in GDP'!E522, "0.00"),""), "")</f>
        <v/>
      </c>
      <c r="C516" s="23" t="str">
        <f>IFERROR(IF(ISNUMBER('Revenues &amp; Outlays in GDP'!C522),TEXT('Revenues &amp; Outlays in GDP'!C522, "0.00"),""), "")</f>
        <v/>
      </c>
      <c r="D516" s="23" t="str">
        <f>IFERROR(IF(ISNUMBER('Revenues &amp; Outlays in GDP'!F522),TEXT('Revenues &amp; Outlays in GDP'!F522, "0.00"),""), "")</f>
        <v/>
      </c>
      <c r="E516" s="23" t="str">
        <f>IFERROR(IF(ISNUMBER('Revenues &amp; Outlays in GDP'!D522),TEXT('Revenues &amp; Outlays in GDP'!D522, "0.00"),""), "")</f>
        <v/>
      </c>
    </row>
    <row r="517" spans="1:5">
      <c r="A517" s="23" t="str">
        <f>TEXT(IF('Revenues &amp; Outlays in GDP'!B523&lt;&gt;0,'Revenues &amp; Outlays in GDP'!B523-364, ""), "mm/dd/yyyy")</f>
        <v/>
      </c>
      <c r="B517" s="23" t="str">
        <f>IFERROR(IF(ISNUMBER('Revenues &amp; Outlays in GDP'!E523),TEXT('Revenues &amp; Outlays in GDP'!E523, "0.00"),""), "")</f>
        <v/>
      </c>
      <c r="C517" s="23" t="str">
        <f>IFERROR(IF(ISNUMBER('Revenues &amp; Outlays in GDP'!C523),TEXT('Revenues &amp; Outlays in GDP'!C523, "0.00"),""), "")</f>
        <v/>
      </c>
      <c r="D517" s="23" t="str">
        <f>IFERROR(IF(ISNUMBER('Revenues &amp; Outlays in GDP'!F523),TEXT('Revenues &amp; Outlays in GDP'!F523, "0.00"),""), "")</f>
        <v/>
      </c>
      <c r="E517" s="23" t="str">
        <f>IFERROR(IF(ISNUMBER('Revenues &amp; Outlays in GDP'!D523),TEXT('Revenues &amp; Outlays in GDP'!D523, "0.00"),""), "")</f>
        <v/>
      </c>
    </row>
    <row r="518" spans="1:5">
      <c r="A518" s="23" t="str">
        <f>TEXT(IF('Revenues &amp; Outlays in GDP'!B524&lt;&gt;0,'Revenues &amp; Outlays in GDP'!B524-364, ""), "mm/dd/yyyy")</f>
        <v/>
      </c>
      <c r="B518" s="23" t="str">
        <f>IFERROR(IF(ISNUMBER('Revenues &amp; Outlays in GDP'!E524),TEXT('Revenues &amp; Outlays in GDP'!E524, "0.00"),""), "")</f>
        <v/>
      </c>
      <c r="C518" s="23" t="str">
        <f>IFERROR(IF(ISNUMBER('Revenues &amp; Outlays in GDP'!C524),TEXT('Revenues &amp; Outlays in GDP'!C524, "0.00"),""), "")</f>
        <v/>
      </c>
      <c r="D518" s="23" t="str">
        <f>IFERROR(IF(ISNUMBER('Revenues &amp; Outlays in GDP'!F524),TEXT('Revenues &amp; Outlays in GDP'!F524, "0.00"),""), "")</f>
        <v/>
      </c>
      <c r="E518" s="23" t="str">
        <f>IFERROR(IF(ISNUMBER('Revenues &amp; Outlays in GDP'!D524),TEXT('Revenues &amp; Outlays in GDP'!D524, "0.00"),""), "")</f>
        <v/>
      </c>
    </row>
    <row r="519" spans="1:5">
      <c r="A519" s="23" t="str">
        <f>TEXT(IF('Revenues &amp; Outlays in GDP'!B525&lt;&gt;0,'Revenues &amp; Outlays in GDP'!B525-364, ""), "mm/dd/yyyy")</f>
        <v/>
      </c>
      <c r="B519" s="23" t="str">
        <f>IFERROR(IF(ISNUMBER('Revenues &amp; Outlays in GDP'!E525),TEXT('Revenues &amp; Outlays in GDP'!E525, "0.00"),""), "")</f>
        <v/>
      </c>
      <c r="C519" s="23" t="str">
        <f>IFERROR(IF(ISNUMBER('Revenues &amp; Outlays in GDP'!C525),TEXT('Revenues &amp; Outlays in GDP'!C525, "0.00"),""), "")</f>
        <v/>
      </c>
      <c r="D519" s="23" t="str">
        <f>IFERROR(IF(ISNUMBER('Revenues &amp; Outlays in GDP'!F525),TEXT('Revenues &amp; Outlays in GDP'!F525, "0.00"),""), "")</f>
        <v/>
      </c>
      <c r="E519" s="23" t="str">
        <f>IFERROR(IF(ISNUMBER('Revenues &amp; Outlays in GDP'!D525),TEXT('Revenues &amp; Outlays in GDP'!D525, "0.00"),""), "")</f>
        <v/>
      </c>
    </row>
    <row r="520" spans="1:5">
      <c r="A520" s="23" t="str">
        <f>TEXT(IF('Revenues &amp; Outlays in GDP'!B526&lt;&gt;0,'Revenues &amp; Outlays in GDP'!B526-364, ""), "mm/dd/yyyy")</f>
        <v/>
      </c>
      <c r="B520" s="23" t="str">
        <f>IFERROR(IF(ISNUMBER('Revenues &amp; Outlays in GDP'!E526),TEXT('Revenues &amp; Outlays in GDP'!E526, "0.00"),""), "")</f>
        <v/>
      </c>
      <c r="C520" s="23" t="str">
        <f>IFERROR(IF(ISNUMBER('Revenues &amp; Outlays in GDP'!C526),TEXT('Revenues &amp; Outlays in GDP'!C526, "0.00"),""), "")</f>
        <v/>
      </c>
      <c r="D520" s="23" t="str">
        <f>IFERROR(IF(ISNUMBER('Revenues &amp; Outlays in GDP'!F526),TEXT('Revenues &amp; Outlays in GDP'!F526, "0.00"),""), "")</f>
        <v/>
      </c>
      <c r="E520" s="23" t="str">
        <f>IFERROR(IF(ISNUMBER('Revenues &amp; Outlays in GDP'!D526),TEXT('Revenues &amp; Outlays in GDP'!D526, "0.00"),""), "")</f>
        <v/>
      </c>
    </row>
    <row r="521" spans="1:5">
      <c r="A521" s="23" t="str">
        <f>TEXT(IF('Revenues &amp; Outlays in GDP'!B527&lt;&gt;0,'Revenues &amp; Outlays in GDP'!B527-364, ""), "mm/dd/yyyy")</f>
        <v/>
      </c>
      <c r="B521" s="23" t="str">
        <f>IFERROR(IF(ISNUMBER('Revenues &amp; Outlays in GDP'!E527),TEXT('Revenues &amp; Outlays in GDP'!E527, "0.00"),""), "")</f>
        <v/>
      </c>
      <c r="C521" s="23" t="str">
        <f>IFERROR(IF(ISNUMBER('Revenues &amp; Outlays in GDP'!C527),TEXT('Revenues &amp; Outlays in GDP'!C527, "0.00"),""), "")</f>
        <v/>
      </c>
      <c r="D521" s="23" t="str">
        <f>IFERROR(IF(ISNUMBER('Revenues &amp; Outlays in GDP'!F527),TEXT('Revenues &amp; Outlays in GDP'!F527, "0.00"),""), "")</f>
        <v/>
      </c>
      <c r="E521" s="23" t="str">
        <f>IFERROR(IF(ISNUMBER('Revenues &amp; Outlays in GDP'!D527),TEXT('Revenues &amp; Outlays in GDP'!D527, "0.00"),""), "")</f>
        <v/>
      </c>
    </row>
    <row r="522" spans="1:5">
      <c r="A522" s="23" t="str">
        <f>TEXT(IF('Revenues &amp; Outlays in GDP'!B528&lt;&gt;0,'Revenues &amp; Outlays in GDP'!B528-364, ""), "mm/dd/yyyy")</f>
        <v/>
      </c>
      <c r="B522" s="23" t="str">
        <f>IFERROR(IF(ISNUMBER('Revenues &amp; Outlays in GDP'!E528),TEXT('Revenues &amp; Outlays in GDP'!E528, "0.00"),""), "")</f>
        <v/>
      </c>
      <c r="C522" s="23" t="str">
        <f>IFERROR(IF(ISNUMBER('Revenues &amp; Outlays in GDP'!C528),TEXT('Revenues &amp; Outlays in GDP'!C528, "0.00"),""), "")</f>
        <v/>
      </c>
      <c r="D522" s="23" t="str">
        <f>IFERROR(IF(ISNUMBER('Revenues &amp; Outlays in GDP'!F528),TEXT('Revenues &amp; Outlays in GDP'!F528, "0.00"),""), "")</f>
        <v/>
      </c>
      <c r="E522" s="23" t="str">
        <f>IFERROR(IF(ISNUMBER('Revenues &amp; Outlays in GDP'!D528),TEXT('Revenues &amp; Outlays in GDP'!D528, "0.00"),""), "")</f>
        <v/>
      </c>
    </row>
    <row r="523" spans="1:5">
      <c r="A523" s="23" t="str">
        <f>TEXT(IF('Revenues &amp; Outlays in GDP'!B529&lt;&gt;0,'Revenues &amp; Outlays in GDP'!B529-364, ""), "mm/dd/yyyy")</f>
        <v/>
      </c>
      <c r="B523" s="23" t="str">
        <f>IFERROR(IF(ISNUMBER('Revenues &amp; Outlays in GDP'!E529),TEXT('Revenues &amp; Outlays in GDP'!E529, "0.00"),""), "")</f>
        <v/>
      </c>
      <c r="C523" s="23" t="str">
        <f>IFERROR(IF(ISNUMBER('Revenues &amp; Outlays in GDP'!C529),TEXT('Revenues &amp; Outlays in GDP'!C529, "0.00"),""), "")</f>
        <v/>
      </c>
      <c r="D523" s="23" t="str">
        <f>IFERROR(IF(ISNUMBER('Revenues &amp; Outlays in GDP'!F529),TEXT('Revenues &amp; Outlays in GDP'!F529, "0.00"),""), "")</f>
        <v/>
      </c>
      <c r="E523" s="23" t="str">
        <f>IFERROR(IF(ISNUMBER('Revenues &amp; Outlays in GDP'!D529),TEXT('Revenues &amp; Outlays in GDP'!D529, "0.00"),""), "")</f>
        <v/>
      </c>
    </row>
    <row r="524" spans="1:5">
      <c r="A524" s="23" t="str">
        <f>TEXT(IF('Revenues &amp; Outlays in GDP'!B530&lt;&gt;0,'Revenues &amp; Outlays in GDP'!B530-364, ""), "mm/dd/yyyy")</f>
        <v/>
      </c>
      <c r="B524" s="23" t="str">
        <f>IFERROR(IF(ISNUMBER('Revenues &amp; Outlays in GDP'!E530),TEXT('Revenues &amp; Outlays in GDP'!E530, "0.00"),""), "")</f>
        <v/>
      </c>
      <c r="C524" s="23" t="str">
        <f>IFERROR(IF(ISNUMBER('Revenues &amp; Outlays in GDP'!C530),TEXT('Revenues &amp; Outlays in GDP'!C530, "0.00"),""), "")</f>
        <v/>
      </c>
      <c r="D524" s="23" t="str">
        <f>IFERROR(IF(ISNUMBER('Revenues &amp; Outlays in GDP'!F530),TEXT('Revenues &amp; Outlays in GDP'!F530, "0.00"),""), "")</f>
        <v/>
      </c>
      <c r="E524" s="23" t="str">
        <f>IFERROR(IF(ISNUMBER('Revenues &amp; Outlays in GDP'!D530),TEXT('Revenues &amp; Outlays in GDP'!D530, "0.00"),""), "")</f>
        <v/>
      </c>
    </row>
    <row r="525" spans="1:5">
      <c r="A525" s="23" t="str">
        <f>TEXT(IF('Revenues &amp; Outlays in GDP'!B531&lt;&gt;0,'Revenues &amp; Outlays in GDP'!B531-364, ""), "mm/dd/yyyy")</f>
        <v/>
      </c>
      <c r="B525" s="23" t="str">
        <f>IFERROR(IF(ISNUMBER('Revenues &amp; Outlays in GDP'!E531),TEXT('Revenues &amp; Outlays in GDP'!E531, "0.00"),""), "")</f>
        <v/>
      </c>
      <c r="C525" s="23" t="str">
        <f>IFERROR(IF(ISNUMBER('Revenues &amp; Outlays in GDP'!C531),TEXT('Revenues &amp; Outlays in GDP'!C531, "0.00"),""), "")</f>
        <v/>
      </c>
      <c r="D525" s="23" t="str">
        <f>IFERROR(IF(ISNUMBER('Revenues &amp; Outlays in GDP'!F531),TEXT('Revenues &amp; Outlays in GDP'!F531, "0.00"),""), "")</f>
        <v/>
      </c>
      <c r="E525" s="23" t="str">
        <f>IFERROR(IF(ISNUMBER('Revenues &amp; Outlays in GDP'!D531),TEXT('Revenues &amp; Outlays in GDP'!D531, "0.00"),""), "")</f>
        <v/>
      </c>
    </row>
    <row r="526" spans="1:5">
      <c r="A526" s="23" t="str">
        <f>TEXT(IF('Revenues &amp; Outlays in GDP'!B532&lt;&gt;0,'Revenues &amp; Outlays in GDP'!B532-364, ""), "mm/dd/yyyy")</f>
        <v/>
      </c>
      <c r="B526" s="23" t="str">
        <f>IFERROR(IF(ISNUMBER('Revenues &amp; Outlays in GDP'!E532),TEXT('Revenues &amp; Outlays in GDP'!E532, "0.00"),""), "")</f>
        <v/>
      </c>
      <c r="C526" s="23" t="str">
        <f>IFERROR(IF(ISNUMBER('Revenues &amp; Outlays in GDP'!C532),TEXT('Revenues &amp; Outlays in GDP'!C532, "0.00"),""), "")</f>
        <v/>
      </c>
      <c r="D526" s="23" t="str">
        <f>IFERROR(IF(ISNUMBER('Revenues &amp; Outlays in GDP'!F532),TEXT('Revenues &amp; Outlays in GDP'!F532, "0.00"),""), "")</f>
        <v/>
      </c>
      <c r="E526" s="23" t="str">
        <f>IFERROR(IF(ISNUMBER('Revenues &amp; Outlays in GDP'!D532),TEXT('Revenues &amp; Outlays in GDP'!D532, "0.00"),""), "")</f>
        <v/>
      </c>
    </row>
    <row r="527" spans="1:5">
      <c r="A527" s="23" t="str">
        <f>TEXT(IF('Revenues &amp; Outlays in GDP'!B533&lt;&gt;0,'Revenues &amp; Outlays in GDP'!B533-364, ""), "mm/dd/yyyy")</f>
        <v/>
      </c>
      <c r="B527" s="23" t="str">
        <f>IFERROR(IF(ISNUMBER('Revenues &amp; Outlays in GDP'!E533),TEXT('Revenues &amp; Outlays in GDP'!E533, "0.00"),""), "")</f>
        <v/>
      </c>
      <c r="C527" s="23" t="str">
        <f>IFERROR(IF(ISNUMBER('Revenues &amp; Outlays in GDP'!C533),TEXT('Revenues &amp; Outlays in GDP'!C533, "0.00"),""), "")</f>
        <v/>
      </c>
      <c r="D527" s="23" t="str">
        <f>IFERROR(IF(ISNUMBER('Revenues &amp; Outlays in GDP'!F533),TEXT('Revenues &amp; Outlays in GDP'!F533, "0.00"),""), "")</f>
        <v/>
      </c>
      <c r="E527" s="23" t="str">
        <f>IFERROR(IF(ISNUMBER('Revenues &amp; Outlays in GDP'!D533),TEXT('Revenues &amp; Outlays in GDP'!D533, "0.00"),""), "")</f>
        <v/>
      </c>
    </row>
    <row r="528" spans="1:5">
      <c r="A528" s="23" t="str">
        <f>TEXT(IF('Revenues &amp; Outlays in GDP'!B534&lt;&gt;0,'Revenues &amp; Outlays in GDP'!B534-364, ""), "mm/dd/yyyy")</f>
        <v/>
      </c>
      <c r="B528" s="23" t="str">
        <f>IFERROR(IF(ISNUMBER('Revenues &amp; Outlays in GDP'!E534),TEXT('Revenues &amp; Outlays in GDP'!E534, "0.00"),""), "")</f>
        <v/>
      </c>
      <c r="C528" s="23" t="str">
        <f>IFERROR(IF(ISNUMBER('Revenues &amp; Outlays in GDP'!C534),TEXT('Revenues &amp; Outlays in GDP'!C534, "0.00"),""), "")</f>
        <v/>
      </c>
      <c r="D528" s="23" t="str">
        <f>IFERROR(IF(ISNUMBER('Revenues &amp; Outlays in GDP'!F534),TEXT('Revenues &amp; Outlays in GDP'!F534, "0.00"),""), "")</f>
        <v/>
      </c>
      <c r="E528" s="23" t="str">
        <f>IFERROR(IF(ISNUMBER('Revenues &amp; Outlays in GDP'!D534),TEXT('Revenues &amp; Outlays in GDP'!D534, "0.00"),""), "")</f>
        <v/>
      </c>
    </row>
    <row r="529" spans="1:5">
      <c r="A529" s="23" t="str">
        <f>TEXT(IF('Revenues &amp; Outlays in GDP'!B535&lt;&gt;0,'Revenues &amp; Outlays in GDP'!B535-364, ""), "mm/dd/yyyy")</f>
        <v/>
      </c>
      <c r="B529" s="23" t="str">
        <f>IFERROR(IF(ISNUMBER('Revenues &amp; Outlays in GDP'!E535),TEXT('Revenues &amp; Outlays in GDP'!E535, "0.00"),""), "")</f>
        <v/>
      </c>
      <c r="C529" s="23" t="str">
        <f>IFERROR(IF(ISNUMBER('Revenues &amp; Outlays in GDP'!C535),TEXT('Revenues &amp; Outlays in GDP'!C535, "0.00"),""), "")</f>
        <v/>
      </c>
      <c r="D529" s="23" t="str">
        <f>IFERROR(IF(ISNUMBER('Revenues &amp; Outlays in GDP'!F535),TEXT('Revenues &amp; Outlays in GDP'!F535, "0.00"),""), "")</f>
        <v/>
      </c>
      <c r="E529" s="23" t="str">
        <f>IFERROR(IF(ISNUMBER('Revenues &amp; Outlays in GDP'!D535),TEXT('Revenues &amp; Outlays in GDP'!D535, "0.00"),""), "")</f>
        <v/>
      </c>
    </row>
    <row r="530" spans="1:5">
      <c r="A530" s="23" t="str">
        <f>TEXT(IF('Revenues &amp; Outlays in GDP'!B536&lt;&gt;0,'Revenues &amp; Outlays in GDP'!B536-364, ""), "mm/dd/yyyy")</f>
        <v/>
      </c>
      <c r="B530" s="23" t="str">
        <f>IFERROR(IF(ISNUMBER('Revenues &amp; Outlays in GDP'!E536),TEXT('Revenues &amp; Outlays in GDP'!E536, "0.00"),""), "")</f>
        <v/>
      </c>
      <c r="C530" s="23" t="str">
        <f>IFERROR(IF(ISNUMBER('Revenues &amp; Outlays in GDP'!C536),TEXT('Revenues &amp; Outlays in GDP'!C536, "0.00"),""), "")</f>
        <v/>
      </c>
      <c r="D530" s="23" t="str">
        <f>IFERROR(IF(ISNUMBER('Revenues &amp; Outlays in GDP'!F536),TEXT('Revenues &amp; Outlays in GDP'!F536, "0.00"),""), "")</f>
        <v/>
      </c>
      <c r="E530" s="23" t="str">
        <f>IFERROR(IF(ISNUMBER('Revenues &amp; Outlays in GDP'!D536),TEXT('Revenues &amp; Outlays in GDP'!D536, "0.00"),""), "")</f>
        <v/>
      </c>
    </row>
    <row r="531" spans="1:5">
      <c r="A531" s="23" t="str">
        <f>TEXT(IF('Revenues &amp; Outlays in GDP'!B537&lt;&gt;0,'Revenues &amp; Outlays in GDP'!B537-364, ""), "mm/dd/yyyy")</f>
        <v/>
      </c>
      <c r="B531" s="23" t="str">
        <f>IFERROR(IF(ISNUMBER('Revenues &amp; Outlays in GDP'!E537),TEXT('Revenues &amp; Outlays in GDP'!E537, "0.00"),""), "")</f>
        <v/>
      </c>
      <c r="C531" s="23" t="str">
        <f>IFERROR(IF(ISNUMBER('Revenues &amp; Outlays in GDP'!C537),TEXT('Revenues &amp; Outlays in GDP'!C537, "0.00"),""), "")</f>
        <v/>
      </c>
      <c r="D531" s="23" t="str">
        <f>IFERROR(IF(ISNUMBER('Revenues &amp; Outlays in GDP'!F537),TEXT('Revenues &amp; Outlays in GDP'!F537, "0.00"),""), "")</f>
        <v/>
      </c>
      <c r="E531" s="23" t="str">
        <f>IFERROR(IF(ISNUMBER('Revenues &amp; Outlays in GDP'!D537),TEXT('Revenues &amp; Outlays in GDP'!D537, "0.00"),""), "")</f>
        <v/>
      </c>
    </row>
    <row r="532" spans="1:5">
      <c r="A532" s="23" t="str">
        <f>TEXT(IF('Revenues &amp; Outlays in GDP'!B538&lt;&gt;0,'Revenues &amp; Outlays in GDP'!B538-364, ""), "mm/dd/yyyy")</f>
        <v/>
      </c>
      <c r="B532" s="23" t="str">
        <f>IFERROR(IF(ISNUMBER('Revenues &amp; Outlays in GDP'!E538),TEXT('Revenues &amp; Outlays in GDP'!E538, "0.00"),""), "")</f>
        <v/>
      </c>
      <c r="C532" s="23" t="str">
        <f>IFERROR(IF(ISNUMBER('Revenues &amp; Outlays in GDP'!C538),TEXT('Revenues &amp; Outlays in GDP'!C538, "0.00"),""), "")</f>
        <v/>
      </c>
      <c r="D532" s="23" t="str">
        <f>IFERROR(IF(ISNUMBER('Revenues &amp; Outlays in GDP'!F538),TEXT('Revenues &amp; Outlays in GDP'!F538, "0.00"),""), "")</f>
        <v/>
      </c>
      <c r="E532" s="23" t="str">
        <f>IFERROR(IF(ISNUMBER('Revenues &amp; Outlays in GDP'!D538),TEXT('Revenues &amp; Outlays in GDP'!D538, "0.00"),""), "")</f>
        <v/>
      </c>
    </row>
    <row r="533" spans="1:5">
      <c r="A533" s="23" t="str">
        <f>TEXT(IF('Revenues &amp; Outlays in GDP'!B539&lt;&gt;0,'Revenues &amp; Outlays in GDP'!B539-364, ""), "mm/dd/yyyy")</f>
        <v/>
      </c>
      <c r="B533" s="23" t="str">
        <f>IFERROR(IF(ISNUMBER('Revenues &amp; Outlays in GDP'!E539),TEXT('Revenues &amp; Outlays in GDP'!E539, "0.00"),""), "")</f>
        <v/>
      </c>
      <c r="C533" s="23" t="str">
        <f>IFERROR(IF(ISNUMBER('Revenues &amp; Outlays in GDP'!C539),TEXT('Revenues &amp; Outlays in GDP'!C539, "0.00"),""), "")</f>
        <v/>
      </c>
      <c r="D533" s="23" t="str">
        <f>IFERROR(IF(ISNUMBER('Revenues &amp; Outlays in GDP'!F539),TEXT('Revenues &amp; Outlays in GDP'!F539, "0.00"),""), "")</f>
        <v/>
      </c>
      <c r="E533" s="23" t="str">
        <f>IFERROR(IF(ISNUMBER('Revenues &amp; Outlays in GDP'!D539),TEXT('Revenues &amp; Outlays in GDP'!D539, "0.00"),""), "")</f>
        <v/>
      </c>
    </row>
    <row r="534" spans="1:5">
      <c r="A534" s="23" t="str">
        <f>TEXT(IF('Revenues &amp; Outlays in GDP'!B540&lt;&gt;0,'Revenues &amp; Outlays in GDP'!B540-364, ""), "mm/dd/yyyy")</f>
        <v/>
      </c>
      <c r="B534" s="23" t="str">
        <f>IFERROR(IF(ISNUMBER('Revenues &amp; Outlays in GDP'!E540),TEXT('Revenues &amp; Outlays in GDP'!E540, "0.00"),""), "")</f>
        <v/>
      </c>
      <c r="C534" s="23" t="str">
        <f>IFERROR(IF(ISNUMBER('Revenues &amp; Outlays in GDP'!C540),TEXT('Revenues &amp; Outlays in GDP'!C540, "0.00"),""), "")</f>
        <v/>
      </c>
      <c r="D534" s="23" t="str">
        <f>IFERROR(IF(ISNUMBER('Revenues &amp; Outlays in GDP'!F540),TEXT('Revenues &amp; Outlays in GDP'!F540, "0.00"),""), "")</f>
        <v/>
      </c>
      <c r="E534" s="23" t="str">
        <f>IFERROR(IF(ISNUMBER('Revenues &amp; Outlays in GDP'!D540),TEXT('Revenues &amp; Outlays in GDP'!D540, "0.00"),""), "")</f>
        <v/>
      </c>
    </row>
    <row r="535" spans="1:5">
      <c r="A535" s="23" t="str">
        <f>TEXT(IF('Revenues &amp; Outlays in GDP'!B541&lt;&gt;0,'Revenues &amp; Outlays in GDP'!B541-364, ""), "mm/dd/yyyy")</f>
        <v/>
      </c>
      <c r="B535" s="23" t="str">
        <f>IFERROR(IF(ISNUMBER('Revenues &amp; Outlays in GDP'!E541),TEXT('Revenues &amp; Outlays in GDP'!E541, "0.00"),""), "")</f>
        <v/>
      </c>
      <c r="C535" s="23" t="str">
        <f>IFERROR(IF(ISNUMBER('Revenues &amp; Outlays in GDP'!C541),TEXT('Revenues &amp; Outlays in GDP'!C541, "0.00"),""), "")</f>
        <v/>
      </c>
      <c r="D535" s="23" t="str">
        <f>IFERROR(IF(ISNUMBER('Revenues &amp; Outlays in GDP'!F541),TEXT('Revenues &amp; Outlays in GDP'!F541, "0.00"),""), "")</f>
        <v/>
      </c>
      <c r="E535" s="23" t="str">
        <f>IFERROR(IF(ISNUMBER('Revenues &amp; Outlays in GDP'!D541),TEXT('Revenues &amp; Outlays in GDP'!D541, "0.00"),""), "")</f>
        <v/>
      </c>
    </row>
    <row r="536" spans="1:5">
      <c r="A536" s="23" t="str">
        <f>TEXT(IF('Revenues &amp; Outlays in GDP'!B542&lt;&gt;0,'Revenues &amp; Outlays in GDP'!B542-364, ""), "mm/dd/yyyy")</f>
        <v/>
      </c>
      <c r="B536" s="23" t="str">
        <f>IFERROR(IF(ISNUMBER('Revenues &amp; Outlays in GDP'!E542),TEXT('Revenues &amp; Outlays in GDP'!E542, "0.00"),""), "")</f>
        <v/>
      </c>
      <c r="C536" s="23" t="str">
        <f>IFERROR(IF(ISNUMBER('Revenues &amp; Outlays in GDP'!C542),TEXT('Revenues &amp; Outlays in GDP'!C542, "0.00"),""), "")</f>
        <v/>
      </c>
      <c r="D536" s="23" t="str">
        <f>IFERROR(IF(ISNUMBER('Revenues &amp; Outlays in GDP'!F542),TEXT('Revenues &amp; Outlays in GDP'!F542, "0.00"),""), "")</f>
        <v/>
      </c>
      <c r="E536" s="23" t="str">
        <f>IFERROR(IF(ISNUMBER('Revenues &amp; Outlays in GDP'!D542),TEXT('Revenues &amp; Outlays in GDP'!D542, "0.00"),""), "")</f>
        <v/>
      </c>
    </row>
    <row r="537" spans="1:5">
      <c r="A537" s="23" t="str">
        <f>TEXT(IF('Revenues &amp; Outlays in GDP'!B543&lt;&gt;0,'Revenues &amp; Outlays in GDP'!B543-364, ""), "mm/dd/yyyy")</f>
        <v/>
      </c>
      <c r="B537" s="23" t="str">
        <f>IFERROR(IF(ISNUMBER('Revenues &amp; Outlays in GDP'!E543),TEXT('Revenues &amp; Outlays in GDP'!E543, "0.00"),""), "")</f>
        <v/>
      </c>
      <c r="C537" s="23" t="str">
        <f>IFERROR(IF(ISNUMBER('Revenues &amp; Outlays in GDP'!C543),TEXT('Revenues &amp; Outlays in GDP'!C543, "0.00"),""), "")</f>
        <v/>
      </c>
      <c r="D537" s="23" t="str">
        <f>IFERROR(IF(ISNUMBER('Revenues &amp; Outlays in GDP'!F543),TEXT('Revenues &amp; Outlays in GDP'!F543, "0.00"),""), "")</f>
        <v/>
      </c>
      <c r="E537" s="23" t="str">
        <f>IFERROR(IF(ISNUMBER('Revenues &amp; Outlays in GDP'!D543),TEXT('Revenues &amp; Outlays in GDP'!D543, "0.00"),""), "")</f>
        <v/>
      </c>
    </row>
    <row r="538" spans="1:5">
      <c r="A538" s="23" t="str">
        <f>TEXT(IF('Revenues &amp; Outlays in GDP'!B544&lt;&gt;0,'Revenues &amp; Outlays in GDP'!B544-364, ""), "mm/dd/yyyy")</f>
        <v/>
      </c>
      <c r="B538" s="23" t="str">
        <f>IFERROR(IF(ISNUMBER('Revenues &amp; Outlays in GDP'!E544),TEXT('Revenues &amp; Outlays in GDP'!E544, "0.00"),""), "")</f>
        <v/>
      </c>
      <c r="C538" s="23" t="str">
        <f>IFERROR(IF(ISNUMBER('Revenues &amp; Outlays in GDP'!C544),TEXT('Revenues &amp; Outlays in GDP'!C544, "0.00"),""), "")</f>
        <v/>
      </c>
      <c r="D538" s="23" t="str">
        <f>IFERROR(IF(ISNUMBER('Revenues &amp; Outlays in GDP'!F544),TEXT('Revenues &amp; Outlays in GDP'!F544, "0.00"),""), "")</f>
        <v/>
      </c>
      <c r="E538" s="23" t="str">
        <f>IFERROR(IF(ISNUMBER('Revenues &amp; Outlays in GDP'!D544),TEXT('Revenues &amp; Outlays in GDP'!D544, "0.00"),""), "")</f>
        <v/>
      </c>
    </row>
    <row r="539" spans="1:5">
      <c r="A539" s="23" t="str">
        <f>TEXT(IF('Revenues &amp; Outlays in GDP'!B545&lt;&gt;0,'Revenues &amp; Outlays in GDP'!B545-364, ""), "mm/dd/yyyy")</f>
        <v/>
      </c>
      <c r="B539" s="23" t="str">
        <f>IFERROR(IF(ISNUMBER('Revenues &amp; Outlays in GDP'!E545),TEXT('Revenues &amp; Outlays in GDP'!E545, "0.00"),""), "")</f>
        <v/>
      </c>
      <c r="C539" s="23" t="str">
        <f>IFERROR(IF(ISNUMBER('Revenues &amp; Outlays in GDP'!C545),TEXT('Revenues &amp; Outlays in GDP'!C545, "0.00"),""), "")</f>
        <v/>
      </c>
      <c r="D539" s="23" t="str">
        <f>IFERROR(IF(ISNUMBER('Revenues &amp; Outlays in GDP'!F545),TEXT('Revenues &amp; Outlays in GDP'!F545, "0.00"),""), "")</f>
        <v/>
      </c>
      <c r="E539" s="23" t="str">
        <f>IFERROR(IF(ISNUMBER('Revenues &amp; Outlays in GDP'!D545),TEXT('Revenues &amp; Outlays in GDP'!D545, "0.00"),""), "")</f>
        <v/>
      </c>
    </row>
    <row r="540" spans="1:5">
      <c r="A540" s="23" t="str">
        <f>TEXT(IF('Revenues &amp; Outlays in GDP'!B546&lt;&gt;0,'Revenues &amp; Outlays in GDP'!B546-364, ""), "mm/dd/yyyy")</f>
        <v/>
      </c>
      <c r="B540" s="23" t="str">
        <f>IFERROR(IF(ISNUMBER('Revenues &amp; Outlays in GDP'!E546),TEXT('Revenues &amp; Outlays in GDP'!E546, "0.00"),""), "")</f>
        <v/>
      </c>
      <c r="C540" s="23" t="str">
        <f>IFERROR(IF(ISNUMBER('Revenues &amp; Outlays in GDP'!C546),TEXT('Revenues &amp; Outlays in GDP'!C546, "0.00"),""), "")</f>
        <v/>
      </c>
      <c r="D540" s="23" t="str">
        <f>IFERROR(IF(ISNUMBER('Revenues &amp; Outlays in GDP'!F546),TEXT('Revenues &amp; Outlays in GDP'!F546, "0.00"),""), "")</f>
        <v/>
      </c>
      <c r="E540" s="23" t="str">
        <f>IFERROR(IF(ISNUMBER('Revenues &amp; Outlays in GDP'!D546),TEXT('Revenues &amp; Outlays in GDP'!D546, "0.00"),""), "")</f>
        <v/>
      </c>
    </row>
    <row r="541" spans="1:5">
      <c r="A541" s="23" t="str">
        <f>TEXT(IF('Revenues &amp; Outlays in GDP'!B547&lt;&gt;0,'Revenues &amp; Outlays in GDP'!B547-364, ""), "mm/dd/yyyy")</f>
        <v/>
      </c>
      <c r="B541" s="23" t="str">
        <f>IFERROR(IF(ISNUMBER('Revenues &amp; Outlays in GDP'!E547),TEXT('Revenues &amp; Outlays in GDP'!E547, "0.00"),""), "")</f>
        <v/>
      </c>
      <c r="C541" s="23" t="str">
        <f>IFERROR(IF(ISNUMBER('Revenues &amp; Outlays in GDP'!C547),TEXT('Revenues &amp; Outlays in GDP'!C547, "0.00"),""), "")</f>
        <v/>
      </c>
      <c r="D541" s="23" t="str">
        <f>IFERROR(IF(ISNUMBER('Revenues &amp; Outlays in GDP'!F547),TEXT('Revenues &amp; Outlays in GDP'!F547, "0.00"),""), "")</f>
        <v/>
      </c>
      <c r="E541" s="23" t="str">
        <f>IFERROR(IF(ISNUMBER('Revenues &amp; Outlays in GDP'!D547),TEXT('Revenues &amp; Outlays in GDP'!D547, "0.00"),""), "")</f>
        <v/>
      </c>
    </row>
    <row r="542" spans="1:5">
      <c r="A542" s="23" t="str">
        <f>TEXT(IF('Revenues &amp; Outlays in GDP'!B548&lt;&gt;0,'Revenues &amp; Outlays in GDP'!B548-364, ""), "mm/dd/yyyy")</f>
        <v/>
      </c>
      <c r="B542" s="23" t="str">
        <f>IFERROR(IF(ISNUMBER('Revenues &amp; Outlays in GDP'!E548),TEXT('Revenues &amp; Outlays in GDP'!E548, "0.00"),""), "")</f>
        <v/>
      </c>
      <c r="C542" s="23" t="str">
        <f>IFERROR(IF(ISNUMBER('Revenues &amp; Outlays in GDP'!C548),TEXT('Revenues &amp; Outlays in GDP'!C548, "0.00"),""), "")</f>
        <v/>
      </c>
      <c r="D542" s="23" t="str">
        <f>IFERROR(IF(ISNUMBER('Revenues &amp; Outlays in GDP'!F548),TEXT('Revenues &amp; Outlays in GDP'!F548, "0.00"),""), "")</f>
        <v/>
      </c>
      <c r="E542" s="23" t="str">
        <f>IFERROR(IF(ISNUMBER('Revenues &amp; Outlays in GDP'!D548),TEXT('Revenues &amp; Outlays in GDP'!D548, "0.00"),""), "")</f>
        <v/>
      </c>
    </row>
    <row r="543" spans="1:5">
      <c r="A543" s="23" t="str">
        <f>TEXT(IF('Revenues &amp; Outlays in GDP'!B549&lt;&gt;0,'Revenues &amp; Outlays in GDP'!B549-364, ""), "mm/dd/yyyy")</f>
        <v/>
      </c>
      <c r="B543" s="23" t="str">
        <f>IFERROR(IF(ISNUMBER('Revenues &amp; Outlays in GDP'!E549),TEXT('Revenues &amp; Outlays in GDP'!E549, "0.00"),""), "")</f>
        <v/>
      </c>
      <c r="C543" s="23" t="str">
        <f>IFERROR(IF(ISNUMBER('Revenues &amp; Outlays in GDP'!C549),TEXT('Revenues &amp; Outlays in GDP'!C549, "0.00"),""), "")</f>
        <v/>
      </c>
      <c r="D543" s="23" t="str">
        <f>IFERROR(IF(ISNUMBER('Revenues &amp; Outlays in GDP'!F549),TEXT('Revenues &amp; Outlays in GDP'!F549, "0.00"),""), "")</f>
        <v/>
      </c>
      <c r="E543" s="23" t="str">
        <f>IFERROR(IF(ISNUMBER('Revenues &amp; Outlays in GDP'!D549),TEXT('Revenues &amp; Outlays in GDP'!D549, "0.00"),""), "")</f>
        <v/>
      </c>
    </row>
    <row r="544" spans="1:5">
      <c r="A544" s="23" t="str">
        <f>TEXT(IF('Revenues &amp; Outlays in GDP'!B550&lt;&gt;0,'Revenues &amp; Outlays in GDP'!B550-364, ""), "mm/dd/yyyy")</f>
        <v/>
      </c>
      <c r="B544" s="23" t="str">
        <f>IFERROR(IF(ISNUMBER('Revenues &amp; Outlays in GDP'!E550),TEXT('Revenues &amp; Outlays in GDP'!E550, "0.00"),""), "")</f>
        <v/>
      </c>
      <c r="C544" s="23" t="str">
        <f>IFERROR(IF(ISNUMBER('Revenues &amp; Outlays in GDP'!C550),TEXT('Revenues &amp; Outlays in GDP'!C550, "0.00"),""), "")</f>
        <v/>
      </c>
      <c r="D544" s="23" t="str">
        <f>IFERROR(IF(ISNUMBER('Revenues &amp; Outlays in GDP'!F550),TEXT('Revenues &amp; Outlays in GDP'!F550, "0.00"),""), "")</f>
        <v/>
      </c>
      <c r="E544" s="23" t="str">
        <f>IFERROR(IF(ISNUMBER('Revenues &amp; Outlays in GDP'!D550),TEXT('Revenues &amp; Outlays in GDP'!D550, "0.00"),""), "")</f>
        <v/>
      </c>
    </row>
    <row r="545" spans="1:5">
      <c r="A545" s="23" t="str">
        <f>TEXT(IF('Revenues &amp; Outlays in GDP'!B551&lt;&gt;0,'Revenues &amp; Outlays in GDP'!B551-364, ""), "mm/dd/yyyy")</f>
        <v/>
      </c>
      <c r="B545" s="23" t="str">
        <f>IFERROR(IF(ISNUMBER('Revenues &amp; Outlays in GDP'!E551),TEXT('Revenues &amp; Outlays in GDP'!E551, "0.00"),""), "")</f>
        <v/>
      </c>
      <c r="C545" s="23" t="str">
        <f>IFERROR(IF(ISNUMBER('Revenues &amp; Outlays in GDP'!C551),TEXT('Revenues &amp; Outlays in GDP'!C551, "0.00"),""), "")</f>
        <v/>
      </c>
      <c r="D545" s="23" t="str">
        <f>IFERROR(IF(ISNUMBER('Revenues &amp; Outlays in GDP'!F551),TEXT('Revenues &amp; Outlays in GDP'!F551, "0.00"),""), "")</f>
        <v/>
      </c>
      <c r="E545" s="23" t="str">
        <f>IFERROR(IF(ISNUMBER('Revenues &amp; Outlays in GDP'!D551),TEXT('Revenues &amp; Outlays in GDP'!D551, "0.00"),""), "")</f>
        <v/>
      </c>
    </row>
    <row r="546" spans="1:5">
      <c r="A546" s="23" t="str">
        <f>TEXT(IF('Revenues &amp; Outlays in GDP'!B552&lt;&gt;0,'Revenues &amp; Outlays in GDP'!B552-364, ""), "mm/dd/yyyy")</f>
        <v/>
      </c>
      <c r="B546" s="23" t="str">
        <f>IFERROR(IF(ISNUMBER('Revenues &amp; Outlays in GDP'!E552),TEXT('Revenues &amp; Outlays in GDP'!E552, "0.00"),""), "")</f>
        <v/>
      </c>
      <c r="C546" s="23" t="str">
        <f>IFERROR(IF(ISNUMBER('Revenues &amp; Outlays in GDP'!C552),TEXT('Revenues &amp; Outlays in GDP'!C552, "0.00"),""), "")</f>
        <v/>
      </c>
      <c r="D546" s="23" t="str">
        <f>IFERROR(IF(ISNUMBER('Revenues &amp; Outlays in GDP'!F552),TEXT('Revenues &amp; Outlays in GDP'!F552, "0.00"),""), "")</f>
        <v/>
      </c>
      <c r="E546" s="23" t="str">
        <f>IFERROR(IF(ISNUMBER('Revenues &amp; Outlays in GDP'!D552),TEXT('Revenues &amp; Outlays in GDP'!D552, "0.00"),""), "")</f>
        <v/>
      </c>
    </row>
    <row r="547" spans="1:5">
      <c r="A547" s="23" t="str">
        <f>TEXT(IF('Revenues &amp; Outlays in GDP'!B553&lt;&gt;0,'Revenues &amp; Outlays in GDP'!B553-364, ""), "mm/dd/yyyy")</f>
        <v/>
      </c>
      <c r="B547" s="23" t="str">
        <f>IFERROR(IF(ISNUMBER('Revenues &amp; Outlays in GDP'!E553),TEXT('Revenues &amp; Outlays in GDP'!E553, "0.00"),""), "")</f>
        <v/>
      </c>
      <c r="C547" s="23" t="str">
        <f>IFERROR(IF(ISNUMBER('Revenues &amp; Outlays in GDP'!C553),TEXT('Revenues &amp; Outlays in GDP'!C553, "0.00"),""), "")</f>
        <v/>
      </c>
      <c r="D547" s="23" t="str">
        <f>IFERROR(IF(ISNUMBER('Revenues &amp; Outlays in GDP'!F553),TEXT('Revenues &amp; Outlays in GDP'!F553, "0.00"),""), "")</f>
        <v/>
      </c>
      <c r="E547" s="23" t="str">
        <f>IFERROR(IF(ISNUMBER('Revenues &amp; Outlays in GDP'!D553),TEXT('Revenues &amp; Outlays in GDP'!D553, "0.00"),""), "")</f>
        <v/>
      </c>
    </row>
    <row r="548" spans="1:5">
      <c r="A548" s="23" t="str">
        <f>TEXT(IF('Revenues &amp; Outlays in GDP'!B554&lt;&gt;0,'Revenues &amp; Outlays in GDP'!B554-364, ""), "mm/dd/yyyy")</f>
        <v/>
      </c>
      <c r="B548" s="23" t="str">
        <f>IFERROR(IF(ISNUMBER('Revenues &amp; Outlays in GDP'!E554),TEXT('Revenues &amp; Outlays in GDP'!E554, "0.00"),""), "")</f>
        <v/>
      </c>
      <c r="C548" s="23" t="str">
        <f>IFERROR(IF(ISNUMBER('Revenues &amp; Outlays in GDP'!C554),TEXT('Revenues &amp; Outlays in GDP'!C554, "0.00"),""), "")</f>
        <v/>
      </c>
      <c r="D548" s="23" t="str">
        <f>IFERROR(IF(ISNUMBER('Revenues &amp; Outlays in GDP'!F554),TEXT('Revenues &amp; Outlays in GDP'!F554, "0.00"),""), "")</f>
        <v/>
      </c>
      <c r="E548" s="23" t="str">
        <f>IFERROR(IF(ISNUMBER('Revenues &amp; Outlays in GDP'!D554),TEXT('Revenues &amp; Outlays in GDP'!D554, "0.00"),""), "")</f>
        <v/>
      </c>
    </row>
    <row r="549" spans="1:5">
      <c r="A549" s="23" t="str">
        <f>TEXT(IF('Revenues &amp; Outlays in GDP'!B555&lt;&gt;0,'Revenues &amp; Outlays in GDP'!B555-364, ""), "mm/dd/yyyy")</f>
        <v/>
      </c>
      <c r="B549" s="23" t="str">
        <f>IFERROR(IF(ISNUMBER('Revenues &amp; Outlays in GDP'!E555),TEXT('Revenues &amp; Outlays in GDP'!E555, "0.00"),""), "")</f>
        <v/>
      </c>
      <c r="C549" s="23" t="str">
        <f>IFERROR(IF(ISNUMBER('Revenues &amp; Outlays in GDP'!C555),TEXT('Revenues &amp; Outlays in GDP'!C555, "0.00"),""), "")</f>
        <v/>
      </c>
      <c r="D549" s="23" t="str">
        <f>IFERROR(IF(ISNUMBER('Revenues &amp; Outlays in GDP'!F555),TEXT('Revenues &amp; Outlays in GDP'!F555, "0.00"),""), "")</f>
        <v/>
      </c>
      <c r="E549" s="23" t="str">
        <f>IFERROR(IF(ISNUMBER('Revenues &amp; Outlays in GDP'!D555),TEXT('Revenues &amp; Outlays in GDP'!D555, "0.00"),""), "")</f>
        <v/>
      </c>
    </row>
    <row r="550" spans="1:5">
      <c r="A550" s="23" t="str">
        <f>TEXT(IF('Revenues &amp; Outlays in GDP'!B556&lt;&gt;0,'Revenues &amp; Outlays in GDP'!B556-364, ""), "mm/dd/yyyy")</f>
        <v/>
      </c>
      <c r="B550" s="23" t="str">
        <f>IFERROR(IF(ISNUMBER('Revenues &amp; Outlays in GDP'!E556),TEXT('Revenues &amp; Outlays in GDP'!E556, "0.00"),""), "")</f>
        <v/>
      </c>
      <c r="C550" s="23" t="str">
        <f>IFERROR(IF(ISNUMBER('Revenues &amp; Outlays in GDP'!C556),TEXT('Revenues &amp; Outlays in GDP'!C556, "0.00"),""), "")</f>
        <v/>
      </c>
      <c r="D550" s="23" t="str">
        <f>IFERROR(IF(ISNUMBER('Revenues &amp; Outlays in GDP'!F556),TEXT('Revenues &amp; Outlays in GDP'!F556, "0.00"),""), "")</f>
        <v/>
      </c>
      <c r="E550" s="23" t="str">
        <f>IFERROR(IF(ISNUMBER('Revenues &amp; Outlays in GDP'!D556),TEXT('Revenues &amp; Outlays in GDP'!D556, "0.00"),""), "")</f>
        <v/>
      </c>
    </row>
    <row r="551" spans="1:5">
      <c r="A551" s="23" t="str">
        <f>TEXT(IF('Revenues &amp; Outlays in GDP'!B557&lt;&gt;0,'Revenues &amp; Outlays in GDP'!B557-364, ""), "mm/dd/yyyy")</f>
        <v/>
      </c>
      <c r="B551" s="23" t="str">
        <f>IFERROR(IF(ISNUMBER('Revenues &amp; Outlays in GDP'!E557),TEXT('Revenues &amp; Outlays in GDP'!E557, "0.00"),""), "")</f>
        <v/>
      </c>
      <c r="C551" s="23" t="str">
        <f>IFERROR(IF(ISNUMBER('Revenues &amp; Outlays in GDP'!C557),TEXT('Revenues &amp; Outlays in GDP'!C557, "0.00"),""), "")</f>
        <v/>
      </c>
      <c r="D551" s="23" t="str">
        <f>IFERROR(IF(ISNUMBER('Revenues &amp; Outlays in GDP'!F557),TEXT('Revenues &amp; Outlays in GDP'!F557, "0.00"),""), "")</f>
        <v/>
      </c>
      <c r="E551" s="23" t="str">
        <f>IFERROR(IF(ISNUMBER('Revenues &amp; Outlays in GDP'!D557),TEXT('Revenues &amp; Outlays in GDP'!D557, "0.00"),""), "")</f>
        <v/>
      </c>
    </row>
    <row r="552" spans="1:5">
      <c r="A552" s="23" t="str">
        <f>TEXT(IF('Revenues &amp; Outlays in GDP'!B558&lt;&gt;0,'Revenues &amp; Outlays in GDP'!B558-364, ""), "mm/dd/yyyy")</f>
        <v/>
      </c>
      <c r="B552" s="23" t="str">
        <f>IFERROR(IF(ISNUMBER('Revenues &amp; Outlays in GDP'!E558),TEXT('Revenues &amp; Outlays in GDP'!E558, "0.00"),""), "")</f>
        <v/>
      </c>
      <c r="C552" s="23" t="str">
        <f>IFERROR(IF(ISNUMBER('Revenues &amp; Outlays in GDP'!C558),TEXT('Revenues &amp; Outlays in GDP'!C558, "0.00"),""), "")</f>
        <v/>
      </c>
      <c r="D552" s="23" t="str">
        <f>IFERROR(IF(ISNUMBER('Revenues &amp; Outlays in GDP'!F558),TEXT('Revenues &amp; Outlays in GDP'!F558, "0.00"),""), "")</f>
        <v/>
      </c>
      <c r="E552" s="23" t="str">
        <f>IFERROR(IF(ISNUMBER('Revenues &amp; Outlays in GDP'!D558),TEXT('Revenues &amp; Outlays in GDP'!D558, "0.00"),""), "")</f>
        <v/>
      </c>
    </row>
    <row r="553" spans="1:5">
      <c r="A553" s="23" t="str">
        <f>TEXT(IF('Revenues &amp; Outlays in GDP'!B559&lt;&gt;0,'Revenues &amp; Outlays in GDP'!B559-364, ""), "mm/dd/yyyy")</f>
        <v/>
      </c>
      <c r="B553" s="23" t="str">
        <f>IFERROR(IF(ISNUMBER('Revenues &amp; Outlays in GDP'!E559),TEXT('Revenues &amp; Outlays in GDP'!E559, "0.00"),""), "")</f>
        <v/>
      </c>
      <c r="C553" s="23" t="str">
        <f>IFERROR(IF(ISNUMBER('Revenues &amp; Outlays in GDP'!C559),TEXT('Revenues &amp; Outlays in GDP'!C559, "0.00"),""), "")</f>
        <v/>
      </c>
      <c r="D553" s="23" t="str">
        <f>IFERROR(IF(ISNUMBER('Revenues &amp; Outlays in GDP'!F559),TEXT('Revenues &amp; Outlays in GDP'!F559, "0.00"),""), "")</f>
        <v/>
      </c>
      <c r="E553" s="23" t="str">
        <f>IFERROR(IF(ISNUMBER('Revenues &amp; Outlays in GDP'!D559),TEXT('Revenues &amp; Outlays in GDP'!D559, "0.00"),""), "")</f>
        <v/>
      </c>
    </row>
    <row r="554" spans="1:5">
      <c r="A554" s="23" t="str">
        <f>TEXT(IF('Revenues &amp; Outlays in GDP'!B560&lt;&gt;0,'Revenues &amp; Outlays in GDP'!B560-364, ""), "mm/dd/yyyy")</f>
        <v/>
      </c>
      <c r="B554" s="23" t="str">
        <f>IFERROR(IF(ISNUMBER('Revenues &amp; Outlays in GDP'!E560),TEXT('Revenues &amp; Outlays in GDP'!E560, "0.00"),""), "")</f>
        <v/>
      </c>
      <c r="C554" s="23" t="str">
        <f>IFERROR(IF(ISNUMBER('Revenues &amp; Outlays in GDP'!C560),TEXT('Revenues &amp; Outlays in GDP'!C560, "0.00"),""), "")</f>
        <v/>
      </c>
      <c r="D554" s="23" t="str">
        <f>IFERROR(IF(ISNUMBER('Revenues &amp; Outlays in GDP'!F560),TEXT('Revenues &amp; Outlays in GDP'!F560, "0.00"),""), "")</f>
        <v/>
      </c>
      <c r="E554" s="23" t="str">
        <f>IFERROR(IF(ISNUMBER('Revenues &amp; Outlays in GDP'!D560),TEXT('Revenues &amp; Outlays in GDP'!D560, "0.00"),""), "")</f>
        <v/>
      </c>
    </row>
    <row r="555" spans="1:5">
      <c r="A555" s="23" t="str">
        <f>TEXT(IF('Revenues &amp; Outlays in GDP'!B561&lt;&gt;0,'Revenues &amp; Outlays in GDP'!B561-364, ""), "mm/dd/yyyy")</f>
        <v/>
      </c>
      <c r="B555" s="23" t="str">
        <f>IFERROR(IF(ISNUMBER('Revenues &amp; Outlays in GDP'!E561),TEXT('Revenues &amp; Outlays in GDP'!E561, "0.00"),""), "")</f>
        <v/>
      </c>
      <c r="C555" s="23" t="str">
        <f>IFERROR(IF(ISNUMBER('Revenues &amp; Outlays in GDP'!C561),TEXT('Revenues &amp; Outlays in GDP'!C561, "0.00"),""), "")</f>
        <v/>
      </c>
      <c r="D555" s="23" t="str">
        <f>IFERROR(IF(ISNUMBER('Revenues &amp; Outlays in GDP'!F561),TEXT('Revenues &amp; Outlays in GDP'!F561, "0.00"),""), "")</f>
        <v/>
      </c>
      <c r="E555" s="23" t="str">
        <f>IFERROR(IF(ISNUMBER('Revenues &amp; Outlays in GDP'!D561),TEXT('Revenues &amp; Outlays in GDP'!D561, "0.00"),""), "")</f>
        <v/>
      </c>
    </row>
    <row r="556" spans="1:5">
      <c r="A556" s="23" t="str">
        <f>TEXT(IF('Revenues &amp; Outlays in GDP'!B562&lt;&gt;0,'Revenues &amp; Outlays in GDP'!B562-364, ""), "mm/dd/yyyy")</f>
        <v/>
      </c>
      <c r="B556" s="23" t="str">
        <f>IFERROR(IF(ISNUMBER('Revenues &amp; Outlays in GDP'!E562),TEXT('Revenues &amp; Outlays in GDP'!E562, "0.00"),""), "")</f>
        <v/>
      </c>
      <c r="C556" s="23" t="str">
        <f>IFERROR(IF(ISNUMBER('Revenues &amp; Outlays in GDP'!C562),TEXT('Revenues &amp; Outlays in GDP'!C562, "0.00"),""), "")</f>
        <v/>
      </c>
      <c r="D556" s="23" t="str">
        <f>IFERROR(IF(ISNUMBER('Revenues &amp; Outlays in GDP'!F562),TEXT('Revenues &amp; Outlays in GDP'!F562, "0.00"),""), "")</f>
        <v/>
      </c>
      <c r="E556" s="23" t="str">
        <f>IFERROR(IF(ISNUMBER('Revenues &amp; Outlays in GDP'!D562),TEXT('Revenues &amp; Outlays in GDP'!D562, "0.00"),""), "")</f>
        <v/>
      </c>
    </row>
    <row r="557" spans="1:5">
      <c r="A557" s="23" t="str">
        <f>TEXT(IF('Revenues &amp; Outlays in GDP'!B563&lt;&gt;0,'Revenues &amp; Outlays in GDP'!B563-364, ""), "mm/dd/yyyy")</f>
        <v/>
      </c>
      <c r="B557" s="23" t="str">
        <f>IFERROR(IF(ISNUMBER('Revenues &amp; Outlays in GDP'!E563),TEXT('Revenues &amp; Outlays in GDP'!E563, "0.00"),""), "")</f>
        <v/>
      </c>
      <c r="C557" s="23" t="str">
        <f>IFERROR(IF(ISNUMBER('Revenues &amp; Outlays in GDP'!C563),TEXT('Revenues &amp; Outlays in GDP'!C563, "0.00"),""), "")</f>
        <v/>
      </c>
      <c r="D557" s="23" t="str">
        <f>IFERROR(IF(ISNUMBER('Revenues &amp; Outlays in GDP'!F563),TEXT('Revenues &amp; Outlays in GDP'!F563, "0.00"),""), "")</f>
        <v/>
      </c>
      <c r="E557" s="23" t="str">
        <f>IFERROR(IF(ISNUMBER('Revenues &amp; Outlays in GDP'!D563),TEXT('Revenues &amp; Outlays in GDP'!D563, "0.00"),""), "")</f>
        <v/>
      </c>
    </row>
    <row r="558" spans="1:5">
      <c r="A558" s="23" t="str">
        <f>TEXT(IF('Revenues &amp; Outlays in GDP'!B564&lt;&gt;0,'Revenues &amp; Outlays in GDP'!B564-364, ""), "mm/dd/yyyy")</f>
        <v/>
      </c>
      <c r="B558" s="23" t="str">
        <f>IFERROR(IF(ISNUMBER('Revenues &amp; Outlays in GDP'!E564),TEXT('Revenues &amp; Outlays in GDP'!E564, "0.00"),""), "")</f>
        <v/>
      </c>
      <c r="C558" s="23" t="str">
        <f>IFERROR(IF(ISNUMBER('Revenues &amp; Outlays in GDP'!C564),TEXT('Revenues &amp; Outlays in GDP'!C564, "0.00"),""), "")</f>
        <v/>
      </c>
      <c r="D558" s="23" t="str">
        <f>IFERROR(IF(ISNUMBER('Revenues &amp; Outlays in GDP'!F564),TEXT('Revenues &amp; Outlays in GDP'!F564, "0.00"),""), "")</f>
        <v/>
      </c>
      <c r="E558" s="23" t="str">
        <f>IFERROR(IF(ISNUMBER('Revenues &amp; Outlays in GDP'!D564),TEXT('Revenues &amp; Outlays in GDP'!D564, "0.00"),""), "")</f>
        <v/>
      </c>
    </row>
    <row r="559" spans="1:5">
      <c r="A559" s="23" t="str">
        <f>TEXT(IF('Revenues &amp; Outlays in GDP'!B565&lt;&gt;0,'Revenues &amp; Outlays in GDP'!B565-364, ""), "mm/dd/yyyy")</f>
        <v/>
      </c>
      <c r="B559" s="23" t="str">
        <f>IFERROR(IF(ISNUMBER('Revenues &amp; Outlays in GDP'!E565),TEXT('Revenues &amp; Outlays in GDP'!E565, "0.00"),""), "")</f>
        <v/>
      </c>
      <c r="C559" s="23" t="str">
        <f>IFERROR(IF(ISNUMBER('Revenues &amp; Outlays in GDP'!C565),TEXT('Revenues &amp; Outlays in GDP'!C565, "0.00"),""), "")</f>
        <v/>
      </c>
      <c r="D559" s="23" t="str">
        <f>IFERROR(IF(ISNUMBER('Revenues &amp; Outlays in GDP'!F565),TEXT('Revenues &amp; Outlays in GDP'!F565, "0.00"),""), "")</f>
        <v/>
      </c>
      <c r="E559" s="23" t="str">
        <f>IFERROR(IF(ISNUMBER('Revenues &amp; Outlays in GDP'!D565),TEXT('Revenues &amp; Outlays in GDP'!D565, "0.00"),""), "")</f>
        <v/>
      </c>
    </row>
    <row r="560" spans="1:5">
      <c r="A560" s="23" t="str">
        <f>TEXT(IF('Revenues &amp; Outlays in GDP'!B566&lt;&gt;0,'Revenues &amp; Outlays in GDP'!B566-364, ""), "mm/dd/yyyy")</f>
        <v/>
      </c>
      <c r="B560" s="23" t="str">
        <f>IFERROR(IF(ISNUMBER('Revenues &amp; Outlays in GDP'!E566),TEXT('Revenues &amp; Outlays in GDP'!E566, "0.00"),""), "")</f>
        <v/>
      </c>
      <c r="C560" s="23" t="str">
        <f>IFERROR(IF(ISNUMBER('Revenues &amp; Outlays in GDP'!C566),TEXT('Revenues &amp; Outlays in GDP'!C566, "0.00"),""), "")</f>
        <v/>
      </c>
      <c r="D560" s="23" t="str">
        <f>IFERROR(IF(ISNUMBER('Revenues &amp; Outlays in GDP'!F566),TEXT('Revenues &amp; Outlays in GDP'!F566, "0.00"),""), "")</f>
        <v/>
      </c>
      <c r="E560" s="23" t="str">
        <f>IFERROR(IF(ISNUMBER('Revenues &amp; Outlays in GDP'!D566),TEXT('Revenues &amp; Outlays in GDP'!D566, "0.00"),""), "")</f>
        <v/>
      </c>
    </row>
    <row r="561" spans="1:5">
      <c r="A561" s="23" t="str">
        <f>TEXT(IF('Revenues &amp; Outlays in GDP'!B567&lt;&gt;0,'Revenues &amp; Outlays in GDP'!B567-364, ""), "mm/dd/yyyy")</f>
        <v/>
      </c>
      <c r="B561" s="23" t="str">
        <f>IFERROR(IF(ISNUMBER('Revenues &amp; Outlays in GDP'!E567),TEXT('Revenues &amp; Outlays in GDP'!E567, "0.00"),""), "")</f>
        <v/>
      </c>
      <c r="C561" s="23" t="str">
        <f>IFERROR(IF(ISNUMBER('Revenues &amp; Outlays in GDP'!C567),TEXT('Revenues &amp; Outlays in GDP'!C567, "0.00"),""), "")</f>
        <v/>
      </c>
      <c r="D561" s="23" t="str">
        <f>IFERROR(IF(ISNUMBER('Revenues &amp; Outlays in GDP'!F567),TEXT('Revenues &amp; Outlays in GDP'!F567, "0.00"),""), "")</f>
        <v/>
      </c>
      <c r="E561" s="23" t="str">
        <f>IFERROR(IF(ISNUMBER('Revenues &amp; Outlays in GDP'!D567),TEXT('Revenues &amp; Outlays in GDP'!D567, "0.00"),""), "")</f>
        <v/>
      </c>
    </row>
    <row r="562" spans="1:5">
      <c r="A562" s="23" t="str">
        <f>TEXT(IF('Revenues &amp; Outlays in GDP'!B568&lt;&gt;0,'Revenues &amp; Outlays in GDP'!B568-364, ""), "mm/dd/yyyy")</f>
        <v/>
      </c>
      <c r="B562" s="23" t="str">
        <f>IFERROR(IF(ISNUMBER('Revenues &amp; Outlays in GDP'!E568),TEXT('Revenues &amp; Outlays in GDP'!E568, "0.00"),""), "")</f>
        <v/>
      </c>
      <c r="C562" s="23" t="str">
        <f>IFERROR(IF(ISNUMBER('Revenues &amp; Outlays in GDP'!C568),TEXT('Revenues &amp; Outlays in GDP'!C568, "0.00"),""), "")</f>
        <v/>
      </c>
      <c r="D562" s="23" t="str">
        <f>IFERROR(IF(ISNUMBER('Revenues &amp; Outlays in GDP'!F568),TEXT('Revenues &amp; Outlays in GDP'!F568, "0.00"),""), "")</f>
        <v/>
      </c>
      <c r="E562" s="23" t="str">
        <f>IFERROR(IF(ISNUMBER('Revenues &amp; Outlays in GDP'!D568),TEXT('Revenues &amp; Outlays in GDP'!D568, "0.00"),""), "")</f>
        <v/>
      </c>
    </row>
    <row r="563" spans="1:5">
      <c r="A563" s="23" t="str">
        <f>TEXT(IF('Revenues &amp; Outlays in GDP'!B569&lt;&gt;0,'Revenues &amp; Outlays in GDP'!B569-364, ""), "mm/dd/yyyy")</f>
        <v/>
      </c>
      <c r="B563" s="23" t="str">
        <f>IFERROR(IF(ISNUMBER('Revenues &amp; Outlays in GDP'!E569),TEXT('Revenues &amp; Outlays in GDP'!E569, "0.00"),""), "")</f>
        <v/>
      </c>
      <c r="C563" s="23" t="str">
        <f>IFERROR(IF(ISNUMBER('Revenues &amp; Outlays in GDP'!C569),TEXT('Revenues &amp; Outlays in GDP'!C569, "0.00"),""), "")</f>
        <v/>
      </c>
      <c r="D563" s="23" t="str">
        <f>IFERROR(IF(ISNUMBER('Revenues &amp; Outlays in GDP'!F569),TEXT('Revenues &amp; Outlays in GDP'!F569, "0.00"),""), "")</f>
        <v/>
      </c>
      <c r="E563" s="23" t="str">
        <f>IFERROR(IF(ISNUMBER('Revenues &amp; Outlays in GDP'!D569),TEXT('Revenues &amp; Outlays in GDP'!D569, "0.00"),""), "")</f>
        <v/>
      </c>
    </row>
    <row r="564" spans="1:5">
      <c r="A564" s="23" t="str">
        <f>TEXT(IF('Revenues &amp; Outlays in GDP'!B570&lt;&gt;0,'Revenues &amp; Outlays in GDP'!B570-364, ""), "mm/dd/yyyy")</f>
        <v/>
      </c>
      <c r="B564" s="23" t="str">
        <f>IFERROR(IF(ISNUMBER('Revenues &amp; Outlays in GDP'!E570),TEXT('Revenues &amp; Outlays in GDP'!E570, "0.00"),""), "")</f>
        <v/>
      </c>
      <c r="C564" s="23" t="str">
        <f>IFERROR(IF(ISNUMBER('Revenues &amp; Outlays in GDP'!C570),TEXT('Revenues &amp; Outlays in GDP'!C570, "0.00"),""), "")</f>
        <v/>
      </c>
      <c r="D564" s="23" t="str">
        <f>IFERROR(IF(ISNUMBER('Revenues &amp; Outlays in GDP'!F570),TEXT('Revenues &amp; Outlays in GDP'!F570, "0.00"),""), "")</f>
        <v/>
      </c>
      <c r="E564" s="23" t="str">
        <f>IFERROR(IF(ISNUMBER('Revenues &amp; Outlays in GDP'!D570),TEXT('Revenues &amp; Outlays in GDP'!D570, "0.00"),""), "")</f>
        <v/>
      </c>
    </row>
    <row r="565" spans="1:5">
      <c r="A565" s="23" t="str">
        <f>TEXT(IF('Revenues &amp; Outlays in GDP'!B571&lt;&gt;0,'Revenues &amp; Outlays in GDP'!B571-364, ""), "mm/dd/yyyy")</f>
        <v/>
      </c>
      <c r="B565" s="23" t="str">
        <f>IFERROR(IF(ISNUMBER('Revenues &amp; Outlays in GDP'!E571),TEXT('Revenues &amp; Outlays in GDP'!E571, "0.00"),""), "")</f>
        <v/>
      </c>
      <c r="C565" s="23" t="str">
        <f>IFERROR(IF(ISNUMBER('Revenues &amp; Outlays in GDP'!C571),TEXT('Revenues &amp; Outlays in GDP'!C571, "0.00"),""), "")</f>
        <v/>
      </c>
      <c r="D565" s="23" t="str">
        <f>IFERROR(IF(ISNUMBER('Revenues &amp; Outlays in GDP'!F571),TEXT('Revenues &amp; Outlays in GDP'!F571, "0.00"),""), "")</f>
        <v/>
      </c>
      <c r="E565" s="23" t="str">
        <f>IFERROR(IF(ISNUMBER('Revenues &amp; Outlays in GDP'!D571),TEXT('Revenues &amp; Outlays in GDP'!D571, "0.00"),""), "")</f>
        <v/>
      </c>
    </row>
    <row r="566" spans="1:5">
      <c r="A566" s="23" t="str">
        <f>TEXT(IF('Revenues &amp; Outlays in GDP'!B572&lt;&gt;0,'Revenues &amp; Outlays in GDP'!B572-364, ""), "mm/dd/yyyy")</f>
        <v/>
      </c>
      <c r="B566" s="23" t="str">
        <f>IFERROR(IF(ISNUMBER('Revenues &amp; Outlays in GDP'!E572),TEXT('Revenues &amp; Outlays in GDP'!E572, "0.00"),""), "")</f>
        <v/>
      </c>
      <c r="C566" s="23" t="str">
        <f>IFERROR(IF(ISNUMBER('Revenues &amp; Outlays in GDP'!C572),TEXT('Revenues &amp; Outlays in GDP'!C572, "0.00"),""), "")</f>
        <v/>
      </c>
      <c r="D566" s="23" t="str">
        <f>IFERROR(IF(ISNUMBER('Revenues &amp; Outlays in GDP'!F572),TEXT('Revenues &amp; Outlays in GDP'!F572, "0.00"),""), "")</f>
        <v/>
      </c>
      <c r="E566" s="23" t="str">
        <f>IFERROR(IF(ISNUMBER('Revenues &amp; Outlays in GDP'!D572),TEXT('Revenues &amp; Outlays in GDP'!D572, "0.00"),""), "")</f>
        <v/>
      </c>
    </row>
    <row r="567" spans="1:5">
      <c r="A567" s="23" t="str">
        <f>TEXT(IF('Revenues &amp; Outlays in GDP'!B573&lt;&gt;0,'Revenues &amp; Outlays in GDP'!B573-364, ""), "mm/dd/yyyy")</f>
        <v/>
      </c>
      <c r="B567" s="23" t="str">
        <f>IFERROR(IF(ISNUMBER('Revenues &amp; Outlays in GDP'!E573),TEXT('Revenues &amp; Outlays in GDP'!E573, "0.00"),""), "")</f>
        <v/>
      </c>
      <c r="C567" s="23" t="str">
        <f>IFERROR(IF(ISNUMBER('Revenues &amp; Outlays in GDP'!C573),TEXT('Revenues &amp; Outlays in GDP'!C573, "0.00"),""), "")</f>
        <v/>
      </c>
      <c r="D567" s="23" t="str">
        <f>IFERROR(IF(ISNUMBER('Revenues &amp; Outlays in GDP'!F573),TEXT('Revenues &amp; Outlays in GDP'!F573, "0.00"),""), "")</f>
        <v/>
      </c>
      <c r="E567" s="23" t="str">
        <f>IFERROR(IF(ISNUMBER('Revenues &amp; Outlays in GDP'!D573),TEXT('Revenues &amp; Outlays in GDP'!D573, "0.00"),""), "")</f>
        <v/>
      </c>
    </row>
    <row r="568" spans="1:5">
      <c r="A568" s="23" t="str">
        <f>TEXT(IF('Revenues &amp; Outlays in GDP'!B574&lt;&gt;0,'Revenues &amp; Outlays in GDP'!B574-364, ""), "mm/dd/yyyy")</f>
        <v/>
      </c>
      <c r="B568" s="23" t="str">
        <f>IFERROR(IF(ISNUMBER('Revenues &amp; Outlays in GDP'!E574),TEXT('Revenues &amp; Outlays in GDP'!E574, "0.00"),""), "")</f>
        <v/>
      </c>
      <c r="C568" s="23" t="str">
        <f>IFERROR(IF(ISNUMBER('Revenues &amp; Outlays in GDP'!C574),TEXT('Revenues &amp; Outlays in GDP'!C574, "0.00"),""), "")</f>
        <v/>
      </c>
      <c r="D568" s="23" t="str">
        <f>IFERROR(IF(ISNUMBER('Revenues &amp; Outlays in GDP'!F574),TEXT('Revenues &amp; Outlays in GDP'!F574, "0.00"),""), "")</f>
        <v/>
      </c>
      <c r="E568" s="23" t="str">
        <f>IFERROR(IF(ISNUMBER('Revenues &amp; Outlays in GDP'!D574),TEXT('Revenues &amp; Outlays in GDP'!D574, "0.00"),""), "")</f>
        <v/>
      </c>
    </row>
    <row r="569" spans="1:5">
      <c r="A569" s="23" t="str">
        <f>TEXT(IF('Revenues &amp; Outlays in GDP'!B575&lt;&gt;0,'Revenues &amp; Outlays in GDP'!B575-364, ""), "mm/dd/yyyy")</f>
        <v/>
      </c>
      <c r="B569" s="23" t="str">
        <f>IFERROR(IF(ISNUMBER('Revenues &amp; Outlays in GDP'!E575),TEXT('Revenues &amp; Outlays in GDP'!E575, "0.00"),""), "")</f>
        <v/>
      </c>
      <c r="C569" s="23" t="str">
        <f>IFERROR(IF(ISNUMBER('Revenues &amp; Outlays in GDP'!C575),TEXT('Revenues &amp; Outlays in GDP'!C575, "0.00"),""), "")</f>
        <v/>
      </c>
      <c r="D569" s="23" t="str">
        <f>IFERROR(IF(ISNUMBER('Revenues &amp; Outlays in GDP'!F575),TEXT('Revenues &amp; Outlays in GDP'!F575, "0.00"),""), "")</f>
        <v/>
      </c>
      <c r="E569" s="23" t="str">
        <f>IFERROR(IF(ISNUMBER('Revenues &amp; Outlays in GDP'!D575),TEXT('Revenues &amp; Outlays in GDP'!D575, "0.00"),""), "")</f>
        <v/>
      </c>
    </row>
    <row r="570" spans="1:5">
      <c r="A570" s="23" t="str">
        <f>TEXT(IF('Revenues &amp; Outlays in GDP'!B576&lt;&gt;0,'Revenues &amp; Outlays in GDP'!B576-364, ""), "mm/dd/yyyy")</f>
        <v/>
      </c>
      <c r="B570" s="23" t="str">
        <f>IFERROR(IF(ISNUMBER('Revenues &amp; Outlays in GDP'!E576),TEXT('Revenues &amp; Outlays in GDP'!E576, "0.00"),""), "")</f>
        <v/>
      </c>
      <c r="C570" s="23" t="str">
        <f>IFERROR(IF(ISNUMBER('Revenues &amp; Outlays in GDP'!C576),TEXT('Revenues &amp; Outlays in GDP'!C576, "0.00"),""), "")</f>
        <v/>
      </c>
      <c r="D570" s="23" t="str">
        <f>IFERROR(IF(ISNUMBER('Revenues &amp; Outlays in GDP'!F576),TEXT('Revenues &amp; Outlays in GDP'!F576, "0.00"),""), "")</f>
        <v/>
      </c>
      <c r="E570" s="23" t="str">
        <f>IFERROR(IF(ISNUMBER('Revenues &amp; Outlays in GDP'!D576),TEXT('Revenues &amp; Outlays in GDP'!D576, "0.00"),""), "")</f>
        <v/>
      </c>
    </row>
    <row r="571" spans="1:5">
      <c r="A571" s="23" t="str">
        <f>TEXT(IF('Revenues &amp; Outlays in GDP'!B577&lt;&gt;0,'Revenues &amp; Outlays in GDP'!B577-364, ""), "mm/dd/yyyy")</f>
        <v/>
      </c>
      <c r="B571" s="23" t="str">
        <f>IFERROR(IF(ISNUMBER('Revenues &amp; Outlays in GDP'!E577),TEXT('Revenues &amp; Outlays in GDP'!E577, "0.00"),""), "")</f>
        <v/>
      </c>
      <c r="C571" s="23" t="str">
        <f>IFERROR(IF(ISNUMBER('Revenues &amp; Outlays in GDP'!C577),TEXT('Revenues &amp; Outlays in GDP'!C577, "0.00"),""), "")</f>
        <v/>
      </c>
      <c r="D571" s="23" t="str">
        <f>IFERROR(IF(ISNUMBER('Revenues &amp; Outlays in GDP'!F577),TEXT('Revenues &amp; Outlays in GDP'!F577, "0.00"),""), "")</f>
        <v/>
      </c>
      <c r="E571" s="23" t="str">
        <f>IFERROR(IF(ISNUMBER('Revenues &amp; Outlays in GDP'!D577),TEXT('Revenues &amp; Outlays in GDP'!D577, "0.00"),""), "")</f>
        <v/>
      </c>
    </row>
    <row r="572" spans="1:5">
      <c r="A572" s="23" t="str">
        <f>TEXT(IF('Revenues &amp; Outlays in GDP'!B578&lt;&gt;0,'Revenues &amp; Outlays in GDP'!B578-364, ""), "mm/dd/yyyy")</f>
        <v/>
      </c>
      <c r="B572" s="23" t="str">
        <f>IFERROR(IF(ISNUMBER('Revenues &amp; Outlays in GDP'!E578),TEXT('Revenues &amp; Outlays in GDP'!E578, "0.00"),""), "")</f>
        <v/>
      </c>
      <c r="C572" s="23" t="str">
        <f>IFERROR(IF(ISNUMBER('Revenues &amp; Outlays in GDP'!C578),TEXT('Revenues &amp; Outlays in GDP'!C578, "0.00"),""), "")</f>
        <v/>
      </c>
      <c r="D572" s="23" t="str">
        <f>IFERROR(IF(ISNUMBER('Revenues &amp; Outlays in GDP'!F578),TEXT('Revenues &amp; Outlays in GDP'!F578, "0.00"),""), "")</f>
        <v/>
      </c>
      <c r="E572" s="23" t="str">
        <f>IFERROR(IF(ISNUMBER('Revenues &amp; Outlays in GDP'!D578),TEXT('Revenues &amp; Outlays in GDP'!D578, "0.00"),""), "")</f>
        <v/>
      </c>
    </row>
    <row r="573" spans="1:5">
      <c r="A573" s="23" t="str">
        <f>TEXT(IF('Revenues &amp; Outlays in GDP'!B579&lt;&gt;0,'Revenues &amp; Outlays in GDP'!B579-364, ""), "mm/dd/yyyy")</f>
        <v/>
      </c>
      <c r="B573" s="23" t="str">
        <f>IFERROR(IF(ISNUMBER('Revenues &amp; Outlays in GDP'!E579),TEXT('Revenues &amp; Outlays in GDP'!E579, "0.00"),""), "")</f>
        <v/>
      </c>
      <c r="C573" s="23" t="str">
        <f>IFERROR(IF(ISNUMBER('Revenues &amp; Outlays in GDP'!C579),TEXT('Revenues &amp; Outlays in GDP'!C579, "0.00"),""), "")</f>
        <v/>
      </c>
      <c r="D573" s="23" t="str">
        <f>IFERROR(IF(ISNUMBER('Revenues &amp; Outlays in GDP'!F579),TEXT('Revenues &amp; Outlays in GDP'!F579, "0.00"),""), "")</f>
        <v/>
      </c>
      <c r="E573" s="23" t="str">
        <f>IFERROR(IF(ISNUMBER('Revenues &amp; Outlays in GDP'!D579),TEXT('Revenues &amp; Outlays in GDP'!D579, "0.00"),""), "")</f>
        <v/>
      </c>
    </row>
    <row r="574" spans="1:5">
      <c r="A574" s="23" t="str">
        <f>TEXT(IF('Revenues &amp; Outlays in GDP'!B580&lt;&gt;0,'Revenues &amp; Outlays in GDP'!B580-364, ""), "mm/dd/yyyy")</f>
        <v/>
      </c>
      <c r="B574" s="23" t="str">
        <f>IFERROR(IF(ISNUMBER('Revenues &amp; Outlays in GDP'!E580),TEXT('Revenues &amp; Outlays in GDP'!E580, "0.00"),""), "")</f>
        <v/>
      </c>
      <c r="C574" s="23" t="str">
        <f>IFERROR(IF(ISNUMBER('Revenues &amp; Outlays in GDP'!C580),TEXT('Revenues &amp; Outlays in GDP'!C580, "0.00"),""), "")</f>
        <v/>
      </c>
      <c r="D574" s="23" t="str">
        <f>IFERROR(IF(ISNUMBER('Revenues &amp; Outlays in GDP'!F580),TEXT('Revenues &amp; Outlays in GDP'!F580, "0.00"),""), "")</f>
        <v/>
      </c>
      <c r="E574" s="23" t="str">
        <f>IFERROR(IF(ISNUMBER('Revenues &amp; Outlays in GDP'!D580),TEXT('Revenues &amp; Outlays in GDP'!D580, "0.00"),""), "")</f>
        <v/>
      </c>
    </row>
    <row r="575" spans="1:5">
      <c r="A575" s="23" t="str">
        <f>TEXT(IF('Revenues &amp; Outlays in GDP'!B581&lt;&gt;0,'Revenues &amp; Outlays in GDP'!B581-364, ""), "mm/dd/yyyy")</f>
        <v/>
      </c>
      <c r="B575" s="23" t="str">
        <f>IFERROR(IF(ISNUMBER('Revenues &amp; Outlays in GDP'!E581),TEXT('Revenues &amp; Outlays in GDP'!E581, "0.00"),""), "")</f>
        <v/>
      </c>
      <c r="C575" s="23" t="str">
        <f>IFERROR(IF(ISNUMBER('Revenues &amp; Outlays in GDP'!C581),TEXT('Revenues &amp; Outlays in GDP'!C581, "0.00"),""), "")</f>
        <v/>
      </c>
      <c r="D575" s="23" t="str">
        <f>IFERROR(IF(ISNUMBER('Revenues &amp; Outlays in GDP'!F581),TEXT('Revenues &amp; Outlays in GDP'!F581, "0.00"),""), "")</f>
        <v/>
      </c>
      <c r="E575" s="23" t="str">
        <f>IFERROR(IF(ISNUMBER('Revenues &amp; Outlays in GDP'!D581),TEXT('Revenues &amp; Outlays in GDP'!D581, "0.00"),""), "")</f>
        <v/>
      </c>
    </row>
    <row r="576" spans="1:5">
      <c r="A576" s="23" t="str">
        <f>TEXT(IF('Revenues &amp; Outlays in GDP'!B582&lt;&gt;0,'Revenues &amp; Outlays in GDP'!B582-364, ""), "mm/dd/yyyy")</f>
        <v/>
      </c>
      <c r="B576" s="23" t="str">
        <f>IFERROR(IF(ISNUMBER('Revenues &amp; Outlays in GDP'!E582),TEXT('Revenues &amp; Outlays in GDP'!E582, "0.00"),""), "")</f>
        <v/>
      </c>
      <c r="C576" s="23" t="str">
        <f>IFERROR(IF(ISNUMBER('Revenues &amp; Outlays in GDP'!C582),TEXT('Revenues &amp; Outlays in GDP'!C582, "0.00"),""), "")</f>
        <v/>
      </c>
      <c r="D576" s="23" t="str">
        <f>IFERROR(IF(ISNUMBER('Revenues &amp; Outlays in GDP'!F582),TEXT('Revenues &amp; Outlays in GDP'!F582, "0.00"),""), "")</f>
        <v/>
      </c>
      <c r="E576" s="23" t="str">
        <f>IFERROR(IF(ISNUMBER('Revenues &amp; Outlays in GDP'!D582),TEXT('Revenues &amp; Outlays in GDP'!D582, "0.00"),""), "")</f>
        <v/>
      </c>
    </row>
    <row r="577" spans="1:5">
      <c r="A577" s="23" t="str">
        <f>TEXT(IF('Revenues &amp; Outlays in GDP'!B583&lt;&gt;0,'Revenues &amp; Outlays in GDP'!B583-364, ""), "mm/dd/yyyy")</f>
        <v/>
      </c>
      <c r="B577" s="23" t="str">
        <f>IFERROR(IF(ISNUMBER('Revenues &amp; Outlays in GDP'!E583),TEXT('Revenues &amp; Outlays in GDP'!E583, "0.00"),""), "")</f>
        <v/>
      </c>
      <c r="C577" s="23" t="str">
        <f>IFERROR(IF(ISNUMBER('Revenues &amp; Outlays in GDP'!C583),TEXT('Revenues &amp; Outlays in GDP'!C583, "0.00"),""), "")</f>
        <v/>
      </c>
      <c r="D577" s="23" t="str">
        <f>IFERROR(IF(ISNUMBER('Revenues &amp; Outlays in GDP'!F583),TEXT('Revenues &amp; Outlays in GDP'!F583, "0.00"),""), "")</f>
        <v/>
      </c>
      <c r="E577" s="23" t="str">
        <f>IFERROR(IF(ISNUMBER('Revenues &amp; Outlays in GDP'!D583),TEXT('Revenues &amp; Outlays in GDP'!D583, "0.00"),""), "")</f>
        <v/>
      </c>
    </row>
    <row r="578" spans="1:5">
      <c r="A578" s="23" t="str">
        <f>TEXT(IF('Revenues &amp; Outlays in GDP'!B584&lt;&gt;0,'Revenues &amp; Outlays in GDP'!B584-364, ""), "mm/dd/yyyy")</f>
        <v/>
      </c>
      <c r="B578" s="23" t="str">
        <f>IFERROR(IF(ISNUMBER('Revenues &amp; Outlays in GDP'!E584),TEXT('Revenues &amp; Outlays in GDP'!E584, "0.00"),""), "")</f>
        <v/>
      </c>
      <c r="C578" s="23" t="str">
        <f>IFERROR(IF(ISNUMBER('Revenues &amp; Outlays in GDP'!C584),TEXT('Revenues &amp; Outlays in GDP'!C584, "0.00"),""), "")</f>
        <v/>
      </c>
      <c r="D578" s="23" t="str">
        <f>IFERROR(IF(ISNUMBER('Revenues &amp; Outlays in GDP'!F584),TEXT('Revenues &amp; Outlays in GDP'!F584, "0.00"),""), "")</f>
        <v/>
      </c>
      <c r="E578" s="23" t="str">
        <f>IFERROR(IF(ISNUMBER('Revenues &amp; Outlays in GDP'!D584),TEXT('Revenues &amp; Outlays in GDP'!D584, "0.00"),""), "")</f>
        <v/>
      </c>
    </row>
    <row r="579" spans="1:5">
      <c r="A579" s="23" t="str">
        <f>TEXT(IF('Revenues &amp; Outlays in GDP'!B585&lt;&gt;0,'Revenues &amp; Outlays in GDP'!B585-364, ""), "mm/dd/yyyy")</f>
        <v/>
      </c>
      <c r="B579" s="23" t="str">
        <f>IFERROR(IF(ISNUMBER('Revenues &amp; Outlays in GDP'!E585),TEXT('Revenues &amp; Outlays in GDP'!E585, "0.00"),""), "")</f>
        <v/>
      </c>
      <c r="C579" s="23" t="str">
        <f>IFERROR(IF(ISNUMBER('Revenues &amp; Outlays in GDP'!C585),TEXT('Revenues &amp; Outlays in GDP'!C585, "0.00"),""), "")</f>
        <v/>
      </c>
      <c r="D579" s="23" t="str">
        <f>IFERROR(IF(ISNUMBER('Revenues &amp; Outlays in GDP'!F585),TEXT('Revenues &amp; Outlays in GDP'!F585, "0.00"),""), "")</f>
        <v/>
      </c>
      <c r="E579" s="23" t="str">
        <f>IFERROR(IF(ISNUMBER('Revenues &amp; Outlays in GDP'!D585),TEXT('Revenues &amp; Outlays in GDP'!D585, "0.00"),""), "")</f>
        <v/>
      </c>
    </row>
    <row r="580" spans="1:5">
      <c r="A580" s="23" t="str">
        <f>TEXT(IF('Revenues &amp; Outlays in GDP'!B586&lt;&gt;0,'Revenues &amp; Outlays in GDP'!B586-364, ""), "mm/dd/yyyy")</f>
        <v/>
      </c>
      <c r="B580" s="23" t="str">
        <f>IFERROR(IF(ISNUMBER('Revenues &amp; Outlays in GDP'!E586),TEXT('Revenues &amp; Outlays in GDP'!E586, "0.00"),""), "")</f>
        <v/>
      </c>
      <c r="C580" s="23" t="str">
        <f>IFERROR(IF(ISNUMBER('Revenues &amp; Outlays in GDP'!C586),TEXT('Revenues &amp; Outlays in GDP'!C586, "0.00"),""), "")</f>
        <v/>
      </c>
      <c r="D580" s="23" t="str">
        <f>IFERROR(IF(ISNUMBER('Revenues &amp; Outlays in GDP'!F586),TEXT('Revenues &amp; Outlays in GDP'!F586, "0.00"),""), "")</f>
        <v/>
      </c>
      <c r="E580" s="23" t="str">
        <f>IFERROR(IF(ISNUMBER('Revenues &amp; Outlays in GDP'!D586),TEXT('Revenues &amp; Outlays in GDP'!D586, "0.00"),""), "")</f>
        <v/>
      </c>
    </row>
    <row r="581" spans="1:5">
      <c r="A581" s="23" t="str">
        <f>TEXT(IF('Revenues &amp; Outlays in GDP'!B587&lt;&gt;0,'Revenues &amp; Outlays in GDP'!B587-364, ""), "mm/dd/yyyy")</f>
        <v/>
      </c>
      <c r="B581" s="23" t="str">
        <f>IFERROR(IF(ISNUMBER('Revenues &amp; Outlays in GDP'!E587),TEXT('Revenues &amp; Outlays in GDP'!E587, "0.00"),""), "")</f>
        <v/>
      </c>
      <c r="C581" s="23" t="str">
        <f>IFERROR(IF(ISNUMBER('Revenues &amp; Outlays in GDP'!C587),TEXT('Revenues &amp; Outlays in GDP'!C587, "0.00"),""), "")</f>
        <v/>
      </c>
      <c r="D581" s="23" t="str">
        <f>IFERROR(IF(ISNUMBER('Revenues &amp; Outlays in GDP'!F587),TEXT('Revenues &amp; Outlays in GDP'!F587, "0.00"),""), "")</f>
        <v/>
      </c>
      <c r="E581" s="23" t="str">
        <f>IFERROR(IF(ISNUMBER('Revenues &amp; Outlays in GDP'!D587),TEXT('Revenues &amp; Outlays in GDP'!D587, "0.00"),""), "")</f>
        <v/>
      </c>
    </row>
    <row r="582" spans="1:5">
      <c r="A582" s="23" t="str">
        <f>TEXT(IF('Revenues &amp; Outlays in GDP'!B588&lt;&gt;0,'Revenues &amp; Outlays in GDP'!B588-364, ""), "mm/dd/yyyy")</f>
        <v/>
      </c>
      <c r="B582" s="23" t="str">
        <f>IFERROR(IF(ISNUMBER('Revenues &amp; Outlays in GDP'!E588),TEXT('Revenues &amp; Outlays in GDP'!E588, "0.00"),""), "")</f>
        <v/>
      </c>
      <c r="C582" s="23" t="str">
        <f>IFERROR(IF(ISNUMBER('Revenues &amp; Outlays in GDP'!C588),TEXT('Revenues &amp; Outlays in GDP'!C588, "0.00"),""), "")</f>
        <v/>
      </c>
      <c r="D582" s="23" t="str">
        <f>IFERROR(IF(ISNUMBER('Revenues &amp; Outlays in GDP'!F588),TEXT('Revenues &amp; Outlays in GDP'!F588, "0.00"),""), "")</f>
        <v/>
      </c>
      <c r="E582" s="23" t="str">
        <f>IFERROR(IF(ISNUMBER('Revenues &amp; Outlays in GDP'!D588),TEXT('Revenues &amp; Outlays in GDP'!D588, "0.00"),""), "")</f>
        <v/>
      </c>
    </row>
    <row r="583" spans="1:5">
      <c r="A583" s="23" t="str">
        <f>TEXT(IF('Revenues &amp; Outlays in GDP'!B589&lt;&gt;0,'Revenues &amp; Outlays in GDP'!B589-364, ""), "mm/dd/yyyy")</f>
        <v/>
      </c>
      <c r="B583" s="23" t="str">
        <f>IFERROR(IF(ISNUMBER('Revenues &amp; Outlays in GDP'!E589),TEXT('Revenues &amp; Outlays in GDP'!E589, "0.00"),""), "")</f>
        <v/>
      </c>
      <c r="C583" s="23" t="str">
        <f>IFERROR(IF(ISNUMBER('Revenues &amp; Outlays in GDP'!C589),TEXT('Revenues &amp; Outlays in GDP'!C589, "0.00"),""), "")</f>
        <v/>
      </c>
      <c r="D583" s="23" t="str">
        <f>IFERROR(IF(ISNUMBER('Revenues &amp; Outlays in GDP'!F589),TEXT('Revenues &amp; Outlays in GDP'!F589, "0.00"),""), "")</f>
        <v/>
      </c>
      <c r="E583" s="23" t="str">
        <f>IFERROR(IF(ISNUMBER('Revenues &amp; Outlays in GDP'!D589),TEXT('Revenues &amp; Outlays in GDP'!D589, "0.00"),""), "")</f>
        <v/>
      </c>
    </row>
    <row r="584" spans="1:5">
      <c r="A584" s="23" t="str">
        <f>TEXT(IF('Revenues &amp; Outlays in GDP'!B590&lt;&gt;0,'Revenues &amp; Outlays in GDP'!B590-364, ""), "mm/dd/yyyy")</f>
        <v/>
      </c>
      <c r="B584" s="23" t="str">
        <f>IFERROR(IF(ISNUMBER('Revenues &amp; Outlays in GDP'!E590),TEXT('Revenues &amp; Outlays in GDP'!E590, "0.00"),""), "")</f>
        <v/>
      </c>
      <c r="C584" s="23" t="str">
        <f>IFERROR(IF(ISNUMBER('Revenues &amp; Outlays in GDP'!C590),TEXT('Revenues &amp; Outlays in GDP'!C590, "0.00"),""), "")</f>
        <v/>
      </c>
      <c r="D584" s="23" t="str">
        <f>IFERROR(IF(ISNUMBER('Revenues &amp; Outlays in GDP'!F590),TEXT('Revenues &amp; Outlays in GDP'!F590, "0.00"),""), "")</f>
        <v/>
      </c>
      <c r="E584" s="23" t="str">
        <f>IFERROR(IF(ISNUMBER('Revenues &amp; Outlays in GDP'!D590),TEXT('Revenues &amp; Outlays in GDP'!D590, "0.00"),""), "")</f>
        <v/>
      </c>
    </row>
    <row r="585" spans="1:5">
      <c r="A585" s="23" t="str">
        <f>TEXT(IF('Revenues &amp; Outlays in GDP'!B591&lt;&gt;0,'Revenues &amp; Outlays in GDP'!B591-364, ""), "mm/dd/yyyy")</f>
        <v/>
      </c>
      <c r="B585" s="23" t="str">
        <f>IFERROR(IF(ISNUMBER('Revenues &amp; Outlays in GDP'!E591),TEXT('Revenues &amp; Outlays in GDP'!E591, "0.00"),""), "")</f>
        <v/>
      </c>
      <c r="C585" s="23" t="str">
        <f>IFERROR(IF(ISNUMBER('Revenues &amp; Outlays in GDP'!C591),TEXT('Revenues &amp; Outlays in GDP'!C591, "0.00"),""), "")</f>
        <v/>
      </c>
      <c r="D585" s="23" t="str">
        <f>IFERROR(IF(ISNUMBER('Revenues &amp; Outlays in GDP'!F591),TEXT('Revenues &amp; Outlays in GDP'!F591, "0.00"),""), "")</f>
        <v/>
      </c>
      <c r="E585" s="23" t="str">
        <f>IFERROR(IF(ISNUMBER('Revenues &amp; Outlays in GDP'!D591),TEXT('Revenues &amp; Outlays in GDP'!D591, "0.00"),""), "")</f>
        <v/>
      </c>
    </row>
    <row r="586" spans="1:5">
      <c r="A586" s="23" t="str">
        <f>TEXT(IF('Revenues &amp; Outlays in GDP'!B592&lt;&gt;0,'Revenues &amp; Outlays in GDP'!B592-364, ""), "mm/dd/yyyy")</f>
        <v/>
      </c>
      <c r="B586" s="23" t="str">
        <f>IFERROR(IF(ISNUMBER('Revenues &amp; Outlays in GDP'!E592),TEXT('Revenues &amp; Outlays in GDP'!E592, "0.00"),""), "")</f>
        <v/>
      </c>
      <c r="C586" s="23" t="str">
        <f>IFERROR(IF(ISNUMBER('Revenues &amp; Outlays in GDP'!C592),TEXT('Revenues &amp; Outlays in GDP'!C592, "0.00"),""), "")</f>
        <v/>
      </c>
      <c r="D586" s="23" t="str">
        <f>IFERROR(IF(ISNUMBER('Revenues &amp; Outlays in GDP'!F592),TEXT('Revenues &amp; Outlays in GDP'!F592, "0.00"),""), "")</f>
        <v/>
      </c>
      <c r="E586" s="23" t="str">
        <f>IFERROR(IF(ISNUMBER('Revenues &amp; Outlays in GDP'!D592),TEXT('Revenues &amp; Outlays in GDP'!D592, "0.00"),""), "")</f>
        <v/>
      </c>
    </row>
    <row r="587" spans="1:5">
      <c r="A587" s="23" t="str">
        <f>TEXT(IF('Revenues &amp; Outlays in GDP'!B593&lt;&gt;0,'Revenues &amp; Outlays in GDP'!B593-364, ""), "mm/dd/yyyy")</f>
        <v/>
      </c>
      <c r="B587" s="23" t="str">
        <f>IFERROR(IF(ISNUMBER('Revenues &amp; Outlays in GDP'!E593),TEXT('Revenues &amp; Outlays in GDP'!E593, "0.00"),""), "")</f>
        <v/>
      </c>
      <c r="C587" s="23" t="str">
        <f>IFERROR(IF(ISNUMBER('Revenues &amp; Outlays in GDP'!C593),TEXT('Revenues &amp; Outlays in GDP'!C593, "0.00"),""), "")</f>
        <v/>
      </c>
      <c r="D587" s="23" t="str">
        <f>IFERROR(IF(ISNUMBER('Revenues &amp; Outlays in GDP'!F593),TEXT('Revenues &amp; Outlays in GDP'!F593, "0.00"),""), "")</f>
        <v/>
      </c>
      <c r="E587" s="23" t="str">
        <f>IFERROR(IF(ISNUMBER('Revenues &amp; Outlays in GDP'!D593),TEXT('Revenues &amp; Outlays in GDP'!D593, "0.00"),""), "")</f>
        <v/>
      </c>
    </row>
    <row r="588" spans="1:5">
      <c r="A588" s="23" t="str">
        <f>TEXT(IF('Revenues &amp; Outlays in GDP'!B594&lt;&gt;0,'Revenues &amp; Outlays in GDP'!B594-364, ""), "mm/dd/yyyy")</f>
        <v/>
      </c>
      <c r="B588" s="23" t="str">
        <f>IFERROR(IF(ISNUMBER('Revenues &amp; Outlays in GDP'!E594),TEXT('Revenues &amp; Outlays in GDP'!E594, "0.00"),""), "")</f>
        <v/>
      </c>
      <c r="C588" s="23" t="str">
        <f>IFERROR(IF(ISNUMBER('Revenues &amp; Outlays in GDP'!C594),TEXT('Revenues &amp; Outlays in GDP'!C594, "0.00"),""), "")</f>
        <v/>
      </c>
      <c r="D588" s="23" t="str">
        <f>IFERROR(IF(ISNUMBER('Revenues &amp; Outlays in GDP'!F594),TEXT('Revenues &amp; Outlays in GDP'!F594, "0.00"),""), "")</f>
        <v/>
      </c>
      <c r="E588" s="23" t="str">
        <f>IFERROR(IF(ISNUMBER('Revenues &amp; Outlays in GDP'!D594),TEXT('Revenues &amp; Outlays in GDP'!D594, "0.00"),""), "")</f>
        <v/>
      </c>
    </row>
    <row r="589" spans="1:5">
      <c r="A589" s="23" t="str">
        <f>TEXT(IF('Revenues &amp; Outlays in GDP'!B595&lt;&gt;0,'Revenues &amp; Outlays in GDP'!B595-364, ""), "mm/dd/yyyy")</f>
        <v/>
      </c>
      <c r="B589" s="23" t="str">
        <f>IFERROR(IF(ISNUMBER('Revenues &amp; Outlays in GDP'!E595),TEXT('Revenues &amp; Outlays in GDP'!E595, "0.00"),""), "")</f>
        <v/>
      </c>
      <c r="C589" s="23" t="str">
        <f>IFERROR(IF(ISNUMBER('Revenues &amp; Outlays in GDP'!C595),TEXT('Revenues &amp; Outlays in GDP'!C595, "0.00"),""), "")</f>
        <v/>
      </c>
      <c r="D589" s="23" t="str">
        <f>IFERROR(IF(ISNUMBER('Revenues &amp; Outlays in GDP'!F595),TEXT('Revenues &amp; Outlays in GDP'!F595, "0.00"),""), "")</f>
        <v/>
      </c>
      <c r="E589" s="23" t="str">
        <f>IFERROR(IF(ISNUMBER('Revenues &amp; Outlays in GDP'!D595),TEXT('Revenues &amp; Outlays in GDP'!D595, "0.00"),""), "")</f>
        <v/>
      </c>
    </row>
    <row r="590" spans="1:5">
      <c r="A590" s="23" t="str">
        <f>TEXT(IF('Revenues &amp; Outlays in GDP'!B596&lt;&gt;0,'Revenues &amp; Outlays in GDP'!B596-364, ""), "mm/dd/yyyy")</f>
        <v/>
      </c>
      <c r="B590" s="23" t="str">
        <f>IFERROR(IF(ISNUMBER('Revenues &amp; Outlays in GDP'!E596),TEXT('Revenues &amp; Outlays in GDP'!E596, "0.00"),""), "")</f>
        <v/>
      </c>
      <c r="C590" s="23" t="str">
        <f>IFERROR(IF(ISNUMBER('Revenues &amp; Outlays in GDP'!C596),TEXT('Revenues &amp; Outlays in GDP'!C596, "0.00"),""), "")</f>
        <v/>
      </c>
      <c r="D590" s="23" t="str">
        <f>IFERROR(IF(ISNUMBER('Revenues &amp; Outlays in GDP'!F596),TEXT('Revenues &amp; Outlays in GDP'!F596, "0.00"),""), "")</f>
        <v/>
      </c>
      <c r="E590" s="23" t="str">
        <f>IFERROR(IF(ISNUMBER('Revenues &amp; Outlays in GDP'!D596),TEXT('Revenues &amp; Outlays in GDP'!D596, "0.00"),""), "")</f>
        <v/>
      </c>
    </row>
    <row r="591" spans="1:5">
      <c r="A591" s="23" t="str">
        <f>TEXT(IF('Revenues &amp; Outlays in GDP'!B597&lt;&gt;0,'Revenues &amp; Outlays in GDP'!B597-364, ""), "mm/dd/yyyy")</f>
        <v/>
      </c>
      <c r="B591" s="23" t="str">
        <f>IFERROR(IF(ISNUMBER('Revenues &amp; Outlays in GDP'!E597),TEXT('Revenues &amp; Outlays in GDP'!E597, "0.00"),""), "")</f>
        <v/>
      </c>
      <c r="C591" s="23" t="str">
        <f>IFERROR(IF(ISNUMBER('Revenues &amp; Outlays in GDP'!C597),TEXT('Revenues &amp; Outlays in GDP'!C597, "0.00"),""), "")</f>
        <v/>
      </c>
      <c r="D591" s="23" t="str">
        <f>IFERROR(IF(ISNUMBER('Revenues &amp; Outlays in GDP'!F597),TEXT('Revenues &amp; Outlays in GDP'!F597, "0.00"),""), "")</f>
        <v/>
      </c>
      <c r="E591" s="23" t="str">
        <f>IFERROR(IF(ISNUMBER('Revenues &amp; Outlays in GDP'!D597),TEXT('Revenues &amp; Outlays in GDP'!D597, "0.00"),""), "")</f>
        <v/>
      </c>
    </row>
    <row r="592" spans="1:5">
      <c r="A592" s="23" t="str">
        <f>TEXT(IF('Revenues &amp; Outlays in GDP'!B598&lt;&gt;0,'Revenues &amp; Outlays in GDP'!B598-364, ""), "mm/dd/yyyy")</f>
        <v/>
      </c>
      <c r="B592" s="23" t="str">
        <f>IFERROR(IF(ISNUMBER('Revenues &amp; Outlays in GDP'!E598),TEXT('Revenues &amp; Outlays in GDP'!E598, "0.00"),""), "")</f>
        <v/>
      </c>
      <c r="C592" s="23" t="str">
        <f>IFERROR(IF(ISNUMBER('Revenues &amp; Outlays in GDP'!C598),TEXT('Revenues &amp; Outlays in GDP'!C598, "0.00"),""), "")</f>
        <v/>
      </c>
      <c r="D592" s="23" t="str">
        <f>IFERROR(IF(ISNUMBER('Revenues &amp; Outlays in GDP'!F598),TEXT('Revenues &amp; Outlays in GDP'!F598, "0.00"),""), "")</f>
        <v/>
      </c>
      <c r="E592" s="23" t="str">
        <f>IFERROR(IF(ISNUMBER('Revenues &amp; Outlays in GDP'!D598),TEXT('Revenues &amp; Outlays in GDP'!D598, "0.00"),""), "")</f>
        <v/>
      </c>
    </row>
    <row r="593" spans="1:5">
      <c r="A593" s="23" t="str">
        <f>TEXT(IF('Revenues &amp; Outlays in GDP'!B599&lt;&gt;0,'Revenues &amp; Outlays in GDP'!B599-364, ""), "mm/dd/yyyy")</f>
        <v/>
      </c>
      <c r="B593" s="23" t="str">
        <f>IFERROR(IF(ISNUMBER('Revenues &amp; Outlays in GDP'!E599),TEXT('Revenues &amp; Outlays in GDP'!E599, "0.00"),""), "")</f>
        <v/>
      </c>
      <c r="C593" s="23" t="str">
        <f>IFERROR(IF(ISNUMBER('Revenues &amp; Outlays in GDP'!C599),TEXT('Revenues &amp; Outlays in GDP'!C599, "0.00"),""), "")</f>
        <v/>
      </c>
      <c r="D593" s="23" t="str">
        <f>IFERROR(IF(ISNUMBER('Revenues &amp; Outlays in GDP'!F599),TEXT('Revenues &amp; Outlays in GDP'!F599, "0.00"),""), "")</f>
        <v/>
      </c>
      <c r="E593" s="23" t="str">
        <f>IFERROR(IF(ISNUMBER('Revenues &amp; Outlays in GDP'!D599),TEXT('Revenues &amp; Outlays in GDP'!D599, "0.00"),""), "")</f>
        <v/>
      </c>
    </row>
    <row r="594" spans="1:5">
      <c r="A594" s="23" t="str">
        <f>TEXT(IF('Revenues &amp; Outlays in GDP'!B600&lt;&gt;0,'Revenues &amp; Outlays in GDP'!B600-364, ""), "mm/dd/yyyy")</f>
        <v/>
      </c>
      <c r="B594" s="23" t="str">
        <f>IFERROR(IF(ISNUMBER('Revenues &amp; Outlays in GDP'!E600),TEXT('Revenues &amp; Outlays in GDP'!E600, "0.00"),""), "")</f>
        <v/>
      </c>
      <c r="C594" s="23" t="str">
        <f>IFERROR(IF(ISNUMBER('Revenues &amp; Outlays in GDP'!C600),TEXT('Revenues &amp; Outlays in GDP'!C600, "0.00"),""), "")</f>
        <v/>
      </c>
      <c r="D594" s="23" t="str">
        <f>IFERROR(IF(ISNUMBER('Revenues &amp; Outlays in GDP'!F600),TEXT('Revenues &amp; Outlays in GDP'!F600, "0.00"),""), "")</f>
        <v/>
      </c>
      <c r="E594" s="23" t="str">
        <f>IFERROR(IF(ISNUMBER('Revenues &amp; Outlays in GDP'!D600),TEXT('Revenues &amp; Outlays in GDP'!D600, "0.00"),""), "")</f>
        <v/>
      </c>
    </row>
    <row r="595" spans="1:5">
      <c r="A595" s="23" t="str">
        <f>TEXT(IF('Revenues &amp; Outlays in GDP'!B601&lt;&gt;0,'Revenues &amp; Outlays in GDP'!B601-364, ""), "mm/dd/yyyy")</f>
        <v/>
      </c>
      <c r="B595" s="23" t="str">
        <f>IFERROR(IF(ISNUMBER('Revenues &amp; Outlays in GDP'!E601),TEXT('Revenues &amp; Outlays in GDP'!E601, "0.00"),""), "")</f>
        <v/>
      </c>
      <c r="C595" s="23" t="str">
        <f>IFERROR(IF(ISNUMBER('Revenues &amp; Outlays in GDP'!C601),TEXT('Revenues &amp; Outlays in GDP'!C601, "0.00"),""), "")</f>
        <v/>
      </c>
      <c r="D595" s="23" t="str">
        <f>IFERROR(IF(ISNUMBER('Revenues &amp; Outlays in GDP'!F601),TEXT('Revenues &amp; Outlays in GDP'!F601, "0.00"),""), "")</f>
        <v/>
      </c>
      <c r="E595" s="23" t="str">
        <f>IFERROR(IF(ISNUMBER('Revenues &amp; Outlays in GDP'!D601),TEXT('Revenues &amp; Outlays in GDP'!D601, "0.00"),""), "")</f>
        <v/>
      </c>
    </row>
    <row r="596" spans="1:5">
      <c r="A596" s="23" t="str">
        <f>TEXT(IF('Revenues &amp; Outlays in GDP'!B602&lt;&gt;0,'Revenues &amp; Outlays in GDP'!B602-364, ""), "mm/dd/yyyy")</f>
        <v/>
      </c>
      <c r="B596" s="23" t="str">
        <f>IFERROR(IF(ISNUMBER('Revenues &amp; Outlays in GDP'!E602),TEXT('Revenues &amp; Outlays in GDP'!E602, "0.00"),""), "")</f>
        <v/>
      </c>
      <c r="C596" s="23" t="str">
        <f>IFERROR(IF(ISNUMBER('Revenues &amp; Outlays in GDP'!C602),TEXT('Revenues &amp; Outlays in GDP'!C602, "0.00"),""), "")</f>
        <v/>
      </c>
      <c r="D596" s="23" t="str">
        <f>IFERROR(IF(ISNUMBER('Revenues &amp; Outlays in GDP'!F602),TEXT('Revenues &amp; Outlays in GDP'!F602, "0.00"),""), "")</f>
        <v/>
      </c>
      <c r="E596" s="23" t="str">
        <f>IFERROR(IF(ISNUMBER('Revenues &amp; Outlays in GDP'!D602),TEXT('Revenues &amp; Outlays in GDP'!D602, "0.00"),""), "")</f>
        <v/>
      </c>
    </row>
    <row r="597" spans="1:5">
      <c r="A597" s="23" t="str">
        <f>TEXT(IF('Revenues &amp; Outlays in GDP'!B603&lt;&gt;0,'Revenues &amp; Outlays in GDP'!B603-364, ""), "mm/dd/yyyy")</f>
        <v/>
      </c>
      <c r="B597" s="23" t="str">
        <f>IFERROR(IF(ISNUMBER('Revenues &amp; Outlays in GDP'!E603),TEXT('Revenues &amp; Outlays in GDP'!E603, "0.00"),""), "")</f>
        <v/>
      </c>
      <c r="C597" s="23" t="str">
        <f>IFERROR(IF(ISNUMBER('Revenues &amp; Outlays in GDP'!C603),TEXT('Revenues &amp; Outlays in GDP'!C603, "0.00"),""), "")</f>
        <v/>
      </c>
      <c r="D597" s="23" t="str">
        <f>IFERROR(IF(ISNUMBER('Revenues &amp; Outlays in GDP'!F603),TEXT('Revenues &amp; Outlays in GDP'!F603, "0.00"),""), "")</f>
        <v/>
      </c>
      <c r="E597" s="23" t="str">
        <f>IFERROR(IF(ISNUMBER('Revenues &amp; Outlays in GDP'!D603),TEXT('Revenues &amp; Outlays in GDP'!D603, "0.00"),""), "")</f>
        <v/>
      </c>
    </row>
    <row r="598" spans="1:5">
      <c r="A598" s="23" t="str">
        <f>TEXT(IF('Revenues &amp; Outlays in GDP'!B604&lt;&gt;0,'Revenues &amp; Outlays in GDP'!B604-364, ""), "mm/dd/yyyy")</f>
        <v/>
      </c>
      <c r="B598" s="23" t="str">
        <f>IFERROR(IF(ISNUMBER('Revenues &amp; Outlays in GDP'!E604),TEXT('Revenues &amp; Outlays in GDP'!E604, "0.00"),""), "")</f>
        <v/>
      </c>
      <c r="C598" s="23" t="str">
        <f>IFERROR(IF(ISNUMBER('Revenues &amp; Outlays in GDP'!C604),TEXT('Revenues &amp; Outlays in GDP'!C604, "0.00"),""), "")</f>
        <v/>
      </c>
      <c r="D598" s="23" t="str">
        <f>IFERROR(IF(ISNUMBER('Revenues &amp; Outlays in GDP'!F604),TEXT('Revenues &amp; Outlays in GDP'!F604, "0.00"),""), "")</f>
        <v/>
      </c>
      <c r="E598" s="23" t="str">
        <f>IFERROR(IF(ISNUMBER('Revenues &amp; Outlays in GDP'!D604),TEXT('Revenues &amp; Outlays in GDP'!D604, "0.00"),""), "")</f>
        <v/>
      </c>
    </row>
    <row r="599" spans="1:5">
      <c r="A599" s="23" t="str">
        <f>TEXT(IF('Revenues &amp; Outlays in GDP'!B605&lt;&gt;0,'Revenues &amp; Outlays in GDP'!B605-364, ""), "mm/dd/yyyy")</f>
        <v/>
      </c>
      <c r="B599" s="23" t="str">
        <f>IFERROR(IF(ISNUMBER('Revenues &amp; Outlays in GDP'!E605),TEXT('Revenues &amp; Outlays in GDP'!E605, "0.00"),""), "")</f>
        <v/>
      </c>
      <c r="C599" s="23" t="str">
        <f>IFERROR(IF(ISNUMBER('Revenues &amp; Outlays in GDP'!C605),TEXT('Revenues &amp; Outlays in GDP'!C605, "0.00"),""), "")</f>
        <v/>
      </c>
      <c r="D599" s="23" t="str">
        <f>IFERROR(IF(ISNUMBER('Revenues &amp; Outlays in GDP'!F605),TEXT('Revenues &amp; Outlays in GDP'!F605, "0.00"),""), "")</f>
        <v/>
      </c>
      <c r="E599" s="23" t="str">
        <f>IFERROR(IF(ISNUMBER('Revenues &amp; Outlays in GDP'!D605),TEXT('Revenues &amp; Outlays in GDP'!D605, "0.00"),""), "")</f>
        <v/>
      </c>
    </row>
    <row r="600" spans="1:5">
      <c r="A600" s="23" t="str">
        <f>TEXT(IF('Revenues &amp; Outlays in GDP'!B606&lt;&gt;0,'Revenues &amp; Outlays in GDP'!B606-364, ""), "mm/dd/yyyy")</f>
        <v/>
      </c>
      <c r="B600" s="23" t="str">
        <f>IFERROR(IF(ISNUMBER('Revenues &amp; Outlays in GDP'!E606),TEXT('Revenues &amp; Outlays in GDP'!E606, "0.00"),""), "")</f>
        <v/>
      </c>
      <c r="C600" s="23" t="str">
        <f>IFERROR(IF(ISNUMBER('Revenues &amp; Outlays in GDP'!C606),TEXT('Revenues &amp; Outlays in GDP'!C606, "0.00"),""), "")</f>
        <v/>
      </c>
      <c r="D600" s="23" t="str">
        <f>IFERROR(IF(ISNUMBER('Revenues &amp; Outlays in GDP'!F606),TEXT('Revenues &amp; Outlays in GDP'!F606, "0.00"),""), "")</f>
        <v/>
      </c>
      <c r="E600" s="23" t="str">
        <f>IFERROR(IF(ISNUMBER('Revenues &amp; Outlays in GDP'!D606),TEXT('Revenues &amp; Outlays in GDP'!D606, "0.00"),""), "")</f>
        <v/>
      </c>
    </row>
    <row r="601" spans="1:5">
      <c r="A601" s="23" t="str">
        <f>TEXT(IF('Revenues &amp; Outlays in GDP'!B607&lt;&gt;0,'Revenues &amp; Outlays in GDP'!B607-364, ""), "mm/dd/yyyy")</f>
        <v/>
      </c>
      <c r="B601" s="23" t="str">
        <f>IFERROR(IF(ISNUMBER('Revenues &amp; Outlays in GDP'!E607),TEXT('Revenues &amp; Outlays in GDP'!E607, "0.00"),""), "")</f>
        <v/>
      </c>
      <c r="C601" s="23" t="str">
        <f>IFERROR(IF(ISNUMBER('Revenues &amp; Outlays in GDP'!C607),TEXT('Revenues &amp; Outlays in GDP'!C607, "0.00"),""), "")</f>
        <v/>
      </c>
      <c r="D601" s="23" t="str">
        <f>IFERROR(IF(ISNUMBER('Revenues &amp; Outlays in GDP'!F607),TEXT('Revenues &amp; Outlays in GDP'!F607, "0.00"),""), "")</f>
        <v/>
      </c>
      <c r="E601" s="23" t="str">
        <f>IFERROR(IF(ISNUMBER('Revenues &amp; Outlays in GDP'!D607),TEXT('Revenues &amp; Outlays in GDP'!D607, "0.00"),""), "")</f>
        <v/>
      </c>
    </row>
    <row r="602" spans="1:5">
      <c r="A602" s="23" t="str">
        <f>TEXT(IF('Revenues &amp; Outlays in GDP'!B608&lt;&gt;0,'Revenues &amp; Outlays in GDP'!B608-364, ""), "mm/dd/yyyy")</f>
        <v/>
      </c>
      <c r="B602" s="23" t="str">
        <f>IFERROR(IF(ISNUMBER('Revenues &amp; Outlays in GDP'!E608),TEXT('Revenues &amp; Outlays in GDP'!E608, "0.00"),""), "")</f>
        <v/>
      </c>
      <c r="C602" s="23" t="str">
        <f>IFERROR(IF(ISNUMBER('Revenues &amp; Outlays in GDP'!C608),TEXT('Revenues &amp; Outlays in GDP'!C608, "0.00"),""), "")</f>
        <v/>
      </c>
      <c r="D602" s="23" t="str">
        <f>IFERROR(IF(ISNUMBER('Revenues &amp; Outlays in GDP'!F608),TEXT('Revenues &amp; Outlays in GDP'!F608, "0.00"),""), "")</f>
        <v/>
      </c>
      <c r="E602" s="23" t="str">
        <f>IFERROR(IF(ISNUMBER('Revenues &amp; Outlays in GDP'!D608),TEXT('Revenues &amp; Outlays in GDP'!D608, "0.00"),""), "")</f>
        <v/>
      </c>
    </row>
    <row r="603" spans="1:5">
      <c r="A603" s="23" t="str">
        <f>TEXT(IF('Revenues &amp; Outlays in GDP'!B609&lt;&gt;0,'Revenues &amp; Outlays in GDP'!B609-364, ""), "mm/dd/yyyy")</f>
        <v/>
      </c>
      <c r="B603" s="23" t="str">
        <f>IFERROR(IF(ISNUMBER('Revenues &amp; Outlays in GDP'!E609),TEXT('Revenues &amp; Outlays in GDP'!E609, "0.00"),""), "")</f>
        <v/>
      </c>
      <c r="C603" s="23" t="str">
        <f>IFERROR(IF(ISNUMBER('Revenues &amp; Outlays in GDP'!C609),TEXT('Revenues &amp; Outlays in GDP'!C609, "0.00"),""), "")</f>
        <v/>
      </c>
      <c r="D603" s="23" t="str">
        <f>IFERROR(IF(ISNUMBER('Revenues &amp; Outlays in GDP'!F609),TEXT('Revenues &amp; Outlays in GDP'!F609, "0.00"),""), "")</f>
        <v/>
      </c>
      <c r="E603" s="23" t="str">
        <f>IFERROR(IF(ISNUMBER('Revenues &amp; Outlays in GDP'!D609),TEXT('Revenues &amp; Outlays in GDP'!D609, "0.00"),""), "")</f>
        <v/>
      </c>
    </row>
    <row r="604" spans="1:5">
      <c r="A604" s="23" t="str">
        <f>TEXT(IF('Revenues &amp; Outlays in GDP'!B610&lt;&gt;0,'Revenues &amp; Outlays in GDP'!B610-364, ""), "mm/dd/yyyy")</f>
        <v/>
      </c>
      <c r="B604" s="23" t="str">
        <f>IFERROR(IF(ISNUMBER('Revenues &amp; Outlays in GDP'!E610),TEXT('Revenues &amp; Outlays in GDP'!E610, "0.00"),""), "")</f>
        <v/>
      </c>
      <c r="C604" s="23" t="str">
        <f>IFERROR(IF(ISNUMBER('Revenues &amp; Outlays in GDP'!C610),TEXT('Revenues &amp; Outlays in GDP'!C610, "0.00"),""), "")</f>
        <v/>
      </c>
      <c r="D604" s="23" t="str">
        <f>IFERROR(IF(ISNUMBER('Revenues &amp; Outlays in GDP'!F610),TEXT('Revenues &amp; Outlays in GDP'!F610, "0.00"),""), "")</f>
        <v/>
      </c>
      <c r="E604" s="23" t="str">
        <f>IFERROR(IF(ISNUMBER('Revenues &amp; Outlays in GDP'!D610),TEXT('Revenues &amp; Outlays in GDP'!D610, "0.00"),""), "")</f>
        <v/>
      </c>
    </row>
    <row r="605" spans="1:5">
      <c r="A605" s="23" t="str">
        <f>TEXT(IF('Revenues &amp; Outlays in GDP'!B611&lt;&gt;0,'Revenues &amp; Outlays in GDP'!B611-364, ""), "mm/dd/yyyy")</f>
        <v/>
      </c>
      <c r="B605" s="23" t="str">
        <f>IFERROR(IF(ISNUMBER('Revenues &amp; Outlays in GDP'!E611),TEXT('Revenues &amp; Outlays in GDP'!E611, "0.00"),""), "")</f>
        <v/>
      </c>
      <c r="C605" s="23" t="str">
        <f>IFERROR(IF(ISNUMBER('Revenues &amp; Outlays in GDP'!C611),TEXT('Revenues &amp; Outlays in GDP'!C611, "0.00"),""), "")</f>
        <v/>
      </c>
      <c r="D605" s="23" t="str">
        <f>IFERROR(IF(ISNUMBER('Revenues &amp; Outlays in GDP'!F611),TEXT('Revenues &amp; Outlays in GDP'!F611, "0.00"),""), "")</f>
        <v/>
      </c>
      <c r="E605" s="23" t="str">
        <f>IFERROR(IF(ISNUMBER('Revenues &amp; Outlays in GDP'!D611),TEXT('Revenues &amp; Outlays in GDP'!D611, "0.00"),""), "")</f>
        <v/>
      </c>
    </row>
    <row r="606" spans="1:5">
      <c r="A606" s="23" t="str">
        <f>TEXT(IF('Revenues &amp; Outlays in GDP'!B612&lt;&gt;0,'Revenues &amp; Outlays in GDP'!B612-364, ""), "mm/dd/yyyy")</f>
        <v/>
      </c>
      <c r="B606" s="23" t="str">
        <f>IFERROR(IF(ISNUMBER('Revenues &amp; Outlays in GDP'!E612),TEXT('Revenues &amp; Outlays in GDP'!E612, "0.00"),""), "")</f>
        <v/>
      </c>
      <c r="C606" s="23" t="str">
        <f>IFERROR(IF(ISNUMBER('Revenues &amp; Outlays in GDP'!C612),TEXT('Revenues &amp; Outlays in GDP'!C612, "0.00"),""), "")</f>
        <v/>
      </c>
      <c r="D606" s="23" t="str">
        <f>IFERROR(IF(ISNUMBER('Revenues &amp; Outlays in GDP'!F612),TEXT('Revenues &amp; Outlays in GDP'!F612, "0.00"),""), "")</f>
        <v/>
      </c>
      <c r="E606" s="23" t="str">
        <f>IFERROR(IF(ISNUMBER('Revenues &amp; Outlays in GDP'!D612),TEXT('Revenues &amp; Outlays in GDP'!D612, "0.00"),""), "")</f>
        <v/>
      </c>
    </row>
    <row r="607" spans="1:5">
      <c r="A607" s="23" t="str">
        <f>TEXT(IF('Revenues &amp; Outlays in GDP'!B613&lt;&gt;0,'Revenues &amp; Outlays in GDP'!B613-364, ""), "mm/dd/yyyy")</f>
        <v/>
      </c>
      <c r="B607" s="23" t="str">
        <f>IFERROR(IF(ISNUMBER('Revenues &amp; Outlays in GDP'!E613),TEXT('Revenues &amp; Outlays in GDP'!E613, "0.00"),""), "")</f>
        <v/>
      </c>
      <c r="C607" s="23" t="str">
        <f>IFERROR(IF(ISNUMBER('Revenues &amp; Outlays in GDP'!C613),TEXT('Revenues &amp; Outlays in GDP'!C613, "0.00"),""), "")</f>
        <v/>
      </c>
      <c r="D607" s="23" t="str">
        <f>IFERROR(IF(ISNUMBER('Revenues &amp; Outlays in GDP'!F613),TEXT('Revenues &amp; Outlays in GDP'!F613, "0.00"),""), "")</f>
        <v/>
      </c>
      <c r="E607" s="23" t="str">
        <f>IFERROR(IF(ISNUMBER('Revenues &amp; Outlays in GDP'!D613),TEXT('Revenues &amp; Outlays in GDP'!D613, "0.00"),""), "")</f>
        <v/>
      </c>
    </row>
    <row r="608" spans="1:5">
      <c r="A608" s="23" t="str">
        <f>TEXT(IF('Revenues &amp; Outlays in GDP'!B614&lt;&gt;0,'Revenues &amp; Outlays in GDP'!B614-364, ""), "mm/dd/yyyy")</f>
        <v/>
      </c>
      <c r="B608" s="23" t="str">
        <f>IFERROR(IF(ISNUMBER('Revenues &amp; Outlays in GDP'!E614),TEXT('Revenues &amp; Outlays in GDP'!E614, "0.00"),""), "")</f>
        <v/>
      </c>
      <c r="C608" s="23" t="str">
        <f>IFERROR(IF(ISNUMBER('Revenues &amp; Outlays in GDP'!C614),TEXT('Revenues &amp; Outlays in GDP'!C614, "0.00"),""), "")</f>
        <v/>
      </c>
      <c r="D608" s="23" t="str">
        <f>IFERROR(IF(ISNUMBER('Revenues &amp; Outlays in GDP'!F614),TEXT('Revenues &amp; Outlays in GDP'!F614, "0.00"),""), "")</f>
        <v/>
      </c>
      <c r="E608" s="23" t="str">
        <f>IFERROR(IF(ISNUMBER('Revenues &amp; Outlays in GDP'!D614),TEXT('Revenues &amp; Outlays in GDP'!D614, "0.00"),""), "")</f>
        <v/>
      </c>
    </row>
    <row r="609" spans="1:5">
      <c r="A609" s="23" t="str">
        <f>TEXT(IF('Revenues &amp; Outlays in GDP'!B615&lt;&gt;0,'Revenues &amp; Outlays in GDP'!B615-364, ""), "mm/dd/yyyy")</f>
        <v/>
      </c>
      <c r="B609" s="23" t="str">
        <f>IFERROR(IF(ISNUMBER('Revenues &amp; Outlays in GDP'!E615),TEXT('Revenues &amp; Outlays in GDP'!E615, "0.00"),""), "")</f>
        <v/>
      </c>
      <c r="C609" s="23" t="str">
        <f>IFERROR(IF(ISNUMBER('Revenues &amp; Outlays in GDP'!C615),TEXT('Revenues &amp; Outlays in GDP'!C615, "0.00"),""), "")</f>
        <v/>
      </c>
      <c r="D609" s="23" t="str">
        <f>IFERROR(IF(ISNUMBER('Revenues &amp; Outlays in GDP'!F615),TEXT('Revenues &amp; Outlays in GDP'!F615, "0.00"),""), "")</f>
        <v/>
      </c>
      <c r="E609" s="23" t="str">
        <f>IFERROR(IF(ISNUMBER('Revenues &amp; Outlays in GDP'!D615),TEXT('Revenues &amp; Outlays in GDP'!D615, "0.00"),""), "")</f>
        <v/>
      </c>
    </row>
    <row r="610" spans="1:5">
      <c r="A610" s="23" t="str">
        <f>TEXT(IF('Revenues &amp; Outlays in GDP'!B616&lt;&gt;0,'Revenues &amp; Outlays in GDP'!B616-364, ""), "mm/dd/yyyy")</f>
        <v/>
      </c>
      <c r="B610" s="23" t="str">
        <f>IFERROR(IF(ISNUMBER('Revenues &amp; Outlays in GDP'!E616),TEXT('Revenues &amp; Outlays in GDP'!E616, "0.00"),""), "")</f>
        <v/>
      </c>
      <c r="C610" s="23" t="str">
        <f>IFERROR(IF(ISNUMBER('Revenues &amp; Outlays in GDP'!C616),TEXT('Revenues &amp; Outlays in GDP'!C616, "0.00"),""), "")</f>
        <v/>
      </c>
      <c r="D610" s="23" t="str">
        <f>IFERROR(IF(ISNUMBER('Revenues &amp; Outlays in GDP'!F616),TEXT('Revenues &amp; Outlays in GDP'!F616, "0.00"),""), "")</f>
        <v/>
      </c>
      <c r="E610" s="23" t="str">
        <f>IFERROR(IF(ISNUMBER('Revenues &amp; Outlays in GDP'!D616),TEXT('Revenues &amp; Outlays in GDP'!D616, "0.00"),""), "")</f>
        <v/>
      </c>
    </row>
    <row r="611" spans="1:5">
      <c r="A611" s="23" t="str">
        <f>TEXT(IF('Revenues &amp; Outlays in GDP'!B617&lt;&gt;0,'Revenues &amp; Outlays in GDP'!B617-364, ""), "mm/dd/yyyy")</f>
        <v/>
      </c>
      <c r="B611" s="23" t="str">
        <f>IFERROR(IF(ISNUMBER('Revenues &amp; Outlays in GDP'!E617),TEXT('Revenues &amp; Outlays in GDP'!E617, "0.00"),""), "")</f>
        <v/>
      </c>
      <c r="C611" s="23" t="str">
        <f>IFERROR(IF(ISNUMBER('Revenues &amp; Outlays in GDP'!C617),TEXT('Revenues &amp; Outlays in GDP'!C617, "0.00"),""), "")</f>
        <v/>
      </c>
      <c r="D611" s="23" t="str">
        <f>IFERROR(IF(ISNUMBER('Revenues &amp; Outlays in GDP'!F617),TEXT('Revenues &amp; Outlays in GDP'!F617, "0.00"),""), "")</f>
        <v/>
      </c>
      <c r="E611" s="23" t="str">
        <f>IFERROR(IF(ISNUMBER('Revenues &amp; Outlays in GDP'!D617),TEXT('Revenues &amp; Outlays in GDP'!D617, "0.00"),""), "")</f>
        <v/>
      </c>
    </row>
    <row r="612" spans="1:5">
      <c r="A612" s="23" t="str">
        <f>TEXT(IF('Revenues &amp; Outlays in GDP'!B618&lt;&gt;0,'Revenues &amp; Outlays in GDP'!B618-364, ""), "mm/dd/yyyy")</f>
        <v/>
      </c>
      <c r="B612" s="23" t="str">
        <f>IFERROR(IF(ISNUMBER('Revenues &amp; Outlays in GDP'!E618),TEXT('Revenues &amp; Outlays in GDP'!E618, "0.00"),""), "")</f>
        <v/>
      </c>
      <c r="C612" s="23" t="str">
        <f>IFERROR(IF(ISNUMBER('Revenues &amp; Outlays in GDP'!C618),TEXT('Revenues &amp; Outlays in GDP'!C618, "0.00"),""), "")</f>
        <v/>
      </c>
      <c r="D612" s="23" t="str">
        <f>IFERROR(IF(ISNUMBER('Revenues &amp; Outlays in GDP'!F618),TEXT('Revenues &amp; Outlays in GDP'!F618, "0.00"),""), "")</f>
        <v/>
      </c>
      <c r="E612" s="23" t="str">
        <f>IFERROR(IF(ISNUMBER('Revenues &amp; Outlays in GDP'!D618),TEXT('Revenues &amp; Outlays in GDP'!D618, "0.00"),""), "")</f>
        <v/>
      </c>
    </row>
    <row r="613" spans="1:5">
      <c r="A613" s="23" t="str">
        <f>TEXT(IF('Revenues &amp; Outlays in GDP'!B619&lt;&gt;0,'Revenues &amp; Outlays in GDP'!B619-364, ""), "mm/dd/yyyy")</f>
        <v/>
      </c>
      <c r="B613" s="23" t="str">
        <f>IFERROR(IF(ISNUMBER('Revenues &amp; Outlays in GDP'!E619),TEXT('Revenues &amp; Outlays in GDP'!E619, "0.00"),""), "")</f>
        <v/>
      </c>
      <c r="C613" s="23" t="str">
        <f>IFERROR(IF(ISNUMBER('Revenues &amp; Outlays in GDP'!C619),TEXT('Revenues &amp; Outlays in GDP'!C619, "0.00"),""), "")</f>
        <v/>
      </c>
      <c r="D613" s="23" t="str">
        <f>IFERROR(IF(ISNUMBER('Revenues &amp; Outlays in GDP'!F619),TEXT('Revenues &amp; Outlays in GDP'!F619, "0.00"),""), "")</f>
        <v/>
      </c>
      <c r="E613" s="23" t="str">
        <f>IFERROR(IF(ISNUMBER('Revenues &amp; Outlays in GDP'!D619),TEXT('Revenues &amp; Outlays in GDP'!D619, "0.00"),""), "")</f>
        <v/>
      </c>
    </row>
    <row r="614" spans="1:5">
      <c r="A614" s="23" t="str">
        <f>TEXT(IF('Revenues &amp; Outlays in GDP'!B620&lt;&gt;0,'Revenues &amp; Outlays in GDP'!B620-364, ""), "mm/dd/yyyy")</f>
        <v/>
      </c>
      <c r="B614" s="23" t="str">
        <f>IFERROR(IF(ISNUMBER('Revenues &amp; Outlays in GDP'!E620),TEXT('Revenues &amp; Outlays in GDP'!E620, "0.00"),""), "")</f>
        <v/>
      </c>
      <c r="C614" s="23" t="str">
        <f>IFERROR(IF(ISNUMBER('Revenues &amp; Outlays in GDP'!C620),TEXT('Revenues &amp; Outlays in GDP'!C620, "0.00"),""), "")</f>
        <v/>
      </c>
      <c r="D614" s="23" t="str">
        <f>IFERROR(IF(ISNUMBER('Revenues &amp; Outlays in GDP'!F620),TEXT('Revenues &amp; Outlays in GDP'!F620, "0.00"),""), "")</f>
        <v/>
      </c>
      <c r="E614" s="23" t="str">
        <f>IFERROR(IF(ISNUMBER('Revenues &amp; Outlays in GDP'!D620),TEXT('Revenues &amp; Outlays in GDP'!D620, "0.00"),""), "")</f>
        <v/>
      </c>
    </row>
    <row r="615" spans="1:5">
      <c r="A615" s="23" t="str">
        <f>TEXT(IF('Revenues &amp; Outlays in GDP'!B621&lt;&gt;0,'Revenues &amp; Outlays in GDP'!B621-364, ""), "mm/dd/yyyy")</f>
        <v/>
      </c>
      <c r="B615" s="23" t="str">
        <f>IFERROR(IF(ISNUMBER('Revenues &amp; Outlays in GDP'!E621),TEXT('Revenues &amp; Outlays in GDP'!E621, "0.00"),""), "")</f>
        <v/>
      </c>
      <c r="C615" s="23" t="str">
        <f>IFERROR(IF(ISNUMBER('Revenues &amp; Outlays in GDP'!C621),TEXT('Revenues &amp; Outlays in GDP'!C621, "0.00"),""), "")</f>
        <v/>
      </c>
      <c r="D615" s="23" t="str">
        <f>IFERROR(IF(ISNUMBER('Revenues &amp; Outlays in GDP'!F621),TEXT('Revenues &amp; Outlays in GDP'!F621, "0.00"),""), "")</f>
        <v/>
      </c>
      <c r="E615" s="23" t="str">
        <f>IFERROR(IF(ISNUMBER('Revenues &amp; Outlays in GDP'!D621),TEXT('Revenues &amp; Outlays in GDP'!D621, "0.00"),""), "")</f>
        <v/>
      </c>
    </row>
    <row r="616" spans="1:5">
      <c r="A616" s="23" t="str">
        <f>TEXT(IF('Revenues &amp; Outlays in GDP'!B622&lt;&gt;0,'Revenues &amp; Outlays in GDP'!B622-364, ""), "mm/dd/yyyy")</f>
        <v/>
      </c>
      <c r="B616" s="23" t="str">
        <f>IFERROR(IF(ISNUMBER('Revenues &amp; Outlays in GDP'!E622),TEXT('Revenues &amp; Outlays in GDP'!E622, "0.00"),""), "")</f>
        <v/>
      </c>
      <c r="C616" s="23" t="str">
        <f>IFERROR(IF(ISNUMBER('Revenues &amp; Outlays in GDP'!C622),TEXT('Revenues &amp; Outlays in GDP'!C622, "0.00"),""), "")</f>
        <v/>
      </c>
      <c r="D616" s="23" t="str">
        <f>IFERROR(IF(ISNUMBER('Revenues &amp; Outlays in GDP'!F622),TEXT('Revenues &amp; Outlays in GDP'!F622, "0.00"),""), "")</f>
        <v/>
      </c>
      <c r="E616" s="23" t="str">
        <f>IFERROR(IF(ISNUMBER('Revenues &amp; Outlays in GDP'!D622),TEXT('Revenues &amp; Outlays in GDP'!D622, "0.00"),""), "")</f>
        <v/>
      </c>
    </row>
    <row r="617" spans="1:5">
      <c r="A617" s="23" t="str">
        <f>TEXT(IF('Revenues &amp; Outlays in GDP'!B623&lt;&gt;0,'Revenues &amp; Outlays in GDP'!B623-364, ""), "mm/dd/yyyy")</f>
        <v/>
      </c>
      <c r="B617" s="23" t="str">
        <f>IFERROR(IF(ISNUMBER('Revenues &amp; Outlays in GDP'!E623),TEXT('Revenues &amp; Outlays in GDP'!E623, "0.00"),""), "")</f>
        <v/>
      </c>
      <c r="C617" s="23" t="str">
        <f>IFERROR(IF(ISNUMBER('Revenues &amp; Outlays in GDP'!C623),TEXT('Revenues &amp; Outlays in GDP'!C623, "0.00"),""), "")</f>
        <v/>
      </c>
      <c r="D617" s="23" t="str">
        <f>IFERROR(IF(ISNUMBER('Revenues &amp; Outlays in GDP'!F623),TEXT('Revenues &amp; Outlays in GDP'!F623, "0.00"),""), "")</f>
        <v/>
      </c>
      <c r="E617" s="23" t="str">
        <f>IFERROR(IF(ISNUMBER('Revenues &amp; Outlays in GDP'!D623),TEXT('Revenues &amp; Outlays in GDP'!D623, "0.00"),""), "")</f>
        <v/>
      </c>
    </row>
    <row r="618" spans="1:5">
      <c r="A618" s="23" t="str">
        <f>TEXT(IF('Revenues &amp; Outlays in GDP'!B624&lt;&gt;0,'Revenues &amp; Outlays in GDP'!B624-364, ""), "mm/dd/yyyy")</f>
        <v/>
      </c>
      <c r="B618" s="23" t="str">
        <f>IFERROR(IF(ISNUMBER('Revenues &amp; Outlays in GDP'!E624),TEXT('Revenues &amp; Outlays in GDP'!E624, "0.00"),""), "")</f>
        <v/>
      </c>
      <c r="C618" s="23" t="str">
        <f>IFERROR(IF(ISNUMBER('Revenues &amp; Outlays in GDP'!C624),TEXT('Revenues &amp; Outlays in GDP'!C624, "0.00"),""), "")</f>
        <v/>
      </c>
      <c r="D618" s="23" t="str">
        <f>IFERROR(IF(ISNUMBER('Revenues &amp; Outlays in GDP'!F624),TEXT('Revenues &amp; Outlays in GDP'!F624, "0.00"),""), "")</f>
        <v/>
      </c>
      <c r="E618" s="23" t="str">
        <f>IFERROR(IF(ISNUMBER('Revenues &amp; Outlays in GDP'!D624),TEXT('Revenues &amp; Outlays in GDP'!D624, "0.00"),""), "")</f>
        <v/>
      </c>
    </row>
    <row r="619" spans="1:5">
      <c r="A619" s="23" t="str">
        <f>TEXT(IF('Revenues &amp; Outlays in GDP'!B625&lt;&gt;0,'Revenues &amp; Outlays in GDP'!B625-364, ""), "mm/dd/yyyy")</f>
        <v/>
      </c>
      <c r="B619" s="23" t="str">
        <f>IFERROR(IF(ISNUMBER('Revenues &amp; Outlays in GDP'!E625),TEXT('Revenues &amp; Outlays in GDP'!E625, "0.00"),""), "")</f>
        <v/>
      </c>
      <c r="C619" s="23" t="str">
        <f>IFERROR(IF(ISNUMBER('Revenues &amp; Outlays in GDP'!C625),TEXT('Revenues &amp; Outlays in GDP'!C625, "0.00"),""), "")</f>
        <v/>
      </c>
      <c r="D619" s="23" t="str">
        <f>IFERROR(IF(ISNUMBER('Revenues &amp; Outlays in GDP'!F625),TEXT('Revenues &amp; Outlays in GDP'!F625, "0.00"),""), "")</f>
        <v/>
      </c>
      <c r="E619" s="23" t="str">
        <f>IFERROR(IF(ISNUMBER('Revenues &amp; Outlays in GDP'!D625),TEXT('Revenues &amp; Outlays in GDP'!D625, "0.00"),""), "")</f>
        <v/>
      </c>
    </row>
    <row r="620" spans="1:5">
      <c r="A620" s="23" t="str">
        <f>TEXT(IF('Revenues &amp; Outlays in GDP'!B626&lt;&gt;0,'Revenues &amp; Outlays in GDP'!B626-364, ""), "mm/dd/yyyy")</f>
        <v/>
      </c>
      <c r="B620" s="23" t="str">
        <f>IFERROR(IF(ISNUMBER('Revenues &amp; Outlays in GDP'!E626),TEXT('Revenues &amp; Outlays in GDP'!E626, "0.00"),""), "")</f>
        <v/>
      </c>
      <c r="C620" s="23" t="str">
        <f>IFERROR(IF(ISNUMBER('Revenues &amp; Outlays in GDP'!C626),TEXT('Revenues &amp; Outlays in GDP'!C626, "0.00"),""), "")</f>
        <v/>
      </c>
      <c r="D620" s="23" t="str">
        <f>IFERROR(IF(ISNUMBER('Revenues &amp; Outlays in GDP'!F626),TEXT('Revenues &amp; Outlays in GDP'!F626, "0.00"),""), "")</f>
        <v/>
      </c>
      <c r="E620" s="23" t="str">
        <f>IFERROR(IF(ISNUMBER('Revenues &amp; Outlays in GDP'!D626),TEXT('Revenues &amp; Outlays in GDP'!D626, "0.00"),""), "")</f>
        <v/>
      </c>
    </row>
    <row r="621" spans="1:5">
      <c r="A621" s="23" t="str">
        <f>TEXT(IF('Revenues &amp; Outlays in GDP'!B627&lt;&gt;0,'Revenues &amp; Outlays in GDP'!B627-364, ""), "mm/dd/yyyy")</f>
        <v/>
      </c>
      <c r="B621" s="23" t="str">
        <f>IFERROR(IF(ISNUMBER('Revenues &amp; Outlays in GDP'!E627),TEXT('Revenues &amp; Outlays in GDP'!E627, "0.00"),""), "")</f>
        <v/>
      </c>
      <c r="C621" s="23" t="str">
        <f>IFERROR(IF(ISNUMBER('Revenues &amp; Outlays in GDP'!C627),TEXT('Revenues &amp; Outlays in GDP'!C627, "0.00"),""), "")</f>
        <v/>
      </c>
      <c r="D621" s="23" t="str">
        <f>IFERROR(IF(ISNUMBER('Revenues &amp; Outlays in GDP'!F627),TEXT('Revenues &amp; Outlays in GDP'!F627, "0.00"),""), "")</f>
        <v/>
      </c>
      <c r="E621" s="23" t="str">
        <f>IFERROR(IF(ISNUMBER('Revenues &amp; Outlays in GDP'!D627),TEXT('Revenues &amp; Outlays in GDP'!D627, "0.00"),""), "")</f>
        <v/>
      </c>
    </row>
    <row r="622" spans="1:5">
      <c r="A622" s="23" t="str">
        <f>TEXT(IF('Revenues &amp; Outlays in GDP'!B628&lt;&gt;0,'Revenues &amp; Outlays in GDP'!B628-364, ""), "mm/dd/yyyy")</f>
        <v/>
      </c>
      <c r="B622" s="23" t="str">
        <f>IFERROR(IF(ISNUMBER('Revenues &amp; Outlays in GDP'!E628),TEXT('Revenues &amp; Outlays in GDP'!E628, "0.00"),""), "")</f>
        <v/>
      </c>
      <c r="C622" s="23" t="str">
        <f>IFERROR(IF(ISNUMBER('Revenues &amp; Outlays in GDP'!C628),TEXT('Revenues &amp; Outlays in GDP'!C628, "0.00"),""), "")</f>
        <v/>
      </c>
      <c r="D622" s="23" t="str">
        <f>IFERROR(IF(ISNUMBER('Revenues &amp; Outlays in GDP'!F628),TEXT('Revenues &amp; Outlays in GDP'!F628, "0.00"),""), "")</f>
        <v/>
      </c>
      <c r="E622" s="23" t="str">
        <f>IFERROR(IF(ISNUMBER('Revenues &amp; Outlays in GDP'!D628),TEXT('Revenues &amp; Outlays in GDP'!D628, "0.00"),""), "")</f>
        <v/>
      </c>
    </row>
    <row r="623" spans="1:5">
      <c r="A623" s="23" t="str">
        <f>TEXT(IF('Revenues &amp; Outlays in GDP'!B629&lt;&gt;0,'Revenues &amp; Outlays in GDP'!B629-364, ""), "mm/dd/yyyy")</f>
        <v/>
      </c>
      <c r="B623" s="23" t="str">
        <f>IFERROR(IF(ISNUMBER('Revenues &amp; Outlays in GDP'!E629),TEXT('Revenues &amp; Outlays in GDP'!E629, "0.00"),""), "")</f>
        <v/>
      </c>
      <c r="C623" s="23" t="str">
        <f>IFERROR(IF(ISNUMBER('Revenues &amp; Outlays in GDP'!C629),TEXT('Revenues &amp; Outlays in GDP'!C629, "0.00"),""), "")</f>
        <v/>
      </c>
      <c r="D623" s="23" t="str">
        <f>IFERROR(IF(ISNUMBER('Revenues &amp; Outlays in GDP'!F629),TEXT('Revenues &amp; Outlays in GDP'!F629, "0.00"),""), "")</f>
        <v/>
      </c>
      <c r="E623" s="23" t="str">
        <f>IFERROR(IF(ISNUMBER('Revenues &amp; Outlays in GDP'!D629),TEXT('Revenues &amp; Outlays in GDP'!D629, "0.00"),""), "")</f>
        <v/>
      </c>
    </row>
    <row r="624" spans="1:5">
      <c r="A624" s="23" t="str">
        <f>TEXT(IF('Revenues &amp; Outlays in GDP'!B630&lt;&gt;0,'Revenues &amp; Outlays in GDP'!B630-364, ""), "mm/dd/yyyy")</f>
        <v/>
      </c>
      <c r="B624" s="23" t="str">
        <f>IFERROR(IF(ISNUMBER('Revenues &amp; Outlays in GDP'!E630),TEXT('Revenues &amp; Outlays in GDP'!E630, "0.00"),""), "")</f>
        <v/>
      </c>
      <c r="C624" s="23" t="str">
        <f>IFERROR(IF(ISNUMBER('Revenues &amp; Outlays in GDP'!C630),TEXT('Revenues &amp; Outlays in GDP'!C630, "0.00"),""), "")</f>
        <v/>
      </c>
      <c r="D624" s="23" t="str">
        <f>IFERROR(IF(ISNUMBER('Revenues &amp; Outlays in GDP'!F630),TEXT('Revenues &amp; Outlays in GDP'!F630, "0.00"),""), "")</f>
        <v/>
      </c>
      <c r="E624" s="23" t="str">
        <f>IFERROR(IF(ISNUMBER('Revenues &amp; Outlays in GDP'!D630),TEXT('Revenues &amp; Outlays in GDP'!D630, "0.00"),""), "")</f>
        <v/>
      </c>
    </row>
    <row r="625" spans="1:5">
      <c r="A625" s="23" t="str">
        <f>TEXT(IF('Revenues &amp; Outlays in GDP'!B631&lt;&gt;0,'Revenues &amp; Outlays in GDP'!B631-364, ""), "mm/dd/yyyy")</f>
        <v/>
      </c>
      <c r="B625" s="23" t="str">
        <f>IFERROR(IF(ISNUMBER('Revenues &amp; Outlays in GDP'!E631),TEXT('Revenues &amp; Outlays in GDP'!E631, "0.00"),""), "")</f>
        <v/>
      </c>
      <c r="C625" s="23" t="str">
        <f>IFERROR(IF(ISNUMBER('Revenues &amp; Outlays in GDP'!C631),TEXT('Revenues &amp; Outlays in GDP'!C631, "0.00"),""), "")</f>
        <v/>
      </c>
      <c r="D625" s="23" t="str">
        <f>IFERROR(IF(ISNUMBER('Revenues &amp; Outlays in GDP'!F631),TEXT('Revenues &amp; Outlays in GDP'!F631, "0.00"),""), "")</f>
        <v/>
      </c>
      <c r="E625" s="23" t="str">
        <f>IFERROR(IF(ISNUMBER('Revenues &amp; Outlays in GDP'!D631),TEXT('Revenues &amp; Outlays in GDP'!D631, "0.00"),""), "")</f>
        <v/>
      </c>
    </row>
    <row r="626" spans="1:5">
      <c r="A626" s="23" t="str">
        <f>TEXT(IF('Revenues &amp; Outlays in GDP'!B632&lt;&gt;0,'Revenues &amp; Outlays in GDP'!B632-364, ""), "mm/dd/yyyy")</f>
        <v/>
      </c>
      <c r="B626" s="23" t="str">
        <f>IFERROR(IF(ISNUMBER('Revenues &amp; Outlays in GDP'!E632),TEXT('Revenues &amp; Outlays in GDP'!E632, "0.00"),""), "")</f>
        <v/>
      </c>
      <c r="C626" s="23" t="str">
        <f>IFERROR(IF(ISNUMBER('Revenues &amp; Outlays in GDP'!C632),TEXT('Revenues &amp; Outlays in GDP'!C632, "0.00"),""), "")</f>
        <v/>
      </c>
      <c r="D626" s="23" t="str">
        <f>IFERROR(IF(ISNUMBER('Revenues &amp; Outlays in GDP'!F632),TEXT('Revenues &amp; Outlays in GDP'!F632, "0.00"),""), "")</f>
        <v/>
      </c>
      <c r="E626" s="23" t="str">
        <f>IFERROR(IF(ISNUMBER('Revenues &amp; Outlays in GDP'!D632),TEXT('Revenues &amp; Outlays in GDP'!D632, "0.00"),""), "")</f>
        <v/>
      </c>
    </row>
    <row r="627" spans="1:5">
      <c r="A627" s="23" t="str">
        <f>TEXT(IF('Revenues &amp; Outlays in GDP'!B633&lt;&gt;0,'Revenues &amp; Outlays in GDP'!B633-364, ""), "mm/dd/yyyy")</f>
        <v/>
      </c>
      <c r="B627" s="23" t="str">
        <f>IFERROR(IF(ISNUMBER('Revenues &amp; Outlays in GDP'!E633),TEXT('Revenues &amp; Outlays in GDP'!E633, "0.00"),""), "")</f>
        <v/>
      </c>
      <c r="C627" s="23" t="str">
        <f>IFERROR(IF(ISNUMBER('Revenues &amp; Outlays in GDP'!C633),TEXT('Revenues &amp; Outlays in GDP'!C633, "0.00"),""), "")</f>
        <v/>
      </c>
      <c r="D627" s="23" t="str">
        <f>IFERROR(IF(ISNUMBER('Revenues &amp; Outlays in GDP'!F633),TEXT('Revenues &amp; Outlays in GDP'!F633, "0.00"),""), "")</f>
        <v/>
      </c>
      <c r="E627" s="23" t="str">
        <f>IFERROR(IF(ISNUMBER('Revenues &amp; Outlays in GDP'!D633),TEXT('Revenues &amp; Outlays in GDP'!D633, "0.00"),""), "")</f>
        <v/>
      </c>
    </row>
    <row r="628" spans="1:5">
      <c r="A628" s="23" t="str">
        <f>TEXT(IF('Revenues &amp; Outlays in GDP'!B634&lt;&gt;0,'Revenues &amp; Outlays in GDP'!B634-364, ""), "mm/dd/yyyy")</f>
        <v/>
      </c>
      <c r="B628" s="23" t="str">
        <f>IFERROR(IF(ISNUMBER('Revenues &amp; Outlays in GDP'!E634),TEXT('Revenues &amp; Outlays in GDP'!E634, "0.00"),""), "")</f>
        <v/>
      </c>
      <c r="C628" s="23" t="str">
        <f>IFERROR(IF(ISNUMBER('Revenues &amp; Outlays in GDP'!C634),TEXT('Revenues &amp; Outlays in GDP'!C634, "0.00"),""), "")</f>
        <v/>
      </c>
      <c r="D628" s="23" t="str">
        <f>IFERROR(IF(ISNUMBER('Revenues &amp; Outlays in GDP'!F634),TEXT('Revenues &amp; Outlays in GDP'!F634, "0.00"),""), "")</f>
        <v/>
      </c>
      <c r="E628" s="23" t="str">
        <f>IFERROR(IF(ISNUMBER('Revenues &amp; Outlays in GDP'!D634),TEXT('Revenues &amp; Outlays in GDP'!D634, "0.00"),""), "")</f>
        <v/>
      </c>
    </row>
    <row r="629" spans="1:5">
      <c r="A629" s="23" t="str">
        <f>TEXT(IF('Revenues &amp; Outlays in GDP'!B635&lt;&gt;0,'Revenues &amp; Outlays in GDP'!B635-364, ""), "mm/dd/yyyy")</f>
        <v/>
      </c>
      <c r="B629" s="23" t="str">
        <f>IFERROR(IF(ISNUMBER('Revenues &amp; Outlays in GDP'!E635),TEXT('Revenues &amp; Outlays in GDP'!E635, "0.00"),""), "")</f>
        <v/>
      </c>
      <c r="C629" s="23" t="str">
        <f>IFERROR(IF(ISNUMBER('Revenues &amp; Outlays in GDP'!C635),TEXT('Revenues &amp; Outlays in GDP'!C635, "0.00"),""), "")</f>
        <v/>
      </c>
      <c r="D629" s="23" t="str">
        <f>IFERROR(IF(ISNUMBER('Revenues &amp; Outlays in GDP'!F635),TEXT('Revenues &amp; Outlays in GDP'!F635, "0.00"),""), "")</f>
        <v/>
      </c>
      <c r="E629" s="23" t="str">
        <f>IFERROR(IF(ISNUMBER('Revenues &amp; Outlays in GDP'!D635),TEXT('Revenues &amp; Outlays in GDP'!D635, "0.00"),""), "")</f>
        <v/>
      </c>
    </row>
    <row r="630" spans="1:5">
      <c r="A630" s="23" t="str">
        <f>TEXT(IF('Revenues &amp; Outlays in GDP'!B636&lt;&gt;0,'Revenues &amp; Outlays in GDP'!B636-364, ""), "mm/dd/yyyy")</f>
        <v/>
      </c>
      <c r="B630" s="23" t="str">
        <f>IFERROR(IF(ISNUMBER('Revenues &amp; Outlays in GDP'!E636),TEXT('Revenues &amp; Outlays in GDP'!E636, "0.00"),""), "")</f>
        <v/>
      </c>
      <c r="C630" s="23" t="str">
        <f>IFERROR(IF(ISNUMBER('Revenues &amp; Outlays in GDP'!C636),TEXT('Revenues &amp; Outlays in GDP'!C636, "0.00"),""), "")</f>
        <v/>
      </c>
      <c r="D630" s="23" t="str">
        <f>IFERROR(IF(ISNUMBER('Revenues &amp; Outlays in GDP'!F636),TEXT('Revenues &amp; Outlays in GDP'!F636, "0.00"),""), "")</f>
        <v/>
      </c>
      <c r="E630" s="23" t="str">
        <f>IFERROR(IF(ISNUMBER('Revenues &amp; Outlays in GDP'!D636),TEXT('Revenues &amp; Outlays in GDP'!D636, "0.00"),""), "")</f>
        <v/>
      </c>
    </row>
    <row r="631" spans="1:5">
      <c r="A631" s="23" t="str">
        <f>TEXT(IF('Revenues &amp; Outlays in GDP'!B637&lt;&gt;0,'Revenues &amp; Outlays in GDP'!B637-364, ""), "mm/dd/yyyy")</f>
        <v/>
      </c>
      <c r="B631" s="23" t="str">
        <f>IFERROR(IF(ISNUMBER('Revenues &amp; Outlays in GDP'!E637),TEXT('Revenues &amp; Outlays in GDP'!E637, "0.00"),""), "")</f>
        <v/>
      </c>
      <c r="C631" s="23" t="str">
        <f>IFERROR(IF(ISNUMBER('Revenues &amp; Outlays in GDP'!C637),TEXT('Revenues &amp; Outlays in GDP'!C637, "0.00"),""), "")</f>
        <v/>
      </c>
      <c r="D631" s="23" t="str">
        <f>IFERROR(IF(ISNUMBER('Revenues &amp; Outlays in GDP'!F637),TEXT('Revenues &amp; Outlays in GDP'!F637, "0.00"),""), "")</f>
        <v/>
      </c>
      <c r="E631" s="23" t="str">
        <f>IFERROR(IF(ISNUMBER('Revenues &amp; Outlays in GDP'!D637),TEXT('Revenues &amp; Outlays in GDP'!D637, "0.00"),""), "")</f>
        <v/>
      </c>
    </row>
    <row r="632" spans="1:5">
      <c r="A632" s="23" t="str">
        <f>TEXT(IF('Revenues &amp; Outlays in GDP'!B638&lt;&gt;0,'Revenues &amp; Outlays in GDP'!B638-364, ""), "mm/dd/yyyy")</f>
        <v/>
      </c>
      <c r="B632" s="23" t="str">
        <f>IFERROR(IF(ISNUMBER('Revenues &amp; Outlays in GDP'!E638),TEXT('Revenues &amp; Outlays in GDP'!E638, "0.00"),""), "")</f>
        <v/>
      </c>
      <c r="C632" s="23" t="str">
        <f>IFERROR(IF(ISNUMBER('Revenues &amp; Outlays in GDP'!C638),TEXT('Revenues &amp; Outlays in GDP'!C638, "0.00"),""), "")</f>
        <v/>
      </c>
      <c r="D632" s="23" t="str">
        <f>IFERROR(IF(ISNUMBER('Revenues &amp; Outlays in GDP'!F638),TEXT('Revenues &amp; Outlays in GDP'!F638, "0.00"),""), "")</f>
        <v/>
      </c>
      <c r="E632" s="23" t="str">
        <f>IFERROR(IF(ISNUMBER('Revenues &amp; Outlays in GDP'!D638),TEXT('Revenues &amp; Outlays in GDP'!D638, "0.00"),""), "")</f>
        <v/>
      </c>
    </row>
    <row r="633" spans="1:5">
      <c r="A633" s="23" t="str">
        <f>TEXT(IF('Revenues &amp; Outlays in GDP'!B639&lt;&gt;0,'Revenues &amp; Outlays in GDP'!B639-364, ""), "mm/dd/yyyy")</f>
        <v/>
      </c>
      <c r="B633" s="23" t="str">
        <f>IFERROR(IF(ISNUMBER('Revenues &amp; Outlays in GDP'!E639),TEXT('Revenues &amp; Outlays in GDP'!E639, "0.00"),""), "")</f>
        <v/>
      </c>
      <c r="C633" s="23" t="str">
        <f>IFERROR(IF(ISNUMBER('Revenues &amp; Outlays in GDP'!C639),TEXT('Revenues &amp; Outlays in GDP'!C639, "0.00"),""), "")</f>
        <v/>
      </c>
      <c r="D633" s="23" t="str">
        <f>IFERROR(IF(ISNUMBER('Revenues &amp; Outlays in GDP'!F639),TEXT('Revenues &amp; Outlays in GDP'!F639, "0.00"),""), "")</f>
        <v/>
      </c>
      <c r="E633" s="23" t="str">
        <f>IFERROR(IF(ISNUMBER('Revenues &amp; Outlays in GDP'!D639),TEXT('Revenues &amp; Outlays in GDP'!D639, "0.00"),""), "")</f>
        <v/>
      </c>
    </row>
    <row r="634" spans="1:5">
      <c r="A634" s="23" t="str">
        <f>TEXT(IF('Revenues &amp; Outlays in GDP'!B640&lt;&gt;0,'Revenues &amp; Outlays in GDP'!B640-364, ""), "mm/dd/yyyy")</f>
        <v/>
      </c>
      <c r="B634" s="23" t="str">
        <f>IFERROR(IF(ISNUMBER('Revenues &amp; Outlays in GDP'!E640),TEXT('Revenues &amp; Outlays in GDP'!E640, "0.00"),""), "")</f>
        <v/>
      </c>
      <c r="C634" s="23" t="str">
        <f>IFERROR(IF(ISNUMBER('Revenues &amp; Outlays in GDP'!C640),TEXT('Revenues &amp; Outlays in GDP'!C640, "0.00"),""), "")</f>
        <v/>
      </c>
      <c r="D634" s="23" t="str">
        <f>IFERROR(IF(ISNUMBER('Revenues &amp; Outlays in GDP'!F640),TEXT('Revenues &amp; Outlays in GDP'!F640, "0.00"),""), "")</f>
        <v/>
      </c>
      <c r="E634" s="23" t="str">
        <f>IFERROR(IF(ISNUMBER('Revenues &amp; Outlays in GDP'!D640),TEXT('Revenues &amp; Outlays in GDP'!D640, "0.00"),""), "")</f>
        <v/>
      </c>
    </row>
    <row r="635" spans="1:5">
      <c r="A635" s="23" t="str">
        <f>TEXT(IF('Revenues &amp; Outlays in GDP'!B641&lt;&gt;0,'Revenues &amp; Outlays in GDP'!B641-364, ""), "mm/dd/yyyy")</f>
        <v/>
      </c>
      <c r="B635" s="23" t="str">
        <f>IFERROR(IF(ISNUMBER('Revenues &amp; Outlays in GDP'!E641),TEXT('Revenues &amp; Outlays in GDP'!E641, "0.00"),""), "")</f>
        <v/>
      </c>
      <c r="C635" s="23" t="str">
        <f>IFERROR(IF(ISNUMBER('Revenues &amp; Outlays in GDP'!C641),TEXT('Revenues &amp; Outlays in GDP'!C641, "0.00"),""), "")</f>
        <v/>
      </c>
      <c r="D635" s="23" t="str">
        <f>IFERROR(IF(ISNUMBER('Revenues &amp; Outlays in GDP'!F641),TEXT('Revenues &amp; Outlays in GDP'!F641, "0.00"),""), "")</f>
        <v/>
      </c>
      <c r="E635" s="23" t="str">
        <f>IFERROR(IF(ISNUMBER('Revenues &amp; Outlays in GDP'!D641),TEXT('Revenues &amp; Outlays in GDP'!D641, "0.00"),""), "")</f>
        <v/>
      </c>
    </row>
    <row r="636" spans="1:5">
      <c r="A636" s="23" t="str">
        <f>TEXT(IF('Revenues &amp; Outlays in GDP'!B642&lt;&gt;0,'Revenues &amp; Outlays in GDP'!B642-364, ""), "mm/dd/yyyy")</f>
        <v/>
      </c>
      <c r="B636" s="23" t="str">
        <f>IFERROR(IF(ISNUMBER('Revenues &amp; Outlays in GDP'!E642),TEXT('Revenues &amp; Outlays in GDP'!E642, "0.00"),""), "")</f>
        <v/>
      </c>
      <c r="C636" s="23" t="str">
        <f>IFERROR(IF(ISNUMBER('Revenues &amp; Outlays in GDP'!C642),TEXT('Revenues &amp; Outlays in GDP'!C642, "0.00"),""), "")</f>
        <v/>
      </c>
      <c r="D636" s="23" t="str">
        <f>IFERROR(IF(ISNUMBER('Revenues &amp; Outlays in GDP'!F642),TEXT('Revenues &amp; Outlays in GDP'!F642, "0.00"),""), "")</f>
        <v/>
      </c>
      <c r="E636" s="23" t="str">
        <f>IFERROR(IF(ISNUMBER('Revenues &amp; Outlays in GDP'!D642),TEXT('Revenues &amp; Outlays in GDP'!D642, "0.00"),""), "")</f>
        <v/>
      </c>
    </row>
    <row r="637" spans="1:5">
      <c r="A637" s="23" t="str">
        <f>TEXT(IF('Revenues &amp; Outlays in GDP'!B643&lt;&gt;0,'Revenues &amp; Outlays in GDP'!B643-364, ""), "mm/dd/yyyy")</f>
        <v/>
      </c>
      <c r="B637" s="23" t="str">
        <f>IFERROR(IF(ISNUMBER('Revenues &amp; Outlays in GDP'!E643),TEXT('Revenues &amp; Outlays in GDP'!E643, "0.00"),""), "")</f>
        <v/>
      </c>
      <c r="C637" s="23" t="str">
        <f>IFERROR(IF(ISNUMBER('Revenues &amp; Outlays in GDP'!C643),TEXT('Revenues &amp; Outlays in GDP'!C643, "0.00"),""), "")</f>
        <v/>
      </c>
      <c r="D637" s="23" t="str">
        <f>IFERROR(IF(ISNUMBER('Revenues &amp; Outlays in GDP'!F643),TEXT('Revenues &amp; Outlays in GDP'!F643, "0.00"),""), "")</f>
        <v/>
      </c>
      <c r="E637" s="23" t="str">
        <f>IFERROR(IF(ISNUMBER('Revenues &amp; Outlays in GDP'!D643),TEXT('Revenues &amp; Outlays in GDP'!D643, "0.00"),""), "")</f>
        <v/>
      </c>
    </row>
    <row r="638" spans="1:5">
      <c r="A638" s="23" t="str">
        <f>TEXT(IF('Revenues &amp; Outlays in GDP'!B644&lt;&gt;0,'Revenues &amp; Outlays in GDP'!B644-364, ""), "mm/dd/yyyy")</f>
        <v/>
      </c>
      <c r="B638" s="23" t="str">
        <f>IFERROR(IF(ISNUMBER('Revenues &amp; Outlays in GDP'!E644),TEXT('Revenues &amp; Outlays in GDP'!E644, "0.00"),""), "")</f>
        <v/>
      </c>
      <c r="C638" s="23" t="str">
        <f>IFERROR(IF(ISNUMBER('Revenues &amp; Outlays in GDP'!C644),TEXT('Revenues &amp; Outlays in GDP'!C644, "0.00"),""), "")</f>
        <v/>
      </c>
      <c r="D638" s="23" t="str">
        <f>IFERROR(IF(ISNUMBER('Revenues &amp; Outlays in GDP'!F644),TEXT('Revenues &amp; Outlays in GDP'!F644, "0.00"),""), "")</f>
        <v/>
      </c>
      <c r="E638" s="23" t="str">
        <f>IFERROR(IF(ISNUMBER('Revenues &amp; Outlays in GDP'!D644),TEXT('Revenues &amp; Outlays in GDP'!D644, "0.00"),""), "")</f>
        <v/>
      </c>
    </row>
    <row r="639" spans="1:5">
      <c r="A639" s="23" t="str">
        <f>TEXT(IF('Revenues &amp; Outlays in GDP'!B645&lt;&gt;0,'Revenues &amp; Outlays in GDP'!B645-364, ""), "mm/dd/yyyy")</f>
        <v/>
      </c>
      <c r="B639" s="23" t="str">
        <f>IFERROR(IF(ISNUMBER('Revenues &amp; Outlays in GDP'!E645),TEXT('Revenues &amp; Outlays in GDP'!E645, "0.00"),""), "")</f>
        <v/>
      </c>
      <c r="C639" s="23" t="str">
        <f>IFERROR(IF(ISNUMBER('Revenues &amp; Outlays in GDP'!C645),TEXT('Revenues &amp; Outlays in GDP'!C645, "0.00"),""), "")</f>
        <v/>
      </c>
      <c r="D639" s="23" t="str">
        <f>IFERROR(IF(ISNUMBER('Revenues &amp; Outlays in GDP'!F645),TEXT('Revenues &amp; Outlays in GDP'!F645, "0.00"),""), "")</f>
        <v/>
      </c>
      <c r="E639" s="23" t="str">
        <f>IFERROR(IF(ISNUMBER('Revenues &amp; Outlays in GDP'!D645),TEXT('Revenues &amp; Outlays in GDP'!D645, "0.00"),""), "")</f>
        <v/>
      </c>
    </row>
    <row r="640" spans="1:5">
      <c r="A640" s="23" t="str">
        <f>TEXT(IF('Revenues &amp; Outlays in GDP'!B646&lt;&gt;0,'Revenues &amp; Outlays in GDP'!B646-364, ""), "mm/dd/yyyy")</f>
        <v/>
      </c>
      <c r="B640" s="23" t="str">
        <f>IFERROR(IF(ISNUMBER('Revenues &amp; Outlays in GDP'!E646),TEXT('Revenues &amp; Outlays in GDP'!E646, "0.00"),""), "")</f>
        <v/>
      </c>
      <c r="C640" s="23" t="str">
        <f>IFERROR(IF(ISNUMBER('Revenues &amp; Outlays in GDP'!C646),TEXT('Revenues &amp; Outlays in GDP'!C646, "0.00"),""), "")</f>
        <v/>
      </c>
      <c r="D640" s="23" t="str">
        <f>IFERROR(IF(ISNUMBER('Revenues &amp; Outlays in GDP'!F646),TEXT('Revenues &amp; Outlays in GDP'!F646, "0.00"),""), "")</f>
        <v/>
      </c>
      <c r="E640" s="23" t="str">
        <f>IFERROR(IF(ISNUMBER('Revenues &amp; Outlays in GDP'!D646),TEXT('Revenues &amp; Outlays in GDP'!D646, "0.00"),""), "")</f>
        <v/>
      </c>
    </row>
    <row r="641" spans="1:5">
      <c r="A641" s="23" t="str">
        <f>TEXT(IF('Revenues &amp; Outlays in GDP'!B647&lt;&gt;0,'Revenues &amp; Outlays in GDP'!B647-364, ""), "mm/dd/yyyy")</f>
        <v/>
      </c>
      <c r="B641" s="23" t="str">
        <f>IFERROR(IF(ISNUMBER('Revenues &amp; Outlays in GDP'!E647),TEXT('Revenues &amp; Outlays in GDP'!E647, "0.00"),""), "")</f>
        <v/>
      </c>
      <c r="C641" s="23" t="str">
        <f>IFERROR(IF(ISNUMBER('Revenues &amp; Outlays in GDP'!C647),TEXT('Revenues &amp; Outlays in GDP'!C647, "0.00"),""), "")</f>
        <v/>
      </c>
      <c r="D641" s="23" t="str">
        <f>IFERROR(IF(ISNUMBER('Revenues &amp; Outlays in GDP'!F647),TEXT('Revenues &amp; Outlays in GDP'!F647, "0.00"),""), "")</f>
        <v/>
      </c>
      <c r="E641" s="23" t="str">
        <f>IFERROR(IF(ISNUMBER('Revenues &amp; Outlays in GDP'!D647),TEXT('Revenues &amp; Outlays in GDP'!D647, "0.00"),""), "")</f>
        <v/>
      </c>
    </row>
    <row r="642" spans="1:5">
      <c r="A642" s="23" t="str">
        <f>TEXT(IF('Revenues &amp; Outlays in GDP'!B648&lt;&gt;0,'Revenues &amp; Outlays in GDP'!B648-364, ""), "mm/dd/yyyy")</f>
        <v/>
      </c>
      <c r="B642" s="23" t="str">
        <f>IFERROR(IF(ISNUMBER('Revenues &amp; Outlays in GDP'!E648),TEXT('Revenues &amp; Outlays in GDP'!E648, "0.00"),""), "")</f>
        <v/>
      </c>
      <c r="C642" s="23" t="str">
        <f>IFERROR(IF(ISNUMBER('Revenues &amp; Outlays in GDP'!C648),TEXT('Revenues &amp; Outlays in GDP'!C648, "0.00"),""), "")</f>
        <v/>
      </c>
      <c r="D642" s="23" t="str">
        <f>IFERROR(IF(ISNUMBER('Revenues &amp; Outlays in GDP'!F648),TEXT('Revenues &amp; Outlays in GDP'!F648, "0.00"),""), "")</f>
        <v/>
      </c>
      <c r="E642" s="23" t="str">
        <f>IFERROR(IF(ISNUMBER('Revenues &amp; Outlays in GDP'!D648),TEXT('Revenues &amp; Outlays in GDP'!D648, "0.00"),""), "")</f>
        <v/>
      </c>
    </row>
    <row r="643" spans="1:5">
      <c r="A643" s="23" t="str">
        <f>TEXT(IF('Revenues &amp; Outlays in GDP'!B649&lt;&gt;0,'Revenues &amp; Outlays in GDP'!B649-364, ""), "mm/dd/yyyy")</f>
        <v/>
      </c>
      <c r="B643" s="23" t="str">
        <f>IFERROR(IF(ISNUMBER('Revenues &amp; Outlays in GDP'!E649),TEXT('Revenues &amp; Outlays in GDP'!E649, "0.00"),""), "")</f>
        <v/>
      </c>
      <c r="C643" s="23" t="str">
        <f>IFERROR(IF(ISNUMBER('Revenues &amp; Outlays in GDP'!C649),TEXT('Revenues &amp; Outlays in GDP'!C649, "0.00"),""), "")</f>
        <v/>
      </c>
      <c r="D643" s="23" t="str">
        <f>IFERROR(IF(ISNUMBER('Revenues &amp; Outlays in GDP'!F649),TEXT('Revenues &amp; Outlays in GDP'!F649, "0.00"),""), "")</f>
        <v/>
      </c>
      <c r="E643" s="23" t="str">
        <f>IFERROR(IF(ISNUMBER('Revenues &amp; Outlays in GDP'!D649),TEXT('Revenues &amp; Outlays in GDP'!D649, "0.00"),""), "")</f>
        <v/>
      </c>
    </row>
    <row r="644" spans="1:5">
      <c r="A644" s="23" t="str">
        <f>TEXT(IF('Revenues &amp; Outlays in GDP'!B650&lt;&gt;0,'Revenues &amp; Outlays in GDP'!B650-364, ""), "mm/dd/yyyy")</f>
        <v/>
      </c>
      <c r="B644" s="23" t="str">
        <f>IFERROR(IF(ISNUMBER('Revenues &amp; Outlays in GDP'!E650),TEXT('Revenues &amp; Outlays in GDP'!E650, "0.00"),""), "")</f>
        <v/>
      </c>
      <c r="C644" s="23" t="str">
        <f>IFERROR(IF(ISNUMBER('Revenues &amp; Outlays in GDP'!C650),TEXT('Revenues &amp; Outlays in GDP'!C650, "0.00"),""), "")</f>
        <v/>
      </c>
      <c r="D644" s="23" t="str">
        <f>IFERROR(IF(ISNUMBER('Revenues &amp; Outlays in GDP'!F650),TEXT('Revenues &amp; Outlays in GDP'!F650, "0.00"),""), "")</f>
        <v/>
      </c>
      <c r="E644" s="23" t="str">
        <f>IFERROR(IF(ISNUMBER('Revenues &amp; Outlays in GDP'!D650),TEXT('Revenues &amp; Outlays in GDP'!D650, "0.00"),""), "")</f>
        <v/>
      </c>
    </row>
    <row r="645" spans="1:5">
      <c r="A645" s="23" t="str">
        <f>TEXT(IF('Revenues &amp; Outlays in GDP'!B651&lt;&gt;0,'Revenues &amp; Outlays in GDP'!B651-364, ""), "mm/dd/yyyy")</f>
        <v/>
      </c>
      <c r="B645" s="23" t="str">
        <f>IFERROR(IF(ISNUMBER('Revenues &amp; Outlays in GDP'!E651),TEXT('Revenues &amp; Outlays in GDP'!E651, "0.00"),""), "")</f>
        <v/>
      </c>
      <c r="C645" s="23" t="str">
        <f>IFERROR(IF(ISNUMBER('Revenues &amp; Outlays in GDP'!C651),TEXT('Revenues &amp; Outlays in GDP'!C651, "0.00"),""), "")</f>
        <v/>
      </c>
      <c r="D645" s="23" t="str">
        <f>IFERROR(IF(ISNUMBER('Revenues &amp; Outlays in GDP'!F651),TEXT('Revenues &amp; Outlays in GDP'!F651, "0.00"),""), "")</f>
        <v/>
      </c>
      <c r="E645" s="23" t="str">
        <f>IFERROR(IF(ISNUMBER('Revenues &amp; Outlays in GDP'!D651),TEXT('Revenues &amp; Outlays in GDP'!D651, "0.00"),""), "")</f>
        <v/>
      </c>
    </row>
    <row r="646" spans="1:5">
      <c r="A646" s="23" t="str">
        <f>TEXT(IF('Revenues &amp; Outlays in GDP'!B652&lt;&gt;0,'Revenues &amp; Outlays in GDP'!B652-364, ""), "mm/dd/yyyy")</f>
        <v/>
      </c>
      <c r="B646" s="23" t="str">
        <f>IFERROR(IF(ISNUMBER('Revenues &amp; Outlays in GDP'!E652),TEXT('Revenues &amp; Outlays in GDP'!E652, "0.00"),""), "")</f>
        <v/>
      </c>
      <c r="C646" s="23" t="str">
        <f>IFERROR(IF(ISNUMBER('Revenues &amp; Outlays in GDP'!C652),TEXT('Revenues &amp; Outlays in GDP'!C652, "0.00"),""), "")</f>
        <v/>
      </c>
      <c r="D646" s="23" t="str">
        <f>IFERROR(IF(ISNUMBER('Revenues &amp; Outlays in GDP'!F652),TEXT('Revenues &amp; Outlays in GDP'!F652, "0.00"),""), "")</f>
        <v/>
      </c>
      <c r="E646" s="23" t="str">
        <f>IFERROR(IF(ISNUMBER('Revenues &amp; Outlays in GDP'!D652),TEXT('Revenues &amp; Outlays in GDP'!D652, "0.00"),""), "")</f>
        <v/>
      </c>
    </row>
    <row r="647" spans="1:5">
      <c r="A647" s="23" t="str">
        <f>TEXT(IF('Revenues &amp; Outlays in GDP'!B653&lt;&gt;0,'Revenues &amp; Outlays in GDP'!B653-364, ""), "mm/dd/yyyy")</f>
        <v/>
      </c>
      <c r="B647" s="23" t="str">
        <f>IFERROR(IF(ISNUMBER('Revenues &amp; Outlays in GDP'!E653),TEXT('Revenues &amp; Outlays in GDP'!E653, "0.00"),""), "")</f>
        <v/>
      </c>
      <c r="C647" s="23" t="str">
        <f>IFERROR(IF(ISNUMBER('Revenues &amp; Outlays in GDP'!C653),TEXT('Revenues &amp; Outlays in GDP'!C653, "0.00"),""), "")</f>
        <v/>
      </c>
      <c r="D647" s="23" t="str">
        <f>IFERROR(IF(ISNUMBER('Revenues &amp; Outlays in GDP'!F653),TEXT('Revenues &amp; Outlays in GDP'!F653, "0.00"),""), "")</f>
        <v/>
      </c>
      <c r="E647" s="23" t="str">
        <f>IFERROR(IF(ISNUMBER('Revenues &amp; Outlays in GDP'!D653),TEXT('Revenues &amp; Outlays in GDP'!D653, "0.00"),""), "")</f>
        <v/>
      </c>
    </row>
    <row r="648" spans="1:5">
      <c r="A648" s="23" t="str">
        <f>TEXT(IF('Revenues &amp; Outlays in GDP'!B654&lt;&gt;0,'Revenues &amp; Outlays in GDP'!B654-364, ""), "mm/dd/yyyy")</f>
        <v/>
      </c>
      <c r="B648" s="23" t="str">
        <f>IFERROR(IF(ISNUMBER('Revenues &amp; Outlays in GDP'!E654),TEXT('Revenues &amp; Outlays in GDP'!E654, "0.00"),""), "")</f>
        <v/>
      </c>
      <c r="C648" s="23" t="str">
        <f>IFERROR(IF(ISNUMBER('Revenues &amp; Outlays in GDP'!C654),TEXT('Revenues &amp; Outlays in GDP'!C654, "0.00"),""), "")</f>
        <v/>
      </c>
      <c r="D648" s="23" t="str">
        <f>IFERROR(IF(ISNUMBER('Revenues &amp; Outlays in GDP'!F654),TEXT('Revenues &amp; Outlays in GDP'!F654, "0.00"),""), "")</f>
        <v/>
      </c>
      <c r="E648" s="23" t="str">
        <f>IFERROR(IF(ISNUMBER('Revenues &amp; Outlays in GDP'!D654),TEXT('Revenues &amp; Outlays in GDP'!D654, "0.00"),""), "")</f>
        <v/>
      </c>
    </row>
    <row r="649" spans="1:5">
      <c r="A649" s="23" t="str">
        <f>TEXT(IF('Revenues &amp; Outlays in GDP'!B655&lt;&gt;0,'Revenues &amp; Outlays in GDP'!B655-364, ""), "mm/dd/yyyy")</f>
        <v/>
      </c>
      <c r="B649" s="23" t="str">
        <f>IFERROR(IF(ISNUMBER('Revenues &amp; Outlays in GDP'!E655),TEXT('Revenues &amp; Outlays in GDP'!E655, "0.00"),""), "")</f>
        <v/>
      </c>
      <c r="C649" s="23" t="str">
        <f>IFERROR(IF(ISNUMBER('Revenues &amp; Outlays in GDP'!C655),TEXT('Revenues &amp; Outlays in GDP'!C655, "0.00"),""), "")</f>
        <v/>
      </c>
      <c r="D649" s="23" t="str">
        <f>IFERROR(IF(ISNUMBER('Revenues &amp; Outlays in GDP'!F655),TEXT('Revenues &amp; Outlays in GDP'!F655, "0.00"),""), "")</f>
        <v/>
      </c>
      <c r="E649" s="23" t="str">
        <f>IFERROR(IF(ISNUMBER('Revenues &amp; Outlays in GDP'!D655),TEXT('Revenues &amp; Outlays in GDP'!D655, "0.00"),""), "")</f>
        <v/>
      </c>
    </row>
    <row r="650" spans="1:5">
      <c r="A650" s="23" t="str">
        <f>TEXT(IF('Revenues &amp; Outlays in GDP'!B656&lt;&gt;0,'Revenues &amp; Outlays in GDP'!B656-364, ""), "mm/dd/yyyy")</f>
        <v/>
      </c>
      <c r="B650" s="23" t="str">
        <f>IFERROR(IF(ISNUMBER('Revenues &amp; Outlays in GDP'!E656),TEXT('Revenues &amp; Outlays in GDP'!E656, "0.00"),""), "")</f>
        <v/>
      </c>
      <c r="C650" s="23" t="str">
        <f>IFERROR(IF(ISNUMBER('Revenues &amp; Outlays in GDP'!C656),TEXT('Revenues &amp; Outlays in GDP'!C656, "0.00"),""), "")</f>
        <v/>
      </c>
      <c r="D650" s="23" t="str">
        <f>IFERROR(IF(ISNUMBER('Revenues &amp; Outlays in GDP'!F656),TEXT('Revenues &amp; Outlays in GDP'!F656, "0.00"),""), "")</f>
        <v/>
      </c>
      <c r="E650" s="23" t="str">
        <f>IFERROR(IF(ISNUMBER('Revenues &amp; Outlays in GDP'!D656),TEXT('Revenues &amp; Outlays in GDP'!D656, "0.00"),""), "")</f>
        <v/>
      </c>
    </row>
    <row r="651" spans="1:5">
      <c r="A651" s="23" t="str">
        <f>TEXT(IF('Revenues &amp; Outlays in GDP'!B657&lt;&gt;0,'Revenues &amp; Outlays in GDP'!B657-364, ""), "mm/dd/yyyy")</f>
        <v/>
      </c>
      <c r="B651" s="23" t="str">
        <f>IFERROR(IF(ISNUMBER('Revenues &amp; Outlays in GDP'!E657),TEXT('Revenues &amp; Outlays in GDP'!E657, "0.00"),""), "")</f>
        <v/>
      </c>
      <c r="C651" s="23" t="str">
        <f>IFERROR(IF(ISNUMBER('Revenues &amp; Outlays in GDP'!C657),TEXT('Revenues &amp; Outlays in GDP'!C657, "0.00"),""), "")</f>
        <v/>
      </c>
      <c r="D651" s="23" t="str">
        <f>IFERROR(IF(ISNUMBER('Revenues &amp; Outlays in GDP'!F657),TEXT('Revenues &amp; Outlays in GDP'!F657, "0.00"),""), "")</f>
        <v/>
      </c>
      <c r="E651" s="23" t="str">
        <f>IFERROR(IF(ISNUMBER('Revenues &amp; Outlays in GDP'!D657),TEXT('Revenues &amp; Outlays in GDP'!D657, "0.00"),""), "")</f>
        <v/>
      </c>
    </row>
    <row r="652" spans="1:5">
      <c r="A652" s="23" t="str">
        <f>TEXT(IF('Revenues &amp; Outlays in GDP'!B658&lt;&gt;0,'Revenues &amp; Outlays in GDP'!B658-364, ""), "mm/dd/yyyy")</f>
        <v/>
      </c>
      <c r="B652" s="23" t="str">
        <f>IFERROR(IF(ISNUMBER('Revenues &amp; Outlays in GDP'!E658),TEXT('Revenues &amp; Outlays in GDP'!E658, "0.00"),""), "")</f>
        <v/>
      </c>
      <c r="C652" s="23" t="str">
        <f>IFERROR(IF(ISNUMBER('Revenues &amp; Outlays in GDP'!C658),TEXT('Revenues &amp; Outlays in GDP'!C658, "0.00"),""), "")</f>
        <v/>
      </c>
      <c r="D652" s="23" t="str">
        <f>IFERROR(IF(ISNUMBER('Revenues &amp; Outlays in GDP'!F658),TEXT('Revenues &amp; Outlays in GDP'!F658, "0.00"),""), "")</f>
        <v/>
      </c>
      <c r="E652" s="23" t="str">
        <f>IFERROR(IF(ISNUMBER('Revenues &amp; Outlays in GDP'!D658),TEXT('Revenues &amp; Outlays in GDP'!D658, "0.00"),""), "")</f>
        <v/>
      </c>
    </row>
    <row r="653" spans="1:5">
      <c r="A653" s="23" t="str">
        <f>TEXT(IF('Revenues &amp; Outlays in GDP'!B659&lt;&gt;0,'Revenues &amp; Outlays in GDP'!B659-364, ""), "mm/dd/yyyy")</f>
        <v/>
      </c>
      <c r="B653" s="23" t="str">
        <f>IFERROR(IF(ISNUMBER('Revenues &amp; Outlays in GDP'!E659),TEXT('Revenues &amp; Outlays in GDP'!E659, "0.00"),""), "")</f>
        <v/>
      </c>
      <c r="C653" s="23" t="str">
        <f>IFERROR(IF(ISNUMBER('Revenues &amp; Outlays in GDP'!C659),TEXT('Revenues &amp; Outlays in GDP'!C659, "0.00"),""), "")</f>
        <v/>
      </c>
      <c r="D653" s="23" t="str">
        <f>IFERROR(IF(ISNUMBER('Revenues &amp; Outlays in GDP'!F659),TEXT('Revenues &amp; Outlays in GDP'!F659, "0.00"),""), "")</f>
        <v/>
      </c>
      <c r="E653" s="23" t="str">
        <f>IFERROR(IF(ISNUMBER('Revenues &amp; Outlays in GDP'!D659),TEXT('Revenues &amp; Outlays in GDP'!D659, "0.00"),""), "")</f>
        <v/>
      </c>
    </row>
    <row r="654" spans="1:5">
      <c r="A654" s="23" t="str">
        <f>TEXT(IF('Revenues &amp; Outlays in GDP'!B660&lt;&gt;0,'Revenues &amp; Outlays in GDP'!B660-364, ""), "mm/dd/yyyy")</f>
        <v/>
      </c>
      <c r="B654" s="23" t="str">
        <f>IFERROR(IF(ISNUMBER('Revenues &amp; Outlays in GDP'!E660),TEXT('Revenues &amp; Outlays in GDP'!E660, "0.00"),""), "")</f>
        <v/>
      </c>
      <c r="C654" s="23" t="str">
        <f>IFERROR(IF(ISNUMBER('Revenues &amp; Outlays in GDP'!C660),TEXT('Revenues &amp; Outlays in GDP'!C660, "0.00"),""), "")</f>
        <v/>
      </c>
      <c r="D654" s="23" t="str">
        <f>IFERROR(IF(ISNUMBER('Revenues &amp; Outlays in GDP'!F660),TEXT('Revenues &amp; Outlays in GDP'!F660, "0.00"),""), "")</f>
        <v/>
      </c>
      <c r="E654" s="23" t="str">
        <f>IFERROR(IF(ISNUMBER('Revenues &amp; Outlays in GDP'!D660),TEXT('Revenues &amp; Outlays in GDP'!D660, "0.00"),""), "")</f>
        <v/>
      </c>
    </row>
    <row r="655" spans="1:5">
      <c r="A655" s="23" t="str">
        <f>TEXT(IF('Revenues &amp; Outlays in GDP'!B661&lt;&gt;0,'Revenues &amp; Outlays in GDP'!B661-364, ""), "mm/dd/yyyy")</f>
        <v/>
      </c>
      <c r="B655" s="23" t="str">
        <f>IFERROR(IF(ISNUMBER('Revenues &amp; Outlays in GDP'!E661),TEXT('Revenues &amp; Outlays in GDP'!E661, "0.00"),""), "")</f>
        <v/>
      </c>
      <c r="C655" s="23" t="str">
        <f>IFERROR(IF(ISNUMBER('Revenues &amp; Outlays in GDP'!C661),TEXT('Revenues &amp; Outlays in GDP'!C661, "0.00"),""), "")</f>
        <v/>
      </c>
      <c r="D655" s="23" t="str">
        <f>IFERROR(IF(ISNUMBER('Revenues &amp; Outlays in GDP'!F661),TEXT('Revenues &amp; Outlays in GDP'!F661, "0.00"),""), "")</f>
        <v/>
      </c>
      <c r="E655" s="23" t="str">
        <f>IFERROR(IF(ISNUMBER('Revenues &amp; Outlays in GDP'!D661),TEXT('Revenues &amp; Outlays in GDP'!D661, "0.00"),""), "")</f>
        <v/>
      </c>
    </row>
    <row r="656" spans="1:5">
      <c r="A656" s="23" t="str">
        <f>TEXT(IF('Revenues &amp; Outlays in GDP'!B662&lt;&gt;0,'Revenues &amp; Outlays in GDP'!B662-364, ""), "mm/dd/yyyy")</f>
        <v/>
      </c>
      <c r="B656" s="23" t="str">
        <f>IFERROR(IF(ISNUMBER('Revenues &amp; Outlays in GDP'!E662),TEXT('Revenues &amp; Outlays in GDP'!E662, "0.00"),""), "")</f>
        <v/>
      </c>
      <c r="C656" s="23" t="str">
        <f>IFERROR(IF(ISNUMBER('Revenues &amp; Outlays in GDP'!C662),TEXT('Revenues &amp; Outlays in GDP'!C662, "0.00"),""), "")</f>
        <v/>
      </c>
      <c r="D656" s="23" t="str">
        <f>IFERROR(IF(ISNUMBER('Revenues &amp; Outlays in GDP'!F662),TEXT('Revenues &amp; Outlays in GDP'!F662, "0.00"),""), "")</f>
        <v/>
      </c>
      <c r="E656" s="23" t="str">
        <f>IFERROR(IF(ISNUMBER('Revenues &amp; Outlays in GDP'!D662),TEXT('Revenues &amp; Outlays in GDP'!D662, "0.00"),""), "")</f>
        <v/>
      </c>
    </row>
    <row r="657" spans="1:5">
      <c r="A657" s="23" t="str">
        <f>TEXT(IF('Revenues &amp; Outlays in GDP'!B663&lt;&gt;0,'Revenues &amp; Outlays in GDP'!B663-364, ""), "mm/dd/yyyy")</f>
        <v/>
      </c>
      <c r="B657" s="23" t="str">
        <f>IFERROR(IF(ISNUMBER('Revenues &amp; Outlays in GDP'!E663),TEXT('Revenues &amp; Outlays in GDP'!E663, "0.00"),""), "")</f>
        <v/>
      </c>
      <c r="C657" s="23" t="str">
        <f>IFERROR(IF(ISNUMBER('Revenues &amp; Outlays in GDP'!C663),TEXT('Revenues &amp; Outlays in GDP'!C663, "0.00"),""), "")</f>
        <v/>
      </c>
      <c r="D657" s="23" t="str">
        <f>IFERROR(IF(ISNUMBER('Revenues &amp; Outlays in GDP'!F663),TEXT('Revenues &amp; Outlays in GDP'!F663, "0.00"),""), "")</f>
        <v/>
      </c>
      <c r="E657" s="23" t="str">
        <f>IFERROR(IF(ISNUMBER('Revenues &amp; Outlays in GDP'!D663),TEXT('Revenues &amp; Outlays in GDP'!D663, "0.00"),""), "")</f>
        <v/>
      </c>
    </row>
    <row r="658" spans="1:5">
      <c r="A658" s="23" t="str">
        <f>TEXT(IF('Revenues &amp; Outlays in GDP'!B664&lt;&gt;0,'Revenues &amp; Outlays in GDP'!B664-364, ""), "mm/dd/yyyy")</f>
        <v/>
      </c>
      <c r="B658" s="23" t="str">
        <f>IFERROR(IF(ISNUMBER('Revenues &amp; Outlays in GDP'!E664),TEXT('Revenues &amp; Outlays in GDP'!E664, "0.00"),""), "")</f>
        <v/>
      </c>
      <c r="C658" s="23" t="str">
        <f>IFERROR(IF(ISNUMBER('Revenues &amp; Outlays in GDP'!C664),TEXT('Revenues &amp; Outlays in GDP'!C664, "0.00"),""), "")</f>
        <v/>
      </c>
      <c r="D658" s="23" t="str">
        <f>IFERROR(IF(ISNUMBER('Revenues &amp; Outlays in GDP'!F664),TEXT('Revenues &amp; Outlays in GDP'!F664, "0.00"),""), "")</f>
        <v/>
      </c>
      <c r="E658" s="23" t="str">
        <f>IFERROR(IF(ISNUMBER('Revenues &amp; Outlays in GDP'!D664),TEXT('Revenues &amp; Outlays in GDP'!D664, "0.00"),""), "")</f>
        <v/>
      </c>
    </row>
    <row r="659" spans="1:5">
      <c r="A659" s="23" t="str">
        <f>TEXT(IF('Revenues &amp; Outlays in GDP'!B665&lt;&gt;0,'Revenues &amp; Outlays in GDP'!B665-364, ""), "mm/dd/yyyy")</f>
        <v/>
      </c>
      <c r="B659" s="23" t="str">
        <f>IFERROR(IF(ISNUMBER('Revenues &amp; Outlays in GDP'!E665),TEXT('Revenues &amp; Outlays in GDP'!E665, "0.00"),""), "")</f>
        <v/>
      </c>
      <c r="C659" s="23" t="str">
        <f>IFERROR(IF(ISNUMBER('Revenues &amp; Outlays in GDP'!C665),TEXT('Revenues &amp; Outlays in GDP'!C665, "0.00"),""), "")</f>
        <v/>
      </c>
      <c r="D659" s="23" t="str">
        <f>IFERROR(IF(ISNUMBER('Revenues &amp; Outlays in GDP'!F665),TEXT('Revenues &amp; Outlays in GDP'!F665, "0.00"),""), "")</f>
        <v/>
      </c>
      <c r="E659" s="23" t="str">
        <f>IFERROR(IF(ISNUMBER('Revenues &amp; Outlays in GDP'!D665),TEXT('Revenues &amp; Outlays in GDP'!D665, "0.00"),""), "")</f>
        <v/>
      </c>
    </row>
    <row r="660" spans="1:5">
      <c r="A660" s="23" t="str">
        <f>TEXT(IF('Revenues &amp; Outlays in GDP'!B666&lt;&gt;0,'Revenues &amp; Outlays in GDP'!B666-364, ""), "mm/dd/yyyy")</f>
        <v/>
      </c>
      <c r="B660" s="23" t="str">
        <f>IFERROR(IF(ISNUMBER('Revenues &amp; Outlays in GDP'!E666),TEXT('Revenues &amp; Outlays in GDP'!E666, "0.00"),""), "")</f>
        <v/>
      </c>
      <c r="C660" s="23" t="str">
        <f>IFERROR(IF(ISNUMBER('Revenues &amp; Outlays in GDP'!C666),TEXT('Revenues &amp; Outlays in GDP'!C666, "0.00"),""), "")</f>
        <v/>
      </c>
      <c r="D660" s="23" t="str">
        <f>IFERROR(IF(ISNUMBER('Revenues &amp; Outlays in GDP'!F666),TEXT('Revenues &amp; Outlays in GDP'!F666, "0.00"),""), "")</f>
        <v/>
      </c>
      <c r="E660" s="23" t="str">
        <f>IFERROR(IF(ISNUMBER('Revenues &amp; Outlays in GDP'!D666),TEXT('Revenues &amp; Outlays in GDP'!D666, "0.00"),""), "")</f>
        <v/>
      </c>
    </row>
    <row r="661" spans="1:5">
      <c r="A661" s="23" t="str">
        <f>TEXT(IF('Revenues &amp; Outlays in GDP'!B667&lt;&gt;0,'Revenues &amp; Outlays in GDP'!B667-364, ""), "mm/dd/yyyy")</f>
        <v/>
      </c>
      <c r="B661" s="23" t="str">
        <f>IFERROR(IF(ISNUMBER('Revenues &amp; Outlays in GDP'!E667),TEXT('Revenues &amp; Outlays in GDP'!E667, "0.00"),""), "")</f>
        <v/>
      </c>
      <c r="C661" s="23" t="str">
        <f>IFERROR(IF(ISNUMBER('Revenues &amp; Outlays in GDP'!C667),TEXT('Revenues &amp; Outlays in GDP'!C667, "0.00"),""), "")</f>
        <v/>
      </c>
      <c r="D661" s="23" t="str">
        <f>IFERROR(IF(ISNUMBER('Revenues &amp; Outlays in GDP'!F667),TEXT('Revenues &amp; Outlays in GDP'!F667, "0.00"),""), "")</f>
        <v/>
      </c>
      <c r="E661" s="23" t="str">
        <f>IFERROR(IF(ISNUMBER('Revenues &amp; Outlays in GDP'!D667),TEXT('Revenues &amp; Outlays in GDP'!D667, "0.00"),""), "")</f>
        <v/>
      </c>
    </row>
    <row r="662" spans="1:5">
      <c r="A662" s="23" t="str">
        <f>TEXT(IF('Revenues &amp; Outlays in GDP'!B668&lt;&gt;0,'Revenues &amp; Outlays in GDP'!B668-364, ""), "mm/dd/yyyy")</f>
        <v/>
      </c>
      <c r="B662" s="23" t="str">
        <f>IFERROR(IF(ISNUMBER('Revenues &amp; Outlays in GDP'!E668),TEXT('Revenues &amp; Outlays in GDP'!E668, "0.00"),""), "")</f>
        <v/>
      </c>
      <c r="C662" s="23" t="str">
        <f>IFERROR(IF(ISNUMBER('Revenues &amp; Outlays in GDP'!C668),TEXT('Revenues &amp; Outlays in GDP'!C668, "0.00"),""), "")</f>
        <v/>
      </c>
      <c r="D662" s="23" t="str">
        <f>IFERROR(IF(ISNUMBER('Revenues &amp; Outlays in GDP'!F668),TEXT('Revenues &amp; Outlays in GDP'!F668, "0.00"),""), "")</f>
        <v/>
      </c>
      <c r="E662" s="23" t="str">
        <f>IFERROR(IF(ISNUMBER('Revenues &amp; Outlays in GDP'!D668),TEXT('Revenues &amp; Outlays in GDP'!D668, "0.00"),""), "")</f>
        <v/>
      </c>
    </row>
    <row r="663" spans="1:5">
      <c r="A663" s="23" t="str">
        <f>TEXT(IF('Revenues &amp; Outlays in GDP'!B669&lt;&gt;0,'Revenues &amp; Outlays in GDP'!B669-364, ""), "mm/dd/yyyy")</f>
        <v/>
      </c>
      <c r="B663" s="23" t="str">
        <f>IFERROR(IF(ISNUMBER('Revenues &amp; Outlays in GDP'!E669),TEXT('Revenues &amp; Outlays in GDP'!E669, "0.00"),""), "")</f>
        <v/>
      </c>
      <c r="C663" s="23" t="str">
        <f>IFERROR(IF(ISNUMBER('Revenues &amp; Outlays in GDP'!C669),TEXT('Revenues &amp; Outlays in GDP'!C669, "0.00"),""), "")</f>
        <v/>
      </c>
      <c r="D663" s="23" t="str">
        <f>IFERROR(IF(ISNUMBER('Revenues &amp; Outlays in GDP'!F669),TEXT('Revenues &amp; Outlays in GDP'!F669, "0.00"),""), "")</f>
        <v/>
      </c>
      <c r="E663" s="23" t="str">
        <f>IFERROR(IF(ISNUMBER('Revenues &amp; Outlays in GDP'!D669),TEXT('Revenues &amp; Outlays in GDP'!D669, "0.00"),""), "")</f>
        <v/>
      </c>
    </row>
    <row r="664" spans="1:5">
      <c r="A664" s="23" t="str">
        <f>TEXT(IF('Revenues &amp; Outlays in GDP'!B670&lt;&gt;0,'Revenues &amp; Outlays in GDP'!B670-364, ""), "mm/dd/yyyy")</f>
        <v/>
      </c>
      <c r="B664" s="23" t="str">
        <f>IFERROR(IF(ISNUMBER('Revenues &amp; Outlays in GDP'!E670),TEXT('Revenues &amp; Outlays in GDP'!E670, "0.00"),""), "")</f>
        <v/>
      </c>
      <c r="C664" s="23" t="str">
        <f>IFERROR(IF(ISNUMBER('Revenues &amp; Outlays in GDP'!C670),TEXT('Revenues &amp; Outlays in GDP'!C670, "0.00"),""), "")</f>
        <v/>
      </c>
      <c r="D664" s="23" t="str">
        <f>IFERROR(IF(ISNUMBER('Revenues &amp; Outlays in GDP'!F670),TEXT('Revenues &amp; Outlays in GDP'!F670, "0.00"),""), "")</f>
        <v/>
      </c>
      <c r="E664" s="23" t="str">
        <f>IFERROR(IF(ISNUMBER('Revenues &amp; Outlays in GDP'!D670),TEXT('Revenues &amp; Outlays in GDP'!D670, "0.00"),""), "")</f>
        <v/>
      </c>
    </row>
    <row r="665" spans="1:5">
      <c r="A665" s="23" t="str">
        <f>TEXT(IF('Revenues &amp; Outlays in GDP'!B671&lt;&gt;0,'Revenues &amp; Outlays in GDP'!B671-364, ""), "mm/dd/yyyy")</f>
        <v/>
      </c>
      <c r="B665" s="23" t="str">
        <f>IFERROR(IF(ISNUMBER('Revenues &amp; Outlays in GDP'!E671),TEXT('Revenues &amp; Outlays in GDP'!E671, "0.00"),""), "")</f>
        <v/>
      </c>
      <c r="C665" s="23" t="str">
        <f>IFERROR(IF(ISNUMBER('Revenues &amp; Outlays in GDP'!C671),TEXT('Revenues &amp; Outlays in GDP'!C671, "0.00"),""), "")</f>
        <v/>
      </c>
      <c r="D665" s="23" t="str">
        <f>IFERROR(IF(ISNUMBER('Revenues &amp; Outlays in GDP'!F671),TEXT('Revenues &amp; Outlays in GDP'!F671, "0.00"),""), "")</f>
        <v/>
      </c>
      <c r="E665" s="23" t="str">
        <f>IFERROR(IF(ISNUMBER('Revenues &amp; Outlays in GDP'!D671),TEXT('Revenues &amp; Outlays in GDP'!D671, "0.00"),""), "")</f>
        <v/>
      </c>
    </row>
    <row r="666" spans="1:5">
      <c r="A666" s="23" t="str">
        <f>TEXT(IF('Revenues &amp; Outlays in GDP'!B672&lt;&gt;0,'Revenues &amp; Outlays in GDP'!B672-364, ""), "mm/dd/yyyy")</f>
        <v/>
      </c>
      <c r="B666" s="23" t="str">
        <f>IFERROR(IF(ISNUMBER('Revenues &amp; Outlays in GDP'!E672),TEXT('Revenues &amp; Outlays in GDP'!E672, "0.00"),""), "")</f>
        <v/>
      </c>
      <c r="C666" s="23" t="str">
        <f>IFERROR(IF(ISNUMBER('Revenues &amp; Outlays in GDP'!C672),TEXT('Revenues &amp; Outlays in GDP'!C672, "0.00"),""), "")</f>
        <v/>
      </c>
      <c r="D666" s="23" t="str">
        <f>IFERROR(IF(ISNUMBER('Revenues &amp; Outlays in GDP'!F672),TEXT('Revenues &amp; Outlays in GDP'!F672, "0.00"),""), "")</f>
        <v/>
      </c>
      <c r="E666" s="23" t="str">
        <f>IFERROR(IF(ISNUMBER('Revenues &amp; Outlays in GDP'!D672),TEXT('Revenues &amp; Outlays in GDP'!D672, "0.00"),""), "")</f>
        <v/>
      </c>
    </row>
    <row r="667" spans="1:5">
      <c r="A667" s="23" t="str">
        <f>TEXT(IF('Revenues &amp; Outlays in GDP'!B673&lt;&gt;0,'Revenues &amp; Outlays in GDP'!B673-364, ""), "mm/dd/yyyy")</f>
        <v/>
      </c>
      <c r="B667" s="23" t="str">
        <f>IFERROR(IF(ISNUMBER('Revenues &amp; Outlays in GDP'!E673),TEXT('Revenues &amp; Outlays in GDP'!E673, "0.00"),""), "")</f>
        <v/>
      </c>
      <c r="C667" s="23" t="str">
        <f>IFERROR(IF(ISNUMBER('Revenues &amp; Outlays in GDP'!C673),TEXT('Revenues &amp; Outlays in GDP'!C673, "0.00"),""), "")</f>
        <v/>
      </c>
      <c r="D667" s="23" t="str">
        <f>IFERROR(IF(ISNUMBER('Revenues &amp; Outlays in GDP'!F673),TEXT('Revenues &amp; Outlays in GDP'!F673, "0.00"),""), "")</f>
        <v/>
      </c>
      <c r="E667" s="23" t="str">
        <f>IFERROR(IF(ISNUMBER('Revenues &amp; Outlays in GDP'!D673),TEXT('Revenues &amp; Outlays in GDP'!D673, "0.00"),""), "")</f>
        <v/>
      </c>
    </row>
    <row r="668" spans="1:5">
      <c r="A668" s="23" t="str">
        <f>TEXT(IF('Revenues &amp; Outlays in GDP'!B674&lt;&gt;0,'Revenues &amp; Outlays in GDP'!B674-364, ""), "mm/dd/yyyy")</f>
        <v/>
      </c>
      <c r="B668" s="23" t="str">
        <f>IFERROR(IF(ISNUMBER('Revenues &amp; Outlays in GDP'!E674),TEXT('Revenues &amp; Outlays in GDP'!E674, "0.00"),""), "")</f>
        <v/>
      </c>
      <c r="C668" s="23" t="str">
        <f>IFERROR(IF(ISNUMBER('Revenues &amp; Outlays in GDP'!C674),TEXT('Revenues &amp; Outlays in GDP'!C674, "0.00"),""), "")</f>
        <v/>
      </c>
      <c r="D668" s="23" t="str">
        <f>IFERROR(IF(ISNUMBER('Revenues &amp; Outlays in GDP'!F674),TEXT('Revenues &amp; Outlays in GDP'!F674, "0.00"),""), "")</f>
        <v/>
      </c>
      <c r="E668" s="23" t="str">
        <f>IFERROR(IF(ISNUMBER('Revenues &amp; Outlays in GDP'!D674),TEXT('Revenues &amp; Outlays in GDP'!D674, "0.00"),""), "")</f>
        <v/>
      </c>
    </row>
    <row r="669" spans="1:5">
      <c r="A669" s="23" t="str">
        <f>TEXT(IF('Revenues &amp; Outlays in GDP'!B675&lt;&gt;0,'Revenues &amp; Outlays in GDP'!B675-364, ""), "mm/dd/yyyy")</f>
        <v/>
      </c>
      <c r="B669" s="23" t="str">
        <f>IFERROR(IF(ISNUMBER('Revenues &amp; Outlays in GDP'!E675),TEXT('Revenues &amp; Outlays in GDP'!E675, "0.00"),""), "")</f>
        <v/>
      </c>
      <c r="C669" s="23" t="str">
        <f>IFERROR(IF(ISNUMBER('Revenues &amp; Outlays in GDP'!C675),TEXT('Revenues &amp; Outlays in GDP'!C675, "0.00"),""), "")</f>
        <v/>
      </c>
      <c r="D669" s="23" t="str">
        <f>IFERROR(IF(ISNUMBER('Revenues &amp; Outlays in GDP'!F675),TEXT('Revenues &amp; Outlays in GDP'!F675, "0.00"),""), "")</f>
        <v/>
      </c>
      <c r="E669" s="23" t="str">
        <f>IFERROR(IF(ISNUMBER('Revenues &amp; Outlays in GDP'!D675),TEXT('Revenues &amp; Outlays in GDP'!D675, "0.00"),""), "")</f>
        <v/>
      </c>
    </row>
    <row r="670" spans="1:5">
      <c r="A670" s="23" t="str">
        <f>TEXT(IF('Revenues &amp; Outlays in GDP'!B676&lt;&gt;0,'Revenues &amp; Outlays in GDP'!B676-364, ""), "mm/dd/yyyy")</f>
        <v/>
      </c>
      <c r="B670" s="23" t="str">
        <f>IFERROR(IF(ISNUMBER('Revenues &amp; Outlays in GDP'!E676),TEXT('Revenues &amp; Outlays in GDP'!E676, "0.00"),""), "")</f>
        <v/>
      </c>
      <c r="C670" s="23" t="str">
        <f>IFERROR(IF(ISNUMBER('Revenues &amp; Outlays in GDP'!C676),TEXT('Revenues &amp; Outlays in GDP'!C676, "0.00"),""), "")</f>
        <v/>
      </c>
      <c r="D670" s="23" t="str">
        <f>IFERROR(IF(ISNUMBER('Revenues &amp; Outlays in GDP'!F676),TEXT('Revenues &amp; Outlays in GDP'!F676, "0.00"),""), "")</f>
        <v/>
      </c>
      <c r="E670" s="23" t="str">
        <f>IFERROR(IF(ISNUMBER('Revenues &amp; Outlays in GDP'!D676),TEXT('Revenues &amp; Outlays in GDP'!D676, "0.00"),""), "")</f>
        <v/>
      </c>
    </row>
    <row r="671" spans="1:5">
      <c r="A671" s="23" t="str">
        <f>TEXT(IF('Revenues &amp; Outlays in GDP'!B677&lt;&gt;0,'Revenues &amp; Outlays in GDP'!B677-364, ""), "mm/dd/yyyy")</f>
        <v/>
      </c>
      <c r="B671" s="23" t="str">
        <f>IFERROR(IF(ISNUMBER('Revenues &amp; Outlays in GDP'!E677),TEXT('Revenues &amp; Outlays in GDP'!E677, "0.00"),""), "")</f>
        <v/>
      </c>
      <c r="C671" s="23" t="str">
        <f>IFERROR(IF(ISNUMBER('Revenues &amp; Outlays in GDP'!C677),TEXT('Revenues &amp; Outlays in GDP'!C677, "0.00"),""), "")</f>
        <v/>
      </c>
      <c r="D671" s="23" t="str">
        <f>IFERROR(IF(ISNUMBER('Revenues &amp; Outlays in GDP'!F677),TEXT('Revenues &amp; Outlays in GDP'!F677, "0.00"),""), "")</f>
        <v/>
      </c>
      <c r="E671" s="23" t="str">
        <f>IFERROR(IF(ISNUMBER('Revenues &amp; Outlays in GDP'!D677),TEXT('Revenues &amp; Outlays in GDP'!D677, "0.00"),""), "")</f>
        <v/>
      </c>
    </row>
    <row r="672" spans="1:5">
      <c r="A672" s="23" t="str">
        <f>TEXT(IF('Revenues &amp; Outlays in GDP'!B678&lt;&gt;0,'Revenues &amp; Outlays in GDP'!B678-364, ""), "mm/dd/yyyy")</f>
        <v/>
      </c>
      <c r="B672" s="23" t="str">
        <f>IFERROR(IF(ISNUMBER('Revenues &amp; Outlays in GDP'!E678),TEXT('Revenues &amp; Outlays in GDP'!E678, "0.00"),""), "")</f>
        <v/>
      </c>
      <c r="C672" s="23" t="str">
        <f>IFERROR(IF(ISNUMBER('Revenues &amp; Outlays in GDP'!C678),TEXT('Revenues &amp; Outlays in GDP'!C678, "0.00"),""), "")</f>
        <v/>
      </c>
      <c r="D672" s="23" t="str">
        <f>IFERROR(IF(ISNUMBER('Revenues &amp; Outlays in GDP'!F678),TEXT('Revenues &amp; Outlays in GDP'!F678, "0.00"),""), "")</f>
        <v/>
      </c>
      <c r="E672" s="23" t="str">
        <f>IFERROR(IF(ISNUMBER('Revenues &amp; Outlays in GDP'!D678),TEXT('Revenues &amp; Outlays in GDP'!D678, "0.00"),""), "")</f>
        <v/>
      </c>
    </row>
    <row r="673" spans="1:5">
      <c r="A673" s="23" t="str">
        <f>TEXT(IF('Revenues &amp; Outlays in GDP'!B679&lt;&gt;0,'Revenues &amp; Outlays in GDP'!B679-364, ""), "mm/dd/yyyy")</f>
        <v/>
      </c>
      <c r="B673" s="23" t="str">
        <f>IFERROR(IF(ISNUMBER('Revenues &amp; Outlays in GDP'!E679),TEXT('Revenues &amp; Outlays in GDP'!E679, "0.00"),""), "")</f>
        <v/>
      </c>
      <c r="C673" s="23" t="str">
        <f>IFERROR(IF(ISNUMBER('Revenues &amp; Outlays in GDP'!C679),TEXT('Revenues &amp; Outlays in GDP'!C679, "0.00"),""), "")</f>
        <v/>
      </c>
      <c r="D673" s="23" t="str">
        <f>IFERROR(IF(ISNUMBER('Revenues &amp; Outlays in GDP'!F679),TEXT('Revenues &amp; Outlays in GDP'!F679, "0.00"),""), "")</f>
        <v/>
      </c>
      <c r="E673" s="23" t="str">
        <f>IFERROR(IF(ISNUMBER('Revenues &amp; Outlays in GDP'!D679),TEXT('Revenues &amp; Outlays in GDP'!D679, "0.00"),""), "")</f>
        <v/>
      </c>
    </row>
    <row r="674" spans="1:5">
      <c r="A674" s="23" t="str">
        <f>TEXT(IF('Revenues &amp; Outlays in GDP'!B680&lt;&gt;0,'Revenues &amp; Outlays in GDP'!B680-364, ""), "mm/dd/yyyy")</f>
        <v/>
      </c>
      <c r="B674" s="23" t="str">
        <f>IFERROR(IF(ISNUMBER('Revenues &amp; Outlays in GDP'!E680),TEXT('Revenues &amp; Outlays in GDP'!E680, "0.00"),""), "")</f>
        <v/>
      </c>
      <c r="C674" s="23" t="str">
        <f>IFERROR(IF(ISNUMBER('Revenues &amp; Outlays in GDP'!C680),TEXT('Revenues &amp; Outlays in GDP'!C680, "0.00"),""), "")</f>
        <v/>
      </c>
      <c r="D674" s="23" t="str">
        <f>IFERROR(IF(ISNUMBER('Revenues &amp; Outlays in GDP'!F680),TEXT('Revenues &amp; Outlays in GDP'!F680, "0.00"),""), "")</f>
        <v/>
      </c>
      <c r="E674" s="23" t="str">
        <f>IFERROR(IF(ISNUMBER('Revenues &amp; Outlays in GDP'!D680),TEXT('Revenues &amp; Outlays in GDP'!D680, "0.00"),""), "")</f>
        <v/>
      </c>
    </row>
    <row r="675" spans="1:5">
      <c r="A675" s="23" t="str">
        <f>TEXT(IF('Revenues &amp; Outlays in GDP'!B681&lt;&gt;0,'Revenues &amp; Outlays in GDP'!B681-364, ""), "mm/dd/yyyy")</f>
        <v/>
      </c>
      <c r="B675" s="23" t="str">
        <f>IFERROR(IF(ISNUMBER('Revenues &amp; Outlays in GDP'!E681),TEXT('Revenues &amp; Outlays in GDP'!E681, "0.00"),""), "")</f>
        <v/>
      </c>
      <c r="C675" s="23" t="str">
        <f>IFERROR(IF(ISNUMBER('Revenues &amp; Outlays in GDP'!C681),TEXT('Revenues &amp; Outlays in GDP'!C681, "0.00"),""), "")</f>
        <v/>
      </c>
      <c r="D675" s="23" t="str">
        <f>IFERROR(IF(ISNUMBER('Revenues &amp; Outlays in GDP'!F681),TEXT('Revenues &amp; Outlays in GDP'!F681, "0.00"),""), "")</f>
        <v/>
      </c>
      <c r="E675" s="23" t="str">
        <f>IFERROR(IF(ISNUMBER('Revenues &amp; Outlays in GDP'!D681),TEXT('Revenues &amp; Outlays in GDP'!D681, "0.00"),""), "")</f>
        <v/>
      </c>
    </row>
    <row r="676" spans="1:5">
      <c r="A676" s="23" t="str">
        <f>TEXT(IF('Revenues &amp; Outlays in GDP'!B682&lt;&gt;0,'Revenues &amp; Outlays in GDP'!B682-364, ""), "mm/dd/yyyy")</f>
        <v/>
      </c>
      <c r="B676" s="23" t="str">
        <f>IFERROR(IF(ISNUMBER('Revenues &amp; Outlays in GDP'!E682),TEXT('Revenues &amp; Outlays in GDP'!E682, "0.00"),""), "")</f>
        <v/>
      </c>
      <c r="C676" s="23" t="str">
        <f>IFERROR(IF(ISNUMBER('Revenues &amp; Outlays in GDP'!C682),TEXT('Revenues &amp; Outlays in GDP'!C682, "0.00"),""), "")</f>
        <v/>
      </c>
      <c r="D676" s="23" t="str">
        <f>IFERROR(IF(ISNUMBER('Revenues &amp; Outlays in GDP'!F682),TEXT('Revenues &amp; Outlays in GDP'!F682, "0.00"),""), "")</f>
        <v/>
      </c>
      <c r="E676" s="23" t="str">
        <f>IFERROR(IF(ISNUMBER('Revenues &amp; Outlays in GDP'!D682),TEXT('Revenues &amp; Outlays in GDP'!D682, "0.00"),""), "")</f>
        <v/>
      </c>
    </row>
    <row r="677" spans="1:5">
      <c r="A677" s="23" t="str">
        <f>TEXT(IF('Revenues &amp; Outlays in GDP'!B683&lt;&gt;0,'Revenues &amp; Outlays in GDP'!B683-364, ""), "mm/dd/yyyy")</f>
        <v/>
      </c>
      <c r="B677" s="23" t="str">
        <f>IFERROR(IF(ISNUMBER('Revenues &amp; Outlays in GDP'!E683),TEXT('Revenues &amp; Outlays in GDP'!E683, "0.00"),""), "")</f>
        <v/>
      </c>
      <c r="C677" s="23" t="str">
        <f>IFERROR(IF(ISNUMBER('Revenues &amp; Outlays in GDP'!C683),TEXT('Revenues &amp; Outlays in GDP'!C683, "0.00"),""), "")</f>
        <v/>
      </c>
      <c r="D677" s="23" t="str">
        <f>IFERROR(IF(ISNUMBER('Revenues &amp; Outlays in GDP'!F683),TEXT('Revenues &amp; Outlays in GDP'!F683, "0.00"),""), "")</f>
        <v/>
      </c>
      <c r="E677" s="23" t="str">
        <f>IFERROR(IF(ISNUMBER('Revenues &amp; Outlays in GDP'!D683),TEXT('Revenues &amp; Outlays in GDP'!D683, "0.00"),""), "")</f>
        <v/>
      </c>
    </row>
    <row r="678" spans="1:5">
      <c r="A678" s="23" t="str">
        <f>TEXT(IF('Revenues &amp; Outlays in GDP'!B684&lt;&gt;0,'Revenues &amp; Outlays in GDP'!B684-364, ""), "mm/dd/yyyy")</f>
        <v/>
      </c>
      <c r="B678" s="23" t="str">
        <f>IFERROR(IF(ISNUMBER('Revenues &amp; Outlays in GDP'!E684),TEXT('Revenues &amp; Outlays in GDP'!E684, "0.00"),""), "")</f>
        <v/>
      </c>
      <c r="C678" s="23" t="str">
        <f>IFERROR(IF(ISNUMBER('Revenues &amp; Outlays in GDP'!C684),TEXT('Revenues &amp; Outlays in GDP'!C684, "0.00"),""), "")</f>
        <v/>
      </c>
      <c r="D678" s="23" t="str">
        <f>IFERROR(IF(ISNUMBER('Revenues &amp; Outlays in GDP'!F684),TEXT('Revenues &amp; Outlays in GDP'!F684, "0.00"),""), "")</f>
        <v/>
      </c>
      <c r="E678" s="23" t="str">
        <f>IFERROR(IF(ISNUMBER('Revenues &amp; Outlays in GDP'!D684),TEXT('Revenues &amp; Outlays in GDP'!D684, "0.00"),""), "")</f>
        <v/>
      </c>
    </row>
    <row r="679" spans="1:5">
      <c r="A679" s="23" t="str">
        <f>TEXT(IF('Revenues &amp; Outlays in GDP'!B685&lt;&gt;0,'Revenues &amp; Outlays in GDP'!B685-364, ""), "mm/dd/yyyy")</f>
        <v/>
      </c>
      <c r="B679" s="23" t="str">
        <f>IFERROR(IF(ISNUMBER('Revenues &amp; Outlays in GDP'!E685),TEXT('Revenues &amp; Outlays in GDP'!E685, "0.00"),""), "")</f>
        <v/>
      </c>
      <c r="C679" s="23" t="str">
        <f>IFERROR(IF(ISNUMBER('Revenues &amp; Outlays in GDP'!C685),TEXT('Revenues &amp; Outlays in GDP'!C685, "0.00"),""), "")</f>
        <v/>
      </c>
      <c r="D679" s="23" t="str">
        <f>IFERROR(IF(ISNUMBER('Revenues &amp; Outlays in GDP'!F685),TEXT('Revenues &amp; Outlays in GDP'!F685, "0.00"),""), "")</f>
        <v/>
      </c>
      <c r="E679" s="23" t="str">
        <f>IFERROR(IF(ISNUMBER('Revenues &amp; Outlays in GDP'!D685),TEXT('Revenues &amp; Outlays in GDP'!D685, "0.00"),""), "")</f>
        <v/>
      </c>
    </row>
    <row r="680" spans="1:5">
      <c r="A680" s="23" t="str">
        <f>TEXT(IF('Revenues &amp; Outlays in GDP'!B686&lt;&gt;0,'Revenues &amp; Outlays in GDP'!B686-364, ""), "mm/dd/yyyy")</f>
        <v/>
      </c>
      <c r="B680" s="23" t="str">
        <f>IFERROR(IF(ISNUMBER('Revenues &amp; Outlays in GDP'!E686),TEXT('Revenues &amp; Outlays in GDP'!E686, "0.00"),""), "")</f>
        <v/>
      </c>
      <c r="C680" s="23" t="str">
        <f>IFERROR(IF(ISNUMBER('Revenues &amp; Outlays in GDP'!C686),TEXT('Revenues &amp; Outlays in GDP'!C686, "0.00"),""), "")</f>
        <v/>
      </c>
      <c r="D680" s="23" t="str">
        <f>IFERROR(IF(ISNUMBER('Revenues &amp; Outlays in GDP'!F686),TEXT('Revenues &amp; Outlays in GDP'!F686, "0.00"),""), "")</f>
        <v/>
      </c>
      <c r="E680" s="23" t="str">
        <f>IFERROR(IF(ISNUMBER('Revenues &amp; Outlays in GDP'!D686),TEXT('Revenues &amp; Outlays in GDP'!D686, "0.00"),""), "")</f>
        <v/>
      </c>
    </row>
    <row r="681" spans="1:5">
      <c r="A681" s="23" t="str">
        <f>TEXT(IF('Revenues &amp; Outlays in GDP'!B687&lt;&gt;0,'Revenues &amp; Outlays in GDP'!B687-364, ""), "mm/dd/yyyy")</f>
        <v/>
      </c>
      <c r="B681" s="23" t="str">
        <f>IFERROR(IF(ISNUMBER('Revenues &amp; Outlays in GDP'!E687),TEXT('Revenues &amp; Outlays in GDP'!E687, "0.00"),""), "")</f>
        <v/>
      </c>
      <c r="C681" s="23" t="str">
        <f>IFERROR(IF(ISNUMBER('Revenues &amp; Outlays in GDP'!C687),TEXT('Revenues &amp; Outlays in GDP'!C687, "0.00"),""), "")</f>
        <v/>
      </c>
      <c r="D681" s="23" t="str">
        <f>IFERROR(IF(ISNUMBER('Revenues &amp; Outlays in GDP'!F687),TEXT('Revenues &amp; Outlays in GDP'!F687, "0.00"),""), "")</f>
        <v/>
      </c>
      <c r="E681" s="23" t="str">
        <f>IFERROR(IF(ISNUMBER('Revenues &amp; Outlays in GDP'!D687),TEXT('Revenues &amp; Outlays in GDP'!D687, "0.00"),""), "")</f>
        <v/>
      </c>
    </row>
    <row r="682" spans="1:5">
      <c r="A682" s="23" t="str">
        <f>TEXT(IF('Revenues &amp; Outlays in GDP'!B688&lt;&gt;0,'Revenues &amp; Outlays in GDP'!B688-364, ""), "mm/dd/yyyy")</f>
        <v/>
      </c>
      <c r="B682" s="23" t="str">
        <f>IFERROR(IF(ISNUMBER('Revenues &amp; Outlays in GDP'!E688),TEXT('Revenues &amp; Outlays in GDP'!E688, "0.00"),""), "")</f>
        <v/>
      </c>
      <c r="C682" s="23" t="str">
        <f>IFERROR(IF(ISNUMBER('Revenues &amp; Outlays in GDP'!C688),TEXT('Revenues &amp; Outlays in GDP'!C688, "0.00"),""), "")</f>
        <v/>
      </c>
      <c r="D682" s="23" t="str">
        <f>IFERROR(IF(ISNUMBER('Revenues &amp; Outlays in GDP'!F688),TEXT('Revenues &amp; Outlays in GDP'!F688, "0.00"),""), "")</f>
        <v/>
      </c>
      <c r="E682" s="23" t="str">
        <f>IFERROR(IF(ISNUMBER('Revenues &amp; Outlays in GDP'!D688),TEXT('Revenues &amp; Outlays in GDP'!D688, "0.00"),""), "")</f>
        <v/>
      </c>
    </row>
    <row r="683" spans="1:5">
      <c r="A683" s="23" t="str">
        <f>TEXT(IF('Revenues &amp; Outlays in GDP'!B689&lt;&gt;0,'Revenues &amp; Outlays in GDP'!B689-364, ""), "mm/dd/yyyy")</f>
        <v/>
      </c>
      <c r="B683" s="23" t="str">
        <f>IFERROR(IF(ISNUMBER('Revenues &amp; Outlays in GDP'!E689),TEXT('Revenues &amp; Outlays in GDP'!E689, "0.00"),""), "")</f>
        <v/>
      </c>
      <c r="C683" s="23" t="str">
        <f>IFERROR(IF(ISNUMBER('Revenues &amp; Outlays in GDP'!C689),TEXT('Revenues &amp; Outlays in GDP'!C689, "0.00"),""), "")</f>
        <v/>
      </c>
      <c r="D683" s="23" t="str">
        <f>IFERROR(IF(ISNUMBER('Revenues &amp; Outlays in GDP'!F689),TEXT('Revenues &amp; Outlays in GDP'!F689, "0.00"),""), "")</f>
        <v/>
      </c>
      <c r="E683" s="23" t="str">
        <f>IFERROR(IF(ISNUMBER('Revenues &amp; Outlays in GDP'!D689),TEXT('Revenues &amp; Outlays in GDP'!D689, "0.00"),""), "")</f>
        <v/>
      </c>
    </row>
    <row r="684" spans="1:5">
      <c r="A684" s="23" t="str">
        <f>TEXT(IF('Revenues &amp; Outlays in GDP'!B690&lt;&gt;0,'Revenues &amp; Outlays in GDP'!B690-364, ""), "mm/dd/yyyy")</f>
        <v/>
      </c>
      <c r="B684" s="23" t="str">
        <f>IFERROR(IF(ISNUMBER('Revenues &amp; Outlays in GDP'!E690),TEXT('Revenues &amp; Outlays in GDP'!E690, "0.00"),""), "")</f>
        <v/>
      </c>
      <c r="C684" s="23" t="str">
        <f>IFERROR(IF(ISNUMBER('Revenues &amp; Outlays in GDP'!C690),TEXT('Revenues &amp; Outlays in GDP'!C690, "0.00"),""), "")</f>
        <v/>
      </c>
      <c r="D684" s="23" t="str">
        <f>IFERROR(IF(ISNUMBER('Revenues &amp; Outlays in GDP'!F690),TEXT('Revenues &amp; Outlays in GDP'!F690, "0.00"),""), "")</f>
        <v/>
      </c>
      <c r="E684" s="23" t="str">
        <f>IFERROR(IF(ISNUMBER('Revenues &amp; Outlays in GDP'!D690),TEXT('Revenues &amp; Outlays in GDP'!D690, "0.00"),""), "")</f>
        <v/>
      </c>
    </row>
    <row r="685" spans="1:5">
      <c r="A685" s="23" t="str">
        <f>TEXT(IF('Revenues &amp; Outlays in GDP'!B691&lt;&gt;0,'Revenues &amp; Outlays in GDP'!B691-364, ""), "mm/dd/yyyy")</f>
        <v/>
      </c>
      <c r="B685" s="23" t="str">
        <f>IFERROR(IF(ISNUMBER('Revenues &amp; Outlays in GDP'!E691),TEXT('Revenues &amp; Outlays in GDP'!E691, "0.00"),""), "")</f>
        <v/>
      </c>
      <c r="C685" s="23" t="str">
        <f>IFERROR(IF(ISNUMBER('Revenues &amp; Outlays in GDP'!C691),TEXT('Revenues &amp; Outlays in GDP'!C691, "0.00"),""), "")</f>
        <v/>
      </c>
      <c r="D685" s="23" t="str">
        <f>IFERROR(IF(ISNUMBER('Revenues &amp; Outlays in GDP'!F691),TEXT('Revenues &amp; Outlays in GDP'!F691, "0.00"),""), "")</f>
        <v/>
      </c>
      <c r="E685" s="23" t="str">
        <f>IFERROR(IF(ISNUMBER('Revenues &amp; Outlays in GDP'!D691),TEXT('Revenues &amp; Outlays in GDP'!D691, "0.00"),""), "")</f>
        <v/>
      </c>
    </row>
    <row r="686" spans="1:5">
      <c r="A686" s="23" t="str">
        <f>TEXT(IF('Revenues &amp; Outlays in GDP'!B692&lt;&gt;0,'Revenues &amp; Outlays in GDP'!B692-364, ""), "mm/dd/yyyy")</f>
        <v/>
      </c>
      <c r="B686" s="23" t="str">
        <f>IFERROR(IF(ISNUMBER('Revenues &amp; Outlays in GDP'!E692),TEXT('Revenues &amp; Outlays in GDP'!E692, "0.00"),""), "")</f>
        <v/>
      </c>
      <c r="C686" s="23" t="str">
        <f>IFERROR(IF(ISNUMBER('Revenues &amp; Outlays in GDP'!C692),TEXT('Revenues &amp; Outlays in GDP'!C692, "0.00"),""), "")</f>
        <v/>
      </c>
      <c r="D686" s="23" t="str">
        <f>IFERROR(IF(ISNUMBER('Revenues &amp; Outlays in GDP'!F692),TEXT('Revenues &amp; Outlays in GDP'!F692, "0.00"),""), "")</f>
        <v/>
      </c>
      <c r="E686" s="23" t="str">
        <f>IFERROR(IF(ISNUMBER('Revenues &amp; Outlays in GDP'!D692),TEXT('Revenues &amp; Outlays in GDP'!D692, "0.00"),""), "")</f>
        <v/>
      </c>
    </row>
    <row r="687" spans="1:5">
      <c r="A687" s="23" t="str">
        <f>TEXT(IF('Revenues &amp; Outlays in GDP'!B693&lt;&gt;0,'Revenues &amp; Outlays in GDP'!B693-364, ""), "mm/dd/yyyy")</f>
        <v/>
      </c>
      <c r="B687" s="23" t="str">
        <f>IFERROR(IF(ISNUMBER('Revenues &amp; Outlays in GDP'!E693),TEXT('Revenues &amp; Outlays in GDP'!E693, "0.00"),""), "")</f>
        <v/>
      </c>
      <c r="C687" s="23" t="str">
        <f>IFERROR(IF(ISNUMBER('Revenues &amp; Outlays in GDP'!C693),TEXT('Revenues &amp; Outlays in GDP'!C693, "0.00"),""), "")</f>
        <v/>
      </c>
      <c r="D687" s="23" t="str">
        <f>IFERROR(IF(ISNUMBER('Revenues &amp; Outlays in GDP'!F693),TEXT('Revenues &amp; Outlays in GDP'!F693, "0.00"),""), "")</f>
        <v/>
      </c>
      <c r="E687" s="23" t="str">
        <f>IFERROR(IF(ISNUMBER('Revenues &amp; Outlays in GDP'!D693),TEXT('Revenues &amp; Outlays in GDP'!D693, "0.00"),""), "")</f>
        <v/>
      </c>
    </row>
    <row r="688" spans="1:5">
      <c r="A688" s="23" t="str">
        <f>TEXT(IF('Revenues &amp; Outlays in GDP'!B694&lt;&gt;0,'Revenues &amp; Outlays in GDP'!B694-364, ""), "mm/dd/yyyy")</f>
        <v/>
      </c>
      <c r="B688" s="23" t="str">
        <f>IFERROR(IF(ISNUMBER('Revenues &amp; Outlays in GDP'!E694),TEXT('Revenues &amp; Outlays in GDP'!E694, "0.00"),""), "")</f>
        <v/>
      </c>
      <c r="C688" s="23" t="str">
        <f>IFERROR(IF(ISNUMBER('Revenues &amp; Outlays in GDP'!C694),TEXT('Revenues &amp; Outlays in GDP'!C694, "0.00"),""), "")</f>
        <v/>
      </c>
      <c r="D688" s="23" t="str">
        <f>IFERROR(IF(ISNUMBER('Revenues &amp; Outlays in GDP'!F694),TEXT('Revenues &amp; Outlays in GDP'!F694, "0.00"),""), "")</f>
        <v/>
      </c>
      <c r="E688" s="23" t="str">
        <f>IFERROR(IF(ISNUMBER('Revenues &amp; Outlays in GDP'!D694),TEXT('Revenues &amp; Outlays in GDP'!D694, "0.00"),""), "")</f>
        <v/>
      </c>
    </row>
    <row r="689" spans="1:5">
      <c r="A689" s="23" t="str">
        <f>TEXT(IF('Revenues &amp; Outlays in GDP'!B695&lt;&gt;0,'Revenues &amp; Outlays in GDP'!B695-364, ""), "mm/dd/yyyy")</f>
        <v/>
      </c>
      <c r="B689" s="23" t="str">
        <f>IFERROR(IF(ISNUMBER('Revenues &amp; Outlays in GDP'!E695),TEXT('Revenues &amp; Outlays in GDP'!E695, "0.00"),""), "")</f>
        <v/>
      </c>
      <c r="C689" s="23" t="str">
        <f>IFERROR(IF(ISNUMBER('Revenues &amp; Outlays in GDP'!C695),TEXT('Revenues &amp; Outlays in GDP'!C695, "0.00"),""), "")</f>
        <v/>
      </c>
      <c r="D689" s="23" t="str">
        <f>IFERROR(IF(ISNUMBER('Revenues &amp; Outlays in GDP'!F695),TEXT('Revenues &amp; Outlays in GDP'!F695, "0.00"),""), "")</f>
        <v/>
      </c>
      <c r="E689" s="23" t="str">
        <f>IFERROR(IF(ISNUMBER('Revenues &amp; Outlays in GDP'!D695),TEXT('Revenues &amp; Outlays in GDP'!D695, "0.00"),""), "")</f>
        <v/>
      </c>
    </row>
    <row r="690" spans="1:5">
      <c r="A690" s="23" t="str">
        <f>TEXT(IF('Revenues &amp; Outlays in GDP'!B696&lt;&gt;0,'Revenues &amp; Outlays in GDP'!B696-364, ""), "mm/dd/yyyy")</f>
        <v/>
      </c>
      <c r="B690" s="23" t="str">
        <f>IFERROR(IF(ISNUMBER('Revenues &amp; Outlays in GDP'!E696),TEXT('Revenues &amp; Outlays in GDP'!E696, "0.00"),""), "")</f>
        <v/>
      </c>
      <c r="C690" s="23" t="str">
        <f>IFERROR(IF(ISNUMBER('Revenues &amp; Outlays in GDP'!C696),TEXT('Revenues &amp; Outlays in GDP'!C696, "0.00"),""), "")</f>
        <v/>
      </c>
      <c r="D690" s="23" t="str">
        <f>IFERROR(IF(ISNUMBER('Revenues &amp; Outlays in GDP'!F696),TEXT('Revenues &amp; Outlays in GDP'!F696, "0.00"),""), "")</f>
        <v/>
      </c>
      <c r="E690" s="23" t="str">
        <f>IFERROR(IF(ISNUMBER('Revenues &amp; Outlays in GDP'!D696),TEXT('Revenues &amp; Outlays in GDP'!D696, "0.00"),""), "")</f>
        <v/>
      </c>
    </row>
    <row r="691" spans="1:5">
      <c r="A691" s="23" t="str">
        <f>TEXT(IF('Revenues &amp; Outlays in GDP'!B697&lt;&gt;0,'Revenues &amp; Outlays in GDP'!B697-364, ""), "mm/dd/yyyy")</f>
        <v/>
      </c>
      <c r="B691" s="23" t="str">
        <f>IFERROR(IF(ISNUMBER('Revenues &amp; Outlays in GDP'!E697),TEXT('Revenues &amp; Outlays in GDP'!E697, "0.00"),""), "")</f>
        <v/>
      </c>
      <c r="C691" s="23" t="str">
        <f>IFERROR(IF(ISNUMBER('Revenues &amp; Outlays in GDP'!C697),TEXT('Revenues &amp; Outlays in GDP'!C697, "0.00"),""), "")</f>
        <v/>
      </c>
      <c r="D691" s="23" t="str">
        <f>IFERROR(IF(ISNUMBER('Revenues &amp; Outlays in GDP'!F697),TEXT('Revenues &amp; Outlays in GDP'!F697, "0.00"),""), "")</f>
        <v/>
      </c>
      <c r="E691" s="23" t="str">
        <f>IFERROR(IF(ISNUMBER('Revenues &amp; Outlays in GDP'!D697),TEXT('Revenues &amp; Outlays in GDP'!D697, "0.00"),""), "")</f>
        <v/>
      </c>
    </row>
    <row r="692" spans="1:5">
      <c r="A692" s="23" t="str">
        <f>TEXT(IF('Revenues &amp; Outlays in GDP'!B698&lt;&gt;0,'Revenues &amp; Outlays in GDP'!B698-364, ""), "mm/dd/yyyy")</f>
        <v/>
      </c>
      <c r="B692" s="23" t="str">
        <f>IFERROR(IF(ISNUMBER('Revenues &amp; Outlays in GDP'!E698),TEXT('Revenues &amp; Outlays in GDP'!E698, "0.00"),""), "")</f>
        <v/>
      </c>
      <c r="C692" s="23" t="str">
        <f>IFERROR(IF(ISNUMBER('Revenues &amp; Outlays in GDP'!C698),TEXT('Revenues &amp; Outlays in GDP'!C698, "0.00"),""), "")</f>
        <v/>
      </c>
      <c r="D692" s="23" t="str">
        <f>IFERROR(IF(ISNUMBER('Revenues &amp; Outlays in GDP'!F698),TEXT('Revenues &amp; Outlays in GDP'!F698, "0.00"),""), "")</f>
        <v/>
      </c>
      <c r="E692" s="23" t="str">
        <f>IFERROR(IF(ISNUMBER('Revenues &amp; Outlays in GDP'!D698),TEXT('Revenues &amp; Outlays in GDP'!D698, "0.00"),""), "")</f>
        <v/>
      </c>
    </row>
    <row r="693" spans="1:5">
      <c r="A693" s="23" t="str">
        <f>TEXT(IF('Revenues &amp; Outlays in GDP'!B699&lt;&gt;0,'Revenues &amp; Outlays in GDP'!B699-364, ""), "mm/dd/yyyy")</f>
        <v/>
      </c>
      <c r="B693" s="23" t="str">
        <f>IFERROR(IF(ISNUMBER('Revenues &amp; Outlays in GDP'!E699),TEXT('Revenues &amp; Outlays in GDP'!E699, "0.00"),""), "")</f>
        <v/>
      </c>
      <c r="C693" s="23" t="str">
        <f>IFERROR(IF(ISNUMBER('Revenues &amp; Outlays in GDP'!C699),TEXT('Revenues &amp; Outlays in GDP'!C699, "0.00"),""), "")</f>
        <v/>
      </c>
      <c r="D693" s="23" t="str">
        <f>IFERROR(IF(ISNUMBER('Revenues &amp; Outlays in GDP'!F699),TEXT('Revenues &amp; Outlays in GDP'!F699, "0.00"),""), "")</f>
        <v/>
      </c>
      <c r="E693" s="23" t="str">
        <f>IFERROR(IF(ISNUMBER('Revenues &amp; Outlays in GDP'!D699),TEXT('Revenues &amp; Outlays in GDP'!D699, "0.00"),""), "")</f>
        <v/>
      </c>
    </row>
    <row r="694" spans="1:5">
      <c r="A694" s="23" t="str">
        <f>TEXT(IF('Revenues &amp; Outlays in GDP'!B700&lt;&gt;0,'Revenues &amp; Outlays in GDP'!B700-364, ""), "mm/dd/yyyy")</f>
        <v/>
      </c>
      <c r="B694" s="23" t="str">
        <f>IFERROR(IF(ISNUMBER('Revenues &amp; Outlays in GDP'!E700),TEXT('Revenues &amp; Outlays in GDP'!E700, "0.00"),""), "")</f>
        <v/>
      </c>
      <c r="C694" s="23" t="str">
        <f>IFERROR(IF(ISNUMBER('Revenues &amp; Outlays in GDP'!C700),TEXT('Revenues &amp; Outlays in GDP'!C700, "0.00"),""), "")</f>
        <v/>
      </c>
      <c r="D694" s="23" t="str">
        <f>IFERROR(IF(ISNUMBER('Revenues &amp; Outlays in GDP'!F700),TEXT('Revenues &amp; Outlays in GDP'!F700, "0.00"),""), "")</f>
        <v/>
      </c>
      <c r="E694" s="23" t="str">
        <f>IFERROR(IF(ISNUMBER('Revenues &amp; Outlays in GDP'!D700),TEXT('Revenues &amp; Outlays in GDP'!D700, "0.00"),""), "")</f>
        <v/>
      </c>
    </row>
    <row r="695" spans="1:5">
      <c r="A695" s="23" t="str">
        <f>TEXT(IF('Revenues &amp; Outlays in GDP'!B701&lt;&gt;0,'Revenues &amp; Outlays in GDP'!B701-364, ""), "mm/dd/yyyy")</f>
        <v/>
      </c>
      <c r="B695" s="23" t="str">
        <f>IFERROR(IF(ISNUMBER('Revenues &amp; Outlays in GDP'!E701),TEXT('Revenues &amp; Outlays in GDP'!E701, "0.00"),""), "")</f>
        <v/>
      </c>
      <c r="C695" s="23" t="str">
        <f>IFERROR(IF(ISNUMBER('Revenues &amp; Outlays in GDP'!C701),TEXT('Revenues &amp; Outlays in GDP'!C701, "0.00"),""), "")</f>
        <v/>
      </c>
      <c r="D695" s="23" t="str">
        <f>IFERROR(IF(ISNUMBER('Revenues &amp; Outlays in GDP'!F701),TEXT('Revenues &amp; Outlays in GDP'!F701, "0.00"),""), "")</f>
        <v/>
      </c>
      <c r="E695" s="23" t="str">
        <f>IFERROR(IF(ISNUMBER('Revenues &amp; Outlays in GDP'!D701),TEXT('Revenues &amp; Outlays in GDP'!D701, "0.00"),""), "")</f>
        <v/>
      </c>
    </row>
    <row r="696" spans="1:5">
      <c r="A696" s="23" t="str">
        <f>TEXT(IF('Revenues &amp; Outlays in GDP'!B702&lt;&gt;0,'Revenues &amp; Outlays in GDP'!B702-364, ""), "mm/dd/yyyy")</f>
        <v/>
      </c>
      <c r="B696" s="23" t="str">
        <f>IFERROR(IF(ISNUMBER('Revenues &amp; Outlays in GDP'!E702),TEXT('Revenues &amp; Outlays in GDP'!E702, "0.00"),""), "")</f>
        <v/>
      </c>
      <c r="C696" s="23" t="str">
        <f>IFERROR(IF(ISNUMBER('Revenues &amp; Outlays in GDP'!C702),TEXT('Revenues &amp; Outlays in GDP'!C702, "0.00"),""), "")</f>
        <v/>
      </c>
      <c r="D696" s="23" t="str">
        <f>IFERROR(IF(ISNUMBER('Revenues &amp; Outlays in GDP'!F702),TEXT('Revenues &amp; Outlays in GDP'!F702, "0.00"),""), "")</f>
        <v/>
      </c>
      <c r="E696" s="23" t="str">
        <f>IFERROR(IF(ISNUMBER('Revenues &amp; Outlays in GDP'!D702),TEXT('Revenues &amp; Outlays in GDP'!D702, "0.00"),""), "")</f>
        <v/>
      </c>
    </row>
    <row r="697" spans="1:5">
      <c r="A697" s="23" t="str">
        <f>TEXT(IF('Revenues &amp; Outlays in GDP'!B703&lt;&gt;0,'Revenues &amp; Outlays in GDP'!B703-364, ""), "mm/dd/yyyy")</f>
        <v/>
      </c>
      <c r="B697" s="23" t="str">
        <f>IFERROR(IF(ISNUMBER('Revenues &amp; Outlays in GDP'!E703),TEXT('Revenues &amp; Outlays in GDP'!E703, "0.00"),""), "")</f>
        <v/>
      </c>
      <c r="C697" s="23" t="str">
        <f>IFERROR(IF(ISNUMBER('Revenues &amp; Outlays in GDP'!C703),TEXT('Revenues &amp; Outlays in GDP'!C703, "0.00"),""), "")</f>
        <v/>
      </c>
      <c r="D697" s="23" t="str">
        <f>IFERROR(IF(ISNUMBER('Revenues &amp; Outlays in GDP'!F703),TEXT('Revenues &amp; Outlays in GDP'!F703, "0.00"),""), "")</f>
        <v/>
      </c>
      <c r="E697" s="23" t="str">
        <f>IFERROR(IF(ISNUMBER('Revenues &amp; Outlays in GDP'!D703),TEXT('Revenues &amp; Outlays in GDP'!D703, "0.00"),""), "")</f>
        <v/>
      </c>
    </row>
    <row r="698" spans="1:5">
      <c r="A698" s="23" t="str">
        <f>TEXT(IF('Revenues &amp; Outlays in GDP'!B704&lt;&gt;0,'Revenues &amp; Outlays in GDP'!B704-364, ""), "mm/dd/yyyy")</f>
        <v/>
      </c>
      <c r="B698" s="23" t="str">
        <f>IFERROR(IF(ISNUMBER('Revenues &amp; Outlays in GDP'!E704),TEXT('Revenues &amp; Outlays in GDP'!E704, "0.00"),""), "")</f>
        <v/>
      </c>
      <c r="C698" s="23" t="str">
        <f>IFERROR(IF(ISNUMBER('Revenues &amp; Outlays in GDP'!C704),TEXT('Revenues &amp; Outlays in GDP'!C704, "0.00"),""), "")</f>
        <v/>
      </c>
      <c r="D698" s="23" t="str">
        <f>IFERROR(IF(ISNUMBER('Revenues &amp; Outlays in GDP'!F704),TEXT('Revenues &amp; Outlays in GDP'!F704, "0.00"),""), "")</f>
        <v/>
      </c>
      <c r="E698" s="23" t="str">
        <f>IFERROR(IF(ISNUMBER('Revenues &amp; Outlays in GDP'!D704),TEXT('Revenues &amp; Outlays in GDP'!D704, "0.00"),""), "")</f>
        <v/>
      </c>
    </row>
    <row r="699" spans="1:5">
      <c r="A699" s="23" t="str">
        <f>TEXT(IF('Revenues &amp; Outlays in GDP'!B705&lt;&gt;0,'Revenues &amp; Outlays in GDP'!B705-364, ""), "mm/dd/yyyy")</f>
        <v/>
      </c>
      <c r="B699" s="23" t="str">
        <f>IFERROR(IF(ISNUMBER('Revenues &amp; Outlays in GDP'!E705),TEXT('Revenues &amp; Outlays in GDP'!E705, "0.00"),""), "")</f>
        <v/>
      </c>
      <c r="C699" s="23" t="str">
        <f>IFERROR(IF(ISNUMBER('Revenues &amp; Outlays in GDP'!C705),TEXT('Revenues &amp; Outlays in GDP'!C705, "0.00"),""), "")</f>
        <v/>
      </c>
      <c r="D699" s="23" t="str">
        <f>IFERROR(IF(ISNUMBER('Revenues &amp; Outlays in GDP'!F705),TEXT('Revenues &amp; Outlays in GDP'!F705, "0.00"),""), "")</f>
        <v/>
      </c>
      <c r="E699" s="23" t="str">
        <f>IFERROR(IF(ISNUMBER('Revenues &amp; Outlays in GDP'!D705),TEXT('Revenues &amp; Outlays in GDP'!D705, "0.00"),""), "")</f>
        <v/>
      </c>
    </row>
    <row r="700" spans="1:5">
      <c r="A700" s="23" t="str">
        <f>TEXT(IF('Revenues &amp; Outlays in GDP'!B706&lt;&gt;0,'Revenues &amp; Outlays in GDP'!B706-364, ""), "mm/dd/yyyy")</f>
        <v/>
      </c>
      <c r="B700" s="23" t="str">
        <f>IFERROR(IF(ISNUMBER('Revenues &amp; Outlays in GDP'!E706),TEXT('Revenues &amp; Outlays in GDP'!E706, "0.00"),""), "")</f>
        <v/>
      </c>
      <c r="C700" s="23" t="str">
        <f>IFERROR(IF(ISNUMBER('Revenues &amp; Outlays in GDP'!C706),TEXT('Revenues &amp; Outlays in GDP'!C706, "0.00"),""), "")</f>
        <v/>
      </c>
      <c r="D700" s="23" t="str">
        <f>IFERROR(IF(ISNUMBER('Revenues &amp; Outlays in GDP'!F706),TEXT('Revenues &amp; Outlays in GDP'!F706, "0.00"),""), "")</f>
        <v/>
      </c>
      <c r="E700" s="23" t="str">
        <f>IFERROR(IF(ISNUMBER('Revenues &amp; Outlays in GDP'!D706),TEXT('Revenues &amp; Outlays in GDP'!D706, "0.00"),""), "")</f>
        <v/>
      </c>
    </row>
    <row r="701" spans="1:5">
      <c r="A701" s="23" t="str">
        <f>TEXT(IF('Revenues &amp; Outlays in GDP'!B707&lt;&gt;0,'Revenues &amp; Outlays in GDP'!B707-364, ""), "mm/dd/yyyy")</f>
        <v/>
      </c>
      <c r="B701" s="23" t="str">
        <f>IFERROR(IF(ISNUMBER('Revenues &amp; Outlays in GDP'!E707),TEXT('Revenues &amp; Outlays in GDP'!E707, "0.00"),""), "")</f>
        <v/>
      </c>
      <c r="C701" s="23" t="str">
        <f>IFERROR(IF(ISNUMBER('Revenues &amp; Outlays in GDP'!C707),TEXT('Revenues &amp; Outlays in GDP'!C707, "0.00"),""), "")</f>
        <v/>
      </c>
      <c r="D701" s="23" t="str">
        <f>IFERROR(IF(ISNUMBER('Revenues &amp; Outlays in GDP'!F707),TEXT('Revenues &amp; Outlays in GDP'!F707, "0.00"),""), "")</f>
        <v/>
      </c>
      <c r="E701" s="23" t="str">
        <f>IFERROR(IF(ISNUMBER('Revenues &amp; Outlays in GDP'!D707),TEXT('Revenues &amp; Outlays in GDP'!D707, "0.00"),""), "")</f>
        <v/>
      </c>
    </row>
    <row r="702" spans="1:5">
      <c r="A702" s="23" t="str">
        <f>TEXT(IF('Revenues &amp; Outlays in GDP'!B708&lt;&gt;0,'Revenues &amp; Outlays in GDP'!B708-364, ""), "mm/dd/yyyy")</f>
        <v/>
      </c>
      <c r="B702" s="23" t="str">
        <f>IFERROR(IF(ISNUMBER('Revenues &amp; Outlays in GDP'!E708),TEXT('Revenues &amp; Outlays in GDP'!E708, "0.00"),""), "")</f>
        <v/>
      </c>
      <c r="C702" s="23" t="str">
        <f>IFERROR(IF(ISNUMBER('Revenues &amp; Outlays in GDP'!C708),TEXT('Revenues &amp; Outlays in GDP'!C708, "0.00"),""), "")</f>
        <v/>
      </c>
      <c r="D702" s="23" t="str">
        <f>IFERROR(IF(ISNUMBER('Revenues &amp; Outlays in GDP'!F708),TEXT('Revenues &amp; Outlays in GDP'!F708, "0.00"),""), "")</f>
        <v/>
      </c>
      <c r="E702" s="23" t="str">
        <f>IFERROR(IF(ISNUMBER('Revenues &amp; Outlays in GDP'!D708),TEXT('Revenues &amp; Outlays in GDP'!D708, "0.00"),""), "")</f>
        <v/>
      </c>
    </row>
    <row r="703" spans="1:5">
      <c r="A703" s="23" t="str">
        <f>TEXT(IF('Revenues &amp; Outlays in GDP'!B709&lt;&gt;0,'Revenues &amp; Outlays in GDP'!B709-364, ""), "mm/dd/yyyy")</f>
        <v/>
      </c>
      <c r="B703" s="23" t="str">
        <f>IFERROR(IF(ISNUMBER('Revenues &amp; Outlays in GDP'!E709),TEXT('Revenues &amp; Outlays in GDP'!E709, "0.00"),""), "")</f>
        <v/>
      </c>
      <c r="C703" s="23" t="str">
        <f>IFERROR(IF(ISNUMBER('Revenues &amp; Outlays in GDP'!C709),TEXT('Revenues &amp; Outlays in GDP'!C709, "0.00"),""), "")</f>
        <v/>
      </c>
      <c r="D703" s="23" t="str">
        <f>IFERROR(IF(ISNUMBER('Revenues &amp; Outlays in GDP'!F709),TEXT('Revenues &amp; Outlays in GDP'!F709, "0.00"),""), "")</f>
        <v/>
      </c>
      <c r="E703" s="23" t="str">
        <f>IFERROR(IF(ISNUMBER('Revenues &amp; Outlays in GDP'!D709),TEXT('Revenues &amp; Outlays in GDP'!D709, "0.00"),""), "")</f>
        <v/>
      </c>
    </row>
    <row r="704" spans="1:5">
      <c r="A704" s="23" t="str">
        <f>TEXT(IF('Revenues &amp; Outlays in GDP'!B710&lt;&gt;0,'Revenues &amp; Outlays in GDP'!B710-364, ""), "mm/dd/yyyy")</f>
        <v/>
      </c>
      <c r="B704" s="23" t="str">
        <f>IFERROR(IF(ISNUMBER('Revenues &amp; Outlays in GDP'!E710),TEXT('Revenues &amp; Outlays in GDP'!E710, "0.00"),""), "")</f>
        <v/>
      </c>
      <c r="C704" s="23" t="str">
        <f>IFERROR(IF(ISNUMBER('Revenues &amp; Outlays in GDP'!C710),TEXT('Revenues &amp; Outlays in GDP'!C710, "0.00"),""), "")</f>
        <v/>
      </c>
      <c r="D704" s="23" t="str">
        <f>IFERROR(IF(ISNUMBER('Revenues &amp; Outlays in GDP'!F710),TEXT('Revenues &amp; Outlays in GDP'!F710, "0.00"),""), "")</f>
        <v/>
      </c>
      <c r="E704" s="23" t="str">
        <f>IFERROR(IF(ISNUMBER('Revenues &amp; Outlays in GDP'!D710),TEXT('Revenues &amp; Outlays in GDP'!D710, "0.00"),""), "")</f>
        <v/>
      </c>
    </row>
    <row r="705" spans="1:5">
      <c r="A705" s="23" t="str">
        <f>TEXT(IF('Revenues &amp; Outlays in GDP'!B711&lt;&gt;0,'Revenues &amp; Outlays in GDP'!B711-364, ""), "mm/dd/yyyy")</f>
        <v/>
      </c>
      <c r="B705" s="23" t="str">
        <f>IFERROR(IF(ISNUMBER('Revenues &amp; Outlays in GDP'!E711),TEXT('Revenues &amp; Outlays in GDP'!E711, "0.00"),""), "")</f>
        <v/>
      </c>
      <c r="C705" s="23" t="str">
        <f>IFERROR(IF(ISNUMBER('Revenues &amp; Outlays in GDP'!C711),TEXT('Revenues &amp; Outlays in GDP'!C711, "0.00"),""), "")</f>
        <v/>
      </c>
      <c r="D705" s="23" t="str">
        <f>IFERROR(IF(ISNUMBER('Revenues &amp; Outlays in GDP'!F711),TEXT('Revenues &amp; Outlays in GDP'!F711, "0.00"),""), "")</f>
        <v/>
      </c>
      <c r="E705" s="23" t="str">
        <f>IFERROR(IF(ISNUMBER('Revenues &amp; Outlays in GDP'!D711),TEXT('Revenues &amp; Outlays in GDP'!D711, "0.00"),""), "")</f>
        <v/>
      </c>
    </row>
    <row r="706" spans="1:5">
      <c r="A706" s="23" t="str">
        <f>TEXT(IF('Revenues &amp; Outlays in GDP'!B712&lt;&gt;0,'Revenues &amp; Outlays in GDP'!B712-364, ""), "mm/dd/yyyy")</f>
        <v/>
      </c>
      <c r="B706" s="23" t="str">
        <f>IFERROR(IF(ISNUMBER('Revenues &amp; Outlays in GDP'!E712),TEXT('Revenues &amp; Outlays in GDP'!E712, "0.00"),""), "")</f>
        <v/>
      </c>
      <c r="C706" s="23" t="str">
        <f>IFERROR(IF(ISNUMBER('Revenues &amp; Outlays in GDP'!C712),TEXT('Revenues &amp; Outlays in GDP'!C712, "0.00"),""), "")</f>
        <v/>
      </c>
      <c r="D706" s="23" t="str">
        <f>IFERROR(IF(ISNUMBER('Revenues &amp; Outlays in GDP'!F712),TEXT('Revenues &amp; Outlays in GDP'!F712, "0.00"),""), "")</f>
        <v/>
      </c>
      <c r="E706" s="23" t="str">
        <f>IFERROR(IF(ISNUMBER('Revenues &amp; Outlays in GDP'!D712),TEXT('Revenues &amp; Outlays in GDP'!D712, "0.00"),""), "")</f>
        <v/>
      </c>
    </row>
    <row r="707" spans="1:5">
      <c r="A707" s="23" t="str">
        <f>TEXT(IF('Revenues &amp; Outlays in GDP'!B713&lt;&gt;0,'Revenues &amp; Outlays in GDP'!B713-364, ""), "mm/dd/yyyy")</f>
        <v/>
      </c>
      <c r="B707" s="23" t="str">
        <f>IFERROR(IF(ISNUMBER('Revenues &amp; Outlays in GDP'!E713),TEXT('Revenues &amp; Outlays in GDP'!E713, "0.00"),""), "")</f>
        <v/>
      </c>
      <c r="C707" s="23" t="str">
        <f>IFERROR(IF(ISNUMBER('Revenues &amp; Outlays in GDP'!C713),TEXT('Revenues &amp; Outlays in GDP'!C713, "0.00"),""), "")</f>
        <v/>
      </c>
      <c r="D707" s="23" t="str">
        <f>IFERROR(IF(ISNUMBER('Revenues &amp; Outlays in GDP'!F713),TEXT('Revenues &amp; Outlays in GDP'!F713, "0.00"),""), "")</f>
        <v/>
      </c>
      <c r="E707" s="23" t="str">
        <f>IFERROR(IF(ISNUMBER('Revenues &amp; Outlays in GDP'!D713),TEXT('Revenues &amp; Outlays in GDP'!D713, "0.00"),""), "")</f>
        <v/>
      </c>
    </row>
    <row r="708" spans="1:5">
      <c r="A708" s="23" t="str">
        <f>TEXT(IF('Revenues &amp; Outlays in GDP'!B714&lt;&gt;0,'Revenues &amp; Outlays in GDP'!B714-364, ""), "mm/dd/yyyy")</f>
        <v/>
      </c>
      <c r="B708" s="23" t="str">
        <f>IFERROR(IF(ISNUMBER('Revenues &amp; Outlays in GDP'!E714),TEXT('Revenues &amp; Outlays in GDP'!E714, "0.00"),""), "")</f>
        <v/>
      </c>
      <c r="C708" s="23" t="str">
        <f>IFERROR(IF(ISNUMBER('Revenues &amp; Outlays in GDP'!C714),TEXT('Revenues &amp; Outlays in GDP'!C714, "0.00"),""), "")</f>
        <v/>
      </c>
      <c r="D708" s="23" t="str">
        <f>IFERROR(IF(ISNUMBER('Revenues &amp; Outlays in GDP'!F714),TEXT('Revenues &amp; Outlays in GDP'!F714, "0.00"),""), "")</f>
        <v/>
      </c>
      <c r="E708" s="23" t="str">
        <f>IFERROR(IF(ISNUMBER('Revenues &amp; Outlays in GDP'!D714),TEXT('Revenues &amp; Outlays in GDP'!D714, "0.00"),""), "")</f>
        <v/>
      </c>
    </row>
    <row r="709" spans="1:5">
      <c r="A709" s="23" t="str">
        <f>TEXT(IF('Revenues &amp; Outlays in GDP'!B715&lt;&gt;0,'Revenues &amp; Outlays in GDP'!B715-364, ""), "mm/dd/yyyy")</f>
        <v/>
      </c>
      <c r="B709" s="23" t="str">
        <f>IFERROR(IF(ISNUMBER('Revenues &amp; Outlays in GDP'!E715),TEXT('Revenues &amp; Outlays in GDP'!E715, "0.00"),""), "")</f>
        <v/>
      </c>
      <c r="C709" s="23" t="str">
        <f>IFERROR(IF(ISNUMBER('Revenues &amp; Outlays in GDP'!C715),TEXT('Revenues &amp; Outlays in GDP'!C715, "0.00"),""), "")</f>
        <v/>
      </c>
      <c r="D709" s="23" t="str">
        <f>IFERROR(IF(ISNUMBER('Revenues &amp; Outlays in GDP'!F715),TEXT('Revenues &amp; Outlays in GDP'!F715, "0.00"),""), "")</f>
        <v/>
      </c>
      <c r="E709" s="23" t="str">
        <f>IFERROR(IF(ISNUMBER('Revenues &amp; Outlays in GDP'!D715),TEXT('Revenues &amp; Outlays in GDP'!D715, "0.00"),""), "")</f>
        <v/>
      </c>
    </row>
    <row r="710" spans="1:5">
      <c r="A710" s="23" t="str">
        <f>TEXT(IF('Revenues &amp; Outlays in GDP'!B716&lt;&gt;0,'Revenues &amp; Outlays in GDP'!B716-364, ""), "mm/dd/yyyy")</f>
        <v/>
      </c>
      <c r="B710" s="23" t="str">
        <f>IFERROR(IF(ISNUMBER('Revenues &amp; Outlays in GDP'!E716),TEXT('Revenues &amp; Outlays in GDP'!E716, "0.00"),""), "")</f>
        <v/>
      </c>
      <c r="C710" s="23" t="str">
        <f>IFERROR(IF(ISNUMBER('Revenues &amp; Outlays in GDP'!C716),TEXT('Revenues &amp; Outlays in GDP'!C716, "0.00"),""), "")</f>
        <v/>
      </c>
      <c r="D710" s="23" t="str">
        <f>IFERROR(IF(ISNUMBER('Revenues &amp; Outlays in GDP'!F716),TEXT('Revenues &amp; Outlays in GDP'!F716, "0.00"),""), "")</f>
        <v/>
      </c>
      <c r="E710" s="23" t="str">
        <f>IFERROR(IF(ISNUMBER('Revenues &amp; Outlays in GDP'!D716),TEXT('Revenues &amp; Outlays in GDP'!D716, "0.00"),""), "")</f>
        <v/>
      </c>
    </row>
    <row r="711" spans="1:5">
      <c r="A711" s="23" t="str">
        <f>TEXT(IF('Revenues &amp; Outlays in GDP'!B717&lt;&gt;0,'Revenues &amp; Outlays in GDP'!B717-364, ""), "mm/dd/yyyy")</f>
        <v/>
      </c>
      <c r="B711" s="23" t="str">
        <f>IFERROR(IF(ISNUMBER('Revenues &amp; Outlays in GDP'!E717),TEXT('Revenues &amp; Outlays in GDP'!E717, "0.00"),""), "")</f>
        <v/>
      </c>
      <c r="C711" s="23" t="str">
        <f>IFERROR(IF(ISNUMBER('Revenues &amp; Outlays in GDP'!C717),TEXT('Revenues &amp; Outlays in GDP'!C717, "0.00"),""), "")</f>
        <v/>
      </c>
      <c r="D711" s="23" t="str">
        <f>IFERROR(IF(ISNUMBER('Revenues &amp; Outlays in GDP'!F717),TEXT('Revenues &amp; Outlays in GDP'!F717, "0.00"),""), "")</f>
        <v/>
      </c>
      <c r="E711" s="23" t="str">
        <f>IFERROR(IF(ISNUMBER('Revenues &amp; Outlays in GDP'!D717),TEXT('Revenues &amp; Outlays in GDP'!D717, "0.00"),""), "")</f>
        <v/>
      </c>
    </row>
    <row r="712" spans="1:5">
      <c r="A712" s="23" t="str">
        <f>TEXT(IF('Revenues &amp; Outlays in GDP'!B718&lt;&gt;0,'Revenues &amp; Outlays in GDP'!B718-364, ""), "mm/dd/yyyy")</f>
        <v/>
      </c>
      <c r="B712" s="23" t="str">
        <f>IFERROR(IF(ISNUMBER('Revenues &amp; Outlays in GDP'!E718),TEXT('Revenues &amp; Outlays in GDP'!E718, "0.00"),""), "")</f>
        <v/>
      </c>
      <c r="C712" s="23" t="str">
        <f>IFERROR(IF(ISNUMBER('Revenues &amp; Outlays in GDP'!C718),TEXT('Revenues &amp; Outlays in GDP'!C718, "0.00"),""), "")</f>
        <v/>
      </c>
      <c r="D712" s="23" t="str">
        <f>IFERROR(IF(ISNUMBER('Revenues &amp; Outlays in GDP'!F718),TEXT('Revenues &amp; Outlays in GDP'!F718, "0.00"),""), "")</f>
        <v/>
      </c>
      <c r="E712" s="23" t="str">
        <f>IFERROR(IF(ISNUMBER('Revenues &amp; Outlays in GDP'!D718),TEXT('Revenues &amp; Outlays in GDP'!D718, "0.00"),""), "")</f>
        <v/>
      </c>
    </row>
    <row r="713" spans="1:5">
      <c r="A713" s="23" t="str">
        <f>TEXT(IF('Revenues &amp; Outlays in GDP'!B719&lt;&gt;0,'Revenues &amp; Outlays in GDP'!B719-364, ""), "mm/dd/yyyy")</f>
        <v/>
      </c>
      <c r="B713" s="23" t="str">
        <f>IFERROR(IF(ISNUMBER('Revenues &amp; Outlays in GDP'!E719),TEXT('Revenues &amp; Outlays in GDP'!E719, "0.00"),""), "")</f>
        <v/>
      </c>
      <c r="C713" s="23" t="str">
        <f>IFERROR(IF(ISNUMBER('Revenues &amp; Outlays in GDP'!C719),TEXT('Revenues &amp; Outlays in GDP'!C719, "0.00"),""), "")</f>
        <v/>
      </c>
      <c r="D713" s="23" t="str">
        <f>IFERROR(IF(ISNUMBER('Revenues &amp; Outlays in GDP'!F719),TEXT('Revenues &amp; Outlays in GDP'!F719, "0.00"),""), "")</f>
        <v/>
      </c>
      <c r="E713" s="23" t="str">
        <f>IFERROR(IF(ISNUMBER('Revenues &amp; Outlays in GDP'!D719),TEXT('Revenues &amp; Outlays in GDP'!D719, "0.00"),""), "")</f>
        <v/>
      </c>
    </row>
    <row r="714" spans="1:5">
      <c r="A714" s="23" t="str">
        <f>TEXT(IF('Revenues &amp; Outlays in GDP'!B720&lt;&gt;0,'Revenues &amp; Outlays in GDP'!B720-364, ""), "mm/dd/yyyy")</f>
        <v/>
      </c>
      <c r="B714" s="23" t="str">
        <f>IFERROR(IF(ISNUMBER('Revenues &amp; Outlays in GDP'!E720),TEXT('Revenues &amp; Outlays in GDP'!E720, "0.00"),""), "")</f>
        <v/>
      </c>
      <c r="C714" s="23" t="str">
        <f>IFERROR(IF(ISNUMBER('Revenues &amp; Outlays in GDP'!C720),TEXT('Revenues &amp; Outlays in GDP'!C720, "0.00"),""), "")</f>
        <v/>
      </c>
      <c r="D714" s="23" t="str">
        <f>IFERROR(IF(ISNUMBER('Revenues &amp; Outlays in GDP'!F720),TEXT('Revenues &amp; Outlays in GDP'!F720, "0.00"),""), "")</f>
        <v/>
      </c>
      <c r="E714" s="23" t="str">
        <f>IFERROR(IF(ISNUMBER('Revenues &amp; Outlays in GDP'!D720),TEXT('Revenues &amp; Outlays in GDP'!D720, "0.00"),""), "")</f>
        <v/>
      </c>
    </row>
    <row r="715" spans="1:5">
      <c r="A715" s="23" t="str">
        <f>TEXT(IF('Revenues &amp; Outlays in GDP'!B721&lt;&gt;0,'Revenues &amp; Outlays in GDP'!B721-364, ""), "mm/dd/yyyy")</f>
        <v/>
      </c>
      <c r="B715" s="23" t="str">
        <f>IFERROR(IF(ISNUMBER('Revenues &amp; Outlays in GDP'!E721),TEXT('Revenues &amp; Outlays in GDP'!E721, "0.00"),""), "")</f>
        <v/>
      </c>
      <c r="C715" s="23" t="str">
        <f>IFERROR(IF(ISNUMBER('Revenues &amp; Outlays in GDP'!C721),TEXT('Revenues &amp; Outlays in GDP'!C721, "0.00"),""), "")</f>
        <v/>
      </c>
      <c r="D715" s="23" t="str">
        <f>IFERROR(IF(ISNUMBER('Revenues &amp; Outlays in GDP'!F721),TEXT('Revenues &amp; Outlays in GDP'!F721, "0.00"),""), "")</f>
        <v/>
      </c>
      <c r="E715" s="23" t="str">
        <f>IFERROR(IF(ISNUMBER('Revenues &amp; Outlays in GDP'!D721),TEXT('Revenues &amp; Outlays in GDP'!D721, "0.00"),""), "")</f>
        <v/>
      </c>
    </row>
    <row r="716" spans="1:5">
      <c r="A716" s="23" t="str">
        <f>TEXT(IF('Revenues &amp; Outlays in GDP'!B722&lt;&gt;0,'Revenues &amp; Outlays in GDP'!B722-364, ""), "mm/dd/yyyy")</f>
        <v/>
      </c>
      <c r="B716" s="23" t="str">
        <f>IFERROR(IF(ISNUMBER('Revenues &amp; Outlays in GDP'!E722),TEXT('Revenues &amp; Outlays in GDP'!E722, "0.00"),""), "")</f>
        <v/>
      </c>
      <c r="C716" s="23" t="str">
        <f>IFERROR(IF(ISNUMBER('Revenues &amp; Outlays in GDP'!C722),TEXT('Revenues &amp; Outlays in GDP'!C722, "0.00"),""), "")</f>
        <v/>
      </c>
      <c r="D716" s="23" t="str">
        <f>IFERROR(IF(ISNUMBER('Revenues &amp; Outlays in GDP'!F722),TEXT('Revenues &amp; Outlays in GDP'!F722, "0.00"),""), "")</f>
        <v/>
      </c>
      <c r="E716" s="23" t="str">
        <f>IFERROR(IF(ISNUMBER('Revenues &amp; Outlays in GDP'!D722),TEXT('Revenues &amp; Outlays in GDP'!D722, "0.00"),""), "")</f>
        <v/>
      </c>
    </row>
    <row r="717" spans="1:5">
      <c r="A717" s="23" t="str">
        <f>TEXT(IF('Revenues &amp; Outlays in GDP'!B723&lt;&gt;0,'Revenues &amp; Outlays in GDP'!B723-364, ""), "mm/dd/yyyy")</f>
        <v/>
      </c>
      <c r="B717" s="23" t="str">
        <f>IFERROR(IF(ISNUMBER('Revenues &amp; Outlays in GDP'!E723),TEXT('Revenues &amp; Outlays in GDP'!E723, "0.00"),""), "")</f>
        <v/>
      </c>
      <c r="C717" s="23" t="str">
        <f>IFERROR(IF(ISNUMBER('Revenues &amp; Outlays in GDP'!C723),TEXT('Revenues &amp; Outlays in GDP'!C723, "0.00"),""), "")</f>
        <v/>
      </c>
      <c r="D717" s="23" t="str">
        <f>IFERROR(IF(ISNUMBER('Revenues &amp; Outlays in GDP'!F723),TEXT('Revenues &amp; Outlays in GDP'!F723, "0.00"),""), "")</f>
        <v/>
      </c>
      <c r="E717" s="23" t="str">
        <f>IFERROR(IF(ISNUMBER('Revenues &amp; Outlays in GDP'!D723),TEXT('Revenues &amp; Outlays in GDP'!D723, "0.00"),""), "")</f>
        <v/>
      </c>
    </row>
    <row r="718" spans="1:5">
      <c r="A718" s="23" t="str">
        <f>TEXT(IF('Revenues &amp; Outlays in GDP'!B724&lt;&gt;0,'Revenues &amp; Outlays in GDP'!B724-364, ""), "mm/dd/yyyy")</f>
        <v/>
      </c>
      <c r="B718" s="23" t="str">
        <f>IFERROR(IF(ISNUMBER('Revenues &amp; Outlays in GDP'!E724),TEXT('Revenues &amp; Outlays in GDP'!E724, "0.00"),""), "")</f>
        <v/>
      </c>
      <c r="C718" s="23" t="str">
        <f>IFERROR(IF(ISNUMBER('Revenues &amp; Outlays in GDP'!C724),TEXT('Revenues &amp; Outlays in GDP'!C724, "0.00"),""), "")</f>
        <v/>
      </c>
      <c r="D718" s="23" t="str">
        <f>IFERROR(IF(ISNUMBER('Revenues &amp; Outlays in GDP'!F724),TEXT('Revenues &amp; Outlays in GDP'!F724, "0.00"),""), "")</f>
        <v/>
      </c>
      <c r="E718" s="23" t="str">
        <f>IFERROR(IF(ISNUMBER('Revenues &amp; Outlays in GDP'!D724),TEXT('Revenues &amp; Outlays in GDP'!D724, "0.00"),""), "")</f>
        <v/>
      </c>
    </row>
    <row r="719" spans="1:5">
      <c r="A719" s="23" t="str">
        <f>TEXT(IF('Revenues &amp; Outlays in GDP'!B725&lt;&gt;0,'Revenues &amp; Outlays in GDP'!B725-364, ""), "mm/dd/yyyy")</f>
        <v/>
      </c>
      <c r="B719" s="23" t="str">
        <f>IFERROR(IF(ISNUMBER('Revenues &amp; Outlays in GDP'!E725),TEXT('Revenues &amp; Outlays in GDP'!E725, "0.00"),""), "")</f>
        <v/>
      </c>
      <c r="C719" s="23" t="str">
        <f>IFERROR(IF(ISNUMBER('Revenues &amp; Outlays in GDP'!C725),TEXT('Revenues &amp; Outlays in GDP'!C725, "0.00"),""), "")</f>
        <v/>
      </c>
      <c r="D719" s="23" t="str">
        <f>IFERROR(IF(ISNUMBER('Revenues &amp; Outlays in GDP'!F725),TEXT('Revenues &amp; Outlays in GDP'!F725, "0.00"),""), "")</f>
        <v/>
      </c>
      <c r="E719" s="23" t="str">
        <f>IFERROR(IF(ISNUMBER('Revenues &amp; Outlays in GDP'!D725),TEXT('Revenues &amp; Outlays in GDP'!D725, "0.00"),""), "")</f>
        <v/>
      </c>
    </row>
    <row r="720" spans="1:5">
      <c r="A720" s="23" t="str">
        <f>TEXT(IF('Revenues &amp; Outlays in GDP'!B726&lt;&gt;0,'Revenues &amp; Outlays in GDP'!B726-364, ""), "mm/dd/yyyy")</f>
        <v/>
      </c>
      <c r="B720" s="23" t="str">
        <f>IFERROR(IF(ISNUMBER('Revenues &amp; Outlays in GDP'!E726),TEXT('Revenues &amp; Outlays in GDP'!E726, "0.00"),""), "")</f>
        <v/>
      </c>
      <c r="C720" s="23" t="str">
        <f>IFERROR(IF(ISNUMBER('Revenues &amp; Outlays in GDP'!C726),TEXT('Revenues &amp; Outlays in GDP'!C726, "0.00"),""), "")</f>
        <v/>
      </c>
      <c r="D720" s="23" t="str">
        <f>IFERROR(IF(ISNUMBER('Revenues &amp; Outlays in GDP'!F726),TEXT('Revenues &amp; Outlays in GDP'!F726, "0.00"),""), "")</f>
        <v/>
      </c>
      <c r="E720" s="23" t="str">
        <f>IFERROR(IF(ISNUMBER('Revenues &amp; Outlays in GDP'!D726),TEXT('Revenues &amp; Outlays in GDP'!D726, "0.00"),""), "")</f>
        <v/>
      </c>
    </row>
    <row r="721" spans="1:5">
      <c r="A721" s="23" t="str">
        <f>TEXT(IF('Revenues &amp; Outlays in GDP'!B727&lt;&gt;0,'Revenues &amp; Outlays in GDP'!B727-364, ""), "mm/dd/yyyy")</f>
        <v/>
      </c>
      <c r="B721" s="23" t="str">
        <f>IFERROR(IF(ISNUMBER('Revenues &amp; Outlays in GDP'!E727),TEXT('Revenues &amp; Outlays in GDP'!E727, "0.00"),""), "")</f>
        <v/>
      </c>
      <c r="C721" s="23" t="str">
        <f>IFERROR(IF(ISNUMBER('Revenues &amp; Outlays in GDP'!C727),TEXT('Revenues &amp; Outlays in GDP'!C727, "0.00"),""), "")</f>
        <v/>
      </c>
      <c r="D721" s="23" t="str">
        <f>IFERROR(IF(ISNUMBER('Revenues &amp; Outlays in GDP'!F727),TEXT('Revenues &amp; Outlays in GDP'!F727, "0.00"),""), "")</f>
        <v/>
      </c>
      <c r="E721" s="23" t="str">
        <f>IFERROR(IF(ISNUMBER('Revenues &amp; Outlays in GDP'!D727),TEXT('Revenues &amp; Outlays in GDP'!D727, "0.00"),""), "")</f>
        <v/>
      </c>
    </row>
    <row r="722" spans="1:5">
      <c r="A722" s="23" t="str">
        <f>TEXT(IF('Revenues &amp; Outlays in GDP'!B728&lt;&gt;0,'Revenues &amp; Outlays in GDP'!B728-364, ""), "mm/dd/yyyy")</f>
        <v/>
      </c>
      <c r="B722" s="23" t="str">
        <f>IFERROR(IF(ISNUMBER('Revenues &amp; Outlays in GDP'!E728),TEXT('Revenues &amp; Outlays in GDP'!E728, "0.00"),""), "")</f>
        <v/>
      </c>
      <c r="C722" s="23" t="str">
        <f>IFERROR(IF(ISNUMBER('Revenues &amp; Outlays in GDP'!C728),TEXT('Revenues &amp; Outlays in GDP'!C728, "0.00"),""), "")</f>
        <v/>
      </c>
      <c r="D722" s="23" t="str">
        <f>IFERROR(IF(ISNUMBER('Revenues &amp; Outlays in GDP'!F728),TEXT('Revenues &amp; Outlays in GDP'!F728, "0.00"),""), "")</f>
        <v/>
      </c>
      <c r="E722" s="23" t="str">
        <f>IFERROR(IF(ISNUMBER('Revenues &amp; Outlays in GDP'!D728),TEXT('Revenues &amp; Outlays in GDP'!D728, "0.00"),""), "")</f>
        <v/>
      </c>
    </row>
    <row r="723" spans="1:5">
      <c r="A723" s="23" t="str">
        <f>TEXT(IF('Revenues &amp; Outlays in GDP'!B729&lt;&gt;0,'Revenues &amp; Outlays in GDP'!B729-364, ""), "mm/dd/yyyy")</f>
        <v/>
      </c>
      <c r="B723" s="23" t="str">
        <f>IFERROR(IF(ISNUMBER('Revenues &amp; Outlays in GDP'!E729),TEXT('Revenues &amp; Outlays in GDP'!E729, "0.00"),""), "")</f>
        <v/>
      </c>
      <c r="C723" s="23" t="str">
        <f>IFERROR(IF(ISNUMBER('Revenues &amp; Outlays in GDP'!C729),TEXT('Revenues &amp; Outlays in GDP'!C729, "0.00"),""), "")</f>
        <v/>
      </c>
      <c r="D723" s="23" t="str">
        <f>IFERROR(IF(ISNUMBER('Revenues &amp; Outlays in GDP'!F729),TEXT('Revenues &amp; Outlays in GDP'!F729, "0.00"),""), "")</f>
        <v/>
      </c>
      <c r="E723" s="23" t="str">
        <f>IFERROR(IF(ISNUMBER('Revenues &amp; Outlays in GDP'!D729),TEXT('Revenues &amp; Outlays in GDP'!D729, "0.00"),""), "")</f>
        <v/>
      </c>
    </row>
    <row r="724" spans="1:5">
      <c r="A724" s="23" t="str">
        <f>TEXT(IF('Revenues &amp; Outlays in GDP'!B730&lt;&gt;0,'Revenues &amp; Outlays in GDP'!B730-364, ""), "mm/dd/yyyy")</f>
        <v/>
      </c>
      <c r="B724" s="23" t="str">
        <f>IFERROR(IF(ISNUMBER('Revenues &amp; Outlays in GDP'!E730),TEXT('Revenues &amp; Outlays in GDP'!E730, "0.00"),""), "")</f>
        <v/>
      </c>
      <c r="C724" s="23" t="str">
        <f>IFERROR(IF(ISNUMBER('Revenues &amp; Outlays in GDP'!C730),TEXT('Revenues &amp; Outlays in GDP'!C730, "0.00"),""), "")</f>
        <v/>
      </c>
      <c r="D724" s="23" t="str">
        <f>IFERROR(IF(ISNUMBER('Revenues &amp; Outlays in GDP'!F730),TEXT('Revenues &amp; Outlays in GDP'!F730, "0.00"),""), "")</f>
        <v/>
      </c>
      <c r="E724" s="23" t="str">
        <f>IFERROR(IF(ISNUMBER('Revenues &amp; Outlays in GDP'!D730),TEXT('Revenues &amp; Outlays in GDP'!D730, "0.00"),""), "")</f>
        <v/>
      </c>
    </row>
    <row r="725" spans="1:5">
      <c r="A725" s="23" t="str">
        <f>TEXT(IF('Revenues &amp; Outlays in GDP'!B731&lt;&gt;0,'Revenues &amp; Outlays in GDP'!B731-364, ""), "mm/dd/yyyy")</f>
        <v/>
      </c>
      <c r="B725" s="23" t="str">
        <f>IFERROR(IF(ISNUMBER('Revenues &amp; Outlays in GDP'!E731),TEXT('Revenues &amp; Outlays in GDP'!E731, "0.00"),""), "")</f>
        <v/>
      </c>
      <c r="C725" s="23" t="str">
        <f>IFERROR(IF(ISNUMBER('Revenues &amp; Outlays in GDP'!C731),TEXT('Revenues &amp; Outlays in GDP'!C731, "0.00"),""), "")</f>
        <v/>
      </c>
      <c r="D725" s="23" t="str">
        <f>IFERROR(IF(ISNUMBER('Revenues &amp; Outlays in GDP'!F731),TEXT('Revenues &amp; Outlays in GDP'!F731, "0.00"),""), "")</f>
        <v/>
      </c>
      <c r="E725" s="23" t="str">
        <f>IFERROR(IF(ISNUMBER('Revenues &amp; Outlays in GDP'!D731),TEXT('Revenues &amp; Outlays in GDP'!D731, "0.00"),""), "")</f>
        <v/>
      </c>
    </row>
    <row r="726" spans="1:5">
      <c r="A726" s="23" t="str">
        <f>TEXT(IF('Revenues &amp; Outlays in GDP'!B732&lt;&gt;0,'Revenues &amp; Outlays in GDP'!B732-364, ""), "mm/dd/yyyy")</f>
        <v/>
      </c>
      <c r="B726" s="23" t="str">
        <f>IFERROR(IF(ISNUMBER('Revenues &amp; Outlays in GDP'!E732),TEXT('Revenues &amp; Outlays in GDP'!E732, "0.00"),""), "")</f>
        <v/>
      </c>
      <c r="C726" s="23" t="str">
        <f>IFERROR(IF(ISNUMBER('Revenues &amp; Outlays in GDP'!C732),TEXT('Revenues &amp; Outlays in GDP'!C732, "0.00"),""), "")</f>
        <v/>
      </c>
      <c r="D726" s="23" t="str">
        <f>IFERROR(IF(ISNUMBER('Revenues &amp; Outlays in GDP'!F732),TEXT('Revenues &amp; Outlays in GDP'!F732, "0.00"),""), "")</f>
        <v/>
      </c>
      <c r="E726" s="23" t="str">
        <f>IFERROR(IF(ISNUMBER('Revenues &amp; Outlays in GDP'!D732),TEXT('Revenues &amp; Outlays in GDP'!D732, "0.00"),""), "")</f>
        <v/>
      </c>
    </row>
    <row r="727" spans="1:5">
      <c r="A727" s="23" t="str">
        <f>TEXT(IF('Revenues &amp; Outlays in GDP'!B733&lt;&gt;0,'Revenues &amp; Outlays in GDP'!B733-364, ""), "mm/dd/yyyy")</f>
        <v/>
      </c>
      <c r="B727" s="23" t="str">
        <f>IFERROR(IF(ISNUMBER('Revenues &amp; Outlays in GDP'!E733),TEXT('Revenues &amp; Outlays in GDP'!E733, "0.00"),""), "")</f>
        <v/>
      </c>
      <c r="C727" s="23" t="str">
        <f>IFERROR(IF(ISNUMBER('Revenues &amp; Outlays in GDP'!C733),TEXT('Revenues &amp; Outlays in GDP'!C733, "0.00"),""), "")</f>
        <v/>
      </c>
      <c r="D727" s="23" t="str">
        <f>IFERROR(IF(ISNUMBER('Revenues &amp; Outlays in GDP'!F733),TEXT('Revenues &amp; Outlays in GDP'!F733, "0.00"),""), "")</f>
        <v/>
      </c>
      <c r="E727" s="23" t="str">
        <f>IFERROR(IF(ISNUMBER('Revenues &amp; Outlays in GDP'!D733),TEXT('Revenues &amp; Outlays in GDP'!D733, "0.00"),""), "")</f>
        <v/>
      </c>
    </row>
    <row r="728" spans="1:5">
      <c r="A728" s="23" t="str">
        <f>TEXT(IF('Revenues &amp; Outlays in GDP'!B734&lt;&gt;0,'Revenues &amp; Outlays in GDP'!B734-364, ""), "mm/dd/yyyy")</f>
        <v/>
      </c>
      <c r="B728" s="23" t="str">
        <f>IFERROR(IF(ISNUMBER('Revenues &amp; Outlays in GDP'!E734),TEXT('Revenues &amp; Outlays in GDP'!E734, "0.00"),""), "")</f>
        <v/>
      </c>
      <c r="C728" s="23" t="str">
        <f>IFERROR(IF(ISNUMBER('Revenues &amp; Outlays in GDP'!C734),TEXT('Revenues &amp; Outlays in GDP'!C734, "0.00"),""), "")</f>
        <v/>
      </c>
      <c r="D728" s="23" t="str">
        <f>IFERROR(IF(ISNUMBER('Revenues &amp; Outlays in GDP'!F734),TEXT('Revenues &amp; Outlays in GDP'!F734, "0.00"),""), "")</f>
        <v/>
      </c>
      <c r="E728" s="23" t="str">
        <f>IFERROR(IF(ISNUMBER('Revenues &amp; Outlays in GDP'!D734),TEXT('Revenues &amp; Outlays in GDP'!D734, "0.00"),""), "")</f>
        <v/>
      </c>
    </row>
    <row r="729" spans="1:5">
      <c r="A729" s="23" t="str">
        <f>TEXT(IF('Revenues &amp; Outlays in GDP'!B735&lt;&gt;0,'Revenues &amp; Outlays in GDP'!B735-364, ""), "mm/dd/yyyy")</f>
        <v/>
      </c>
      <c r="B729" s="23" t="str">
        <f>IFERROR(IF(ISNUMBER('Revenues &amp; Outlays in GDP'!E735),TEXT('Revenues &amp; Outlays in GDP'!E735, "0.00"),""), "")</f>
        <v/>
      </c>
      <c r="C729" s="23" t="str">
        <f>IFERROR(IF(ISNUMBER('Revenues &amp; Outlays in GDP'!C735),TEXT('Revenues &amp; Outlays in GDP'!C735, "0.00"),""), "")</f>
        <v/>
      </c>
      <c r="D729" s="23" t="str">
        <f>IFERROR(IF(ISNUMBER('Revenues &amp; Outlays in GDP'!F735),TEXT('Revenues &amp; Outlays in GDP'!F735, "0.00"),""), "")</f>
        <v/>
      </c>
      <c r="E729" s="23" t="str">
        <f>IFERROR(IF(ISNUMBER('Revenues &amp; Outlays in GDP'!D735),TEXT('Revenues &amp; Outlays in GDP'!D735, "0.00"),""), "")</f>
        <v/>
      </c>
    </row>
    <row r="730" spans="1:5">
      <c r="A730" s="23" t="str">
        <f>TEXT(IF('Revenues &amp; Outlays in GDP'!B736&lt;&gt;0,'Revenues &amp; Outlays in GDP'!B736-364, ""), "mm/dd/yyyy")</f>
        <v/>
      </c>
      <c r="B730" s="23" t="str">
        <f>IFERROR(IF(ISNUMBER('Revenues &amp; Outlays in GDP'!E736),TEXT('Revenues &amp; Outlays in GDP'!E736, "0.00"),""), "")</f>
        <v/>
      </c>
      <c r="C730" s="23" t="str">
        <f>IFERROR(IF(ISNUMBER('Revenues &amp; Outlays in GDP'!C736),TEXT('Revenues &amp; Outlays in GDP'!C736, "0.00"),""), "")</f>
        <v/>
      </c>
      <c r="D730" s="23" t="str">
        <f>IFERROR(IF(ISNUMBER('Revenues &amp; Outlays in GDP'!F736),TEXT('Revenues &amp; Outlays in GDP'!F736, "0.00"),""), "")</f>
        <v/>
      </c>
      <c r="E730" s="23" t="str">
        <f>IFERROR(IF(ISNUMBER('Revenues &amp; Outlays in GDP'!D736),TEXT('Revenues &amp; Outlays in GDP'!D736, "0.00"),""), "")</f>
        <v/>
      </c>
    </row>
    <row r="731" spans="1:5">
      <c r="A731" s="23" t="str">
        <f>TEXT(IF('Revenues &amp; Outlays in GDP'!B737&lt;&gt;0,'Revenues &amp; Outlays in GDP'!B737-364, ""), "mm/dd/yyyy")</f>
        <v/>
      </c>
      <c r="B731" s="23" t="str">
        <f>IFERROR(IF(ISNUMBER('Revenues &amp; Outlays in GDP'!E737),TEXT('Revenues &amp; Outlays in GDP'!E737, "0.00"),""), "")</f>
        <v/>
      </c>
      <c r="C731" s="23" t="str">
        <f>IFERROR(IF(ISNUMBER('Revenues &amp; Outlays in GDP'!C737),TEXT('Revenues &amp; Outlays in GDP'!C737, "0.00"),""), "")</f>
        <v/>
      </c>
      <c r="D731" s="23" t="str">
        <f>IFERROR(IF(ISNUMBER('Revenues &amp; Outlays in GDP'!F737),TEXT('Revenues &amp; Outlays in GDP'!F737, "0.00"),""), "")</f>
        <v/>
      </c>
      <c r="E731" s="23" t="str">
        <f>IFERROR(IF(ISNUMBER('Revenues &amp; Outlays in GDP'!D737),TEXT('Revenues &amp; Outlays in GDP'!D737, "0.00"),""), "")</f>
        <v/>
      </c>
    </row>
    <row r="732" spans="1:5">
      <c r="A732" s="23" t="str">
        <f>TEXT(IF('Revenues &amp; Outlays in GDP'!B738&lt;&gt;0,'Revenues &amp; Outlays in GDP'!B738-364, ""), "mm/dd/yyyy")</f>
        <v/>
      </c>
      <c r="B732" s="23" t="str">
        <f>IFERROR(IF(ISNUMBER('Revenues &amp; Outlays in GDP'!E738),TEXT('Revenues &amp; Outlays in GDP'!E738, "0.00"),""), "")</f>
        <v/>
      </c>
      <c r="C732" s="23" t="str">
        <f>IFERROR(IF(ISNUMBER('Revenues &amp; Outlays in GDP'!C738),TEXT('Revenues &amp; Outlays in GDP'!C738, "0.00"),""), "")</f>
        <v/>
      </c>
      <c r="D732" s="23" t="str">
        <f>IFERROR(IF(ISNUMBER('Revenues &amp; Outlays in GDP'!F738),TEXT('Revenues &amp; Outlays in GDP'!F738, "0.00"),""), "")</f>
        <v/>
      </c>
      <c r="E732" s="23" t="str">
        <f>IFERROR(IF(ISNUMBER('Revenues &amp; Outlays in GDP'!D738),TEXT('Revenues &amp; Outlays in GDP'!D738, "0.00"),""), "")</f>
        <v/>
      </c>
    </row>
    <row r="733" spans="1:5">
      <c r="A733" s="23" t="str">
        <f>TEXT(IF('Revenues &amp; Outlays in GDP'!B739&lt;&gt;0,'Revenues &amp; Outlays in GDP'!B739-364, ""), "mm/dd/yyyy")</f>
        <v/>
      </c>
      <c r="B733" s="23" t="str">
        <f>IFERROR(IF(ISNUMBER('Revenues &amp; Outlays in GDP'!E739),TEXT('Revenues &amp; Outlays in GDP'!E739, "0.00"),""), "")</f>
        <v/>
      </c>
      <c r="C733" s="23" t="str">
        <f>IFERROR(IF(ISNUMBER('Revenues &amp; Outlays in GDP'!C739),TEXT('Revenues &amp; Outlays in GDP'!C739, "0.00"),""), "")</f>
        <v/>
      </c>
      <c r="D733" s="23" t="str">
        <f>IFERROR(IF(ISNUMBER('Revenues &amp; Outlays in GDP'!F739),TEXT('Revenues &amp; Outlays in GDP'!F739, "0.00"),""), "")</f>
        <v/>
      </c>
      <c r="E733" s="23" t="str">
        <f>IFERROR(IF(ISNUMBER('Revenues &amp; Outlays in GDP'!D739),TEXT('Revenues &amp; Outlays in GDP'!D739, "0.00"),""), "")</f>
        <v/>
      </c>
    </row>
    <row r="734" spans="1:5">
      <c r="A734" s="23" t="str">
        <f>TEXT(IF('Revenues &amp; Outlays in GDP'!B740&lt;&gt;0,'Revenues &amp; Outlays in GDP'!B740-364, ""), "mm/dd/yyyy")</f>
        <v/>
      </c>
      <c r="B734" s="23" t="str">
        <f>IFERROR(IF(ISNUMBER('Revenues &amp; Outlays in GDP'!E740),TEXT('Revenues &amp; Outlays in GDP'!E740, "0.00"),""), "")</f>
        <v/>
      </c>
      <c r="C734" s="23" t="str">
        <f>IFERROR(IF(ISNUMBER('Revenues &amp; Outlays in GDP'!C740),TEXT('Revenues &amp; Outlays in GDP'!C740, "0.00"),""), "")</f>
        <v/>
      </c>
      <c r="D734" s="23" t="str">
        <f>IFERROR(IF(ISNUMBER('Revenues &amp; Outlays in GDP'!F740),TEXT('Revenues &amp; Outlays in GDP'!F740, "0.00"),""), "")</f>
        <v/>
      </c>
      <c r="E734" s="23" t="str">
        <f>IFERROR(IF(ISNUMBER('Revenues &amp; Outlays in GDP'!D740),TEXT('Revenues &amp; Outlays in GDP'!D740, "0.00"),""), "")</f>
        <v/>
      </c>
    </row>
    <row r="735" spans="1:5">
      <c r="A735" s="23" t="str">
        <f>TEXT(IF('Revenues &amp; Outlays in GDP'!B741&lt;&gt;0,'Revenues &amp; Outlays in GDP'!B741-364, ""), "mm/dd/yyyy")</f>
        <v/>
      </c>
      <c r="B735" s="23" t="str">
        <f>IFERROR(IF(ISNUMBER('Revenues &amp; Outlays in GDP'!E741),TEXT('Revenues &amp; Outlays in GDP'!E741, "0.00"),""), "")</f>
        <v/>
      </c>
      <c r="C735" s="23" t="str">
        <f>IFERROR(IF(ISNUMBER('Revenues &amp; Outlays in GDP'!C741),TEXT('Revenues &amp; Outlays in GDP'!C741, "0.00"),""), "")</f>
        <v/>
      </c>
      <c r="D735" s="23" t="str">
        <f>IFERROR(IF(ISNUMBER('Revenues &amp; Outlays in GDP'!F741),TEXT('Revenues &amp; Outlays in GDP'!F741, "0.00"),""), "")</f>
        <v/>
      </c>
      <c r="E735" s="23" t="str">
        <f>IFERROR(IF(ISNUMBER('Revenues &amp; Outlays in GDP'!D741),TEXT('Revenues &amp; Outlays in GDP'!D741, "0.00"),""), "")</f>
        <v/>
      </c>
    </row>
    <row r="736" spans="1:5">
      <c r="A736" s="23" t="str">
        <f>TEXT(IF('Revenues &amp; Outlays in GDP'!B742&lt;&gt;0,'Revenues &amp; Outlays in GDP'!B742-364, ""), "mm/dd/yyyy")</f>
        <v/>
      </c>
      <c r="B736" s="23" t="str">
        <f>IFERROR(IF(ISNUMBER('Revenues &amp; Outlays in GDP'!E742),TEXT('Revenues &amp; Outlays in GDP'!E742, "0.00"),""), "")</f>
        <v/>
      </c>
      <c r="C736" s="23" t="str">
        <f>IFERROR(IF(ISNUMBER('Revenues &amp; Outlays in GDP'!C742),TEXT('Revenues &amp; Outlays in GDP'!C742, "0.00"),""), "")</f>
        <v/>
      </c>
      <c r="D736" s="23" t="str">
        <f>IFERROR(IF(ISNUMBER('Revenues &amp; Outlays in GDP'!F742),TEXT('Revenues &amp; Outlays in GDP'!F742, "0.00"),""), "")</f>
        <v/>
      </c>
      <c r="E736" s="23" t="str">
        <f>IFERROR(IF(ISNUMBER('Revenues &amp; Outlays in GDP'!D742),TEXT('Revenues &amp; Outlays in GDP'!D742, "0.00"),""), "")</f>
        <v/>
      </c>
    </row>
    <row r="737" spans="1:5">
      <c r="A737" s="23" t="str">
        <f>TEXT(IF('Revenues &amp; Outlays in GDP'!B743&lt;&gt;0,'Revenues &amp; Outlays in GDP'!B743-364, ""), "mm/dd/yyyy")</f>
        <v/>
      </c>
      <c r="B737" s="23" t="str">
        <f>IFERROR(IF(ISNUMBER('Revenues &amp; Outlays in GDP'!E743),TEXT('Revenues &amp; Outlays in GDP'!E743, "0.00"),""), "")</f>
        <v/>
      </c>
      <c r="C737" s="23" t="str">
        <f>IFERROR(IF(ISNUMBER('Revenues &amp; Outlays in GDP'!C743),TEXT('Revenues &amp; Outlays in GDP'!C743, "0.00"),""), "")</f>
        <v/>
      </c>
      <c r="D737" s="23" t="str">
        <f>IFERROR(IF(ISNUMBER('Revenues &amp; Outlays in GDP'!F743),TEXT('Revenues &amp; Outlays in GDP'!F743, "0.00"),""), "")</f>
        <v/>
      </c>
      <c r="E737" s="23" t="str">
        <f>IFERROR(IF(ISNUMBER('Revenues &amp; Outlays in GDP'!D743),TEXT('Revenues &amp; Outlays in GDP'!D743, "0.00"),""), "")</f>
        <v/>
      </c>
    </row>
    <row r="738" spans="1:5">
      <c r="A738" s="23" t="str">
        <f>TEXT(IF('Revenues &amp; Outlays in GDP'!B744&lt;&gt;0,'Revenues &amp; Outlays in GDP'!B744-364, ""), "mm/dd/yyyy")</f>
        <v/>
      </c>
      <c r="B738" s="23" t="str">
        <f>IFERROR(IF(ISNUMBER('Revenues &amp; Outlays in GDP'!E744),TEXT('Revenues &amp; Outlays in GDP'!E744, "0.00"),""), "")</f>
        <v/>
      </c>
      <c r="C738" s="23" t="str">
        <f>IFERROR(IF(ISNUMBER('Revenues &amp; Outlays in GDP'!C744),TEXT('Revenues &amp; Outlays in GDP'!C744, "0.00"),""), "")</f>
        <v/>
      </c>
      <c r="D738" s="23" t="str">
        <f>IFERROR(IF(ISNUMBER('Revenues &amp; Outlays in GDP'!F744),TEXT('Revenues &amp; Outlays in GDP'!F744, "0.00"),""), "")</f>
        <v/>
      </c>
      <c r="E738" s="23" t="str">
        <f>IFERROR(IF(ISNUMBER('Revenues &amp; Outlays in GDP'!D744),TEXT('Revenues &amp; Outlays in GDP'!D744, "0.00"),""), "")</f>
        <v/>
      </c>
    </row>
    <row r="739" spans="1:5">
      <c r="A739" s="23" t="str">
        <f>TEXT(IF('Revenues &amp; Outlays in GDP'!B745&lt;&gt;0,'Revenues &amp; Outlays in GDP'!B745-364, ""), "mm/dd/yyyy")</f>
        <v/>
      </c>
      <c r="B739" s="23" t="str">
        <f>IFERROR(IF(ISNUMBER('Revenues &amp; Outlays in GDP'!E745),TEXT('Revenues &amp; Outlays in GDP'!E745, "0.00"),""), "")</f>
        <v/>
      </c>
      <c r="C739" s="23" t="str">
        <f>IFERROR(IF(ISNUMBER('Revenues &amp; Outlays in GDP'!C745),TEXT('Revenues &amp; Outlays in GDP'!C745, "0.00"),""), "")</f>
        <v/>
      </c>
      <c r="D739" s="23" t="str">
        <f>IFERROR(IF(ISNUMBER('Revenues &amp; Outlays in GDP'!F745),TEXT('Revenues &amp; Outlays in GDP'!F745, "0.00"),""), "")</f>
        <v/>
      </c>
      <c r="E739" s="23" t="str">
        <f>IFERROR(IF(ISNUMBER('Revenues &amp; Outlays in GDP'!D745),TEXT('Revenues &amp; Outlays in GDP'!D745, "0.00"),""), "")</f>
        <v/>
      </c>
    </row>
    <row r="740" spans="1:5">
      <c r="A740" s="23" t="str">
        <f>TEXT(IF('Revenues &amp; Outlays in GDP'!B746&lt;&gt;0,'Revenues &amp; Outlays in GDP'!B746-364, ""), "mm/dd/yyyy")</f>
        <v/>
      </c>
      <c r="B740" s="23" t="str">
        <f>IFERROR(IF(ISNUMBER('Revenues &amp; Outlays in GDP'!E746),TEXT('Revenues &amp; Outlays in GDP'!E746, "0.00"),""), "")</f>
        <v/>
      </c>
      <c r="C740" s="23" t="str">
        <f>IFERROR(IF(ISNUMBER('Revenues &amp; Outlays in GDP'!C746),TEXT('Revenues &amp; Outlays in GDP'!C746, "0.00"),""), "")</f>
        <v/>
      </c>
      <c r="D740" s="23" t="str">
        <f>IFERROR(IF(ISNUMBER('Revenues &amp; Outlays in GDP'!F746),TEXT('Revenues &amp; Outlays in GDP'!F746, "0.00"),""), "")</f>
        <v/>
      </c>
      <c r="E740" s="23" t="str">
        <f>IFERROR(IF(ISNUMBER('Revenues &amp; Outlays in GDP'!D746),TEXT('Revenues &amp; Outlays in GDP'!D746, "0.00"),""), "")</f>
        <v/>
      </c>
    </row>
    <row r="741" spans="1:5">
      <c r="A741" s="23" t="str">
        <f>TEXT(IF('Revenues &amp; Outlays in GDP'!B747&lt;&gt;0,'Revenues &amp; Outlays in GDP'!B747-364, ""), "mm/dd/yyyy")</f>
        <v/>
      </c>
      <c r="B741" s="23" t="str">
        <f>IFERROR(IF(ISNUMBER('Revenues &amp; Outlays in GDP'!E747),TEXT('Revenues &amp; Outlays in GDP'!E747, "0.00"),""), "")</f>
        <v/>
      </c>
      <c r="C741" s="23" t="str">
        <f>IFERROR(IF(ISNUMBER('Revenues &amp; Outlays in GDP'!C747),TEXT('Revenues &amp; Outlays in GDP'!C747, "0.00"),""), "")</f>
        <v/>
      </c>
      <c r="D741" s="23" t="str">
        <f>IFERROR(IF(ISNUMBER('Revenues &amp; Outlays in GDP'!F747),TEXT('Revenues &amp; Outlays in GDP'!F747, "0.00"),""), "")</f>
        <v/>
      </c>
      <c r="E741" s="23" t="str">
        <f>IFERROR(IF(ISNUMBER('Revenues &amp; Outlays in GDP'!D747),TEXT('Revenues &amp; Outlays in GDP'!D747, "0.00"),""), "")</f>
        <v/>
      </c>
    </row>
    <row r="742" spans="1:5">
      <c r="A742" s="23" t="str">
        <f>TEXT(IF('Revenues &amp; Outlays in GDP'!B748&lt;&gt;0,'Revenues &amp; Outlays in GDP'!B748-364, ""), "mm/dd/yyyy")</f>
        <v/>
      </c>
      <c r="B742" s="23" t="str">
        <f>IFERROR(IF(ISNUMBER('Revenues &amp; Outlays in GDP'!E748),TEXT('Revenues &amp; Outlays in GDP'!E748, "0.00"),""), "")</f>
        <v/>
      </c>
      <c r="C742" s="23" t="str">
        <f>IFERROR(IF(ISNUMBER('Revenues &amp; Outlays in GDP'!C748),TEXT('Revenues &amp; Outlays in GDP'!C748, "0.00"),""), "")</f>
        <v/>
      </c>
      <c r="D742" s="23" t="str">
        <f>IFERROR(IF(ISNUMBER('Revenues &amp; Outlays in GDP'!F748),TEXT('Revenues &amp; Outlays in GDP'!F748, "0.00"),""), "")</f>
        <v/>
      </c>
      <c r="E742" s="23" t="str">
        <f>IFERROR(IF(ISNUMBER('Revenues &amp; Outlays in GDP'!D748),TEXT('Revenues &amp; Outlays in GDP'!D748, "0.00"),""), "")</f>
        <v/>
      </c>
    </row>
    <row r="743" spans="1:5">
      <c r="A743" s="23" t="str">
        <f>TEXT(IF('Revenues &amp; Outlays in GDP'!B749&lt;&gt;0,'Revenues &amp; Outlays in GDP'!B749-364, ""), "mm/dd/yyyy")</f>
        <v/>
      </c>
      <c r="B743" s="23" t="str">
        <f>IFERROR(IF(ISNUMBER('Revenues &amp; Outlays in GDP'!E749),TEXT('Revenues &amp; Outlays in GDP'!E749, "0.00"),""), "")</f>
        <v/>
      </c>
      <c r="C743" s="23" t="str">
        <f>IFERROR(IF(ISNUMBER('Revenues &amp; Outlays in GDP'!C749),TEXT('Revenues &amp; Outlays in GDP'!C749, "0.00"),""), "")</f>
        <v/>
      </c>
      <c r="D743" s="23" t="str">
        <f>IFERROR(IF(ISNUMBER('Revenues &amp; Outlays in GDP'!F749),TEXT('Revenues &amp; Outlays in GDP'!F749, "0.00"),""), "")</f>
        <v/>
      </c>
      <c r="E743" s="23" t="str">
        <f>IFERROR(IF(ISNUMBER('Revenues &amp; Outlays in GDP'!D749),TEXT('Revenues &amp; Outlays in GDP'!D749, "0.00"),""), "")</f>
        <v/>
      </c>
    </row>
    <row r="744" spans="1:5">
      <c r="A744" s="23" t="str">
        <f>TEXT(IF('Revenues &amp; Outlays in GDP'!B750&lt;&gt;0,'Revenues &amp; Outlays in GDP'!B750-364, ""), "mm/dd/yyyy")</f>
        <v/>
      </c>
      <c r="B744" s="23" t="str">
        <f>IFERROR(IF(ISNUMBER('Revenues &amp; Outlays in GDP'!E750),TEXT('Revenues &amp; Outlays in GDP'!E750, "0.00"),""), "")</f>
        <v/>
      </c>
      <c r="C744" s="23" t="str">
        <f>IFERROR(IF(ISNUMBER('Revenues &amp; Outlays in GDP'!C750),TEXT('Revenues &amp; Outlays in GDP'!C750, "0.00"),""), "")</f>
        <v/>
      </c>
      <c r="D744" s="23" t="str">
        <f>IFERROR(IF(ISNUMBER('Revenues &amp; Outlays in GDP'!F750),TEXT('Revenues &amp; Outlays in GDP'!F750, "0.00"),""), "")</f>
        <v/>
      </c>
      <c r="E744" s="23" t="str">
        <f>IFERROR(IF(ISNUMBER('Revenues &amp; Outlays in GDP'!D750),TEXT('Revenues &amp; Outlays in GDP'!D750, "0.00"),""), "")</f>
        <v/>
      </c>
    </row>
    <row r="745" spans="1:5">
      <c r="A745" s="23" t="str">
        <f>TEXT(IF('Revenues &amp; Outlays in GDP'!B751&lt;&gt;0,'Revenues &amp; Outlays in GDP'!B751-364, ""), "mm/dd/yyyy")</f>
        <v/>
      </c>
      <c r="B745" s="23" t="str">
        <f>IFERROR(IF(ISNUMBER('Revenues &amp; Outlays in GDP'!E751),TEXT('Revenues &amp; Outlays in GDP'!E751, "0.00"),""), "")</f>
        <v/>
      </c>
      <c r="C745" s="23" t="str">
        <f>IFERROR(IF(ISNUMBER('Revenues &amp; Outlays in GDP'!C751),TEXT('Revenues &amp; Outlays in GDP'!C751, "0.00"),""), "")</f>
        <v/>
      </c>
      <c r="D745" s="23" t="str">
        <f>IFERROR(IF(ISNUMBER('Revenues &amp; Outlays in GDP'!F751),TEXT('Revenues &amp; Outlays in GDP'!F751, "0.00"),""), "")</f>
        <v/>
      </c>
      <c r="E745" s="23" t="str">
        <f>IFERROR(IF(ISNUMBER('Revenues &amp; Outlays in GDP'!D751),TEXT('Revenues &amp; Outlays in GDP'!D751, "0.00"),""), "")</f>
        <v/>
      </c>
    </row>
    <row r="746" spans="1:5">
      <c r="A746" s="23" t="str">
        <f>TEXT(IF('Revenues &amp; Outlays in GDP'!B752&lt;&gt;0,'Revenues &amp; Outlays in GDP'!B752-364, ""), "mm/dd/yyyy")</f>
        <v/>
      </c>
      <c r="B746" s="23" t="str">
        <f>IFERROR(IF(ISNUMBER('Revenues &amp; Outlays in GDP'!E752),TEXT('Revenues &amp; Outlays in GDP'!E752, "0.00"),""), "")</f>
        <v/>
      </c>
      <c r="C746" s="23" t="str">
        <f>IFERROR(IF(ISNUMBER('Revenues &amp; Outlays in GDP'!C752),TEXT('Revenues &amp; Outlays in GDP'!C752, "0.00"),""), "")</f>
        <v/>
      </c>
      <c r="D746" s="23" t="str">
        <f>IFERROR(IF(ISNUMBER('Revenues &amp; Outlays in GDP'!F752),TEXT('Revenues &amp; Outlays in GDP'!F752, "0.00"),""), "")</f>
        <v/>
      </c>
      <c r="E746" s="23" t="str">
        <f>IFERROR(IF(ISNUMBER('Revenues &amp; Outlays in GDP'!D752),TEXT('Revenues &amp; Outlays in GDP'!D752, "0.00"),""), "")</f>
        <v/>
      </c>
    </row>
    <row r="747" spans="1:5">
      <c r="A747" s="23" t="str">
        <f>TEXT(IF('Revenues &amp; Outlays in GDP'!B753&lt;&gt;0,'Revenues &amp; Outlays in GDP'!B753-364, ""), "mm/dd/yyyy")</f>
        <v/>
      </c>
      <c r="B747" s="23" t="str">
        <f>IFERROR(IF(ISNUMBER('Revenues &amp; Outlays in GDP'!E753),TEXT('Revenues &amp; Outlays in GDP'!E753, "0.00"),""), "")</f>
        <v/>
      </c>
      <c r="C747" s="23" t="str">
        <f>IFERROR(IF(ISNUMBER('Revenues &amp; Outlays in GDP'!C753),TEXT('Revenues &amp; Outlays in GDP'!C753, "0.00"),""), "")</f>
        <v/>
      </c>
      <c r="D747" s="23" t="str">
        <f>IFERROR(IF(ISNUMBER('Revenues &amp; Outlays in GDP'!F753),TEXT('Revenues &amp; Outlays in GDP'!F753, "0.00"),""), "")</f>
        <v/>
      </c>
      <c r="E747" s="23" t="str">
        <f>IFERROR(IF(ISNUMBER('Revenues &amp; Outlays in GDP'!D753),TEXT('Revenues &amp; Outlays in GDP'!D753, "0.00"),""), "")</f>
        <v/>
      </c>
    </row>
    <row r="748" spans="1:5">
      <c r="A748" s="23" t="str">
        <f>TEXT(IF('Revenues &amp; Outlays in GDP'!B754&lt;&gt;0,'Revenues &amp; Outlays in GDP'!B754-364, ""), "mm/dd/yyyy")</f>
        <v/>
      </c>
      <c r="B748" s="23" t="str">
        <f>IFERROR(IF(ISNUMBER('Revenues &amp; Outlays in GDP'!E754),TEXT('Revenues &amp; Outlays in GDP'!E754, "0.00"),""), "")</f>
        <v/>
      </c>
      <c r="C748" s="23" t="str">
        <f>IFERROR(IF(ISNUMBER('Revenues &amp; Outlays in GDP'!C754),TEXT('Revenues &amp; Outlays in GDP'!C754, "0.00"),""), "")</f>
        <v/>
      </c>
      <c r="D748" s="23" t="str">
        <f>IFERROR(IF(ISNUMBER('Revenues &amp; Outlays in GDP'!F754),TEXT('Revenues &amp; Outlays in GDP'!F754, "0.00"),""), "")</f>
        <v/>
      </c>
      <c r="E748" s="23" t="str">
        <f>IFERROR(IF(ISNUMBER('Revenues &amp; Outlays in GDP'!D754),TEXT('Revenues &amp; Outlays in GDP'!D754, "0.00"),""), "")</f>
        <v/>
      </c>
    </row>
    <row r="749" spans="1:5">
      <c r="A749" s="23" t="str">
        <f>TEXT(IF('Revenues &amp; Outlays in GDP'!B755&lt;&gt;0,'Revenues &amp; Outlays in GDP'!B755-364, ""), "mm/dd/yyyy")</f>
        <v/>
      </c>
      <c r="B749" s="23" t="str">
        <f>IFERROR(IF(ISNUMBER('Revenues &amp; Outlays in GDP'!E755),TEXT('Revenues &amp; Outlays in GDP'!E755, "0.00"),""), "")</f>
        <v/>
      </c>
      <c r="C749" s="23" t="str">
        <f>IFERROR(IF(ISNUMBER('Revenues &amp; Outlays in GDP'!C755),TEXT('Revenues &amp; Outlays in GDP'!C755, "0.00"),""), "")</f>
        <v/>
      </c>
      <c r="D749" s="23" t="str">
        <f>IFERROR(IF(ISNUMBER('Revenues &amp; Outlays in GDP'!F755),TEXT('Revenues &amp; Outlays in GDP'!F755, "0.00"),""), "")</f>
        <v/>
      </c>
      <c r="E749" s="23" t="str">
        <f>IFERROR(IF(ISNUMBER('Revenues &amp; Outlays in GDP'!D755),TEXT('Revenues &amp; Outlays in GDP'!D755, "0.00"),""), "")</f>
        <v/>
      </c>
    </row>
    <row r="750" spans="1:5">
      <c r="A750" s="23" t="str">
        <f>TEXT(IF('Revenues &amp; Outlays in GDP'!B756&lt;&gt;0,'Revenues &amp; Outlays in GDP'!B756-364, ""), "mm/dd/yyyy")</f>
        <v/>
      </c>
      <c r="B750" s="23" t="str">
        <f>IFERROR(IF(ISNUMBER('Revenues &amp; Outlays in GDP'!E756),TEXT('Revenues &amp; Outlays in GDP'!E756, "0.00"),""), "")</f>
        <v/>
      </c>
      <c r="C750" s="23" t="str">
        <f>IFERROR(IF(ISNUMBER('Revenues &amp; Outlays in GDP'!C756),TEXT('Revenues &amp; Outlays in GDP'!C756, "0.00"),""), "")</f>
        <v/>
      </c>
      <c r="D750" s="23" t="str">
        <f>IFERROR(IF(ISNUMBER('Revenues &amp; Outlays in GDP'!F756),TEXT('Revenues &amp; Outlays in GDP'!F756, "0.00"),""), "")</f>
        <v/>
      </c>
      <c r="E750" s="23" t="str">
        <f>IFERROR(IF(ISNUMBER('Revenues &amp; Outlays in GDP'!D756),TEXT('Revenues &amp; Outlays in GDP'!D756, "0.00"),""), "")</f>
        <v/>
      </c>
    </row>
    <row r="751" spans="1:5">
      <c r="A751" s="23" t="str">
        <f>TEXT(IF('Revenues &amp; Outlays in GDP'!B757&lt;&gt;0,'Revenues &amp; Outlays in GDP'!B757-364, ""), "mm/dd/yyyy")</f>
        <v/>
      </c>
      <c r="B751" s="23" t="str">
        <f>IFERROR(IF(ISNUMBER('Revenues &amp; Outlays in GDP'!E757),TEXT('Revenues &amp; Outlays in GDP'!E757, "0.00"),""), "")</f>
        <v/>
      </c>
      <c r="C751" s="23" t="str">
        <f>IFERROR(IF(ISNUMBER('Revenues &amp; Outlays in GDP'!C757),TEXT('Revenues &amp; Outlays in GDP'!C757, "0.00"),""), "")</f>
        <v/>
      </c>
      <c r="D751" s="23" t="str">
        <f>IFERROR(IF(ISNUMBER('Revenues &amp; Outlays in GDP'!F757),TEXT('Revenues &amp; Outlays in GDP'!F757, "0.00"),""), "")</f>
        <v/>
      </c>
      <c r="E751" s="23" t="str">
        <f>IFERROR(IF(ISNUMBER('Revenues &amp; Outlays in GDP'!D757),TEXT('Revenues &amp; Outlays in GDP'!D757, "0.00"),""), "")</f>
        <v/>
      </c>
    </row>
    <row r="752" spans="1:5">
      <c r="A752" s="23" t="str">
        <f>TEXT(IF('Revenues &amp; Outlays in GDP'!B758&lt;&gt;0,'Revenues &amp; Outlays in GDP'!B758-364, ""), "mm/dd/yyyy")</f>
        <v/>
      </c>
      <c r="B752" s="23" t="str">
        <f>IFERROR(IF(ISNUMBER('Revenues &amp; Outlays in GDP'!E758),TEXT('Revenues &amp; Outlays in GDP'!E758, "0.00"),""), "")</f>
        <v/>
      </c>
      <c r="C752" s="23" t="str">
        <f>IFERROR(IF(ISNUMBER('Revenues &amp; Outlays in GDP'!C758),TEXT('Revenues &amp; Outlays in GDP'!C758, "0.00"),""), "")</f>
        <v/>
      </c>
      <c r="D752" s="23" t="str">
        <f>IFERROR(IF(ISNUMBER('Revenues &amp; Outlays in GDP'!F758),TEXT('Revenues &amp; Outlays in GDP'!F758, "0.00"),""), "")</f>
        <v/>
      </c>
      <c r="E752" s="23" t="str">
        <f>IFERROR(IF(ISNUMBER('Revenues &amp; Outlays in GDP'!D758),TEXT('Revenues &amp; Outlays in GDP'!D758, "0.00"),""), "")</f>
        <v/>
      </c>
    </row>
    <row r="753" spans="1:5">
      <c r="A753" s="23" t="str">
        <f>TEXT(IF('Revenues &amp; Outlays in GDP'!B759&lt;&gt;0,'Revenues &amp; Outlays in GDP'!B759-364, ""), "mm/dd/yyyy")</f>
        <v/>
      </c>
      <c r="B753" s="23" t="str">
        <f>IFERROR(IF(ISNUMBER('Revenues &amp; Outlays in GDP'!E759),TEXT('Revenues &amp; Outlays in GDP'!E759, "0.00"),""), "")</f>
        <v/>
      </c>
      <c r="C753" s="23" t="str">
        <f>IFERROR(IF(ISNUMBER('Revenues &amp; Outlays in GDP'!C759),TEXT('Revenues &amp; Outlays in GDP'!C759, "0.00"),""), "")</f>
        <v/>
      </c>
      <c r="D753" s="23" t="str">
        <f>IFERROR(IF(ISNUMBER('Revenues &amp; Outlays in GDP'!F759),TEXT('Revenues &amp; Outlays in GDP'!F759, "0.00"),""), "")</f>
        <v/>
      </c>
      <c r="E753" s="23" t="str">
        <f>IFERROR(IF(ISNUMBER('Revenues &amp; Outlays in GDP'!D759),TEXT('Revenues &amp; Outlays in GDP'!D759, "0.00"),""), "")</f>
        <v/>
      </c>
    </row>
    <row r="754" spans="1:5">
      <c r="A754" s="23" t="str">
        <f>TEXT(IF('Revenues &amp; Outlays in GDP'!B760&lt;&gt;0,'Revenues &amp; Outlays in GDP'!B760-364, ""), "mm/dd/yyyy")</f>
        <v/>
      </c>
      <c r="B754" s="23" t="str">
        <f>IFERROR(IF(ISNUMBER('Revenues &amp; Outlays in GDP'!E760),TEXT('Revenues &amp; Outlays in GDP'!E760, "0.00"),""), "")</f>
        <v/>
      </c>
      <c r="C754" s="23" t="str">
        <f>IFERROR(IF(ISNUMBER('Revenues &amp; Outlays in GDP'!C760),TEXT('Revenues &amp; Outlays in GDP'!C760, "0.00"),""), "")</f>
        <v/>
      </c>
      <c r="D754" s="23" t="str">
        <f>IFERROR(IF(ISNUMBER('Revenues &amp; Outlays in GDP'!F760),TEXT('Revenues &amp; Outlays in GDP'!F760, "0.00"),""), "")</f>
        <v/>
      </c>
      <c r="E754" s="23" t="str">
        <f>IFERROR(IF(ISNUMBER('Revenues &amp; Outlays in GDP'!D760),TEXT('Revenues &amp; Outlays in GDP'!D760, "0.00"),""), "")</f>
        <v/>
      </c>
    </row>
    <row r="755" spans="1:5">
      <c r="A755" s="23" t="str">
        <f>TEXT(IF('Revenues &amp; Outlays in GDP'!B761&lt;&gt;0,'Revenues &amp; Outlays in GDP'!B761-364, ""), "mm/dd/yyyy")</f>
        <v/>
      </c>
      <c r="B755" s="23" t="str">
        <f>IFERROR(IF(ISNUMBER('Revenues &amp; Outlays in GDP'!E761),TEXT('Revenues &amp; Outlays in GDP'!E761, "0.00"),""), "")</f>
        <v/>
      </c>
      <c r="C755" s="23" t="str">
        <f>IFERROR(IF(ISNUMBER('Revenues &amp; Outlays in GDP'!C761),TEXT('Revenues &amp; Outlays in GDP'!C761, "0.00"),""), "")</f>
        <v/>
      </c>
      <c r="D755" s="23" t="str">
        <f>IFERROR(IF(ISNUMBER('Revenues &amp; Outlays in GDP'!F761),TEXT('Revenues &amp; Outlays in GDP'!F761, "0.00"),""), "")</f>
        <v/>
      </c>
      <c r="E755" s="23" t="str">
        <f>IFERROR(IF(ISNUMBER('Revenues &amp; Outlays in GDP'!D761),TEXT('Revenues &amp; Outlays in GDP'!D761, "0.00"),""), "")</f>
        <v/>
      </c>
    </row>
    <row r="756" spans="1:5">
      <c r="A756" s="23" t="str">
        <f>TEXT(IF('Revenues &amp; Outlays in GDP'!B762&lt;&gt;0,'Revenues &amp; Outlays in GDP'!B762-364, ""), "mm/dd/yyyy")</f>
        <v/>
      </c>
      <c r="B756" s="23" t="str">
        <f>IFERROR(IF(ISNUMBER('Revenues &amp; Outlays in GDP'!E762),TEXT('Revenues &amp; Outlays in GDP'!E762, "0.00"),""), "")</f>
        <v/>
      </c>
      <c r="C756" s="23" t="str">
        <f>IFERROR(IF(ISNUMBER('Revenues &amp; Outlays in GDP'!C762),TEXT('Revenues &amp; Outlays in GDP'!C762, "0.00"),""), "")</f>
        <v/>
      </c>
      <c r="D756" s="23" t="str">
        <f>IFERROR(IF(ISNUMBER('Revenues &amp; Outlays in GDP'!F762),TEXT('Revenues &amp; Outlays in GDP'!F762, "0.00"),""), "")</f>
        <v/>
      </c>
      <c r="E756" s="23" t="str">
        <f>IFERROR(IF(ISNUMBER('Revenues &amp; Outlays in GDP'!D762),TEXT('Revenues &amp; Outlays in GDP'!D762, "0.00"),""), "")</f>
        <v/>
      </c>
    </row>
    <row r="757" spans="1:5">
      <c r="A757" s="23" t="str">
        <f>TEXT(IF('Revenues &amp; Outlays in GDP'!B763&lt;&gt;0,'Revenues &amp; Outlays in GDP'!B763-364, ""), "mm/dd/yyyy")</f>
        <v/>
      </c>
      <c r="B757" s="23" t="str">
        <f>IFERROR(IF(ISNUMBER('Revenues &amp; Outlays in GDP'!E763),TEXT('Revenues &amp; Outlays in GDP'!E763, "0.00"),""), "")</f>
        <v/>
      </c>
      <c r="C757" s="23" t="str">
        <f>IFERROR(IF(ISNUMBER('Revenues &amp; Outlays in GDP'!C763),TEXT('Revenues &amp; Outlays in GDP'!C763, "0.00"),""), "")</f>
        <v/>
      </c>
      <c r="D757" s="23" t="str">
        <f>IFERROR(IF(ISNUMBER('Revenues &amp; Outlays in GDP'!F763),TEXT('Revenues &amp; Outlays in GDP'!F763, "0.00"),""), "")</f>
        <v/>
      </c>
      <c r="E757" s="23" t="str">
        <f>IFERROR(IF(ISNUMBER('Revenues &amp; Outlays in GDP'!D763),TEXT('Revenues &amp; Outlays in GDP'!D763, "0.00"),""), "")</f>
        <v/>
      </c>
    </row>
    <row r="758" spans="1:5">
      <c r="A758" s="23" t="str">
        <f>TEXT(IF('Revenues &amp; Outlays in GDP'!B764&lt;&gt;0,'Revenues &amp; Outlays in GDP'!B764-364, ""), "mm/dd/yyyy")</f>
        <v/>
      </c>
      <c r="B758" s="23" t="str">
        <f>IFERROR(IF(ISNUMBER('Revenues &amp; Outlays in GDP'!E764),TEXT('Revenues &amp; Outlays in GDP'!E764, "0.00"),""), "")</f>
        <v/>
      </c>
      <c r="C758" s="23" t="str">
        <f>IFERROR(IF(ISNUMBER('Revenues &amp; Outlays in GDP'!C764),TEXT('Revenues &amp; Outlays in GDP'!C764, "0.00"),""), "")</f>
        <v/>
      </c>
      <c r="D758" s="23" t="str">
        <f>IFERROR(IF(ISNUMBER('Revenues &amp; Outlays in GDP'!F764),TEXT('Revenues &amp; Outlays in GDP'!F764, "0.00"),""), "")</f>
        <v/>
      </c>
      <c r="E758" s="23" t="str">
        <f>IFERROR(IF(ISNUMBER('Revenues &amp; Outlays in GDP'!D764),TEXT('Revenues &amp; Outlays in GDP'!D764, "0.00"),""), "")</f>
        <v/>
      </c>
    </row>
    <row r="759" spans="1:5">
      <c r="A759" s="23" t="str">
        <f>TEXT(IF('Revenues &amp; Outlays in GDP'!B765&lt;&gt;0,'Revenues &amp; Outlays in GDP'!B765-364, ""), "mm/dd/yyyy")</f>
        <v/>
      </c>
      <c r="B759" s="23" t="str">
        <f>IFERROR(IF(ISNUMBER('Revenues &amp; Outlays in GDP'!E765),TEXT('Revenues &amp; Outlays in GDP'!E765, "0.00"),""), "")</f>
        <v/>
      </c>
      <c r="C759" s="23" t="str">
        <f>IFERROR(IF(ISNUMBER('Revenues &amp; Outlays in GDP'!C765),TEXT('Revenues &amp; Outlays in GDP'!C765, "0.00"),""), "")</f>
        <v/>
      </c>
      <c r="D759" s="23" t="str">
        <f>IFERROR(IF(ISNUMBER('Revenues &amp; Outlays in GDP'!F765),TEXT('Revenues &amp; Outlays in GDP'!F765, "0.00"),""), "")</f>
        <v/>
      </c>
      <c r="E759" s="23" t="str">
        <f>IFERROR(IF(ISNUMBER('Revenues &amp; Outlays in GDP'!D765),TEXT('Revenues &amp; Outlays in GDP'!D765, "0.00"),""), "")</f>
        <v/>
      </c>
    </row>
    <row r="760" spans="1:5">
      <c r="A760" s="23" t="str">
        <f>TEXT(IF('Revenues &amp; Outlays in GDP'!B766&lt;&gt;0,'Revenues &amp; Outlays in GDP'!B766-364, ""), "mm/dd/yyyy")</f>
        <v/>
      </c>
      <c r="B760" s="23" t="str">
        <f>IFERROR(IF(ISNUMBER('Revenues &amp; Outlays in GDP'!E766),TEXT('Revenues &amp; Outlays in GDP'!E766, "0.00"),""), "")</f>
        <v/>
      </c>
      <c r="C760" s="23" t="str">
        <f>IFERROR(IF(ISNUMBER('Revenues &amp; Outlays in GDP'!C766),TEXT('Revenues &amp; Outlays in GDP'!C766, "0.00"),""), "")</f>
        <v/>
      </c>
      <c r="D760" s="23" t="str">
        <f>IFERROR(IF(ISNUMBER('Revenues &amp; Outlays in GDP'!F766),TEXT('Revenues &amp; Outlays in GDP'!F766, "0.00"),""), "")</f>
        <v/>
      </c>
      <c r="E760" s="23" t="str">
        <f>IFERROR(IF(ISNUMBER('Revenues &amp; Outlays in GDP'!D766),TEXT('Revenues &amp; Outlays in GDP'!D766, "0.00"),""), "")</f>
        <v/>
      </c>
    </row>
    <row r="761" spans="1:5">
      <c r="A761" s="23" t="str">
        <f>TEXT(IF('Revenues &amp; Outlays in GDP'!B767&lt;&gt;0,'Revenues &amp; Outlays in GDP'!B767-364, ""), "mm/dd/yyyy")</f>
        <v/>
      </c>
      <c r="B761" s="23" t="str">
        <f>IFERROR(IF(ISNUMBER('Revenues &amp; Outlays in GDP'!E767),TEXT('Revenues &amp; Outlays in GDP'!E767, "0.00"),""), "")</f>
        <v/>
      </c>
      <c r="C761" s="23" t="str">
        <f>IFERROR(IF(ISNUMBER('Revenues &amp; Outlays in GDP'!C767),TEXT('Revenues &amp; Outlays in GDP'!C767, "0.00"),""), "")</f>
        <v/>
      </c>
      <c r="D761" s="23" t="str">
        <f>IFERROR(IF(ISNUMBER('Revenues &amp; Outlays in GDP'!F767),TEXT('Revenues &amp; Outlays in GDP'!F767, "0.00"),""), "")</f>
        <v/>
      </c>
      <c r="E761" s="23" t="str">
        <f>IFERROR(IF(ISNUMBER('Revenues &amp; Outlays in GDP'!D767),TEXT('Revenues &amp; Outlays in GDP'!D767, "0.00"),""), "")</f>
        <v/>
      </c>
    </row>
    <row r="762" spans="1:5">
      <c r="A762" s="23" t="str">
        <f>TEXT(IF('Revenues &amp; Outlays in GDP'!B768&lt;&gt;0,'Revenues &amp; Outlays in GDP'!B768-364, ""), "mm/dd/yyyy")</f>
        <v/>
      </c>
      <c r="B762" s="23" t="str">
        <f>IFERROR(IF(ISNUMBER('Revenues &amp; Outlays in GDP'!E768),TEXT('Revenues &amp; Outlays in GDP'!E768, "0.00"),""), "")</f>
        <v/>
      </c>
      <c r="C762" s="23" t="str">
        <f>IFERROR(IF(ISNUMBER('Revenues &amp; Outlays in GDP'!C768),TEXT('Revenues &amp; Outlays in GDP'!C768, "0.00"),""), "")</f>
        <v/>
      </c>
      <c r="D762" s="23" t="str">
        <f>IFERROR(IF(ISNUMBER('Revenues &amp; Outlays in GDP'!F768),TEXT('Revenues &amp; Outlays in GDP'!F768, "0.00"),""), "")</f>
        <v/>
      </c>
      <c r="E762" s="23" t="str">
        <f>IFERROR(IF(ISNUMBER('Revenues &amp; Outlays in GDP'!D768),TEXT('Revenues &amp; Outlays in GDP'!D768, "0.00"),""), "")</f>
        <v/>
      </c>
    </row>
    <row r="763" spans="1:5">
      <c r="A763" s="23" t="str">
        <f>TEXT(IF('Revenues &amp; Outlays in GDP'!B769&lt;&gt;0,'Revenues &amp; Outlays in GDP'!B769-364, ""), "mm/dd/yyyy")</f>
        <v/>
      </c>
      <c r="B763" s="23" t="str">
        <f>IFERROR(IF(ISNUMBER('Revenues &amp; Outlays in GDP'!E769),TEXT('Revenues &amp; Outlays in GDP'!E769, "0.00"),""), "")</f>
        <v/>
      </c>
      <c r="C763" s="23" t="str">
        <f>IFERROR(IF(ISNUMBER('Revenues &amp; Outlays in GDP'!C769),TEXT('Revenues &amp; Outlays in GDP'!C769, "0.00"),""), "")</f>
        <v/>
      </c>
      <c r="D763" s="23" t="str">
        <f>IFERROR(IF(ISNUMBER('Revenues &amp; Outlays in GDP'!F769),TEXT('Revenues &amp; Outlays in GDP'!F769, "0.00"),""), "")</f>
        <v/>
      </c>
      <c r="E763" s="23" t="str">
        <f>IFERROR(IF(ISNUMBER('Revenues &amp; Outlays in GDP'!D769),TEXT('Revenues &amp; Outlays in GDP'!D769, "0.00"),""), "")</f>
        <v/>
      </c>
    </row>
    <row r="764" spans="1:5">
      <c r="A764" s="23" t="str">
        <f>TEXT(IF('Revenues &amp; Outlays in GDP'!B770&lt;&gt;0,'Revenues &amp; Outlays in GDP'!B770-364, ""), "mm/dd/yyyy")</f>
        <v/>
      </c>
      <c r="B764" s="23" t="str">
        <f>IFERROR(IF(ISNUMBER('Revenues &amp; Outlays in GDP'!E770),TEXT('Revenues &amp; Outlays in GDP'!E770, "0.00"),""), "")</f>
        <v/>
      </c>
      <c r="C764" s="23" t="str">
        <f>IFERROR(IF(ISNUMBER('Revenues &amp; Outlays in GDP'!C770),TEXT('Revenues &amp; Outlays in GDP'!C770, "0.00"),""), "")</f>
        <v/>
      </c>
      <c r="D764" s="23" t="str">
        <f>IFERROR(IF(ISNUMBER('Revenues &amp; Outlays in GDP'!F770),TEXT('Revenues &amp; Outlays in GDP'!F770, "0.00"),""), "")</f>
        <v/>
      </c>
      <c r="E764" s="23" t="str">
        <f>IFERROR(IF(ISNUMBER('Revenues &amp; Outlays in GDP'!D770),TEXT('Revenues &amp; Outlays in GDP'!D770, "0.00"),""), "")</f>
        <v/>
      </c>
    </row>
    <row r="765" spans="1:5">
      <c r="A765" s="23" t="str">
        <f>TEXT(IF('Revenues &amp; Outlays in GDP'!B771&lt;&gt;0,'Revenues &amp; Outlays in GDP'!B771-364, ""), "mm/dd/yyyy")</f>
        <v/>
      </c>
      <c r="B765" s="23" t="str">
        <f>IFERROR(IF(ISNUMBER('Revenues &amp; Outlays in GDP'!E771),TEXT('Revenues &amp; Outlays in GDP'!E771, "0.00"),""), "")</f>
        <v/>
      </c>
      <c r="C765" s="23" t="str">
        <f>IFERROR(IF(ISNUMBER('Revenues &amp; Outlays in GDP'!C771),TEXT('Revenues &amp; Outlays in GDP'!C771, "0.00"),""), "")</f>
        <v/>
      </c>
      <c r="D765" s="23" t="str">
        <f>IFERROR(IF(ISNUMBER('Revenues &amp; Outlays in GDP'!F771),TEXT('Revenues &amp; Outlays in GDP'!F771, "0.00"),""), "")</f>
        <v/>
      </c>
      <c r="E765" s="23" t="str">
        <f>IFERROR(IF(ISNUMBER('Revenues &amp; Outlays in GDP'!D771),TEXT('Revenues &amp; Outlays in GDP'!D771, "0.00"),""), "")</f>
        <v/>
      </c>
    </row>
    <row r="766" spans="1:5">
      <c r="A766" s="23" t="str">
        <f>TEXT(IF('Revenues &amp; Outlays in GDP'!B772&lt;&gt;0,'Revenues &amp; Outlays in GDP'!B772-364, ""), "mm/dd/yyyy")</f>
        <v/>
      </c>
      <c r="B766" s="23" t="str">
        <f>IFERROR(IF(ISNUMBER('Revenues &amp; Outlays in GDP'!E772),TEXT('Revenues &amp; Outlays in GDP'!E772, "0.00"),""), "")</f>
        <v/>
      </c>
      <c r="C766" s="23" t="str">
        <f>IFERROR(IF(ISNUMBER('Revenues &amp; Outlays in GDP'!C772),TEXT('Revenues &amp; Outlays in GDP'!C772, "0.00"),""), "")</f>
        <v/>
      </c>
      <c r="D766" s="23" t="str">
        <f>IFERROR(IF(ISNUMBER('Revenues &amp; Outlays in GDP'!F772),TEXT('Revenues &amp; Outlays in GDP'!F772, "0.00"),""), "")</f>
        <v/>
      </c>
      <c r="E766" s="23" t="str">
        <f>IFERROR(IF(ISNUMBER('Revenues &amp; Outlays in GDP'!D772),TEXT('Revenues &amp; Outlays in GDP'!D772, "0.00"),""), "")</f>
        <v/>
      </c>
    </row>
    <row r="767" spans="1:5">
      <c r="A767" s="23" t="str">
        <f>TEXT(IF('Revenues &amp; Outlays in GDP'!B773&lt;&gt;0,'Revenues &amp; Outlays in GDP'!B773-364, ""), "mm/dd/yyyy")</f>
        <v/>
      </c>
      <c r="B767" s="23" t="str">
        <f>IFERROR(IF(ISNUMBER('Revenues &amp; Outlays in GDP'!E773),TEXT('Revenues &amp; Outlays in GDP'!E773, "0.00"),""), "")</f>
        <v/>
      </c>
      <c r="C767" s="23" t="str">
        <f>IFERROR(IF(ISNUMBER('Revenues &amp; Outlays in GDP'!C773),TEXT('Revenues &amp; Outlays in GDP'!C773, "0.00"),""), "")</f>
        <v/>
      </c>
      <c r="D767" s="23" t="str">
        <f>IFERROR(IF(ISNUMBER('Revenues &amp; Outlays in GDP'!F773),TEXT('Revenues &amp; Outlays in GDP'!F773, "0.00"),""), "")</f>
        <v/>
      </c>
      <c r="E767" s="23" t="str">
        <f>IFERROR(IF(ISNUMBER('Revenues &amp; Outlays in GDP'!D773),TEXT('Revenues &amp; Outlays in GDP'!D773, "0.00"),""), "")</f>
        <v/>
      </c>
    </row>
    <row r="768" spans="1:5">
      <c r="A768" s="23" t="str">
        <f>TEXT(IF('Revenues &amp; Outlays in GDP'!B774&lt;&gt;0,'Revenues &amp; Outlays in GDP'!B774-364, ""), "mm/dd/yyyy")</f>
        <v/>
      </c>
      <c r="B768" s="23" t="str">
        <f>IFERROR(IF(ISNUMBER('Revenues &amp; Outlays in GDP'!E774),TEXT('Revenues &amp; Outlays in GDP'!E774, "0.00"),""), "")</f>
        <v/>
      </c>
      <c r="C768" s="23" t="str">
        <f>IFERROR(IF(ISNUMBER('Revenues &amp; Outlays in GDP'!C774),TEXT('Revenues &amp; Outlays in GDP'!C774, "0.00"),""), "")</f>
        <v/>
      </c>
      <c r="D768" s="23" t="str">
        <f>IFERROR(IF(ISNUMBER('Revenues &amp; Outlays in GDP'!F774),TEXT('Revenues &amp; Outlays in GDP'!F774, "0.00"),""), "")</f>
        <v/>
      </c>
      <c r="E768" s="23" t="str">
        <f>IFERROR(IF(ISNUMBER('Revenues &amp; Outlays in GDP'!D774),TEXT('Revenues &amp; Outlays in GDP'!D774, "0.00"),""), "")</f>
        <v/>
      </c>
    </row>
    <row r="769" spans="1:5">
      <c r="A769" s="23" t="str">
        <f>TEXT(IF('Revenues &amp; Outlays in GDP'!B775&lt;&gt;0,'Revenues &amp; Outlays in GDP'!B775-364, ""), "mm/dd/yyyy")</f>
        <v/>
      </c>
      <c r="B769" s="23" t="str">
        <f>IFERROR(IF(ISNUMBER('Revenues &amp; Outlays in GDP'!E775),TEXT('Revenues &amp; Outlays in GDP'!E775, "0.00"),""), "")</f>
        <v/>
      </c>
      <c r="C769" s="23" t="str">
        <f>IFERROR(IF(ISNUMBER('Revenues &amp; Outlays in GDP'!C775),TEXT('Revenues &amp; Outlays in GDP'!C775, "0.00"),""), "")</f>
        <v/>
      </c>
      <c r="D769" s="23" t="str">
        <f>IFERROR(IF(ISNUMBER('Revenues &amp; Outlays in GDP'!F775),TEXT('Revenues &amp; Outlays in GDP'!F775, "0.00"),""), "")</f>
        <v/>
      </c>
      <c r="E769" s="23" t="str">
        <f>IFERROR(IF(ISNUMBER('Revenues &amp; Outlays in GDP'!D775),TEXT('Revenues &amp; Outlays in GDP'!D775, "0.00"),""), "")</f>
        <v/>
      </c>
    </row>
    <row r="770" spans="1:5">
      <c r="A770" s="23" t="str">
        <f>TEXT(IF('Revenues &amp; Outlays in GDP'!B776&lt;&gt;0,'Revenues &amp; Outlays in GDP'!B776-364, ""), "mm/dd/yyyy")</f>
        <v/>
      </c>
      <c r="B770" s="23" t="str">
        <f>IFERROR(IF(ISNUMBER('Revenues &amp; Outlays in GDP'!E776),TEXT('Revenues &amp; Outlays in GDP'!E776, "0.00"),""), "")</f>
        <v/>
      </c>
      <c r="C770" s="23" t="str">
        <f>IFERROR(IF(ISNUMBER('Revenues &amp; Outlays in GDP'!C776),TEXT('Revenues &amp; Outlays in GDP'!C776, "0.00"),""), "")</f>
        <v/>
      </c>
      <c r="D770" s="23" t="str">
        <f>IFERROR(IF(ISNUMBER('Revenues &amp; Outlays in GDP'!F776),TEXT('Revenues &amp; Outlays in GDP'!F776, "0.00"),""), "")</f>
        <v/>
      </c>
      <c r="E770" s="23" t="str">
        <f>IFERROR(IF(ISNUMBER('Revenues &amp; Outlays in GDP'!D776),TEXT('Revenues &amp; Outlays in GDP'!D776, "0.00"),""), "")</f>
        <v/>
      </c>
    </row>
    <row r="771" spans="1:5">
      <c r="A771" s="23" t="str">
        <f>TEXT(IF('Revenues &amp; Outlays in GDP'!B777&lt;&gt;0,'Revenues &amp; Outlays in GDP'!B777-364, ""), "mm/dd/yyyy")</f>
        <v/>
      </c>
      <c r="B771" s="23" t="str">
        <f>IFERROR(IF(ISNUMBER('Revenues &amp; Outlays in GDP'!E777),TEXT('Revenues &amp; Outlays in GDP'!E777, "0.00"),""), "")</f>
        <v/>
      </c>
      <c r="C771" s="23" t="str">
        <f>IFERROR(IF(ISNUMBER('Revenues &amp; Outlays in GDP'!C777),TEXT('Revenues &amp; Outlays in GDP'!C777, "0.00"),""), "")</f>
        <v/>
      </c>
      <c r="D771" s="23" t="str">
        <f>IFERROR(IF(ISNUMBER('Revenues &amp; Outlays in GDP'!F777),TEXT('Revenues &amp; Outlays in GDP'!F777, "0.00"),""), "")</f>
        <v/>
      </c>
      <c r="E771" s="23" t="str">
        <f>IFERROR(IF(ISNUMBER('Revenues &amp; Outlays in GDP'!D777),TEXT('Revenues &amp; Outlays in GDP'!D777, "0.00"),""), "")</f>
        <v/>
      </c>
    </row>
    <row r="772" spans="1:5">
      <c r="A772" s="23" t="str">
        <f>TEXT(IF('Revenues &amp; Outlays in GDP'!B778&lt;&gt;0,'Revenues &amp; Outlays in GDP'!B778-364, ""), "mm/dd/yyyy")</f>
        <v/>
      </c>
      <c r="B772" s="23" t="str">
        <f>IFERROR(IF(ISNUMBER('Revenues &amp; Outlays in GDP'!E778),TEXT('Revenues &amp; Outlays in GDP'!E778, "0.00"),""), "")</f>
        <v/>
      </c>
      <c r="C772" s="23" t="str">
        <f>IFERROR(IF(ISNUMBER('Revenues &amp; Outlays in GDP'!C778),TEXT('Revenues &amp; Outlays in GDP'!C778, "0.00"),""), "")</f>
        <v/>
      </c>
      <c r="D772" s="23" t="str">
        <f>IFERROR(IF(ISNUMBER('Revenues &amp; Outlays in GDP'!F778),TEXT('Revenues &amp; Outlays in GDP'!F778, "0.00"),""), "")</f>
        <v/>
      </c>
      <c r="E772" s="23" t="str">
        <f>IFERROR(IF(ISNUMBER('Revenues &amp; Outlays in GDP'!D778),TEXT('Revenues &amp; Outlays in GDP'!D778, "0.00"),""), "")</f>
        <v/>
      </c>
    </row>
    <row r="773" spans="1:5">
      <c r="A773" s="23" t="str">
        <f>TEXT(IF('Revenues &amp; Outlays in GDP'!B779&lt;&gt;0,'Revenues &amp; Outlays in GDP'!B779-364, ""), "mm/dd/yyyy")</f>
        <v/>
      </c>
      <c r="B773" s="23" t="str">
        <f>IFERROR(IF(ISNUMBER('Revenues &amp; Outlays in GDP'!E779),TEXT('Revenues &amp; Outlays in GDP'!E779, "0.00"),""), "")</f>
        <v/>
      </c>
      <c r="C773" s="23" t="str">
        <f>IFERROR(IF(ISNUMBER('Revenues &amp; Outlays in GDP'!C779),TEXT('Revenues &amp; Outlays in GDP'!C779, "0.00"),""), "")</f>
        <v/>
      </c>
      <c r="D773" s="23" t="str">
        <f>IFERROR(IF(ISNUMBER('Revenues &amp; Outlays in GDP'!F779),TEXT('Revenues &amp; Outlays in GDP'!F779, "0.00"),""), "")</f>
        <v/>
      </c>
      <c r="E773" s="23" t="str">
        <f>IFERROR(IF(ISNUMBER('Revenues &amp; Outlays in GDP'!D779),TEXT('Revenues &amp; Outlays in GDP'!D779, "0.00"),""), "")</f>
        <v/>
      </c>
    </row>
    <row r="774" spans="1:5">
      <c r="A774" s="23" t="str">
        <f>TEXT(IF('Revenues &amp; Outlays in GDP'!B780&lt;&gt;0,'Revenues &amp; Outlays in GDP'!B780-364, ""), "mm/dd/yyyy")</f>
        <v/>
      </c>
      <c r="B774" s="23" t="str">
        <f>IFERROR(IF(ISNUMBER('Revenues &amp; Outlays in GDP'!E780),TEXT('Revenues &amp; Outlays in GDP'!E780, "0.00"),""), "")</f>
        <v/>
      </c>
      <c r="C774" s="23" t="str">
        <f>IFERROR(IF(ISNUMBER('Revenues &amp; Outlays in GDP'!C780),TEXT('Revenues &amp; Outlays in GDP'!C780, "0.00"),""), "")</f>
        <v/>
      </c>
      <c r="D774" s="23" t="str">
        <f>IFERROR(IF(ISNUMBER('Revenues &amp; Outlays in GDP'!F780),TEXT('Revenues &amp; Outlays in GDP'!F780, "0.00"),""), "")</f>
        <v/>
      </c>
      <c r="E774" s="23" t="str">
        <f>IFERROR(IF(ISNUMBER('Revenues &amp; Outlays in GDP'!D780),TEXT('Revenues &amp; Outlays in GDP'!D780, "0.00"),""), "")</f>
        <v/>
      </c>
    </row>
    <row r="775" spans="1:5">
      <c r="A775" s="23" t="str">
        <f>TEXT(IF('Revenues &amp; Outlays in GDP'!B781&lt;&gt;0,'Revenues &amp; Outlays in GDP'!B781-364, ""), "mm/dd/yyyy")</f>
        <v/>
      </c>
      <c r="B775" s="23" t="str">
        <f>IFERROR(IF(ISNUMBER('Revenues &amp; Outlays in GDP'!E781),TEXT('Revenues &amp; Outlays in GDP'!E781, "0.00"),""), "")</f>
        <v/>
      </c>
      <c r="C775" s="23" t="str">
        <f>IFERROR(IF(ISNUMBER('Revenues &amp; Outlays in GDP'!C781),TEXT('Revenues &amp; Outlays in GDP'!C781, "0.00"),""), "")</f>
        <v/>
      </c>
      <c r="D775" s="23" t="str">
        <f>IFERROR(IF(ISNUMBER('Revenues &amp; Outlays in GDP'!F781),TEXT('Revenues &amp; Outlays in GDP'!F781, "0.00"),""), "")</f>
        <v/>
      </c>
      <c r="E775" s="23" t="str">
        <f>IFERROR(IF(ISNUMBER('Revenues &amp; Outlays in GDP'!D781),TEXT('Revenues &amp; Outlays in GDP'!D781, "0.00"),""), "")</f>
        <v/>
      </c>
    </row>
    <row r="776" spans="1:5">
      <c r="A776" s="23" t="str">
        <f>TEXT(IF('Revenues &amp; Outlays in GDP'!B782&lt;&gt;0,'Revenues &amp; Outlays in GDP'!B782-364, ""), "mm/dd/yyyy")</f>
        <v/>
      </c>
      <c r="B776" s="23" t="str">
        <f>IFERROR(IF(ISNUMBER('Revenues &amp; Outlays in GDP'!E782),TEXT('Revenues &amp; Outlays in GDP'!E782, "0.00"),""), "")</f>
        <v/>
      </c>
      <c r="C776" s="23" t="str">
        <f>IFERROR(IF(ISNUMBER('Revenues &amp; Outlays in GDP'!C782),TEXT('Revenues &amp; Outlays in GDP'!C782, "0.00"),""), "")</f>
        <v/>
      </c>
      <c r="D776" s="23" t="str">
        <f>IFERROR(IF(ISNUMBER('Revenues &amp; Outlays in GDP'!F782),TEXT('Revenues &amp; Outlays in GDP'!F782, "0.00"),""), "")</f>
        <v/>
      </c>
      <c r="E776" s="23" t="str">
        <f>IFERROR(IF(ISNUMBER('Revenues &amp; Outlays in GDP'!D782),TEXT('Revenues &amp; Outlays in GDP'!D782, "0.00"),""), "")</f>
        <v/>
      </c>
    </row>
    <row r="777" spans="1:5">
      <c r="A777" s="23" t="str">
        <f>TEXT(IF('Revenues &amp; Outlays in GDP'!B783&lt;&gt;0,'Revenues &amp; Outlays in GDP'!B783-364, ""), "mm/dd/yyyy")</f>
        <v/>
      </c>
      <c r="B777" s="23" t="str">
        <f>IFERROR(IF(ISNUMBER('Revenues &amp; Outlays in GDP'!E783),TEXT('Revenues &amp; Outlays in GDP'!E783, "0.00"),""), "")</f>
        <v/>
      </c>
      <c r="C777" s="23" t="str">
        <f>IFERROR(IF(ISNUMBER('Revenues &amp; Outlays in GDP'!C783),TEXT('Revenues &amp; Outlays in GDP'!C783, "0.00"),""), "")</f>
        <v/>
      </c>
      <c r="D777" s="23" t="str">
        <f>IFERROR(IF(ISNUMBER('Revenues &amp; Outlays in GDP'!F783),TEXT('Revenues &amp; Outlays in GDP'!F783, "0.00"),""), "")</f>
        <v/>
      </c>
      <c r="E777" s="23" t="str">
        <f>IFERROR(IF(ISNUMBER('Revenues &amp; Outlays in GDP'!D783),TEXT('Revenues &amp; Outlays in GDP'!D783, "0.00"),""), "")</f>
        <v/>
      </c>
    </row>
    <row r="778" spans="1:5">
      <c r="A778" s="23" t="str">
        <f>TEXT(IF('Revenues &amp; Outlays in GDP'!B784&lt;&gt;0,'Revenues &amp; Outlays in GDP'!B784-364, ""), "mm/dd/yyyy")</f>
        <v/>
      </c>
      <c r="B778" s="23" t="str">
        <f>IFERROR(IF(ISNUMBER('Revenues &amp; Outlays in GDP'!E784),TEXT('Revenues &amp; Outlays in GDP'!E784, "0.00"),""), "")</f>
        <v/>
      </c>
      <c r="C778" s="23" t="str">
        <f>IFERROR(IF(ISNUMBER('Revenues &amp; Outlays in GDP'!C784),TEXT('Revenues &amp; Outlays in GDP'!C784, "0.00"),""), "")</f>
        <v/>
      </c>
      <c r="D778" s="23" t="str">
        <f>IFERROR(IF(ISNUMBER('Revenues &amp; Outlays in GDP'!F784),TEXT('Revenues &amp; Outlays in GDP'!F784, "0.00"),""), "")</f>
        <v/>
      </c>
      <c r="E778" s="23" t="str">
        <f>IFERROR(IF(ISNUMBER('Revenues &amp; Outlays in GDP'!D784),TEXT('Revenues &amp; Outlays in GDP'!D784, "0.00"),""), "")</f>
        <v/>
      </c>
    </row>
    <row r="779" spans="1:5">
      <c r="A779" s="23" t="str">
        <f>TEXT(IF('Revenues &amp; Outlays in GDP'!B785&lt;&gt;0,'Revenues &amp; Outlays in GDP'!B785-364, ""), "mm/dd/yyyy")</f>
        <v/>
      </c>
      <c r="B779" s="23" t="str">
        <f>IFERROR(IF(ISNUMBER('Revenues &amp; Outlays in GDP'!E785),TEXT('Revenues &amp; Outlays in GDP'!E785, "0.00"),""), "")</f>
        <v/>
      </c>
      <c r="C779" s="23" t="str">
        <f>IFERROR(IF(ISNUMBER('Revenues &amp; Outlays in GDP'!C785),TEXT('Revenues &amp; Outlays in GDP'!C785, "0.00"),""), "")</f>
        <v/>
      </c>
      <c r="D779" s="23" t="str">
        <f>IFERROR(IF(ISNUMBER('Revenues &amp; Outlays in GDP'!F785),TEXT('Revenues &amp; Outlays in GDP'!F785, "0.00"),""), "")</f>
        <v/>
      </c>
      <c r="E779" s="23" t="str">
        <f>IFERROR(IF(ISNUMBER('Revenues &amp; Outlays in GDP'!D785),TEXT('Revenues &amp; Outlays in GDP'!D785, "0.00"),""), "")</f>
        <v/>
      </c>
    </row>
    <row r="780" spans="1:5">
      <c r="A780" s="23" t="str">
        <f>TEXT(IF('Revenues &amp; Outlays in GDP'!B786&lt;&gt;0,'Revenues &amp; Outlays in GDP'!B786-364, ""), "mm/dd/yyyy")</f>
        <v/>
      </c>
      <c r="B780" s="23" t="str">
        <f>IFERROR(IF(ISNUMBER('Revenues &amp; Outlays in GDP'!E786),TEXT('Revenues &amp; Outlays in GDP'!E786, "0.00"),""), "")</f>
        <v/>
      </c>
      <c r="C780" s="23" t="str">
        <f>IFERROR(IF(ISNUMBER('Revenues &amp; Outlays in GDP'!C786),TEXT('Revenues &amp; Outlays in GDP'!C786, "0.00"),""), "")</f>
        <v/>
      </c>
      <c r="D780" s="23" t="str">
        <f>IFERROR(IF(ISNUMBER('Revenues &amp; Outlays in GDP'!F786),TEXT('Revenues &amp; Outlays in GDP'!F786, "0.00"),""), "")</f>
        <v/>
      </c>
      <c r="E780" s="23" t="str">
        <f>IFERROR(IF(ISNUMBER('Revenues &amp; Outlays in GDP'!D786),TEXT('Revenues &amp; Outlays in GDP'!D786, "0.00"),""), "")</f>
        <v/>
      </c>
    </row>
    <row r="781" spans="1:5">
      <c r="A781" s="23" t="str">
        <f>TEXT(IF('Revenues &amp; Outlays in GDP'!B787&lt;&gt;0,'Revenues &amp; Outlays in GDP'!B787-364, ""), "mm/dd/yyyy")</f>
        <v/>
      </c>
      <c r="B781" s="23" t="str">
        <f>IFERROR(IF(ISNUMBER('Revenues &amp; Outlays in GDP'!E787),TEXT('Revenues &amp; Outlays in GDP'!E787, "0.00"),""), "")</f>
        <v/>
      </c>
      <c r="C781" s="23" t="str">
        <f>IFERROR(IF(ISNUMBER('Revenues &amp; Outlays in GDP'!C787),TEXT('Revenues &amp; Outlays in GDP'!C787, "0.00"),""), "")</f>
        <v/>
      </c>
      <c r="D781" s="23" t="str">
        <f>IFERROR(IF(ISNUMBER('Revenues &amp; Outlays in GDP'!F787),TEXT('Revenues &amp; Outlays in GDP'!F787, "0.00"),""), "")</f>
        <v/>
      </c>
      <c r="E781" s="23" t="str">
        <f>IFERROR(IF(ISNUMBER('Revenues &amp; Outlays in GDP'!D787),TEXT('Revenues &amp; Outlays in GDP'!D787, "0.00"),""), "")</f>
        <v/>
      </c>
    </row>
    <row r="782" spans="1:5">
      <c r="A782" s="23" t="str">
        <f>TEXT(IF('Revenues &amp; Outlays in GDP'!B788&lt;&gt;0,'Revenues &amp; Outlays in GDP'!B788-364, ""), "mm/dd/yyyy")</f>
        <v/>
      </c>
      <c r="B782" s="23" t="str">
        <f>IFERROR(IF(ISNUMBER('Revenues &amp; Outlays in GDP'!E788),TEXT('Revenues &amp; Outlays in GDP'!E788, "0.00"),""), "")</f>
        <v/>
      </c>
      <c r="C782" s="23" t="str">
        <f>IFERROR(IF(ISNUMBER('Revenues &amp; Outlays in GDP'!C788),TEXT('Revenues &amp; Outlays in GDP'!C788, "0.00"),""), "")</f>
        <v/>
      </c>
      <c r="D782" s="23" t="str">
        <f>IFERROR(IF(ISNUMBER('Revenues &amp; Outlays in GDP'!F788),TEXT('Revenues &amp; Outlays in GDP'!F788, "0.00"),""), "")</f>
        <v/>
      </c>
      <c r="E782" s="23" t="str">
        <f>IFERROR(IF(ISNUMBER('Revenues &amp; Outlays in GDP'!D788),TEXT('Revenues &amp; Outlays in GDP'!D788, "0.00"),""), "")</f>
        <v/>
      </c>
    </row>
    <row r="783" spans="1:5">
      <c r="A783" s="23" t="str">
        <f>TEXT(IF('Revenues &amp; Outlays in GDP'!B789&lt;&gt;0,'Revenues &amp; Outlays in GDP'!B789-364, ""), "mm/dd/yyyy")</f>
        <v/>
      </c>
      <c r="B783" s="23" t="str">
        <f>IFERROR(IF(ISNUMBER('Revenues &amp; Outlays in GDP'!E789),TEXT('Revenues &amp; Outlays in GDP'!E789, "0.00"),""), "")</f>
        <v/>
      </c>
      <c r="C783" s="23" t="str">
        <f>IFERROR(IF(ISNUMBER('Revenues &amp; Outlays in GDP'!C789),TEXT('Revenues &amp; Outlays in GDP'!C789, "0.00"),""), "")</f>
        <v/>
      </c>
      <c r="D783" s="23" t="str">
        <f>IFERROR(IF(ISNUMBER('Revenues &amp; Outlays in GDP'!F789),TEXT('Revenues &amp; Outlays in GDP'!F789, "0.00"),""), "")</f>
        <v/>
      </c>
      <c r="E783" s="23" t="str">
        <f>IFERROR(IF(ISNUMBER('Revenues &amp; Outlays in GDP'!D789),TEXT('Revenues &amp; Outlays in GDP'!D789, "0.00"),""), "")</f>
        <v/>
      </c>
    </row>
    <row r="784" spans="1:5">
      <c r="A784" s="23" t="str">
        <f>TEXT(IF('Revenues &amp; Outlays in GDP'!B790&lt;&gt;0,'Revenues &amp; Outlays in GDP'!B790-364, ""), "mm/dd/yyyy")</f>
        <v/>
      </c>
      <c r="B784" s="23" t="str">
        <f>IFERROR(IF(ISNUMBER('Revenues &amp; Outlays in GDP'!E790),TEXT('Revenues &amp; Outlays in GDP'!E790, "0.00"),""), "")</f>
        <v/>
      </c>
      <c r="C784" s="23" t="str">
        <f>IFERROR(IF(ISNUMBER('Revenues &amp; Outlays in GDP'!C790),TEXT('Revenues &amp; Outlays in GDP'!C790, "0.00"),""), "")</f>
        <v/>
      </c>
      <c r="D784" s="23" t="str">
        <f>IFERROR(IF(ISNUMBER('Revenues &amp; Outlays in GDP'!F790),TEXT('Revenues &amp; Outlays in GDP'!F790, "0.00"),""), "")</f>
        <v/>
      </c>
      <c r="E784" s="23" t="str">
        <f>IFERROR(IF(ISNUMBER('Revenues &amp; Outlays in GDP'!D790),TEXT('Revenues &amp; Outlays in GDP'!D790, "0.00"),""), "")</f>
        <v/>
      </c>
    </row>
    <row r="785" spans="1:5">
      <c r="A785" s="23" t="str">
        <f>TEXT(IF('Revenues &amp; Outlays in GDP'!B791&lt;&gt;0,'Revenues &amp; Outlays in GDP'!B791-364, ""), "mm/dd/yyyy")</f>
        <v/>
      </c>
      <c r="B785" s="23" t="str">
        <f>IFERROR(IF(ISNUMBER('Revenues &amp; Outlays in GDP'!E791),TEXT('Revenues &amp; Outlays in GDP'!E791, "0.00"),""), "")</f>
        <v/>
      </c>
      <c r="C785" s="23" t="str">
        <f>IFERROR(IF(ISNUMBER('Revenues &amp; Outlays in GDP'!C791),TEXT('Revenues &amp; Outlays in GDP'!C791, "0.00"),""), "")</f>
        <v/>
      </c>
      <c r="D785" s="23" t="str">
        <f>IFERROR(IF(ISNUMBER('Revenues &amp; Outlays in GDP'!F791),TEXT('Revenues &amp; Outlays in GDP'!F791, "0.00"),""), "")</f>
        <v/>
      </c>
      <c r="E785" s="23" t="str">
        <f>IFERROR(IF(ISNUMBER('Revenues &amp; Outlays in GDP'!D791),TEXT('Revenues &amp; Outlays in GDP'!D791, "0.00"),""), "")</f>
        <v/>
      </c>
    </row>
    <row r="786" spans="1:5">
      <c r="A786" s="23" t="str">
        <f>TEXT(IF('Revenues &amp; Outlays in GDP'!B792&lt;&gt;0,'Revenues &amp; Outlays in GDP'!B792-364, ""), "mm/dd/yyyy")</f>
        <v/>
      </c>
      <c r="B786" s="23" t="str">
        <f>IFERROR(IF(ISNUMBER('Revenues &amp; Outlays in GDP'!E792),TEXT('Revenues &amp; Outlays in GDP'!E792, "0.00"),""), "")</f>
        <v/>
      </c>
      <c r="C786" s="23" t="str">
        <f>IFERROR(IF(ISNUMBER('Revenues &amp; Outlays in GDP'!C792),TEXT('Revenues &amp; Outlays in GDP'!C792, "0.00"),""), "")</f>
        <v/>
      </c>
      <c r="D786" s="23" t="str">
        <f>IFERROR(IF(ISNUMBER('Revenues &amp; Outlays in GDP'!F792),TEXT('Revenues &amp; Outlays in GDP'!F792, "0.00"),""), "")</f>
        <v/>
      </c>
      <c r="E786" s="23" t="str">
        <f>IFERROR(IF(ISNUMBER('Revenues &amp; Outlays in GDP'!D792),TEXT('Revenues &amp; Outlays in GDP'!D792, "0.00"),""), "")</f>
        <v/>
      </c>
    </row>
    <row r="787" spans="1:5">
      <c r="A787" s="23" t="str">
        <f>TEXT(IF('Revenues &amp; Outlays in GDP'!B793&lt;&gt;0,'Revenues &amp; Outlays in GDP'!B793-364, ""), "mm/dd/yyyy")</f>
        <v/>
      </c>
      <c r="B787" s="23" t="str">
        <f>IFERROR(IF(ISNUMBER('Revenues &amp; Outlays in GDP'!E793),TEXT('Revenues &amp; Outlays in GDP'!E793, "0.00"),""), "")</f>
        <v/>
      </c>
      <c r="C787" s="23" t="str">
        <f>IFERROR(IF(ISNUMBER('Revenues &amp; Outlays in GDP'!C793),TEXT('Revenues &amp; Outlays in GDP'!C793, "0.00"),""), "")</f>
        <v/>
      </c>
      <c r="D787" s="23" t="str">
        <f>IFERROR(IF(ISNUMBER('Revenues &amp; Outlays in GDP'!F793),TEXT('Revenues &amp; Outlays in GDP'!F793, "0.00"),""), "")</f>
        <v/>
      </c>
      <c r="E787" s="23" t="str">
        <f>IFERROR(IF(ISNUMBER('Revenues &amp; Outlays in GDP'!D793),TEXT('Revenues &amp; Outlays in GDP'!D793, "0.00"),""), "")</f>
        <v/>
      </c>
    </row>
    <row r="788" spans="1:5">
      <c r="A788" s="23" t="str">
        <f>TEXT(IF('Revenues &amp; Outlays in GDP'!B794&lt;&gt;0,'Revenues &amp; Outlays in GDP'!B794-364, ""), "mm/dd/yyyy")</f>
        <v/>
      </c>
      <c r="B788" s="23" t="str">
        <f>IFERROR(IF(ISNUMBER('Revenues &amp; Outlays in GDP'!E794),TEXT('Revenues &amp; Outlays in GDP'!E794, "0.00"),""), "")</f>
        <v/>
      </c>
      <c r="C788" s="23" t="str">
        <f>IFERROR(IF(ISNUMBER('Revenues &amp; Outlays in GDP'!C794),TEXT('Revenues &amp; Outlays in GDP'!C794, "0.00"),""), "")</f>
        <v/>
      </c>
      <c r="D788" s="23" t="str">
        <f>IFERROR(IF(ISNUMBER('Revenues &amp; Outlays in GDP'!F794),TEXT('Revenues &amp; Outlays in GDP'!F794, "0.00"),""), "")</f>
        <v/>
      </c>
      <c r="E788" s="23" t="str">
        <f>IFERROR(IF(ISNUMBER('Revenues &amp; Outlays in GDP'!D794),TEXT('Revenues &amp; Outlays in GDP'!D794, "0.00"),""), "")</f>
        <v/>
      </c>
    </row>
    <row r="789" spans="1:5">
      <c r="A789" s="23" t="str">
        <f>TEXT(IF('Revenues &amp; Outlays in GDP'!B795&lt;&gt;0,'Revenues &amp; Outlays in GDP'!B795-364, ""), "mm/dd/yyyy")</f>
        <v/>
      </c>
      <c r="B789" s="23" t="str">
        <f>IFERROR(IF(ISNUMBER('Revenues &amp; Outlays in GDP'!E795),TEXT('Revenues &amp; Outlays in GDP'!E795, "0.00"),""), "")</f>
        <v/>
      </c>
      <c r="C789" s="23" t="str">
        <f>IFERROR(IF(ISNUMBER('Revenues &amp; Outlays in GDP'!C795),TEXT('Revenues &amp; Outlays in GDP'!C795, "0.00"),""), "")</f>
        <v/>
      </c>
      <c r="D789" s="23" t="str">
        <f>IFERROR(IF(ISNUMBER('Revenues &amp; Outlays in GDP'!F795),TEXT('Revenues &amp; Outlays in GDP'!F795, "0.00"),""), "")</f>
        <v/>
      </c>
      <c r="E789" s="23" t="str">
        <f>IFERROR(IF(ISNUMBER('Revenues &amp; Outlays in GDP'!D795),TEXT('Revenues &amp; Outlays in GDP'!D795, "0.00"),""), "")</f>
        <v/>
      </c>
    </row>
    <row r="790" spans="1:5">
      <c r="A790" s="23" t="str">
        <f>TEXT(IF('Revenues &amp; Outlays in GDP'!B796&lt;&gt;0,'Revenues &amp; Outlays in GDP'!B796-364, ""), "mm/dd/yyyy")</f>
        <v/>
      </c>
      <c r="B790" s="23" t="str">
        <f>IFERROR(IF(ISNUMBER('Revenues &amp; Outlays in GDP'!E796),TEXT('Revenues &amp; Outlays in GDP'!E796, "0.00"),""), "")</f>
        <v/>
      </c>
      <c r="C790" s="23" t="str">
        <f>IFERROR(IF(ISNUMBER('Revenues &amp; Outlays in GDP'!C796),TEXT('Revenues &amp; Outlays in GDP'!C796, "0.00"),""), "")</f>
        <v/>
      </c>
      <c r="D790" s="23" t="str">
        <f>IFERROR(IF(ISNUMBER('Revenues &amp; Outlays in GDP'!F796),TEXT('Revenues &amp; Outlays in GDP'!F796, "0.00"),""), "")</f>
        <v/>
      </c>
      <c r="E790" s="23" t="str">
        <f>IFERROR(IF(ISNUMBER('Revenues &amp; Outlays in GDP'!D796),TEXT('Revenues &amp; Outlays in GDP'!D796, "0.00"),""), "")</f>
        <v/>
      </c>
    </row>
    <row r="791" spans="1:5">
      <c r="A791" s="23" t="str">
        <f>TEXT(IF('Revenues &amp; Outlays in GDP'!B797&lt;&gt;0,'Revenues &amp; Outlays in GDP'!B797-364, ""), "mm/dd/yyyy")</f>
        <v/>
      </c>
      <c r="B791" s="23" t="str">
        <f>IFERROR(IF(ISNUMBER('Revenues &amp; Outlays in GDP'!E797),TEXT('Revenues &amp; Outlays in GDP'!E797, "0.00"),""), "")</f>
        <v/>
      </c>
      <c r="C791" s="23" t="str">
        <f>IFERROR(IF(ISNUMBER('Revenues &amp; Outlays in GDP'!C797),TEXT('Revenues &amp; Outlays in GDP'!C797, "0.00"),""), "")</f>
        <v/>
      </c>
      <c r="D791" s="23" t="str">
        <f>IFERROR(IF(ISNUMBER('Revenues &amp; Outlays in GDP'!F797),TEXT('Revenues &amp; Outlays in GDP'!F797, "0.00"),""), "")</f>
        <v/>
      </c>
      <c r="E791" s="23" t="str">
        <f>IFERROR(IF(ISNUMBER('Revenues &amp; Outlays in GDP'!D797),TEXT('Revenues &amp; Outlays in GDP'!D797, "0.00"),""), "")</f>
        <v/>
      </c>
    </row>
    <row r="792" spans="1:5">
      <c r="A792" s="23" t="str">
        <f>TEXT(IF('Revenues &amp; Outlays in GDP'!B798&lt;&gt;0,'Revenues &amp; Outlays in GDP'!B798-364, ""), "mm/dd/yyyy")</f>
        <v/>
      </c>
      <c r="B792" s="23" t="str">
        <f>IFERROR(IF(ISNUMBER('Revenues &amp; Outlays in GDP'!E798),TEXT('Revenues &amp; Outlays in GDP'!E798, "0.00"),""), "")</f>
        <v/>
      </c>
      <c r="C792" s="23" t="str">
        <f>IFERROR(IF(ISNUMBER('Revenues &amp; Outlays in GDP'!C798),TEXT('Revenues &amp; Outlays in GDP'!C798, "0.00"),""), "")</f>
        <v/>
      </c>
      <c r="D792" s="23" t="str">
        <f>IFERROR(IF(ISNUMBER('Revenues &amp; Outlays in GDP'!F798),TEXT('Revenues &amp; Outlays in GDP'!F798, "0.00"),""), "")</f>
        <v/>
      </c>
      <c r="E792" s="23" t="str">
        <f>IFERROR(IF(ISNUMBER('Revenues &amp; Outlays in GDP'!D798),TEXT('Revenues &amp; Outlays in GDP'!D798, "0.00"),""), "")</f>
        <v/>
      </c>
    </row>
    <row r="793" spans="1:5">
      <c r="A793" s="23" t="str">
        <f>TEXT(IF('Revenues &amp; Outlays in GDP'!B799&lt;&gt;0,'Revenues &amp; Outlays in GDP'!B799-364, ""), "mm/dd/yyyy")</f>
        <v/>
      </c>
      <c r="B793" s="23" t="str">
        <f>IFERROR(IF(ISNUMBER('Revenues &amp; Outlays in GDP'!E799),TEXT('Revenues &amp; Outlays in GDP'!E799, "0.00"),""), "")</f>
        <v/>
      </c>
      <c r="C793" s="23" t="str">
        <f>IFERROR(IF(ISNUMBER('Revenues &amp; Outlays in GDP'!C799),TEXT('Revenues &amp; Outlays in GDP'!C799, "0.00"),""), "")</f>
        <v/>
      </c>
      <c r="D793" s="23" t="str">
        <f>IFERROR(IF(ISNUMBER('Revenues &amp; Outlays in GDP'!F799),TEXT('Revenues &amp; Outlays in GDP'!F799, "0.00"),""), "")</f>
        <v/>
      </c>
      <c r="E793" s="23" t="str">
        <f>IFERROR(IF(ISNUMBER('Revenues &amp; Outlays in GDP'!D799),TEXT('Revenues &amp; Outlays in GDP'!D799, "0.00"),""), "")</f>
        <v/>
      </c>
    </row>
    <row r="794" spans="1:5">
      <c r="A794" s="23" t="str">
        <f>TEXT(IF('Revenues &amp; Outlays in GDP'!B800&lt;&gt;0,'Revenues &amp; Outlays in GDP'!B800-364, ""), "mm/dd/yyyy")</f>
        <v/>
      </c>
      <c r="B794" s="23" t="str">
        <f>IFERROR(IF(ISNUMBER('Revenues &amp; Outlays in GDP'!E800),TEXT('Revenues &amp; Outlays in GDP'!E800, "0.00"),""), "")</f>
        <v/>
      </c>
      <c r="C794" s="23" t="str">
        <f>IFERROR(IF(ISNUMBER('Revenues &amp; Outlays in GDP'!C800),TEXT('Revenues &amp; Outlays in GDP'!C800, "0.00"),""), "")</f>
        <v/>
      </c>
      <c r="D794" s="23" t="str">
        <f>IFERROR(IF(ISNUMBER('Revenues &amp; Outlays in GDP'!F800),TEXT('Revenues &amp; Outlays in GDP'!F800, "0.00"),""), "")</f>
        <v/>
      </c>
      <c r="E794" s="23" t="str">
        <f>IFERROR(IF(ISNUMBER('Revenues &amp; Outlays in GDP'!D800),TEXT('Revenues &amp; Outlays in GDP'!D800, "0.00"),""), "")</f>
        <v/>
      </c>
    </row>
    <row r="795" spans="1:5">
      <c r="A795" s="23" t="str">
        <f>TEXT(IF('Revenues &amp; Outlays in GDP'!B801&lt;&gt;0,'Revenues &amp; Outlays in GDP'!B801-364, ""), "mm/dd/yyyy")</f>
        <v/>
      </c>
      <c r="B795" s="23" t="str">
        <f>IFERROR(IF(ISNUMBER('Revenues &amp; Outlays in GDP'!E801),TEXT('Revenues &amp; Outlays in GDP'!E801, "0.00"),""), "")</f>
        <v/>
      </c>
      <c r="C795" s="23" t="str">
        <f>IFERROR(IF(ISNUMBER('Revenues &amp; Outlays in GDP'!C801),TEXT('Revenues &amp; Outlays in GDP'!C801, "0.00"),""), "")</f>
        <v/>
      </c>
      <c r="D795" s="23" t="str">
        <f>IFERROR(IF(ISNUMBER('Revenues &amp; Outlays in GDP'!F801),TEXT('Revenues &amp; Outlays in GDP'!F801, "0.00"),""), "")</f>
        <v/>
      </c>
      <c r="E795" s="23" t="str">
        <f>IFERROR(IF(ISNUMBER('Revenues &amp; Outlays in GDP'!D801),TEXT('Revenues &amp; Outlays in GDP'!D801, "0.00"),""), "")</f>
        <v/>
      </c>
    </row>
    <row r="796" spans="1:5">
      <c r="A796" s="23" t="str">
        <f>TEXT(IF('Revenues &amp; Outlays in GDP'!B802&lt;&gt;0,'Revenues &amp; Outlays in GDP'!B802-364, ""), "mm/dd/yyyy")</f>
        <v/>
      </c>
      <c r="B796" s="23" t="str">
        <f>IFERROR(IF(ISNUMBER('Revenues &amp; Outlays in GDP'!E802),TEXT('Revenues &amp; Outlays in GDP'!E802, "0.00"),""), "")</f>
        <v/>
      </c>
      <c r="C796" s="23" t="str">
        <f>IFERROR(IF(ISNUMBER('Revenues &amp; Outlays in GDP'!C802),TEXT('Revenues &amp; Outlays in GDP'!C802, "0.00"),""), "")</f>
        <v/>
      </c>
      <c r="D796" s="23" t="str">
        <f>IFERROR(IF(ISNUMBER('Revenues &amp; Outlays in GDP'!F802),TEXT('Revenues &amp; Outlays in GDP'!F802, "0.00"),""), "")</f>
        <v/>
      </c>
      <c r="E796" s="23" t="str">
        <f>IFERROR(IF(ISNUMBER('Revenues &amp; Outlays in GDP'!D802),TEXT('Revenues &amp; Outlays in GDP'!D802, "0.00"),""), "")</f>
        <v/>
      </c>
    </row>
    <row r="797" spans="1:5">
      <c r="A797" s="23" t="str">
        <f>TEXT(IF('Revenues &amp; Outlays in GDP'!B803&lt;&gt;0,'Revenues &amp; Outlays in GDP'!B803-364, ""), "mm/dd/yyyy")</f>
        <v/>
      </c>
      <c r="B797" s="23" t="str">
        <f>IFERROR(IF(ISNUMBER('Revenues &amp; Outlays in GDP'!E803),TEXT('Revenues &amp; Outlays in GDP'!E803, "0.00"),""), "")</f>
        <v/>
      </c>
      <c r="C797" s="23" t="str">
        <f>IFERROR(IF(ISNUMBER('Revenues &amp; Outlays in GDP'!C803),TEXT('Revenues &amp; Outlays in GDP'!C803, "0.00"),""), "")</f>
        <v/>
      </c>
      <c r="D797" s="23" t="str">
        <f>IFERROR(IF(ISNUMBER('Revenues &amp; Outlays in GDP'!F803),TEXT('Revenues &amp; Outlays in GDP'!F803, "0.00"),""), "")</f>
        <v/>
      </c>
      <c r="E797" s="23" t="str">
        <f>IFERROR(IF(ISNUMBER('Revenues &amp; Outlays in GDP'!D803),TEXT('Revenues &amp; Outlays in GDP'!D803, "0.00"),""), "")</f>
        <v/>
      </c>
    </row>
    <row r="798" spans="1:5">
      <c r="A798" s="23" t="str">
        <f>TEXT(IF('Revenues &amp; Outlays in GDP'!B804&lt;&gt;0,'Revenues &amp; Outlays in GDP'!B804-364, ""), "mm/dd/yyyy")</f>
        <v/>
      </c>
      <c r="B798" s="23" t="str">
        <f>IFERROR(IF(ISNUMBER('Revenues &amp; Outlays in GDP'!E804),TEXT('Revenues &amp; Outlays in GDP'!E804, "0.00"),""), "")</f>
        <v/>
      </c>
      <c r="C798" s="23" t="str">
        <f>IFERROR(IF(ISNUMBER('Revenues &amp; Outlays in GDP'!C804),TEXT('Revenues &amp; Outlays in GDP'!C804, "0.00"),""), "")</f>
        <v/>
      </c>
      <c r="D798" s="23" t="str">
        <f>IFERROR(IF(ISNUMBER('Revenues &amp; Outlays in GDP'!F804),TEXT('Revenues &amp; Outlays in GDP'!F804, "0.00"),""), "")</f>
        <v/>
      </c>
      <c r="E798" s="23" t="str">
        <f>IFERROR(IF(ISNUMBER('Revenues &amp; Outlays in GDP'!D804),TEXT('Revenues &amp; Outlays in GDP'!D804, "0.00"),""), "")</f>
        <v/>
      </c>
    </row>
    <row r="799" spans="1:5">
      <c r="A799" s="23" t="str">
        <f>TEXT(IF('Revenues &amp; Outlays in GDP'!B805&lt;&gt;0,'Revenues &amp; Outlays in GDP'!B805-364, ""), "mm/dd/yyyy")</f>
        <v/>
      </c>
      <c r="B799" s="23" t="str">
        <f>IFERROR(IF(ISNUMBER('Revenues &amp; Outlays in GDP'!E805),TEXT('Revenues &amp; Outlays in GDP'!E805, "0.00"),""), "")</f>
        <v/>
      </c>
      <c r="C799" s="23" t="str">
        <f>IFERROR(IF(ISNUMBER('Revenues &amp; Outlays in GDP'!C805),TEXT('Revenues &amp; Outlays in GDP'!C805, "0.00"),""), "")</f>
        <v/>
      </c>
      <c r="D799" s="23" t="str">
        <f>IFERROR(IF(ISNUMBER('Revenues &amp; Outlays in GDP'!F805),TEXT('Revenues &amp; Outlays in GDP'!F805, "0.00"),""), "")</f>
        <v/>
      </c>
      <c r="E799" s="23" t="str">
        <f>IFERROR(IF(ISNUMBER('Revenues &amp; Outlays in GDP'!D805),TEXT('Revenues &amp; Outlays in GDP'!D805, "0.00"),""), "")</f>
        <v/>
      </c>
    </row>
    <row r="800" spans="1:5">
      <c r="A800" s="23" t="str">
        <f>TEXT(IF('Revenues &amp; Outlays in GDP'!B806&lt;&gt;0,'Revenues &amp; Outlays in GDP'!B806-364, ""), "mm/dd/yyyy")</f>
        <v/>
      </c>
      <c r="B800" s="23" t="str">
        <f>IFERROR(IF(ISNUMBER('Revenues &amp; Outlays in GDP'!E806),TEXT('Revenues &amp; Outlays in GDP'!E806, "0.00"),""), "")</f>
        <v/>
      </c>
      <c r="C800" s="23" t="str">
        <f>IFERROR(IF(ISNUMBER('Revenues &amp; Outlays in GDP'!C806),TEXT('Revenues &amp; Outlays in GDP'!C806, "0.00"),""), "")</f>
        <v/>
      </c>
      <c r="D800" s="23" t="str">
        <f>IFERROR(IF(ISNUMBER('Revenues &amp; Outlays in GDP'!F806),TEXT('Revenues &amp; Outlays in GDP'!F806, "0.00"),""), "")</f>
        <v/>
      </c>
      <c r="E800" s="23" t="str">
        <f>IFERROR(IF(ISNUMBER('Revenues &amp; Outlays in GDP'!D806),TEXT('Revenues &amp; Outlays in GDP'!D806, "0.00"),""), "")</f>
        <v/>
      </c>
    </row>
    <row r="801" spans="1:5">
      <c r="A801" s="23" t="str">
        <f>TEXT(IF('Revenues &amp; Outlays in GDP'!B807&lt;&gt;0,'Revenues &amp; Outlays in GDP'!B807-364, ""), "mm/dd/yyyy")</f>
        <v/>
      </c>
      <c r="B801" s="23" t="str">
        <f>IFERROR(IF(ISNUMBER('Revenues &amp; Outlays in GDP'!E807),TEXT('Revenues &amp; Outlays in GDP'!E807, "0.00"),""), "")</f>
        <v/>
      </c>
      <c r="C801" s="23" t="str">
        <f>IFERROR(IF(ISNUMBER('Revenues &amp; Outlays in GDP'!C807),TEXT('Revenues &amp; Outlays in GDP'!C807, "0.00"),""), "")</f>
        <v/>
      </c>
      <c r="D801" s="23" t="str">
        <f>IFERROR(IF(ISNUMBER('Revenues &amp; Outlays in GDP'!F807),TEXT('Revenues &amp; Outlays in GDP'!F807, "0.00"),""), "")</f>
        <v/>
      </c>
      <c r="E801" s="23" t="str">
        <f>IFERROR(IF(ISNUMBER('Revenues &amp; Outlays in GDP'!D807),TEXT('Revenues &amp; Outlays in GDP'!D807, "0.00"),""), "")</f>
        <v/>
      </c>
    </row>
    <row r="802" spans="1:5">
      <c r="A802" s="23" t="str">
        <f>TEXT(IF('Revenues &amp; Outlays in GDP'!B808&lt;&gt;0,'Revenues &amp; Outlays in GDP'!B808-364, ""), "mm/dd/yyyy")</f>
        <v/>
      </c>
      <c r="B802" s="23" t="str">
        <f>IFERROR(IF(ISNUMBER('Revenues &amp; Outlays in GDP'!E808),TEXT('Revenues &amp; Outlays in GDP'!E808, "0.00"),""), "")</f>
        <v/>
      </c>
      <c r="C802" s="23" t="str">
        <f>IFERROR(IF(ISNUMBER('Revenues &amp; Outlays in GDP'!C808),TEXT('Revenues &amp; Outlays in GDP'!C808, "0.00"),""), "")</f>
        <v/>
      </c>
      <c r="D802" s="23" t="str">
        <f>IFERROR(IF(ISNUMBER('Revenues &amp; Outlays in GDP'!F808),TEXT('Revenues &amp; Outlays in GDP'!F808, "0.00"),""), "")</f>
        <v/>
      </c>
      <c r="E802" s="23" t="str">
        <f>IFERROR(IF(ISNUMBER('Revenues &amp; Outlays in GDP'!D808),TEXT('Revenues &amp; Outlays in GDP'!D808, "0.00"),""), "")</f>
        <v/>
      </c>
    </row>
    <row r="803" spans="1:5">
      <c r="A803" s="23" t="str">
        <f>TEXT(IF('Revenues &amp; Outlays in GDP'!B809&lt;&gt;0,'Revenues &amp; Outlays in GDP'!B809-364, ""), "mm/dd/yyyy")</f>
        <v/>
      </c>
      <c r="B803" s="23" t="str">
        <f>IFERROR(IF(ISNUMBER('Revenues &amp; Outlays in GDP'!E809),TEXT('Revenues &amp; Outlays in GDP'!E809, "0.00"),""), "")</f>
        <v/>
      </c>
      <c r="C803" s="23" t="str">
        <f>IFERROR(IF(ISNUMBER('Revenues &amp; Outlays in GDP'!C809),TEXT('Revenues &amp; Outlays in GDP'!C809, "0.00"),""), "")</f>
        <v/>
      </c>
      <c r="D803" s="23" t="str">
        <f>IFERROR(IF(ISNUMBER('Revenues &amp; Outlays in GDP'!F809),TEXT('Revenues &amp; Outlays in GDP'!F809, "0.00"),""), "")</f>
        <v/>
      </c>
      <c r="E803" s="23" t="str">
        <f>IFERROR(IF(ISNUMBER('Revenues &amp; Outlays in GDP'!D809),TEXT('Revenues &amp; Outlays in GDP'!D809, "0.00"),""), "")</f>
        <v/>
      </c>
    </row>
    <row r="804" spans="1:5">
      <c r="A804" s="23" t="str">
        <f>TEXT(IF('Revenues &amp; Outlays in GDP'!B810&lt;&gt;0,'Revenues &amp; Outlays in GDP'!B810-364, ""), "mm/dd/yyyy")</f>
        <v/>
      </c>
      <c r="B804" s="23" t="str">
        <f>IFERROR(IF(ISNUMBER('Revenues &amp; Outlays in GDP'!E810),TEXT('Revenues &amp; Outlays in GDP'!E810, "0.00"),""), "")</f>
        <v/>
      </c>
      <c r="C804" s="23" t="str">
        <f>IFERROR(IF(ISNUMBER('Revenues &amp; Outlays in GDP'!C810),TEXT('Revenues &amp; Outlays in GDP'!C810, "0.00"),""), "")</f>
        <v/>
      </c>
      <c r="D804" s="23" t="str">
        <f>IFERROR(IF(ISNUMBER('Revenues &amp; Outlays in GDP'!F810),TEXT('Revenues &amp; Outlays in GDP'!F810, "0.00"),""), "")</f>
        <v/>
      </c>
      <c r="E804" s="23" t="str">
        <f>IFERROR(IF(ISNUMBER('Revenues &amp; Outlays in GDP'!D810),TEXT('Revenues &amp; Outlays in GDP'!D810, "0.00"),""), "")</f>
        <v/>
      </c>
    </row>
    <row r="805" spans="1:5">
      <c r="A805" s="23" t="str">
        <f>TEXT(IF('Revenues &amp; Outlays in GDP'!B811&lt;&gt;0,'Revenues &amp; Outlays in GDP'!B811-364, ""), "mm/dd/yyyy")</f>
        <v/>
      </c>
      <c r="B805" s="23" t="str">
        <f>IFERROR(IF(ISNUMBER('Revenues &amp; Outlays in GDP'!E811),TEXT('Revenues &amp; Outlays in GDP'!E811, "0.00"),""), "")</f>
        <v/>
      </c>
      <c r="C805" s="23" t="str">
        <f>IFERROR(IF(ISNUMBER('Revenues &amp; Outlays in GDP'!C811),TEXT('Revenues &amp; Outlays in GDP'!C811, "0.00"),""), "")</f>
        <v/>
      </c>
      <c r="D805" s="23" t="str">
        <f>IFERROR(IF(ISNUMBER('Revenues &amp; Outlays in GDP'!F811),TEXT('Revenues &amp; Outlays in GDP'!F811, "0.00"),""), "")</f>
        <v/>
      </c>
      <c r="E805" s="23" t="str">
        <f>IFERROR(IF(ISNUMBER('Revenues &amp; Outlays in GDP'!D811),TEXT('Revenues &amp; Outlays in GDP'!D811, "0.00"),""), "")</f>
        <v/>
      </c>
    </row>
    <row r="806" spans="1:5">
      <c r="A806" s="23" t="str">
        <f>TEXT(IF('Revenues &amp; Outlays in GDP'!B812&lt;&gt;0,'Revenues &amp; Outlays in GDP'!B812-364, ""), "mm/dd/yyyy")</f>
        <v/>
      </c>
      <c r="B806" s="23" t="str">
        <f>IFERROR(IF(ISNUMBER('Revenues &amp; Outlays in GDP'!E812),TEXT('Revenues &amp; Outlays in GDP'!E812, "0.00"),""), "")</f>
        <v/>
      </c>
      <c r="C806" s="23" t="str">
        <f>IFERROR(IF(ISNUMBER('Revenues &amp; Outlays in GDP'!C812),TEXT('Revenues &amp; Outlays in GDP'!C812, "0.00"),""), "")</f>
        <v/>
      </c>
      <c r="D806" s="23" t="str">
        <f>IFERROR(IF(ISNUMBER('Revenues &amp; Outlays in GDP'!F812),TEXT('Revenues &amp; Outlays in GDP'!F812, "0.00"),""), "")</f>
        <v/>
      </c>
      <c r="E806" s="23" t="str">
        <f>IFERROR(IF(ISNUMBER('Revenues &amp; Outlays in GDP'!D812),TEXT('Revenues &amp; Outlays in GDP'!D812, "0.00"),""), "")</f>
        <v/>
      </c>
    </row>
    <row r="807" spans="1:5">
      <c r="A807" s="23" t="str">
        <f>TEXT(IF('Revenues &amp; Outlays in GDP'!B813&lt;&gt;0,'Revenues &amp; Outlays in GDP'!B813-364, ""), "mm/dd/yyyy")</f>
        <v/>
      </c>
      <c r="B807" s="23" t="str">
        <f>IFERROR(IF(ISNUMBER('Revenues &amp; Outlays in GDP'!E813),TEXT('Revenues &amp; Outlays in GDP'!E813, "0.00"),""), "")</f>
        <v/>
      </c>
      <c r="C807" s="23" t="str">
        <f>IFERROR(IF(ISNUMBER('Revenues &amp; Outlays in GDP'!C813),TEXT('Revenues &amp; Outlays in GDP'!C813, "0.00"),""), "")</f>
        <v/>
      </c>
      <c r="D807" s="23" t="str">
        <f>IFERROR(IF(ISNUMBER('Revenues &amp; Outlays in GDP'!F813),TEXT('Revenues &amp; Outlays in GDP'!F813, "0.00"),""), "")</f>
        <v/>
      </c>
      <c r="E807" s="23" t="str">
        <f>IFERROR(IF(ISNUMBER('Revenues &amp; Outlays in GDP'!D813),TEXT('Revenues &amp; Outlays in GDP'!D813, "0.00"),""), "")</f>
        <v/>
      </c>
    </row>
    <row r="808" spans="1:5">
      <c r="A808" s="23" t="str">
        <f>TEXT(IF('Revenues &amp; Outlays in GDP'!B814&lt;&gt;0,'Revenues &amp; Outlays in GDP'!B814-364, ""), "mm/dd/yyyy")</f>
        <v/>
      </c>
      <c r="B808" s="23" t="str">
        <f>IFERROR(IF(ISNUMBER('Revenues &amp; Outlays in GDP'!E814),TEXT('Revenues &amp; Outlays in GDP'!E814, "0.00"),""), "")</f>
        <v/>
      </c>
      <c r="C808" s="23" t="str">
        <f>IFERROR(IF(ISNUMBER('Revenues &amp; Outlays in GDP'!C814),TEXT('Revenues &amp; Outlays in GDP'!C814, "0.00"),""), "")</f>
        <v/>
      </c>
      <c r="D808" s="23" t="str">
        <f>IFERROR(IF(ISNUMBER('Revenues &amp; Outlays in GDP'!F814),TEXT('Revenues &amp; Outlays in GDP'!F814, "0.00"),""), "")</f>
        <v/>
      </c>
      <c r="E808" s="23" t="str">
        <f>IFERROR(IF(ISNUMBER('Revenues &amp; Outlays in GDP'!D814),TEXT('Revenues &amp; Outlays in GDP'!D814, "0.00"),""), "")</f>
        <v/>
      </c>
    </row>
    <row r="809" spans="1:5">
      <c r="A809" s="23" t="str">
        <f>TEXT(IF('Revenues &amp; Outlays in GDP'!B815&lt;&gt;0,'Revenues &amp; Outlays in GDP'!B815-364, ""), "mm/dd/yyyy")</f>
        <v/>
      </c>
      <c r="B809" s="23" t="str">
        <f>IFERROR(IF(ISNUMBER('Revenues &amp; Outlays in GDP'!E815),TEXT('Revenues &amp; Outlays in GDP'!E815, "0.00"),""), "")</f>
        <v/>
      </c>
      <c r="C809" s="23" t="str">
        <f>IFERROR(IF(ISNUMBER('Revenues &amp; Outlays in GDP'!C815),TEXT('Revenues &amp; Outlays in GDP'!C815, "0.00"),""), "")</f>
        <v/>
      </c>
      <c r="D809" s="23" t="str">
        <f>IFERROR(IF(ISNUMBER('Revenues &amp; Outlays in GDP'!F815),TEXT('Revenues &amp; Outlays in GDP'!F815, "0.00"),""), "")</f>
        <v/>
      </c>
      <c r="E809" s="23" t="str">
        <f>IFERROR(IF(ISNUMBER('Revenues &amp; Outlays in GDP'!D815),TEXT('Revenues &amp; Outlays in GDP'!D815, "0.00"),""), "")</f>
        <v/>
      </c>
    </row>
    <row r="810" spans="1:5">
      <c r="A810" s="23" t="str">
        <f>TEXT(IF('Revenues &amp; Outlays in GDP'!B816&lt;&gt;0,'Revenues &amp; Outlays in GDP'!B816-364, ""), "mm/dd/yyyy")</f>
        <v/>
      </c>
      <c r="B810" s="23" t="str">
        <f>IFERROR(IF(ISNUMBER('Revenues &amp; Outlays in GDP'!E816),TEXT('Revenues &amp; Outlays in GDP'!E816, "0.00"),""), "")</f>
        <v/>
      </c>
      <c r="C810" s="23" t="str">
        <f>IFERROR(IF(ISNUMBER('Revenues &amp; Outlays in GDP'!C816),TEXT('Revenues &amp; Outlays in GDP'!C816, "0.00"),""), "")</f>
        <v/>
      </c>
      <c r="D810" s="23" t="str">
        <f>IFERROR(IF(ISNUMBER('Revenues &amp; Outlays in GDP'!F816),TEXT('Revenues &amp; Outlays in GDP'!F816, "0.00"),""), "")</f>
        <v/>
      </c>
      <c r="E810" s="23" t="str">
        <f>IFERROR(IF(ISNUMBER('Revenues &amp; Outlays in GDP'!D816),TEXT('Revenues &amp; Outlays in GDP'!D816, "0.00"),""), "")</f>
        <v/>
      </c>
    </row>
    <row r="811" spans="1:5">
      <c r="A811" s="23" t="str">
        <f>TEXT(IF('Revenues &amp; Outlays in GDP'!B817&lt;&gt;0,'Revenues &amp; Outlays in GDP'!B817-364, ""), "mm/dd/yyyy")</f>
        <v/>
      </c>
      <c r="B811" s="23" t="str">
        <f>IFERROR(IF(ISNUMBER('Revenues &amp; Outlays in GDP'!E817),TEXT('Revenues &amp; Outlays in GDP'!E817, "0.00"),""), "")</f>
        <v/>
      </c>
      <c r="C811" s="23" t="str">
        <f>IFERROR(IF(ISNUMBER('Revenues &amp; Outlays in GDP'!C817),TEXT('Revenues &amp; Outlays in GDP'!C817, "0.00"),""), "")</f>
        <v/>
      </c>
      <c r="D811" s="23" t="str">
        <f>IFERROR(IF(ISNUMBER('Revenues &amp; Outlays in GDP'!F817),TEXT('Revenues &amp; Outlays in GDP'!F817, "0.00"),""), "")</f>
        <v/>
      </c>
      <c r="E811" s="23" t="str">
        <f>IFERROR(IF(ISNUMBER('Revenues &amp; Outlays in GDP'!D817),TEXT('Revenues &amp; Outlays in GDP'!D817, "0.00"),""), "")</f>
        <v/>
      </c>
    </row>
    <row r="812" spans="1:5">
      <c r="A812" s="23" t="str">
        <f>TEXT(IF('Revenues &amp; Outlays in GDP'!B818&lt;&gt;0,'Revenues &amp; Outlays in GDP'!B818-364, ""), "mm/dd/yyyy")</f>
        <v/>
      </c>
      <c r="B812" s="23" t="str">
        <f>IFERROR(IF(ISNUMBER('Revenues &amp; Outlays in GDP'!E818),TEXT('Revenues &amp; Outlays in GDP'!E818, "0.00"),""), "")</f>
        <v/>
      </c>
      <c r="C812" s="23" t="str">
        <f>IFERROR(IF(ISNUMBER('Revenues &amp; Outlays in GDP'!C818),TEXT('Revenues &amp; Outlays in GDP'!C818, "0.00"),""), "")</f>
        <v/>
      </c>
      <c r="D812" s="23" t="str">
        <f>IFERROR(IF(ISNUMBER('Revenues &amp; Outlays in GDP'!F818),TEXT('Revenues &amp; Outlays in GDP'!F818, "0.00"),""), "")</f>
        <v/>
      </c>
      <c r="E812" s="23" t="str">
        <f>IFERROR(IF(ISNUMBER('Revenues &amp; Outlays in GDP'!D818),TEXT('Revenues &amp; Outlays in GDP'!D818, "0.00"),""), "")</f>
        <v/>
      </c>
    </row>
    <row r="813" spans="1:5">
      <c r="A813" s="23" t="str">
        <f>TEXT(IF('Revenues &amp; Outlays in GDP'!B819&lt;&gt;0,'Revenues &amp; Outlays in GDP'!B819-364, ""), "mm/dd/yyyy")</f>
        <v/>
      </c>
      <c r="B813" s="23" t="str">
        <f>IFERROR(IF(ISNUMBER('Revenues &amp; Outlays in GDP'!E819),TEXT('Revenues &amp; Outlays in GDP'!E819, "0.00"),""), "")</f>
        <v/>
      </c>
      <c r="C813" s="23" t="str">
        <f>IFERROR(IF(ISNUMBER('Revenues &amp; Outlays in GDP'!C819),TEXT('Revenues &amp; Outlays in GDP'!C819, "0.00"),""), "")</f>
        <v/>
      </c>
      <c r="D813" s="23" t="str">
        <f>IFERROR(IF(ISNUMBER('Revenues &amp; Outlays in GDP'!F819),TEXT('Revenues &amp; Outlays in GDP'!F819, "0.00"),""), "")</f>
        <v/>
      </c>
      <c r="E813" s="23" t="str">
        <f>IFERROR(IF(ISNUMBER('Revenues &amp; Outlays in GDP'!D819),TEXT('Revenues &amp; Outlays in GDP'!D819, "0.00"),""), "")</f>
        <v/>
      </c>
    </row>
    <row r="814" spans="1:5">
      <c r="A814" s="23" t="str">
        <f>TEXT(IF('Revenues &amp; Outlays in GDP'!B820&lt;&gt;0,'Revenues &amp; Outlays in GDP'!B820-364, ""), "mm/dd/yyyy")</f>
        <v/>
      </c>
      <c r="B814" s="23" t="str">
        <f>IFERROR(IF(ISNUMBER('Revenues &amp; Outlays in GDP'!E820),TEXT('Revenues &amp; Outlays in GDP'!E820, "0.00"),""), "")</f>
        <v/>
      </c>
      <c r="C814" s="23" t="str">
        <f>IFERROR(IF(ISNUMBER('Revenues &amp; Outlays in GDP'!C820),TEXT('Revenues &amp; Outlays in GDP'!C820, "0.00"),""), "")</f>
        <v/>
      </c>
      <c r="D814" s="23" t="str">
        <f>IFERROR(IF(ISNUMBER('Revenues &amp; Outlays in GDP'!F820),TEXT('Revenues &amp; Outlays in GDP'!F820, "0.00"),""), "")</f>
        <v/>
      </c>
      <c r="E814" s="23" t="str">
        <f>IFERROR(IF(ISNUMBER('Revenues &amp; Outlays in GDP'!D820),TEXT('Revenues &amp; Outlays in GDP'!D820, "0.00"),""), "")</f>
        <v/>
      </c>
    </row>
    <row r="815" spans="1:5">
      <c r="A815" s="23" t="str">
        <f>TEXT(IF('Revenues &amp; Outlays in GDP'!B821&lt;&gt;0,'Revenues &amp; Outlays in GDP'!B821-364, ""), "mm/dd/yyyy")</f>
        <v/>
      </c>
      <c r="B815" s="23" t="str">
        <f>IFERROR(IF(ISNUMBER('Revenues &amp; Outlays in GDP'!E821),TEXT('Revenues &amp; Outlays in GDP'!E821, "0.00"),""), "")</f>
        <v/>
      </c>
      <c r="C815" s="23" t="str">
        <f>IFERROR(IF(ISNUMBER('Revenues &amp; Outlays in GDP'!C821),TEXT('Revenues &amp; Outlays in GDP'!C821, "0.00"),""), "")</f>
        <v/>
      </c>
      <c r="D815" s="23" t="str">
        <f>IFERROR(IF(ISNUMBER('Revenues &amp; Outlays in GDP'!F821),TEXT('Revenues &amp; Outlays in GDP'!F821, "0.00"),""), "")</f>
        <v/>
      </c>
      <c r="E815" s="23" t="str">
        <f>IFERROR(IF(ISNUMBER('Revenues &amp; Outlays in GDP'!D821),TEXT('Revenues &amp; Outlays in GDP'!D821, "0.00"),""), "")</f>
        <v/>
      </c>
    </row>
    <row r="816" spans="1:5">
      <c r="A816" s="23" t="str">
        <f>TEXT(IF('Revenues &amp; Outlays in GDP'!B822&lt;&gt;0,'Revenues &amp; Outlays in GDP'!B822-364, ""), "mm/dd/yyyy")</f>
        <v/>
      </c>
      <c r="B816" s="23" t="str">
        <f>IFERROR(IF(ISNUMBER('Revenues &amp; Outlays in GDP'!E822),TEXT('Revenues &amp; Outlays in GDP'!E822, "0.00"),""), "")</f>
        <v/>
      </c>
      <c r="C816" s="23" t="str">
        <f>IFERROR(IF(ISNUMBER('Revenues &amp; Outlays in GDP'!C822),TEXT('Revenues &amp; Outlays in GDP'!C822, "0.00"),""), "")</f>
        <v/>
      </c>
      <c r="D816" s="23" t="str">
        <f>IFERROR(IF(ISNUMBER('Revenues &amp; Outlays in GDP'!F822),TEXT('Revenues &amp; Outlays in GDP'!F822, "0.00"),""), "")</f>
        <v/>
      </c>
      <c r="E816" s="23" t="str">
        <f>IFERROR(IF(ISNUMBER('Revenues &amp; Outlays in GDP'!D822),TEXT('Revenues &amp; Outlays in GDP'!D822, "0.00"),""), "")</f>
        <v/>
      </c>
    </row>
    <row r="817" spans="1:5">
      <c r="A817" s="23" t="str">
        <f>TEXT(IF('Revenues &amp; Outlays in GDP'!B823&lt;&gt;0,'Revenues &amp; Outlays in GDP'!B823-364, ""), "mm/dd/yyyy")</f>
        <v/>
      </c>
      <c r="B817" s="23" t="str">
        <f>IFERROR(IF(ISNUMBER('Revenues &amp; Outlays in GDP'!E823),TEXT('Revenues &amp; Outlays in GDP'!E823, "0.00"),""), "")</f>
        <v/>
      </c>
      <c r="C817" s="23" t="str">
        <f>IFERROR(IF(ISNUMBER('Revenues &amp; Outlays in GDP'!C823),TEXT('Revenues &amp; Outlays in GDP'!C823, "0.00"),""), "")</f>
        <v/>
      </c>
      <c r="D817" s="23" t="str">
        <f>IFERROR(IF(ISNUMBER('Revenues &amp; Outlays in GDP'!F823),TEXT('Revenues &amp; Outlays in GDP'!F823, "0.00"),""), "")</f>
        <v/>
      </c>
      <c r="E817" s="23" t="str">
        <f>IFERROR(IF(ISNUMBER('Revenues &amp; Outlays in GDP'!D823),TEXT('Revenues &amp; Outlays in GDP'!D823, "0.00"),""), "")</f>
        <v/>
      </c>
    </row>
    <row r="818" spans="1:5">
      <c r="A818" s="23" t="str">
        <f>TEXT(IF('Revenues &amp; Outlays in GDP'!B824&lt;&gt;0,'Revenues &amp; Outlays in GDP'!B824-364, ""), "mm/dd/yyyy")</f>
        <v/>
      </c>
      <c r="B818" s="23" t="str">
        <f>IFERROR(IF(ISNUMBER('Revenues &amp; Outlays in GDP'!E824),TEXT('Revenues &amp; Outlays in GDP'!E824, "0.00"),""), "")</f>
        <v/>
      </c>
      <c r="C818" s="23" t="str">
        <f>IFERROR(IF(ISNUMBER('Revenues &amp; Outlays in GDP'!C824),TEXT('Revenues &amp; Outlays in GDP'!C824, "0.00"),""), "")</f>
        <v/>
      </c>
      <c r="D818" s="23" t="str">
        <f>IFERROR(IF(ISNUMBER('Revenues &amp; Outlays in GDP'!F824),TEXT('Revenues &amp; Outlays in GDP'!F824, "0.00"),""), "")</f>
        <v/>
      </c>
      <c r="E818" s="23" t="str">
        <f>IFERROR(IF(ISNUMBER('Revenues &amp; Outlays in GDP'!D824),TEXT('Revenues &amp; Outlays in GDP'!D824, "0.00"),""), "")</f>
        <v/>
      </c>
    </row>
    <row r="819" spans="1:5">
      <c r="A819" s="23" t="str">
        <f>TEXT(IF('Revenues &amp; Outlays in GDP'!B825&lt;&gt;0,'Revenues &amp; Outlays in GDP'!B825-364, ""), "mm/dd/yyyy")</f>
        <v/>
      </c>
      <c r="B819" s="23" t="str">
        <f>IFERROR(IF(ISNUMBER('Revenues &amp; Outlays in GDP'!E825),TEXT('Revenues &amp; Outlays in GDP'!E825, "0.00"),""), "")</f>
        <v/>
      </c>
      <c r="C819" s="23" t="str">
        <f>IFERROR(IF(ISNUMBER('Revenues &amp; Outlays in GDP'!C825),TEXT('Revenues &amp; Outlays in GDP'!C825, "0.00"),""), "")</f>
        <v/>
      </c>
      <c r="D819" s="23" t="str">
        <f>IFERROR(IF(ISNUMBER('Revenues &amp; Outlays in GDP'!F825),TEXT('Revenues &amp; Outlays in GDP'!F825, "0.00"),""), "")</f>
        <v/>
      </c>
      <c r="E819" s="23" t="str">
        <f>IFERROR(IF(ISNUMBER('Revenues &amp; Outlays in GDP'!D825),TEXT('Revenues &amp; Outlays in GDP'!D825, "0.00"),""), "")</f>
        <v/>
      </c>
    </row>
    <row r="820" spans="1:5">
      <c r="A820" s="23" t="str">
        <f>TEXT(IF('Revenues &amp; Outlays in GDP'!B826&lt;&gt;0,'Revenues &amp; Outlays in GDP'!B826-364, ""), "mm/dd/yyyy")</f>
        <v/>
      </c>
      <c r="B820" s="23" t="str">
        <f>IFERROR(IF(ISNUMBER('Revenues &amp; Outlays in GDP'!E826),TEXT('Revenues &amp; Outlays in GDP'!E826, "0.00"),""), "")</f>
        <v/>
      </c>
      <c r="C820" s="23" t="str">
        <f>IFERROR(IF(ISNUMBER('Revenues &amp; Outlays in GDP'!C826),TEXT('Revenues &amp; Outlays in GDP'!C826, "0.00"),""), "")</f>
        <v/>
      </c>
      <c r="D820" s="23" t="str">
        <f>IFERROR(IF(ISNUMBER('Revenues &amp; Outlays in GDP'!F826),TEXT('Revenues &amp; Outlays in GDP'!F826, "0.00"),""), "")</f>
        <v/>
      </c>
      <c r="E820" s="23" t="str">
        <f>IFERROR(IF(ISNUMBER('Revenues &amp; Outlays in GDP'!D826),TEXT('Revenues &amp; Outlays in GDP'!D826, "0.00"),""), "")</f>
        <v/>
      </c>
    </row>
    <row r="821" spans="1:5">
      <c r="A821" s="23" t="str">
        <f>TEXT(IF('Revenues &amp; Outlays in GDP'!B827&lt;&gt;0,'Revenues &amp; Outlays in GDP'!B827-364, ""), "mm/dd/yyyy")</f>
        <v/>
      </c>
      <c r="B821" s="23" t="str">
        <f>IFERROR(IF(ISNUMBER('Revenues &amp; Outlays in GDP'!E827),TEXT('Revenues &amp; Outlays in GDP'!E827, "0.00"),""), "")</f>
        <v/>
      </c>
      <c r="C821" s="23" t="str">
        <f>IFERROR(IF(ISNUMBER('Revenues &amp; Outlays in GDP'!C827),TEXT('Revenues &amp; Outlays in GDP'!C827, "0.00"),""), "")</f>
        <v/>
      </c>
      <c r="D821" s="23" t="str">
        <f>IFERROR(IF(ISNUMBER('Revenues &amp; Outlays in GDP'!F827),TEXT('Revenues &amp; Outlays in GDP'!F827, "0.00"),""), "")</f>
        <v/>
      </c>
      <c r="E821" s="23" t="str">
        <f>IFERROR(IF(ISNUMBER('Revenues &amp; Outlays in GDP'!D827),TEXT('Revenues &amp; Outlays in GDP'!D827, "0.00"),""), "")</f>
        <v/>
      </c>
    </row>
    <row r="822" spans="1:5">
      <c r="A822" s="23" t="str">
        <f>TEXT(IF('Revenues &amp; Outlays in GDP'!B828&lt;&gt;0,'Revenues &amp; Outlays in GDP'!B828-364, ""), "mm/dd/yyyy")</f>
        <v/>
      </c>
      <c r="B822" s="23" t="str">
        <f>IFERROR(IF(ISNUMBER('Revenues &amp; Outlays in GDP'!E828),TEXT('Revenues &amp; Outlays in GDP'!E828, "0.00"),""), "")</f>
        <v/>
      </c>
      <c r="C822" s="23" t="str">
        <f>IFERROR(IF(ISNUMBER('Revenues &amp; Outlays in GDP'!C828),TEXT('Revenues &amp; Outlays in GDP'!C828, "0.00"),""), "")</f>
        <v/>
      </c>
      <c r="D822" s="23" t="str">
        <f>IFERROR(IF(ISNUMBER('Revenues &amp; Outlays in GDP'!F828),TEXT('Revenues &amp; Outlays in GDP'!F828, "0.00"),""), "")</f>
        <v/>
      </c>
      <c r="E822" s="23" t="str">
        <f>IFERROR(IF(ISNUMBER('Revenues &amp; Outlays in GDP'!D828),TEXT('Revenues &amp; Outlays in GDP'!D828, "0.00"),""), "")</f>
        <v/>
      </c>
    </row>
    <row r="823" spans="1:5">
      <c r="A823" s="23" t="str">
        <f>TEXT(IF('Revenues &amp; Outlays in GDP'!B829&lt;&gt;0,'Revenues &amp; Outlays in GDP'!B829-364, ""), "mm/dd/yyyy")</f>
        <v/>
      </c>
      <c r="B823" s="23" t="str">
        <f>IFERROR(IF(ISNUMBER('Revenues &amp; Outlays in GDP'!E829),TEXT('Revenues &amp; Outlays in GDP'!E829, "0.00"),""), "")</f>
        <v/>
      </c>
      <c r="C823" s="23" t="str">
        <f>IFERROR(IF(ISNUMBER('Revenues &amp; Outlays in GDP'!C829),TEXT('Revenues &amp; Outlays in GDP'!C829, "0.00"),""), "")</f>
        <v/>
      </c>
      <c r="D823" s="23" t="str">
        <f>IFERROR(IF(ISNUMBER('Revenues &amp; Outlays in GDP'!F829),TEXT('Revenues &amp; Outlays in GDP'!F829, "0.00"),""), "")</f>
        <v/>
      </c>
      <c r="E823" s="23" t="str">
        <f>IFERROR(IF(ISNUMBER('Revenues &amp; Outlays in GDP'!D829),TEXT('Revenues &amp; Outlays in GDP'!D829, "0.00"),""), "")</f>
        <v/>
      </c>
    </row>
    <row r="824" spans="1:5">
      <c r="A824" s="23" t="str">
        <f>TEXT(IF('Revenues &amp; Outlays in GDP'!B830&lt;&gt;0,'Revenues &amp; Outlays in GDP'!B830-364, ""), "mm/dd/yyyy")</f>
        <v/>
      </c>
      <c r="B824" s="23" t="str">
        <f>IFERROR(IF(ISNUMBER('Revenues &amp; Outlays in GDP'!E830),TEXT('Revenues &amp; Outlays in GDP'!E830, "0.00"),""), "")</f>
        <v/>
      </c>
      <c r="C824" s="23" t="str">
        <f>IFERROR(IF(ISNUMBER('Revenues &amp; Outlays in GDP'!C830),TEXT('Revenues &amp; Outlays in GDP'!C830, "0.00"),""), "")</f>
        <v/>
      </c>
      <c r="D824" s="23" t="str">
        <f>IFERROR(IF(ISNUMBER('Revenues &amp; Outlays in GDP'!F830),TEXT('Revenues &amp; Outlays in GDP'!F830, "0.00"),""), "")</f>
        <v/>
      </c>
      <c r="E824" s="23" t="str">
        <f>IFERROR(IF(ISNUMBER('Revenues &amp; Outlays in GDP'!D830),TEXT('Revenues &amp; Outlays in GDP'!D830, "0.00"),""), "")</f>
        <v/>
      </c>
    </row>
    <row r="825" spans="1:5">
      <c r="A825" s="23" t="str">
        <f>TEXT(IF('Revenues &amp; Outlays in GDP'!B831&lt;&gt;0,'Revenues &amp; Outlays in GDP'!B831-364, ""), "mm/dd/yyyy")</f>
        <v/>
      </c>
      <c r="B825" s="23" t="str">
        <f>IFERROR(IF(ISNUMBER('Revenues &amp; Outlays in GDP'!E831),TEXT('Revenues &amp; Outlays in GDP'!E831, "0.00"),""), "")</f>
        <v/>
      </c>
      <c r="C825" s="23" t="str">
        <f>IFERROR(IF(ISNUMBER('Revenues &amp; Outlays in GDP'!C831),TEXT('Revenues &amp; Outlays in GDP'!C831, "0.00"),""), "")</f>
        <v/>
      </c>
      <c r="D825" s="23" t="str">
        <f>IFERROR(IF(ISNUMBER('Revenues &amp; Outlays in GDP'!F831),TEXT('Revenues &amp; Outlays in GDP'!F831, "0.00"),""), "")</f>
        <v/>
      </c>
      <c r="E825" s="23" t="str">
        <f>IFERROR(IF(ISNUMBER('Revenues &amp; Outlays in GDP'!D831),TEXT('Revenues &amp; Outlays in GDP'!D831, "0.00"),""), "")</f>
        <v/>
      </c>
    </row>
    <row r="826" spans="1:5">
      <c r="A826" s="23" t="str">
        <f>TEXT(IF('Revenues &amp; Outlays in GDP'!B832&lt;&gt;0,'Revenues &amp; Outlays in GDP'!B832-364, ""), "mm/dd/yyyy")</f>
        <v/>
      </c>
      <c r="B826" s="23" t="str">
        <f>IFERROR(IF(ISNUMBER('Revenues &amp; Outlays in GDP'!E832),TEXT('Revenues &amp; Outlays in GDP'!E832, "0.00"),""), "")</f>
        <v/>
      </c>
      <c r="C826" s="23" t="str">
        <f>IFERROR(IF(ISNUMBER('Revenues &amp; Outlays in GDP'!C832),TEXT('Revenues &amp; Outlays in GDP'!C832, "0.00"),""), "")</f>
        <v/>
      </c>
      <c r="D826" s="23" t="str">
        <f>IFERROR(IF(ISNUMBER('Revenues &amp; Outlays in GDP'!F832),TEXT('Revenues &amp; Outlays in GDP'!F832, "0.00"),""), "")</f>
        <v/>
      </c>
      <c r="E826" s="23" t="str">
        <f>IFERROR(IF(ISNUMBER('Revenues &amp; Outlays in GDP'!D832),TEXT('Revenues &amp; Outlays in GDP'!D832, "0.00"),""), "")</f>
        <v/>
      </c>
    </row>
    <row r="827" spans="1:5">
      <c r="A827" s="23" t="str">
        <f>TEXT(IF('Revenues &amp; Outlays in GDP'!B833&lt;&gt;0,'Revenues &amp; Outlays in GDP'!B833-364, ""), "mm/dd/yyyy")</f>
        <v/>
      </c>
      <c r="B827" s="23" t="str">
        <f>IFERROR(IF(ISNUMBER('Revenues &amp; Outlays in GDP'!E833),TEXT('Revenues &amp; Outlays in GDP'!E833, "0.00"),""), "")</f>
        <v/>
      </c>
      <c r="C827" s="23" t="str">
        <f>IFERROR(IF(ISNUMBER('Revenues &amp; Outlays in GDP'!C833),TEXT('Revenues &amp; Outlays in GDP'!C833, "0.00"),""), "")</f>
        <v/>
      </c>
      <c r="D827" s="23" t="str">
        <f>IFERROR(IF(ISNUMBER('Revenues &amp; Outlays in GDP'!F833),TEXT('Revenues &amp; Outlays in GDP'!F833, "0.00"),""), "")</f>
        <v/>
      </c>
      <c r="E827" s="23" t="str">
        <f>IFERROR(IF(ISNUMBER('Revenues &amp; Outlays in GDP'!D833),TEXT('Revenues &amp; Outlays in GDP'!D833, "0.00"),""), "")</f>
        <v/>
      </c>
    </row>
    <row r="828" spans="1:5">
      <c r="A828" s="23" t="str">
        <f>TEXT(IF('Revenues &amp; Outlays in GDP'!B834&lt;&gt;0,'Revenues &amp; Outlays in GDP'!B834-364, ""), "mm/dd/yyyy")</f>
        <v/>
      </c>
      <c r="B828" s="23" t="str">
        <f>IFERROR(IF(ISNUMBER('Revenues &amp; Outlays in GDP'!E834),TEXT('Revenues &amp; Outlays in GDP'!E834, "0.00"),""), "")</f>
        <v/>
      </c>
      <c r="C828" s="23" t="str">
        <f>IFERROR(IF(ISNUMBER('Revenues &amp; Outlays in GDP'!C834),TEXT('Revenues &amp; Outlays in GDP'!C834, "0.00"),""), "")</f>
        <v/>
      </c>
      <c r="D828" s="23" t="str">
        <f>IFERROR(IF(ISNUMBER('Revenues &amp; Outlays in GDP'!F834),TEXT('Revenues &amp; Outlays in GDP'!F834, "0.00"),""), "")</f>
        <v/>
      </c>
      <c r="E828" s="23" t="str">
        <f>IFERROR(IF(ISNUMBER('Revenues &amp; Outlays in GDP'!D834),TEXT('Revenues &amp; Outlays in GDP'!D834, "0.00"),""), "")</f>
        <v/>
      </c>
    </row>
    <row r="829" spans="1:5">
      <c r="A829" s="23" t="str">
        <f>TEXT(IF('Revenues &amp; Outlays in GDP'!B835&lt;&gt;0,'Revenues &amp; Outlays in GDP'!B835-364, ""), "mm/dd/yyyy")</f>
        <v/>
      </c>
      <c r="B829" s="23" t="str">
        <f>IFERROR(IF(ISNUMBER('Revenues &amp; Outlays in GDP'!E835),TEXT('Revenues &amp; Outlays in GDP'!E835, "0.00"),""), "")</f>
        <v/>
      </c>
      <c r="C829" s="23" t="str">
        <f>IFERROR(IF(ISNUMBER('Revenues &amp; Outlays in GDP'!C835),TEXT('Revenues &amp; Outlays in GDP'!C835, "0.00"),""), "")</f>
        <v/>
      </c>
      <c r="D829" s="23" t="str">
        <f>IFERROR(IF(ISNUMBER('Revenues &amp; Outlays in GDP'!F835),TEXT('Revenues &amp; Outlays in GDP'!F835, "0.00"),""), "")</f>
        <v/>
      </c>
      <c r="E829" s="23" t="str">
        <f>IFERROR(IF(ISNUMBER('Revenues &amp; Outlays in GDP'!D835),TEXT('Revenues &amp; Outlays in GDP'!D835, "0.00"),""), "")</f>
        <v/>
      </c>
    </row>
    <row r="830" spans="1:5">
      <c r="A830" s="23" t="str">
        <f>TEXT(IF('Revenues &amp; Outlays in GDP'!B836&lt;&gt;0,'Revenues &amp; Outlays in GDP'!B836-364, ""), "mm/dd/yyyy")</f>
        <v/>
      </c>
      <c r="B830" s="23" t="str">
        <f>IFERROR(IF(ISNUMBER('Revenues &amp; Outlays in GDP'!E836),TEXT('Revenues &amp; Outlays in GDP'!E836, "0.00"),""), "")</f>
        <v/>
      </c>
      <c r="C830" s="23" t="str">
        <f>IFERROR(IF(ISNUMBER('Revenues &amp; Outlays in GDP'!C836),TEXT('Revenues &amp; Outlays in GDP'!C836, "0.00"),""), "")</f>
        <v/>
      </c>
      <c r="D830" s="23" t="str">
        <f>IFERROR(IF(ISNUMBER('Revenues &amp; Outlays in GDP'!F836),TEXT('Revenues &amp; Outlays in GDP'!F836, "0.00"),""), "")</f>
        <v/>
      </c>
      <c r="E830" s="23" t="str">
        <f>IFERROR(IF(ISNUMBER('Revenues &amp; Outlays in GDP'!D836),TEXT('Revenues &amp; Outlays in GDP'!D836, "0.00"),""), "")</f>
        <v/>
      </c>
    </row>
    <row r="831" spans="1:5">
      <c r="A831" s="23" t="str">
        <f>TEXT(IF('Revenues &amp; Outlays in GDP'!B837&lt;&gt;0,'Revenues &amp; Outlays in GDP'!B837-364, ""), "mm/dd/yyyy")</f>
        <v/>
      </c>
      <c r="B831" s="23" t="str">
        <f>IFERROR(IF(ISNUMBER('Revenues &amp; Outlays in GDP'!E837),TEXT('Revenues &amp; Outlays in GDP'!E837, "0.00"),""), "")</f>
        <v/>
      </c>
      <c r="C831" s="23" t="str">
        <f>IFERROR(IF(ISNUMBER('Revenues &amp; Outlays in GDP'!C837),TEXT('Revenues &amp; Outlays in GDP'!C837, "0.00"),""), "")</f>
        <v/>
      </c>
      <c r="D831" s="23" t="str">
        <f>IFERROR(IF(ISNUMBER('Revenues &amp; Outlays in GDP'!F837),TEXT('Revenues &amp; Outlays in GDP'!F837, "0.00"),""), "")</f>
        <v/>
      </c>
      <c r="E831" s="23" t="str">
        <f>IFERROR(IF(ISNUMBER('Revenues &amp; Outlays in GDP'!D837),TEXT('Revenues &amp; Outlays in GDP'!D837, "0.00"),""), "")</f>
        <v/>
      </c>
    </row>
    <row r="832" spans="1:5">
      <c r="A832" s="23" t="str">
        <f>TEXT(IF('Revenues &amp; Outlays in GDP'!B838&lt;&gt;0,'Revenues &amp; Outlays in GDP'!B838-364, ""), "mm/dd/yyyy")</f>
        <v/>
      </c>
      <c r="B832" s="23" t="str">
        <f>IFERROR(IF(ISNUMBER('Revenues &amp; Outlays in GDP'!E838),TEXT('Revenues &amp; Outlays in GDP'!E838, "0.00"),""), "")</f>
        <v/>
      </c>
      <c r="C832" s="23" t="str">
        <f>IFERROR(IF(ISNUMBER('Revenues &amp; Outlays in GDP'!C838),TEXT('Revenues &amp; Outlays in GDP'!C838, "0.00"),""), "")</f>
        <v/>
      </c>
      <c r="D832" s="23" t="str">
        <f>IFERROR(IF(ISNUMBER('Revenues &amp; Outlays in GDP'!F838),TEXT('Revenues &amp; Outlays in GDP'!F838, "0.00"),""), "")</f>
        <v/>
      </c>
      <c r="E832" s="23" t="str">
        <f>IFERROR(IF(ISNUMBER('Revenues &amp; Outlays in GDP'!D838),TEXT('Revenues &amp; Outlays in GDP'!D838, "0.00"),""), "")</f>
        <v/>
      </c>
    </row>
    <row r="833" spans="1:5">
      <c r="A833" s="23" t="str">
        <f>TEXT(IF('Revenues &amp; Outlays in GDP'!B839&lt;&gt;0,'Revenues &amp; Outlays in GDP'!B839-364, ""), "mm/dd/yyyy")</f>
        <v/>
      </c>
      <c r="B833" s="23" t="str">
        <f>IFERROR(IF(ISNUMBER('Revenues &amp; Outlays in GDP'!E839),TEXT('Revenues &amp; Outlays in GDP'!E839, "0.00"),""), "")</f>
        <v/>
      </c>
      <c r="C833" s="23" t="str">
        <f>IFERROR(IF(ISNUMBER('Revenues &amp; Outlays in GDP'!C839),TEXT('Revenues &amp; Outlays in GDP'!C839, "0.00"),""), "")</f>
        <v/>
      </c>
      <c r="D833" s="23" t="str">
        <f>IFERROR(IF(ISNUMBER('Revenues &amp; Outlays in GDP'!F839),TEXT('Revenues &amp; Outlays in GDP'!F839, "0.00"),""), "")</f>
        <v/>
      </c>
      <c r="E833" s="23" t="str">
        <f>IFERROR(IF(ISNUMBER('Revenues &amp; Outlays in GDP'!D839),TEXT('Revenues &amp; Outlays in GDP'!D839, "0.00"),""), "")</f>
        <v/>
      </c>
    </row>
    <row r="834" spans="1:5">
      <c r="A834" s="23" t="str">
        <f>TEXT(IF('Revenues &amp; Outlays in GDP'!B840&lt;&gt;0,'Revenues &amp; Outlays in GDP'!B840-364, ""), "mm/dd/yyyy")</f>
        <v/>
      </c>
      <c r="B834" s="23" t="str">
        <f>IFERROR(IF(ISNUMBER('Revenues &amp; Outlays in GDP'!E840),TEXT('Revenues &amp; Outlays in GDP'!E840, "0.00"),""), "")</f>
        <v/>
      </c>
      <c r="C834" s="23" t="str">
        <f>IFERROR(IF(ISNUMBER('Revenues &amp; Outlays in GDP'!C840),TEXT('Revenues &amp; Outlays in GDP'!C840, "0.00"),""), "")</f>
        <v/>
      </c>
      <c r="D834" s="23" t="str">
        <f>IFERROR(IF(ISNUMBER('Revenues &amp; Outlays in GDP'!F840),TEXT('Revenues &amp; Outlays in GDP'!F840, "0.00"),""), "")</f>
        <v/>
      </c>
      <c r="E834" s="23" t="str">
        <f>IFERROR(IF(ISNUMBER('Revenues &amp; Outlays in GDP'!D840),TEXT('Revenues &amp; Outlays in GDP'!D840, "0.00"),""), "")</f>
        <v/>
      </c>
    </row>
    <row r="835" spans="1:5">
      <c r="A835" s="23" t="str">
        <f>TEXT(IF('Revenues &amp; Outlays in GDP'!B841&lt;&gt;0,'Revenues &amp; Outlays in GDP'!B841-364, ""), "mm/dd/yyyy")</f>
        <v/>
      </c>
      <c r="B835" s="23" t="str">
        <f>IFERROR(IF(ISNUMBER('Revenues &amp; Outlays in GDP'!E841),TEXT('Revenues &amp; Outlays in GDP'!E841, "0.00"),""), "")</f>
        <v/>
      </c>
      <c r="C835" s="23" t="str">
        <f>IFERROR(IF(ISNUMBER('Revenues &amp; Outlays in GDP'!C841),TEXT('Revenues &amp; Outlays in GDP'!C841, "0.00"),""), "")</f>
        <v/>
      </c>
      <c r="D835" s="23" t="str">
        <f>IFERROR(IF(ISNUMBER('Revenues &amp; Outlays in GDP'!F841),TEXT('Revenues &amp; Outlays in GDP'!F841, "0.00"),""), "")</f>
        <v/>
      </c>
      <c r="E835" s="23" t="str">
        <f>IFERROR(IF(ISNUMBER('Revenues &amp; Outlays in GDP'!D841),TEXT('Revenues &amp; Outlays in GDP'!D841, "0.00"),""), "")</f>
        <v/>
      </c>
    </row>
    <row r="836" spans="1:5">
      <c r="A836" s="23" t="str">
        <f>TEXT(IF('Revenues &amp; Outlays in GDP'!B842&lt;&gt;0,'Revenues &amp; Outlays in GDP'!B842-364, ""), "mm/dd/yyyy")</f>
        <v/>
      </c>
      <c r="B836" s="23" t="str">
        <f>IFERROR(IF(ISNUMBER('Revenues &amp; Outlays in GDP'!E842),TEXT('Revenues &amp; Outlays in GDP'!E842, "0.00"),""), "")</f>
        <v/>
      </c>
      <c r="C836" s="23" t="str">
        <f>IFERROR(IF(ISNUMBER('Revenues &amp; Outlays in GDP'!C842),TEXT('Revenues &amp; Outlays in GDP'!C842, "0.00"),""), "")</f>
        <v/>
      </c>
      <c r="D836" s="23" t="str">
        <f>IFERROR(IF(ISNUMBER('Revenues &amp; Outlays in GDP'!F842),TEXT('Revenues &amp; Outlays in GDP'!F842, "0.00"),""), "")</f>
        <v/>
      </c>
      <c r="E836" s="23" t="str">
        <f>IFERROR(IF(ISNUMBER('Revenues &amp; Outlays in GDP'!D842),TEXT('Revenues &amp; Outlays in GDP'!D842, "0.00"),""), "")</f>
        <v/>
      </c>
    </row>
    <row r="837" spans="1:5">
      <c r="A837" s="23" t="str">
        <f>TEXT(IF('Revenues &amp; Outlays in GDP'!B843&lt;&gt;0,'Revenues &amp; Outlays in GDP'!B843-364, ""), "mm/dd/yyyy")</f>
        <v/>
      </c>
      <c r="B837" s="23" t="str">
        <f>IFERROR(IF(ISNUMBER('Revenues &amp; Outlays in GDP'!E843),TEXT('Revenues &amp; Outlays in GDP'!E843, "0.00"),""), "")</f>
        <v/>
      </c>
      <c r="C837" s="23" t="str">
        <f>IFERROR(IF(ISNUMBER('Revenues &amp; Outlays in GDP'!C843),TEXT('Revenues &amp; Outlays in GDP'!C843, "0.00"),""), "")</f>
        <v/>
      </c>
      <c r="D837" s="23" t="str">
        <f>IFERROR(IF(ISNUMBER('Revenues &amp; Outlays in GDP'!F843),TEXT('Revenues &amp; Outlays in GDP'!F843, "0.00"),""), "")</f>
        <v/>
      </c>
      <c r="E837" s="23" t="str">
        <f>IFERROR(IF(ISNUMBER('Revenues &amp; Outlays in GDP'!D843),TEXT('Revenues &amp; Outlays in GDP'!D843, "0.00"),""), "")</f>
        <v/>
      </c>
    </row>
    <row r="838" spans="1:5">
      <c r="A838" s="23" t="str">
        <f>TEXT(IF('Revenues &amp; Outlays in GDP'!B844&lt;&gt;0,'Revenues &amp; Outlays in GDP'!B844-364, ""), "mm/dd/yyyy")</f>
        <v/>
      </c>
      <c r="B838" s="23" t="str">
        <f>IFERROR(IF(ISNUMBER('Revenues &amp; Outlays in GDP'!E844),TEXT('Revenues &amp; Outlays in GDP'!E844, "0.00"),""), "")</f>
        <v/>
      </c>
      <c r="C838" s="23" t="str">
        <f>IFERROR(IF(ISNUMBER('Revenues &amp; Outlays in GDP'!C844),TEXT('Revenues &amp; Outlays in GDP'!C844, "0.00"),""), "")</f>
        <v/>
      </c>
      <c r="D838" s="23" t="str">
        <f>IFERROR(IF(ISNUMBER('Revenues &amp; Outlays in GDP'!F844),TEXT('Revenues &amp; Outlays in GDP'!F844, "0.00"),""), "")</f>
        <v/>
      </c>
      <c r="E838" s="23" t="str">
        <f>IFERROR(IF(ISNUMBER('Revenues &amp; Outlays in GDP'!D844),TEXT('Revenues &amp; Outlays in GDP'!D844, "0.00"),""), "")</f>
        <v/>
      </c>
    </row>
    <row r="839" spans="1:5">
      <c r="A839" s="23" t="str">
        <f>TEXT(IF('Revenues &amp; Outlays in GDP'!B845&lt;&gt;0,'Revenues &amp; Outlays in GDP'!B845-364, ""), "mm/dd/yyyy")</f>
        <v/>
      </c>
      <c r="B839" s="23" t="str">
        <f>IFERROR(IF(ISNUMBER('Revenues &amp; Outlays in GDP'!E845),TEXT('Revenues &amp; Outlays in GDP'!E845, "0.00"),""), "")</f>
        <v/>
      </c>
      <c r="C839" s="23" t="str">
        <f>IFERROR(IF(ISNUMBER('Revenues &amp; Outlays in GDP'!C845),TEXT('Revenues &amp; Outlays in GDP'!C845, "0.00"),""), "")</f>
        <v/>
      </c>
      <c r="D839" s="23" t="str">
        <f>IFERROR(IF(ISNUMBER('Revenues &amp; Outlays in GDP'!F845),TEXT('Revenues &amp; Outlays in GDP'!F845, "0.00"),""), "")</f>
        <v/>
      </c>
      <c r="E839" s="23" t="str">
        <f>IFERROR(IF(ISNUMBER('Revenues &amp; Outlays in GDP'!D845),TEXT('Revenues &amp; Outlays in GDP'!D845, "0.00"),""), "")</f>
        <v/>
      </c>
    </row>
    <row r="840" spans="1:5">
      <c r="A840" s="23" t="str">
        <f>TEXT(IF('Revenues &amp; Outlays in GDP'!B846&lt;&gt;0,'Revenues &amp; Outlays in GDP'!B846-364, ""), "mm/dd/yyyy")</f>
        <v/>
      </c>
      <c r="B840" s="23" t="str">
        <f>IFERROR(IF(ISNUMBER('Revenues &amp; Outlays in GDP'!E846),TEXT('Revenues &amp; Outlays in GDP'!E846, "0.00"),""), "")</f>
        <v/>
      </c>
      <c r="C840" s="23" t="str">
        <f>IFERROR(IF(ISNUMBER('Revenues &amp; Outlays in GDP'!C846),TEXT('Revenues &amp; Outlays in GDP'!C846, "0.00"),""), "")</f>
        <v/>
      </c>
      <c r="D840" s="23" t="str">
        <f>IFERROR(IF(ISNUMBER('Revenues &amp; Outlays in GDP'!F846),TEXT('Revenues &amp; Outlays in GDP'!F846, "0.00"),""), "")</f>
        <v/>
      </c>
      <c r="E840" s="23" t="str">
        <f>IFERROR(IF(ISNUMBER('Revenues &amp; Outlays in GDP'!D846),TEXT('Revenues &amp; Outlays in GDP'!D846, "0.00"),""), "")</f>
        <v/>
      </c>
    </row>
    <row r="841" spans="1:5">
      <c r="A841" s="23" t="str">
        <f>TEXT(IF('Revenues &amp; Outlays in GDP'!B847&lt;&gt;0,'Revenues &amp; Outlays in GDP'!B847-364, ""), "mm/dd/yyyy")</f>
        <v/>
      </c>
      <c r="B841" s="23" t="str">
        <f>IFERROR(IF(ISNUMBER('Revenues &amp; Outlays in GDP'!E847),TEXT('Revenues &amp; Outlays in GDP'!E847, "0.00"),""), "")</f>
        <v/>
      </c>
      <c r="C841" s="23" t="str">
        <f>IFERROR(IF(ISNUMBER('Revenues &amp; Outlays in GDP'!C847),TEXT('Revenues &amp; Outlays in GDP'!C847, "0.00"),""), "")</f>
        <v/>
      </c>
      <c r="D841" s="23" t="str">
        <f>IFERROR(IF(ISNUMBER('Revenues &amp; Outlays in GDP'!F847),TEXT('Revenues &amp; Outlays in GDP'!F847, "0.00"),""), "")</f>
        <v/>
      </c>
      <c r="E841" s="23" t="str">
        <f>IFERROR(IF(ISNUMBER('Revenues &amp; Outlays in GDP'!D847),TEXT('Revenues &amp; Outlays in GDP'!D847, "0.00"),""), "")</f>
        <v/>
      </c>
    </row>
    <row r="842" spans="1:5">
      <c r="A842" s="23" t="str">
        <f>TEXT(IF('Revenues &amp; Outlays in GDP'!B848&lt;&gt;0,'Revenues &amp; Outlays in GDP'!B848-364, ""), "mm/dd/yyyy")</f>
        <v/>
      </c>
      <c r="B842" s="23" t="str">
        <f>IFERROR(IF(ISNUMBER('Revenues &amp; Outlays in GDP'!E848),TEXT('Revenues &amp; Outlays in GDP'!E848, "0.00"),""), "")</f>
        <v/>
      </c>
      <c r="C842" s="23" t="str">
        <f>IFERROR(IF(ISNUMBER('Revenues &amp; Outlays in GDP'!C848),TEXT('Revenues &amp; Outlays in GDP'!C848, "0.00"),""), "")</f>
        <v/>
      </c>
      <c r="D842" s="23" t="str">
        <f>IFERROR(IF(ISNUMBER('Revenues &amp; Outlays in GDP'!F848),TEXT('Revenues &amp; Outlays in GDP'!F848, "0.00"),""), "")</f>
        <v/>
      </c>
      <c r="E842" s="23" t="str">
        <f>IFERROR(IF(ISNUMBER('Revenues &amp; Outlays in GDP'!D848),TEXT('Revenues &amp; Outlays in GDP'!D848, "0.00"),""), "")</f>
        <v/>
      </c>
    </row>
    <row r="843" spans="1:5">
      <c r="A843" s="23" t="str">
        <f>TEXT(IF('Revenues &amp; Outlays in GDP'!B849&lt;&gt;0,'Revenues &amp; Outlays in GDP'!B849-364, ""), "mm/dd/yyyy")</f>
        <v/>
      </c>
      <c r="B843" s="23" t="str">
        <f>IFERROR(IF(ISNUMBER('Revenues &amp; Outlays in GDP'!E849),TEXT('Revenues &amp; Outlays in GDP'!E849, "0.00"),""), "")</f>
        <v/>
      </c>
      <c r="C843" s="23" t="str">
        <f>IFERROR(IF(ISNUMBER('Revenues &amp; Outlays in GDP'!C849),TEXT('Revenues &amp; Outlays in GDP'!C849, "0.00"),""), "")</f>
        <v/>
      </c>
      <c r="D843" s="23" t="str">
        <f>IFERROR(IF(ISNUMBER('Revenues &amp; Outlays in GDP'!F849),TEXT('Revenues &amp; Outlays in GDP'!F849, "0.00"),""), "")</f>
        <v/>
      </c>
      <c r="E843" s="23" t="str">
        <f>IFERROR(IF(ISNUMBER('Revenues &amp; Outlays in GDP'!D849),TEXT('Revenues &amp; Outlays in GDP'!D849, "0.00"),""), 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00"/>
  </sheetPr>
  <dimension ref="A1:C285"/>
  <sheetViews>
    <sheetView topLeftCell="A22" workbookViewId="0">
      <selection activeCell="C41" sqref="C41"/>
    </sheetView>
  </sheetViews>
  <sheetFormatPr defaultRowHeight="15"/>
  <cols>
    <col min="1" max="1" width="10.42578125" style="23" bestFit="1" customWidth="1"/>
    <col min="2" max="2" width="13.140625" style="23" bestFit="1" customWidth="1"/>
    <col min="3" max="16384" width="9.140625" style="23"/>
  </cols>
  <sheetData>
    <row r="1" spans="1:3">
      <c r="A1" s="23" t="s">
        <v>143</v>
      </c>
      <c r="B1" s="23" t="s">
        <v>179</v>
      </c>
      <c r="C1" s="23" t="s">
        <v>180</v>
      </c>
    </row>
    <row r="2" spans="1:3">
      <c r="A2" s="23" t="str">
        <f>TEXT(IF(Deficit!B7&lt;&gt;0,Deficit!B7-364, ""), "yyyy")</f>
        <v>1975</v>
      </c>
      <c r="B2" s="15" t="str">
        <f>IFERROR(IF(ISNUMBER(Deficit!D7),TEXT(Deficit!D7, "0.00"),""), "")</f>
        <v>-53.00</v>
      </c>
      <c r="C2" s="15" t="str">
        <f>IFERROR(IF(ISNUMBER(Deficit!E7),TEXT(Deficit!E7,"0.00"), ""), "")</f>
        <v/>
      </c>
    </row>
    <row r="3" spans="1:3">
      <c r="A3" s="23" t="str">
        <f>TEXT(IF(Deficit!B8&lt;&gt;0,Deficit!B8-364, ""), "yyyy")</f>
        <v>1976</v>
      </c>
      <c r="B3" s="15" t="str">
        <f>IFERROR(IF(ISNUMBER(Deficit!D8),TEXT(Deficit!D8, "0.00"),""), "")</f>
        <v>-74.00</v>
      </c>
      <c r="C3" s="15" t="str">
        <f>IFERROR(IF(ISNUMBER(Deficit!E8),TEXT(Deficit!E8,"0.00"), ""), "")</f>
        <v/>
      </c>
    </row>
    <row r="4" spans="1:3">
      <c r="A4" s="23" t="str">
        <f>TEXT(IF(Deficit!B9&lt;&gt;0,Deficit!B9-364, ""), "yyyy")</f>
        <v>1977</v>
      </c>
      <c r="B4" s="15" t="str">
        <f>IFERROR(IF(ISNUMBER(Deficit!D9),TEXT(Deficit!D9, "0.00"),""), "")</f>
        <v>-54.00</v>
      </c>
      <c r="C4" s="15" t="str">
        <f>IFERROR(IF(ISNUMBER(Deficit!E9),TEXT(Deficit!E9,"0.00"), ""), "")</f>
        <v/>
      </c>
    </row>
    <row r="5" spans="1:3">
      <c r="A5" s="23" t="str">
        <f>TEXT(IF(Deficit!B10&lt;&gt;0,Deficit!B10-364, ""), "yyyy")</f>
        <v>1978</v>
      </c>
      <c r="B5" s="15" t="str">
        <f>IFERROR(IF(ISNUMBER(Deficit!D10),TEXT(Deficit!D10, "0.00"),""), "")</f>
        <v>-59.00</v>
      </c>
      <c r="C5" s="15" t="str">
        <f>IFERROR(IF(ISNUMBER(Deficit!E10),TEXT(Deficit!E10,"0.00"), ""), "")</f>
        <v/>
      </c>
    </row>
    <row r="6" spans="1:3">
      <c r="A6" s="23" t="str">
        <f>TEXT(IF(Deficit!B11&lt;&gt;0,Deficit!B11-364, ""), "yyyy")</f>
        <v>1979</v>
      </c>
      <c r="B6" s="15" t="str">
        <f>IFERROR(IF(ISNUMBER(Deficit!D11),TEXT(Deficit!D11, "0.00"),""), "")</f>
        <v>-41.00</v>
      </c>
      <c r="C6" s="15" t="str">
        <f>IFERROR(IF(ISNUMBER(Deficit!E11),TEXT(Deficit!E11,"0.00"), ""), "")</f>
        <v/>
      </c>
    </row>
    <row r="7" spans="1:3">
      <c r="A7" s="23" t="str">
        <f>TEXT(IF(Deficit!B12&lt;&gt;0,Deficit!B12-364, ""), "yyyy")</f>
        <v>1980</v>
      </c>
      <c r="B7" s="15" t="str">
        <f>IFERROR(IF(ISNUMBER(Deficit!D12),TEXT(Deficit!D12, "0.00"),""), "")</f>
        <v>-74.00</v>
      </c>
      <c r="C7" s="15" t="str">
        <f>IFERROR(IF(ISNUMBER(Deficit!E12),TEXT(Deficit!E12,"0.00"), ""), "")</f>
        <v/>
      </c>
    </row>
    <row r="8" spans="1:3">
      <c r="A8" s="23" t="str">
        <f>TEXT(IF(Deficit!B13&lt;&gt;0,Deficit!B13-364, ""), "yyyy")</f>
        <v>1981</v>
      </c>
      <c r="B8" s="15" t="str">
        <f>IFERROR(IF(ISNUMBER(Deficit!D13),TEXT(Deficit!D13, "0.00"),""), "")</f>
        <v>-79.00</v>
      </c>
      <c r="C8" s="15" t="str">
        <f>IFERROR(IF(ISNUMBER(Deficit!E13),TEXT(Deficit!E13,"0.00"), ""), "")</f>
        <v/>
      </c>
    </row>
    <row r="9" spans="1:3">
      <c r="A9" s="23" t="str">
        <f>TEXT(IF(Deficit!B14&lt;&gt;0,Deficit!B14-364, ""), "yyyy")</f>
        <v>1982</v>
      </c>
      <c r="B9" s="15" t="str">
        <f>IFERROR(IF(ISNUMBER(Deficit!D14),TEXT(Deficit!D14, "0.00"),""), "")</f>
        <v>-128.00</v>
      </c>
      <c r="C9" s="15" t="str">
        <f>IFERROR(IF(ISNUMBER(Deficit!E14),TEXT(Deficit!E14,"0.00"), ""), "")</f>
        <v/>
      </c>
    </row>
    <row r="10" spans="1:3">
      <c r="A10" s="23" t="str">
        <f>TEXT(IF(Deficit!B15&lt;&gt;0,Deficit!B15-364, ""), "yyyy")</f>
        <v>1983</v>
      </c>
      <c r="B10" s="15" t="str">
        <f>IFERROR(IF(ISNUMBER(Deficit!D15),TEXT(Deficit!D15, "0.00"),""), "")</f>
        <v>-208.00</v>
      </c>
      <c r="C10" s="15" t="str">
        <f>IFERROR(IF(ISNUMBER(Deficit!E15),TEXT(Deficit!E15,"0.00"), ""), "")</f>
        <v/>
      </c>
    </row>
    <row r="11" spans="1:3">
      <c r="A11" s="23" t="str">
        <f>TEXT(IF(Deficit!B16&lt;&gt;0,Deficit!B16-364, ""), "yyyy")</f>
        <v>1984</v>
      </c>
      <c r="B11" s="15" t="str">
        <f>IFERROR(IF(ISNUMBER(Deficit!D16),TEXT(Deficit!D16, "0.00"),""), "")</f>
        <v>-185.00</v>
      </c>
      <c r="C11" s="15" t="str">
        <f>IFERROR(IF(ISNUMBER(Deficit!E16),TEXT(Deficit!E16,"0.00"), ""), "")</f>
        <v/>
      </c>
    </row>
    <row r="12" spans="1:3">
      <c r="A12" s="23" t="str">
        <f>TEXT(IF(Deficit!B17&lt;&gt;0,Deficit!B17-364, ""), "yyyy")</f>
        <v>1985</v>
      </c>
      <c r="B12" s="15" t="str">
        <f>IFERROR(IF(ISNUMBER(Deficit!D17),TEXT(Deficit!D17, "0.00"),""), "")</f>
        <v>-212.00</v>
      </c>
      <c r="C12" s="15" t="str">
        <f>IFERROR(IF(ISNUMBER(Deficit!E17),TEXT(Deficit!E17,"0.00"), ""), "")</f>
        <v/>
      </c>
    </row>
    <row r="13" spans="1:3">
      <c r="A13" s="23" t="str">
        <f>TEXT(IF(Deficit!B18&lt;&gt;0,Deficit!B18-364, ""), "yyyy")</f>
        <v>1986</v>
      </c>
      <c r="B13" s="15" t="str">
        <f>IFERROR(IF(ISNUMBER(Deficit!D18),TEXT(Deficit!D18, "0.00"),""), "")</f>
        <v>-221.00</v>
      </c>
      <c r="C13" s="15" t="str">
        <f>IFERROR(IF(ISNUMBER(Deficit!E18),TEXT(Deficit!E18,"0.00"), ""), "")</f>
        <v/>
      </c>
    </row>
    <row r="14" spans="1:3">
      <c r="A14" s="23" t="str">
        <f>TEXT(IF(Deficit!B19&lt;&gt;0,Deficit!B19-364, ""), "yyyy")</f>
        <v>1987</v>
      </c>
      <c r="B14" s="15" t="str">
        <f>IFERROR(IF(ISNUMBER(Deficit!D19),TEXT(Deficit!D19, "0.00"),""), "")</f>
        <v>-150.00</v>
      </c>
      <c r="C14" s="15" t="str">
        <f>IFERROR(IF(ISNUMBER(Deficit!E19),TEXT(Deficit!E19,"0.00"), ""), "")</f>
        <v/>
      </c>
    </row>
    <row r="15" spans="1:3">
      <c r="A15" s="23" t="str">
        <f>TEXT(IF(Deficit!B20&lt;&gt;0,Deficit!B20-364, ""), "yyyy")</f>
        <v>1988</v>
      </c>
      <c r="B15" s="15" t="str">
        <f>IFERROR(IF(ISNUMBER(Deficit!D20),TEXT(Deficit!D20, "0.00"),""), "")</f>
        <v>-155.00</v>
      </c>
      <c r="C15" s="15" t="str">
        <f>IFERROR(IF(ISNUMBER(Deficit!E20),TEXT(Deficit!E20,"0.00"), ""), "")</f>
        <v/>
      </c>
    </row>
    <row r="16" spans="1:3">
      <c r="A16" s="23" t="str">
        <f>TEXT(IF(Deficit!B21&lt;&gt;0,Deficit!B21-364, ""), "yyyy")</f>
        <v>1989</v>
      </c>
      <c r="B16" s="15" t="str">
        <f>IFERROR(IF(ISNUMBER(Deficit!D21),TEXT(Deficit!D21, "0.00"),""), "")</f>
        <v>-153.00</v>
      </c>
      <c r="C16" s="15" t="str">
        <f>IFERROR(IF(ISNUMBER(Deficit!E21),TEXT(Deficit!E21,"0.00"), ""), "")</f>
        <v/>
      </c>
    </row>
    <row r="17" spans="1:3">
      <c r="A17" s="23" t="str">
        <f>TEXT(IF(Deficit!B22&lt;&gt;0,Deficit!B22-364, ""), "yyyy")</f>
        <v>1990</v>
      </c>
      <c r="B17" s="15" t="str">
        <f>IFERROR(IF(ISNUMBER(Deficit!D22),TEXT(Deficit!D22, "0.00"),""), "")</f>
        <v>-221.00</v>
      </c>
      <c r="C17" s="15" t="str">
        <f>IFERROR(IF(ISNUMBER(Deficit!E22),TEXT(Deficit!E22,"0.00"), ""), "")</f>
        <v/>
      </c>
    </row>
    <row r="18" spans="1:3">
      <c r="A18" s="23" t="str">
        <f>TEXT(IF(Deficit!B23&lt;&gt;0,Deficit!B23-364, ""), "yyyy")</f>
        <v>1991</v>
      </c>
      <c r="B18" s="15" t="str">
        <f>IFERROR(IF(ISNUMBER(Deficit!D23),TEXT(Deficit!D23, "0.00"),""), "")</f>
        <v>-269.00</v>
      </c>
      <c r="C18" s="15" t="str">
        <f>IFERROR(IF(ISNUMBER(Deficit!E23),TEXT(Deficit!E23,"0.00"), ""), "")</f>
        <v/>
      </c>
    </row>
    <row r="19" spans="1:3">
      <c r="A19" s="23" t="str">
        <f>TEXT(IF(Deficit!B24&lt;&gt;0,Deficit!B24-364, ""), "yyyy")</f>
        <v>1992</v>
      </c>
      <c r="B19" s="15" t="str">
        <f>IFERROR(IF(ISNUMBER(Deficit!D24),TEXT(Deficit!D24, "0.00"),""), "")</f>
        <v>-290.00</v>
      </c>
      <c r="C19" s="15" t="str">
        <f>IFERROR(IF(ISNUMBER(Deficit!E24),TEXT(Deficit!E24,"0.00"), ""), "")</f>
        <v/>
      </c>
    </row>
    <row r="20" spans="1:3">
      <c r="A20" s="23" t="str">
        <f>TEXT(IF(Deficit!B25&lt;&gt;0,Deficit!B25-364, ""), "yyyy")</f>
        <v>1993</v>
      </c>
      <c r="B20" s="15" t="str">
        <f>IFERROR(IF(ISNUMBER(Deficit!D25),TEXT(Deficit!D25, "0.00"),""), "")</f>
        <v>-255.00</v>
      </c>
      <c r="C20" s="15" t="str">
        <f>IFERROR(IF(ISNUMBER(Deficit!E25),TEXT(Deficit!E25,"0.00"), ""), "")</f>
        <v/>
      </c>
    </row>
    <row r="21" spans="1:3">
      <c r="A21" s="23" t="str">
        <f>TEXT(IF(Deficit!B26&lt;&gt;0,Deficit!B26-364, ""), "yyyy")</f>
        <v>1994</v>
      </c>
      <c r="B21" s="15" t="str">
        <f>IFERROR(IF(ISNUMBER(Deficit!D26),TEXT(Deficit!D26, "0.00"),""), "")</f>
        <v>-203.00</v>
      </c>
      <c r="C21" s="15" t="str">
        <f>IFERROR(IF(ISNUMBER(Deficit!E26),TEXT(Deficit!E26,"0.00"), ""), "")</f>
        <v/>
      </c>
    </row>
    <row r="22" spans="1:3">
      <c r="A22" s="23" t="str">
        <f>TEXT(IF(Deficit!B27&lt;&gt;0,Deficit!B27-364, ""), "yyyy")</f>
        <v>1995</v>
      </c>
      <c r="B22" s="15" t="str">
        <f>IFERROR(IF(ISNUMBER(Deficit!D27),TEXT(Deficit!D27, "0.00"),""), "")</f>
        <v>-164.00</v>
      </c>
      <c r="C22" s="15" t="str">
        <f>IFERROR(IF(ISNUMBER(Deficit!E27),TEXT(Deficit!E27,"0.00"), ""), "")</f>
        <v/>
      </c>
    </row>
    <row r="23" spans="1:3">
      <c r="A23" s="23" t="str">
        <f>TEXT(IF(Deficit!B28&lt;&gt;0,Deficit!B28-364, ""), "yyyy")</f>
        <v>1996</v>
      </c>
      <c r="B23" s="15" t="str">
        <f>IFERROR(IF(ISNUMBER(Deficit!D28),TEXT(Deficit!D28, "0.00"),""), "")</f>
        <v>-107.00</v>
      </c>
      <c r="C23" s="15" t="str">
        <f>IFERROR(IF(ISNUMBER(Deficit!E28),TEXT(Deficit!E28,"0.00"), ""), "")</f>
        <v/>
      </c>
    </row>
    <row r="24" spans="1:3">
      <c r="A24" s="23" t="str">
        <f>TEXT(IF(Deficit!B29&lt;&gt;0,Deficit!B29-364, ""), "yyyy")</f>
        <v>1997</v>
      </c>
      <c r="B24" s="15" t="str">
        <f>IFERROR(IF(ISNUMBER(Deficit!D29),TEXT(Deficit!D29, "0.00"),""), "")</f>
        <v>-22.00</v>
      </c>
      <c r="C24" s="15" t="str">
        <f>IFERROR(IF(ISNUMBER(Deficit!E29),TEXT(Deficit!E29,"0.00"), ""), "")</f>
        <v/>
      </c>
    </row>
    <row r="25" spans="1:3">
      <c r="A25" s="23" t="str">
        <f>TEXT(IF(Deficit!B30&lt;&gt;0,Deficit!B30-364, ""), "yyyy")</f>
        <v>1998</v>
      </c>
      <c r="B25" s="15" t="str">
        <f>IFERROR(IF(ISNUMBER(Deficit!D30),TEXT(Deficit!D30, "0.00"),""), "")</f>
        <v>69.00</v>
      </c>
      <c r="C25" s="15" t="str">
        <f>IFERROR(IF(ISNUMBER(Deficit!E30),TEXT(Deficit!E30,"0.00"), ""), "")</f>
        <v/>
      </c>
    </row>
    <row r="26" spans="1:3">
      <c r="A26" s="23" t="str">
        <f>TEXT(IF(Deficit!B31&lt;&gt;0,Deficit!B31-364, ""), "yyyy")</f>
        <v>1999</v>
      </c>
      <c r="B26" s="15" t="str">
        <f>IFERROR(IF(ISNUMBER(Deficit!D31),TEXT(Deficit!D31, "0.00"),""), "")</f>
        <v>126.00</v>
      </c>
      <c r="C26" s="15" t="str">
        <f>IFERROR(IF(ISNUMBER(Deficit!E31),TEXT(Deficit!E31,"0.00"), ""), "")</f>
        <v/>
      </c>
    </row>
    <row r="27" spans="1:3">
      <c r="A27" s="23" t="str">
        <f>TEXT(IF(Deficit!B32&lt;&gt;0,Deficit!B32-364, ""), "yyyy")</f>
        <v>2000</v>
      </c>
      <c r="B27" s="15" t="str">
        <f>IFERROR(IF(ISNUMBER(Deficit!D32),TEXT(Deficit!D32, "0.00"),""), "")</f>
        <v>236.00</v>
      </c>
      <c r="C27" s="15" t="str">
        <f>IFERROR(IF(ISNUMBER(Deficit!E32),TEXT(Deficit!E32,"0.00"), ""), "")</f>
        <v/>
      </c>
    </row>
    <row r="28" spans="1:3">
      <c r="A28" s="23" t="str">
        <f>TEXT(IF(Deficit!B33&lt;&gt;0,Deficit!B33-364, ""), "yyyy")</f>
        <v>2001</v>
      </c>
      <c r="B28" s="15" t="str">
        <f>IFERROR(IF(ISNUMBER(Deficit!D33),TEXT(Deficit!D33, "0.00"),""), "")</f>
        <v>128.00</v>
      </c>
      <c r="C28" s="15" t="str">
        <f>IFERROR(IF(ISNUMBER(Deficit!E33),TEXT(Deficit!E33,"0.00"), ""), "")</f>
        <v/>
      </c>
    </row>
    <row r="29" spans="1:3">
      <c r="A29" s="23" t="str">
        <f>TEXT(IF(Deficit!B34&lt;&gt;0,Deficit!B34-364, ""), "yyyy")</f>
        <v>2002</v>
      </c>
      <c r="B29" s="15" t="str">
        <f>IFERROR(IF(ISNUMBER(Deficit!D34),TEXT(Deficit!D34, "0.00"),""), "")</f>
        <v>-158.00</v>
      </c>
      <c r="C29" s="15" t="str">
        <f>IFERROR(IF(ISNUMBER(Deficit!E34),TEXT(Deficit!E34,"0.00"), ""), "")</f>
        <v/>
      </c>
    </row>
    <row r="30" spans="1:3">
      <c r="A30" s="23" t="str">
        <f>TEXT(IF(Deficit!B35&lt;&gt;0,Deficit!B35-364, ""), "yyyy")</f>
        <v>2003</v>
      </c>
      <c r="B30" s="15" t="str">
        <f>IFERROR(IF(ISNUMBER(Deficit!D35),TEXT(Deficit!D35, "0.00"),""), "")</f>
        <v>-378.00</v>
      </c>
      <c r="C30" s="15" t="str">
        <f>IFERROR(IF(ISNUMBER(Deficit!E35),TEXT(Deficit!E35,"0.00"), ""), "")</f>
        <v/>
      </c>
    </row>
    <row r="31" spans="1:3">
      <c r="A31" s="23" t="str">
        <f>TEXT(IF(Deficit!B36&lt;&gt;0,Deficit!B36-364, ""), "yyyy")</f>
        <v>2004</v>
      </c>
      <c r="B31" s="15" t="str">
        <f>IFERROR(IF(ISNUMBER(Deficit!D36),TEXT(Deficit!D36, "0.00"),""), "")</f>
        <v>-413.00</v>
      </c>
      <c r="C31" s="15" t="str">
        <f>IFERROR(IF(ISNUMBER(Deficit!E36),TEXT(Deficit!E36,"0.00"), ""), "")</f>
        <v/>
      </c>
    </row>
    <row r="32" spans="1:3">
      <c r="A32" s="23" t="str">
        <f>TEXT(IF(Deficit!B37&lt;&gt;0,Deficit!B37-364, ""), "yyyy")</f>
        <v>2005</v>
      </c>
      <c r="B32" s="15" t="str">
        <f>IFERROR(IF(ISNUMBER(Deficit!D37),TEXT(Deficit!D37, "0.00"),""), "")</f>
        <v>-318.00</v>
      </c>
      <c r="C32" s="15" t="str">
        <f>IFERROR(IF(ISNUMBER(Deficit!E37),TEXT(Deficit!E37,"0.00"), ""), "")</f>
        <v/>
      </c>
    </row>
    <row r="33" spans="1:3">
      <c r="A33" s="23" t="str">
        <f>TEXT(IF(Deficit!B38&lt;&gt;0,Deficit!B38-364, ""), "yyyy")</f>
        <v>2006</v>
      </c>
      <c r="B33" s="15" t="str">
        <f>IFERROR(IF(ISNUMBER(Deficit!D38),TEXT(Deficit!D38, "0.00"),""), "")</f>
        <v>-248.00</v>
      </c>
      <c r="C33" s="15" t="str">
        <f>IFERROR(IF(ISNUMBER(Deficit!E38),TEXT(Deficit!E38,"0.00"), ""), "")</f>
        <v/>
      </c>
    </row>
    <row r="34" spans="1:3">
      <c r="A34" s="23" t="str">
        <f>TEXT(IF(Deficit!B39&lt;&gt;0,Deficit!B39-364, ""), "yyyy")</f>
        <v>2007</v>
      </c>
      <c r="B34" s="15" t="str">
        <f>IFERROR(IF(ISNUMBER(Deficit!D39),TEXT(Deficit!D39, "0.00"),""), "")</f>
        <v>-161.00</v>
      </c>
      <c r="C34" s="15" t="str">
        <f>IFERROR(IF(ISNUMBER(Deficit!E39),TEXT(Deficit!E39,"0.00"), ""), "")</f>
        <v/>
      </c>
    </row>
    <row r="35" spans="1:3">
      <c r="A35" s="23" t="str">
        <f>TEXT(IF(Deficit!B40&lt;&gt;0,Deficit!B40-364, ""), "yyyy")</f>
        <v>2008</v>
      </c>
      <c r="B35" s="15" t="str">
        <f>IFERROR(IF(ISNUMBER(Deficit!D40),TEXT(Deficit!D40, "0.00"),""), "")</f>
        <v>-459.00</v>
      </c>
      <c r="C35" s="15" t="str">
        <f>IFERROR(IF(ISNUMBER(Deficit!E40),TEXT(Deficit!E40,"0.00"), ""), "")</f>
        <v/>
      </c>
    </row>
    <row r="36" spans="1:3">
      <c r="A36" s="23" t="str">
        <f>TEXT(IF(Deficit!B41&lt;&gt;0,Deficit!B41-364, ""), "yyyy")</f>
        <v>2009</v>
      </c>
      <c r="B36" s="15" t="str">
        <f>IFERROR(IF(ISNUMBER(Deficit!D41),TEXT(Deficit!D41, "0.00"),""), "")</f>
        <v>-1413.00</v>
      </c>
      <c r="C36" s="15" t="str">
        <f>IFERROR(IF(ISNUMBER(Deficit!E41),TEXT(Deficit!E41,"0.00"), ""), "")</f>
        <v/>
      </c>
    </row>
    <row r="37" spans="1:3">
      <c r="A37" s="23" t="str">
        <f>TEXT(IF(Deficit!B42&lt;&gt;0,Deficit!B42-364, ""), "yyyy")</f>
        <v>2010</v>
      </c>
      <c r="B37" s="15" t="str">
        <f>IFERROR(IF(ISNUMBER(Deficit!D42),TEXT(Deficit!D42, "0.00"),""), "")</f>
        <v>-1294.00</v>
      </c>
      <c r="C37" s="15" t="str">
        <f>IFERROR(IF(ISNUMBER(Deficit!E42),TEXT(Deficit!E42,"0.00"), ""), "")</f>
        <v/>
      </c>
    </row>
    <row r="38" spans="1:3">
      <c r="A38" s="23" t="str">
        <f>TEXT(IF(Deficit!B43&lt;&gt;0,Deficit!B43-364, ""), "yyyy")</f>
        <v>2011</v>
      </c>
      <c r="B38" s="15" t="str">
        <f>IFERROR(IF(ISNUMBER(Deficit!D43),TEXT(Deficit!D43, "0.00"),""), "")</f>
        <v>-1300.00</v>
      </c>
      <c r="C38" s="15" t="str">
        <f>IFERROR(IF(ISNUMBER(Deficit!E43),TEXT(Deficit!E43,"0.00"), ""), "")</f>
        <v/>
      </c>
    </row>
    <row r="39" spans="1:3">
      <c r="A39" s="23" t="str">
        <f>TEXT(IF(Deficit!B44&lt;&gt;0,Deficit!B44-364, ""), "yyyy")</f>
        <v>2012</v>
      </c>
      <c r="B39" s="15" t="str">
        <f>IFERROR(IF(ISNUMBER(Deficit!D44),TEXT(Deficit!D44, "0.00"),""), "")</f>
        <v>-1087.00</v>
      </c>
      <c r="C39" s="15" t="str">
        <f>IFERROR(IF(ISNUMBER(Deficit!E44),TEXT(Deficit!E44,"0.00"), ""), "")</f>
        <v/>
      </c>
    </row>
    <row r="40" spans="1:3">
      <c r="A40" s="23" t="str">
        <f>TEXT(IF(Deficit!B45&lt;&gt;0,Deficit!B45-364, ""), "yyyy")</f>
        <v>2013</v>
      </c>
      <c r="B40" s="15" t="str">
        <f>IFERROR(IF(ISNUMBER(Deficit!D45),TEXT(Deficit!D45, "0.00"),""), "")</f>
        <v>-680.00</v>
      </c>
      <c r="C40" s="15" t="str">
        <f>IFERROR(IF(ISNUMBER(Deficit!E45),TEXT(Deficit!E45,"0.00"), ""), "")</f>
        <v/>
      </c>
    </row>
    <row r="41" spans="1:3">
      <c r="A41" s="23" t="str">
        <f>TEXT(IF(Deficit!B46&lt;&gt;0,Deficit!B46-364, ""), "yyyy")</f>
        <v>2014</v>
      </c>
      <c r="B41" s="15" t="str">
        <f>IFERROR(IF(ISNUMBER(Deficit!D46),TEXT(Deficit!D46, "0.00"),""), "")</f>
        <v>-506.00</v>
      </c>
      <c r="C41" s="15" t="str">
        <f>IFERROR(IF(ISNUMBER(Deficit!E46),TEXT(Deficit!E46,"0.00"), ""), "")</f>
        <v>-506.00</v>
      </c>
    </row>
    <row r="42" spans="1:3">
      <c r="A42" s="23" t="str">
        <f>TEXT(IF(Deficit!B47&lt;&gt;0,Deficit!B47-364, ""), "yyyy")</f>
        <v>2015</v>
      </c>
      <c r="B42" s="15" t="str">
        <f>IFERROR(IF(ISNUMBER(Deficit!D47),TEXT(Deficit!D47, "0.00"),""), "")</f>
        <v/>
      </c>
      <c r="C42" s="15" t="str">
        <f>IFERROR(IF(ISNUMBER(Deficit!E47),TEXT(Deficit!E47,"0.00"), ""), "")</f>
        <v>-469.00</v>
      </c>
    </row>
    <row r="43" spans="1:3">
      <c r="A43" s="23" t="str">
        <f>TEXT(IF(Deficit!B48&lt;&gt;0,Deficit!B48-364, ""), "yyyy")</f>
        <v>2016</v>
      </c>
      <c r="B43" s="15" t="str">
        <f>IFERROR(IF(ISNUMBER(Deficit!D48),TEXT(Deficit!D48, "0.00"),""), "")</f>
        <v/>
      </c>
      <c r="C43" s="15" t="str">
        <f>IFERROR(IF(ISNUMBER(Deficit!E48),TEXT(Deficit!E48,"0.00"), ""), "")</f>
        <v>-556.00</v>
      </c>
    </row>
    <row r="44" spans="1:3">
      <c r="A44" s="23" t="str">
        <f>TEXT(IF(Deficit!B49&lt;&gt;0,Deficit!B49-364, ""), "yyyy")</f>
        <v>2017</v>
      </c>
      <c r="B44" s="15" t="str">
        <f>IFERROR(IF(ISNUMBER(Deficit!D49),TEXT(Deficit!D49, "0.00"),""), "")</f>
        <v/>
      </c>
      <c r="C44" s="15" t="str">
        <f>IFERROR(IF(ISNUMBER(Deficit!E49),TEXT(Deficit!E49,"0.00"), ""), "")</f>
        <v>-530.00</v>
      </c>
    </row>
    <row r="45" spans="1:3">
      <c r="A45" s="23" t="str">
        <f>TEXT(IF(Deficit!B50&lt;&gt;0,Deficit!B50-364, ""), "yyyy")</f>
        <v>2018</v>
      </c>
      <c r="B45" s="15" t="str">
        <f>IFERROR(IF(ISNUMBER(Deficit!D50),TEXT(Deficit!D50, "0.00"),""), "")</f>
        <v/>
      </c>
      <c r="C45" s="15" t="str">
        <f>IFERROR(IF(ISNUMBER(Deficit!E50),TEXT(Deficit!E50,"0.00"), ""), "")</f>
        <v>-560.00</v>
      </c>
    </row>
    <row r="46" spans="1:3">
      <c r="A46" s="23" t="str">
        <f>TEXT(IF(Deficit!B51&lt;&gt;0,Deficit!B51-364, ""), "yyyy")</f>
        <v>2019</v>
      </c>
      <c r="B46" s="15" t="str">
        <f>IFERROR(IF(ISNUMBER(Deficit!D51),TEXT(Deficit!D51, "0.00"),""), "")</f>
        <v/>
      </c>
      <c r="C46" s="15" t="str">
        <f>IFERROR(IF(ISNUMBER(Deficit!E51),TEXT(Deficit!E51,"0.00"), ""), "")</f>
        <v>-661.00</v>
      </c>
    </row>
    <row r="47" spans="1:3">
      <c r="A47" s="23" t="str">
        <f>TEXT(IF(Deficit!B52&lt;&gt;0,Deficit!B52-364, ""), "yyyy")</f>
        <v>2020</v>
      </c>
      <c r="B47" s="15" t="str">
        <f>IFERROR(IF(ISNUMBER(Deficit!D52),TEXT(Deficit!D52, "0.00"),""), "")</f>
        <v/>
      </c>
      <c r="C47" s="15" t="str">
        <f>IFERROR(IF(ISNUMBER(Deficit!E52),TEXT(Deficit!E52,"0.00"), ""), "")</f>
        <v>-737.00</v>
      </c>
    </row>
    <row r="48" spans="1:3">
      <c r="A48" s="23" t="str">
        <f>TEXT(IF(Deficit!B53&lt;&gt;0,Deficit!B53-364, ""), "yyyy")</f>
        <v>2021</v>
      </c>
      <c r="B48" s="15" t="str">
        <f>IFERROR(IF(ISNUMBER(Deficit!D53),TEXT(Deficit!D53, "0.00"),""), "")</f>
        <v/>
      </c>
      <c r="C48" s="15" t="str">
        <f>IFERROR(IF(ISNUMBER(Deficit!E53),TEXT(Deficit!E53,"0.00"), ""), "")</f>
        <v>-820.00</v>
      </c>
    </row>
    <row r="49" spans="1:3">
      <c r="A49" s="23" t="str">
        <f>TEXT(IF(Deficit!B54&lt;&gt;0,Deficit!B54-364, ""), "yyyy")</f>
        <v>2022</v>
      </c>
      <c r="B49" s="15" t="str">
        <f>IFERROR(IF(ISNUMBER(Deficit!D54),TEXT(Deficit!D54, "0.00"),""), "")</f>
        <v/>
      </c>
      <c r="C49" s="15" t="str">
        <f>IFERROR(IF(ISNUMBER(Deficit!E54),TEXT(Deficit!E54,"0.00"), ""), "")</f>
        <v>-946.00</v>
      </c>
    </row>
    <row r="50" spans="1:3">
      <c r="A50" s="23" t="str">
        <f>TEXT(IF(Deficit!B55&lt;&gt;0,Deficit!B55-364, ""), "yyyy")</f>
        <v>2023</v>
      </c>
      <c r="B50" s="15" t="str">
        <f>IFERROR(IF(ISNUMBER(Deficit!D55),TEXT(Deficit!D55, "0.00"),""), "")</f>
        <v/>
      </c>
      <c r="C50" s="15" t="str">
        <f>IFERROR(IF(ISNUMBER(Deficit!E55),TEXT(Deficit!E55,"0.00"), ""), "")</f>
        <v>-957.00</v>
      </c>
    </row>
    <row r="51" spans="1:3">
      <c r="A51" s="23" t="str">
        <f>TEXT(IF(Deficit!B56&lt;&gt;0,Deficit!B56-364, ""), "yyyy")</f>
        <v>2024</v>
      </c>
      <c r="B51" s="15" t="str">
        <f>IFERROR(IF(ISNUMBER(Deficit!D56),TEXT(Deficit!D56, "0.00"),""), "")</f>
        <v/>
      </c>
      <c r="C51" s="15" t="str">
        <f>IFERROR(IF(ISNUMBER(Deficit!E56),TEXT(Deficit!E56,"0.00"), ""), "")</f>
        <v>-960.00</v>
      </c>
    </row>
    <row r="52" spans="1:3">
      <c r="A52" s="23" t="str">
        <f>TEXT(IF(Deficit!B57&lt;&gt;0,Deficit!B57-364, ""), "yyyy")</f>
        <v/>
      </c>
      <c r="B52" s="15" t="str">
        <f>IFERROR(IF(ISNUMBER(Deficit!D57),TEXT(Deficit!D57, "0.00"),""), "")</f>
        <v/>
      </c>
      <c r="C52" s="15" t="str">
        <f>IFERROR(IF(ISNUMBER(Deficit!E57),TEXT(Deficit!E57,"0.00"), ""), "")</f>
        <v/>
      </c>
    </row>
    <row r="53" spans="1:3">
      <c r="A53" s="23" t="str">
        <f>TEXT(IF(Deficit!B58&lt;&gt;0,Deficit!B58-364, ""), "yyyy")</f>
        <v/>
      </c>
      <c r="B53" s="15" t="str">
        <f>IFERROR(IF(ISNUMBER(Deficit!D58),TEXT(Deficit!D58, "0.00"),""), "")</f>
        <v/>
      </c>
      <c r="C53" s="15" t="str">
        <f>IFERROR(IF(ISNUMBER(Deficit!E58),TEXT(Deficit!E58,"0.00"), ""), "")</f>
        <v/>
      </c>
    </row>
    <row r="54" spans="1:3">
      <c r="A54" s="23" t="str">
        <f>TEXT(IF(Deficit!B59&lt;&gt;0,Deficit!B59-364, ""), "yyyy")</f>
        <v/>
      </c>
      <c r="B54" s="15" t="str">
        <f>IFERROR(IF(ISNUMBER(Deficit!D59),TEXT(Deficit!D59, "0.00"),""), "")</f>
        <v/>
      </c>
      <c r="C54" s="15" t="str">
        <f>IFERROR(IF(ISNUMBER(Deficit!E59),TEXT(Deficit!E59,"0.00"), ""), "")</f>
        <v/>
      </c>
    </row>
    <row r="55" spans="1:3">
      <c r="A55" s="23" t="str">
        <f>TEXT(IF(Deficit!B60&lt;&gt;0,Deficit!B60-364, ""), "yyyy")</f>
        <v/>
      </c>
      <c r="B55" s="15" t="str">
        <f>IFERROR(IF(ISNUMBER(Deficit!D60),TEXT(Deficit!D60, "0.00"),""), "")</f>
        <v/>
      </c>
      <c r="C55" s="15" t="str">
        <f>IFERROR(IF(ISNUMBER(Deficit!E60),TEXT(Deficit!E60,"0.00"), ""), "")</f>
        <v/>
      </c>
    </row>
    <row r="56" spans="1:3">
      <c r="A56" s="23" t="str">
        <f>TEXT(IF(Deficit!B61&lt;&gt;0,Deficit!B61-364, ""), "yyyy")</f>
        <v/>
      </c>
      <c r="B56" s="15" t="str">
        <f>IFERROR(IF(ISNUMBER(Deficit!D61),TEXT(Deficit!D61, "0.00"),""), "")</f>
        <v/>
      </c>
      <c r="C56" s="15" t="str">
        <f>IFERROR(IF(ISNUMBER(Deficit!E61),TEXT(Deficit!E61,"0.00"), ""), "")</f>
        <v/>
      </c>
    </row>
    <row r="57" spans="1:3">
      <c r="A57" s="23" t="str">
        <f>TEXT(IF(Deficit!B62&lt;&gt;0,Deficit!B62-364, ""), "yyyy")</f>
        <v/>
      </c>
      <c r="B57" s="15" t="str">
        <f>IFERROR(IF(ISNUMBER(Deficit!D62),TEXT(Deficit!D62, "0.00"),""), "")</f>
        <v/>
      </c>
      <c r="C57" s="15" t="str">
        <f>IFERROR(IF(ISNUMBER(Deficit!E62),TEXT(Deficit!E62,"0.00"), ""), "")</f>
        <v/>
      </c>
    </row>
    <row r="58" spans="1:3">
      <c r="A58" s="23" t="str">
        <f>TEXT(IF(Deficit!B63&lt;&gt;0,Deficit!B63-364, ""), "yyyy")</f>
        <v/>
      </c>
      <c r="B58" s="15" t="str">
        <f>IFERROR(IF(ISNUMBER(Deficit!D63),TEXT(Deficit!D63, "0.00"),""), "")</f>
        <v/>
      </c>
      <c r="C58" s="15" t="str">
        <f>IFERROR(IF(ISNUMBER(Deficit!E63),TEXT(Deficit!E63,"0.00"), ""), "")</f>
        <v/>
      </c>
    </row>
    <row r="59" spans="1:3">
      <c r="A59" s="23" t="str">
        <f>TEXT(IF(Deficit!B64&lt;&gt;0,Deficit!B64-364, ""), "yyyy")</f>
        <v/>
      </c>
      <c r="B59" s="15" t="str">
        <f>IFERROR(IF(ISNUMBER(Deficit!D64),TEXT(Deficit!D64, "0.00"),""), "")</f>
        <v/>
      </c>
      <c r="C59" s="15" t="str">
        <f>IFERROR(IF(ISNUMBER(Deficit!E64),TEXT(Deficit!E64,"0.00"), ""), "")</f>
        <v/>
      </c>
    </row>
    <row r="60" spans="1:3">
      <c r="A60" s="23" t="str">
        <f>TEXT(IF(Deficit!B65&lt;&gt;0,Deficit!B65-364, ""), "yyyy")</f>
        <v/>
      </c>
      <c r="B60" s="15" t="str">
        <f>IFERROR(IF(ISNUMBER(Deficit!D65),TEXT(Deficit!D65, "0.00"),""), "")</f>
        <v/>
      </c>
      <c r="C60" s="15" t="str">
        <f>IFERROR(IF(ISNUMBER(Deficit!E65),TEXT(Deficit!E65,"0.00"), ""), "")</f>
        <v/>
      </c>
    </row>
    <row r="61" spans="1:3">
      <c r="A61" s="23" t="str">
        <f>TEXT(IF(Deficit!B66&lt;&gt;0,Deficit!B66-364, ""), "yyyy")</f>
        <v/>
      </c>
      <c r="B61" s="15" t="str">
        <f>IFERROR(IF(ISNUMBER(Deficit!D66),TEXT(Deficit!D66, "0.00"),""), "")</f>
        <v/>
      </c>
      <c r="C61" s="15" t="str">
        <f>IFERROR(IF(ISNUMBER(Deficit!E66),TEXT(Deficit!E66,"0.00"), ""), "")</f>
        <v/>
      </c>
    </row>
    <row r="62" spans="1:3">
      <c r="A62" s="23" t="str">
        <f>TEXT(IF(Deficit!B67&lt;&gt;0,Deficit!B67-364, ""), "yyyy")</f>
        <v/>
      </c>
      <c r="B62" s="15" t="str">
        <f>IFERROR(IF(ISNUMBER(Deficit!D67),TEXT(Deficit!D67, "0.00"),""), "")</f>
        <v/>
      </c>
      <c r="C62" s="15" t="str">
        <f>IFERROR(IF(ISNUMBER(Deficit!E67),TEXT(Deficit!E67,"0.00"), ""), "")</f>
        <v/>
      </c>
    </row>
    <row r="63" spans="1:3">
      <c r="A63" s="23" t="str">
        <f>TEXT(IF(Deficit!B68&lt;&gt;0,Deficit!B68-364, ""), "yyyy")</f>
        <v/>
      </c>
      <c r="B63" s="15" t="str">
        <f>IFERROR(IF(ISNUMBER(Deficit!D68),TEXT(Deficit!D68, "0.00"),""), "")</f>
        <v/>
      </c>
      <c r="C63" s="15" t="str">
        <f>IFERROR(IF(ISNUMBER(Deficit!E68),TEXT(Deficit!E68,"0.00"), ""), "")</f>
        <v/>
      </c>
    </row>
    <row r="64" spans="1:3">
      <c r="A64" s="23" t="str">
        <f>TEXT(IF(Deficit!B69&lt;&gt;0,Deficit!B69-364, ""), "yyyy")</f>
        <v/>
      </c>
      <c r="B64" s="15" t="str">
        <f>IFERROR(IF(ISNUMBER(Deficit!D69),TEXT(Deficit!D69, "0.00"),""), "")</f>
        <v/>
      </c>
      <c r="C64" s="15" t="str">
        <f>IFERROR(IF(ISNUMBER(Deficit!E69),TEXT(Deficit!E69,"0.00"), ""), "")</f>
        <v/>
      </c>
    </row>
    <row r="65" spans="1:3">
      <c r="A65" s="23" t="str">
        <f>TEXT(IF(Deficit!B70&lt;&gt;0,Deficit!B70-364, ""), "yyyy")</f>
        <v/>
      </c>
      <c r="B65" s="15" t="str">
        <f>IFERROR(IF(ISNUMBER(Deficit!D70),TEXT(Deficit!D70, "0.00"),""), "")</f>
        <v/>
      </c>
      <c r="C65" s="15" t="str">
        <f>IFERROR(IF(ISNUMBER(Deficit!E70),TEXT(Deficit!E70,"0.00"), ""), "")</f>
        <v/>
      </c>
    </row>
    <row r="66" spans="1:3">
      <c r="A66" s="23" t="str">
        <f>TEXT(IF(Deficit!B71&lt;&gt;0,Deficit!B71-364, ""), "yyyy")</f>
        <v/>
      </c>
      <c r="B66" s="15" t="str">
        <f>IFERROR(IF(ISNUMBER(Deficit!D71),TEXT(Deficit!D71, "0.00"),""), "")</f>
        <v/>
      </c>
      <c r="C66" s="15" t="str">
        <f>IFERROR(IF(ISNUMBER(Deficit!E71),TEXT(Deficit!E71,"0.00"), ""), "")</f>
        <v/>
      </c>
    </row>
    <row r="67" spans="1:3">
      <c r="A67" s="23" t="str">
        <f>TEXT(IF(Deficit!B72&lt;&gt;0,Deficit!B72-364, ""), "yyyy")</f>
        <v/>
      </c>
      <c r="B67" s="15" t="str">
        <f>IFERROR(IF(ISNUMBER(Deficit!D72),TEXT(Deficit!D72, "0.00"),""), "")</f>
        <v/>
      </c>
      <c r="C67" s="15" t="str">
        <f>IFERROR(IF(ISNUMBER(Deficit!E72),TEXT(Deficit!E72,"0.00"), ""), "")</f>
        <v/>
      </c>
    </row>
    <row r="68" spans="1:3">
      <c r="A68" s="23" t="str">
        <f>TEXT(IF(Deficit!B73&lt;&gt;0,Deficit!B73-364, ""), "yyyy")</f>
        <v/>
      </c>
      <c r="B68" s="15" t="str">
        <f>IFERROR(IF(ISNUMBER(Deficit!D73),TEXT(Deficit!D73, "0.00"),""), "")</f>
        <v/>
      </c>
      <c r="C68" s="15" t="str">
        <f>IFERROR(IF(ISNUMBER(Deficit!E73),TEXT(Deficit!E73,"0.00"), ""), "")</f>
        <v/>
      </c>
    </row>
    <row r="69" spans="1:3">
      <c r="A69" s="23" t="str">
        <f>TEXT(IF(Deficit!B74&lt;&gt;0,Deficit!B74-364, ""), "yyyy")</f>
        <v/>
      </c>
      <c r="B69" s="15" t="str">
        <f>IFERROR(IF(ISNUMBER(Deficit!D74),TEXT(Deficit!D74, "0.00"),""), "")</f>
        <v/>
      </c>
      <c r="C69" s="15" t="str">
        <f>IFERROR(IF(ISNUMBER(Deficit!E74),TEXT(Deficit!E74,"0.00"), ""), "")</f>
        <v/>
      </c>
    </row>
    <row r="70" spans="1:3">
      <c r="A70" s="23" t="str">
        <f>TEXT(IF(Deficit!B75&lt;&gt;0,Deficit!B75-364, ""), "yyyy")</f>
        <v/>
      </c>
      <c r="B70" s="15" t="str">
        <f>IFERROR(IF(ISNUMBER(Deficit!D75),TEXT(Deficit!D75, "0.00"),""), "")</f>
        <v/>
      </c>
      <c r="C70" s="15" t="str">
        <f>IFERROR(IF(ISNUMBER(Deficit!E75),TEXT(Deficit!E75,"0.00"), ""), "")</f>
        <v/>
      </c>
    </row>
    <row r="71" spans="1:3">
      <c r="A71" s="23" t="str">
        <f>TEXT(IF(Deficit!B76&lt;&gt;0,Deficit!B76-364, ""), "yyyy")</f>
        <v/>
      </c>
      <c r="B71" s="15" t="str">
        <f>IFERROR(IF(ISNUMBER(Deficit!D76),TEXT(Deficit!D76, "0.00"),""), "")</f>
        <v/>
      </c>
      <c r="C71" s="15" t="str">
        <f>IFERROR(IF(ISNUMBER(Deficit!E76),TEXT(Deficit!E76,"0.00"), ""), "")</f>
        <v/>
      </c>
    </row>
    <row r="72" spans="1:3">
      <c r="A72" s="23" t="str">
        <f>TEXT(IF(Deficit!B77&lt;&gt;0,Deficit!B77-364, ""), "yyyy")</f>
        <v/>
      </c>
      <c r="B72" s="15" t="str">
        <f>IFERROR(IF(ISNUMBER(Deficit!D77),TEXT(Deficit!D77, "0.00"),""), "")</f>
        <v/>
      </c>
      <c r="C72" s="15" t="str">
        <f>IFERROR(IF(ISNUMBER(Deficit!E77),TEXT(Deficit!E77,"0.00"), ""), "")</f>
        <v/>
      </c>
    </row>
    <row r="73" spans="1:3">
      <c r="A73" s="23" t="str">
        <f>TEXT(IF(Deficit!B78&lt;&gt;0,Deficit!B78-364, ""), "yyyy")</f>
        <v/>
      </c>
      <c r="B73" s="15" t="str">
        <f>IFERROR(IF(ISNUMBER(Deficit!D78),TEXT(Deficit!D78, "0.00"),""), "")</f>
        <v/>
      </c>
      <c r="C73" s="15" t="str">
        <f>IFERROR(IF(ISNUMBER(Deficit!E78),TEXT(Deficit!E78,"0.00"), ""), "")</f>
        <v/>
      </c>
    </row>
    <row r="74" spans="1:3">
      <c r="A74" s="23" t="str">
        <f>TEXT(IF(Deficit!B79&lt;&gt;0,Deficit!B79-364, ""), "yyyy")</f>
        <v/>
      </c>
      <c r="B74" s="15" t="str">
        <f>IFERROR(IF(ISNUMBER(Deficit!D79),TEXT(Deficit!D79, "0.00"),""), "")</f>
        <v/>
      </c>
      <c r="C74" s="15" t="str">
        <f>IFERROR(IF(ISNUMBER(Deficit!E79),TEXT(Deficit!E79,"0.00"), ""), "")</f>
        <v/>
      </c>
    </row>
    <row r="75" spans="1:3">
      <c r="A75" s="23" t="str">
        <f>TEXT(IF(Deficit!B80&lt;&gt;0,Deficit!B80-364, ""), "yyyy")</f>
        <v/>
      </c>
      <c r="B75" s="15" t="str">
        <f>IFERROR(IF(ISNUMBER(Deficit!D80),TEXT(Deficit!D80, "0.00"),""), "")</f>
        <v/>
      </c>
      <c r="C75" s="15" t="str">
        <f>IFERROR(IF(ISNUMBER(Deficit!E80),TEXT(Deficit!E80,"0.00"), ""), "")</f>
        <v/>
      </c>
    </row>
    <row r="76" spans="1:3">
      <c r="A76" s="23" t="str">
        <f>TEXT(IF(Deficit!B81&lt;&gt;0,Deficit!B81-364, ""), "yyyy")</f>
        <v/>
      </c>
      <c r="B76" s="15" t="str">
        <f>IFERROR(IF(ISNUMBER(Deficit!D81),TEXT(Deficit!D81, "0.00"),""), "")</f>
        <v/>
      </c>
      <c r="C76" s="15" t="str">
        <f>IFERROR(IF(ISNUMBER(Deficit!E81),TEXT(Deficit!E81,"0.00"), ""), "")</f>
        <v/>
      </c>
    </row>
    <row r="77" spans="1:3">
      <c r="A77" s="23" t="str">
        <f>TEXT(IF(Deficit!B82&lt;&gt;0,Deficit!B82-364, ""), "yyyy")</f>
        <v/>
      </c>
      <c r="B77" s="15" t="str">
        <f>IFERROR(IF(ISNUMBER(Deficit!D82),TEXT(Deficit!D82, "0.00"),""), "")</f>
        <v/>
      </c>
      <c r="C77" s="15" t="str">
        <f>IFERROR(IF(ISNUMBER(Deficit!E82),TEXT(Deficit!E82,"0.00"), ""), "")</f>
        <v/>
      </c>
    </row>
    <row r="78" spans="1:3">
      <c r="A78" s="23" t="str">
        <f>TEXT(IF(Deficit!B83&lt;&gt;0,Deficit!B83-364, ""), "yyyy")</f>
        <v/>
      </c>
      <c r="B78" s="15" t="str">
        <f>IFERROR(IF(ISNUMBER(Deficit!D83),TEXT(Deficit!D83, "0.00"),""), "")</f>
        <v/>
      </c>
      <c r="C78" s="15" t="str">
        <f>IFERROR(IF(ISNUMBER(Deficit!E83),TEXT(Deficit!E83,"0.00"), ""), "")</f>
        <v/>
      </c>
    </row>
    <row r="79" spans="1:3">
      <c r="A79" s="23" t="str">
        <f>TEXT(IF(Deficit!B84&lt;&gt;0,Deficit!B84-364, ""), "yyyy")</f>
        <v/>
      </c>
      <c r="B79" s="15" t="str">
        <f>IFERROR(IF(ISNUMBER(Deficit!D84),TEXT(Deficit!D84, "0.00"),""), "")</f>
        <v/>
      </c>
      <c r="C79" s="15" t="str">
        <f>IFERROR(IF(ISNUMBER(Deficit!E84),TEXT(Deficit!E84,"0.00"), ""), "")</f>
        <v/>
      </c>
    </row>
    <row r="80" spans="1:3">
      <c r="A80" s="23" t="str">
        <f>TEXT(IF(Deficit!B85&lt;&gt;0,Deficit!B85-364, ""), "yyyy")</f>
        <v/>
      </c>
      <c r="B80" s="15" t="str">
        <f>IFERROR(IF(ISNUMBER(Deficit!D85),TEXT(Deficit!D85, "0.00"),""), "")</f>
        <v/>
      </c>
      <c r="C80" s="15" t="str">
        <f>IFERROR(IF(ISNUMBER(Deficit!E85),TEXT(Deficit!E85,"0.00"), ""), "")</f>
        <v/>
      </c>
    </row>
    <row r="81" spans="1:3">
      <c r="A81" s="23" t="str">
        <f>TEXT(IF(Deficit!B86&lt;&gt;0,Deficit!B86-364, ""), "yyyy")</f>
        <v/>
      </c>
      <c r="B81" s="15" t="str">
        <f>IFERROR(IF(ISNUMBER(Deficit!D86),TEXT(Deficit!D86, "0.00"),""), "")</f>
        <v/>
      </c>
      <c r="C81" s="15" t="str">
        <f>IFERROR(IF(ISNUMBER(Deficit!E86),TEXT(Deficit!E86,"0.00"), ""), "")</f>
        <v/>
      </c>
    </row>
    <row r="82" spans="1:3">
      <c r="A82" s="23" t="str">
        <f>TEXT(IF(Deficit!B87&lt;&gt;0,Deficit!B87-364, ""), "yyyy")</f>
        <v/>
      </c>
      <c r="B82" s="15" t="str">
        <f>IFERROR(IF(ISNUMBER(Deficit!D87),TEXT(Deficit!D87, "0.00"),""), "")</f>
        <v/>
      </c>
      <c r="C82" s="15" t="str">
        <f>IFERROR(IF(ISNUMBER(Deficit!E87),TEXT(Deficit!E87,"0.00"), ""), "")</f>
        <v/>
      </c>
    </row>
    <row r="83" spans="1:3">
      <c r="A83" s="23" t="str">
        <f>TEXT(IF(Deficit!B88&lt;&gt;0,Deficit!B88-364, ""), "yyyy")</f>
        <v/>
      </c>
      <c r="B83" s="15" t="str">
        <f>IFERROR(IF(ISNUMBER(Deficit!D88),TEXT(Deficit!D88, "0.00"),""), "")</f>
        <v/>
      </c>
      <c r="C83" s="15" t="str">
        <f>IFERROR(IF(ISNUMBER(Deficit!E88),TEXT(Deficit!E88,"0.00"), ""), "")</f>
        <v/>
      </c>
    </row>
    <row r="84" spans="1:3">
      <c r="A84" s="23" t="str">
        <f>TEXT(IF(Deficit!B89&lt;&gt;0,Deficit!B89-364, ""), "yyyy")</f>
        <v/>
      </c>
      <c r="B84" s="15" t="str">
        <f>IFERROR(IF(ISNUMBER(Deficit!D89),TEXT(Deficit!D89, "0.00"),""), "")</f>
        <v/>
      </c>
      <c r="C84" s="15" t="str">
        <f>IFERROR(IF(ISNUMBER(Deficit!E89),TEXT(Deficit!E89,"0.00"), ""), "")</f>
        <v/>
      </c>
    </row>
    <row r="85" spans="1:3">
      <c r="A85" s="23" t="str">
        <f>TEXT(IF(Deficit!B90&lt;&gt;0,Deficit!B90-364, ""), "yyyy")</f>
        <v/>
      </c>
      <c r="B85" s="15" t="str">
        <f>IFERROR(IF(ISNUMBER(Deficit!D90),TEXT(Deficit!D90, "0.00"),""), "")</f>
        <v/>
      </c>
      <c r="C85" s="15" t="str">
        <f>IFERROR(IF(ISNUMBER(Deficit!E90),TEXT(Deficit!E90,"0.00"), ""), "")</f>
        <v/>
      </c>
    </row>
    <row r="86" spans="1:3">
      <c r="A86" s="23" t="str">
        <f>TEXT(IF(Deficit!B91&lt;&gt;0,Deficit!B91-364, ""), "yyyy")</f>
        <v/>
      </c>
      <c r="B86" s="15" t="str">
        <f>IFERROR(IF(ISNUMBER(Deficit!D91),TEXT(Deficit!D91, "0.00"),""), "")</f>
        <v/>
      </c>
      <c r="C86" s="15" t="str">
        <f>IFERROR(IF(ISNUMBER(Deficit!E91),TEXT(Deficit!E91,"0.00"), ""), "")</f>
        <v/>
      </c>
    </row>
    <row r="87" spans="1:3">
      <c r="A87" s="23" t="str">
        <f>TEXT(IF(Deficit!B92&lt;&gt;0,Deficit!B92-364, ""), "yyyy")</f>
        <v/>
      </c>
      <c r="B87" s="15" t="str">
        <f>IFERROR(IF(ISNUMBER(Deficit!D92),TEXT(Deficit!D92, "0.00"),""), "")</f>
        <v/>
      </c>
      <c r="C87" s="15" t="str">
        <f>IFERROR(IF(ISNUMBER(Deficit!E92),TEXT(Deficit!E92,"0.00"), ""), "")</f>
        <v/>
      </c>
    </row>
    <row r="88" spans="1:3">
      <c r="A88" s="23" t="str">
        <f>TEXT(IF(Deficit!B93&lt;&gt;0,Deficit!B93-364, ""), "yyyy")</f>
        <v/>
      </c>
      <c r="B88" s="15" t="str">
        <f>IFERROR(IF(ISNUMBER(Deficit!D93),TEXT(Deficit!D93, "0.00"),""), "")</f>
        <v/>
      </c>
      <c r="C88" s="15" t="str">
        <f>IFERROR(IF(ISNUMBER(Deficit!E93),TEXT(Deficit!E93,"0.00"), ""), "")</f>
        <v/>
      </c>
    </row>
    <row r="89" spans="1:3">
      <c r="A89" s="23" t="str">
        <f>TEXT(IF(Deficit!B94&lt;&gt;0,Deficit!B94-364, ""), "yyyy")</f>
        <v/>
      </c>
      <c r="B89" s="15" t="str">
        <f>IFERROR(IF(ISNUMBER(Deficit!D94),TEXT(Deficit!D94, "0.00"),""), "")</f>
        <v/>
      </c>
      <c r="C89" s="15" t="str">
        <f>IFERROR(IF(ISNUMBER(Deficit!E94),TEXT(Deficit!E94,"0.00"), ""), "")</f>
        <v/>
      </c>
    </row>
    <row r="90" spans="1:3">
      <c r="A90" s="23" t="str">
        <f>TEXT(IF(Deficit!B95&lt;&gt;0,Deficit!B95-364, ""), "yyyy")</f>
        <v/>
      </c>
      <c r="B90" s="15" t="str">
        <f>IFERROR(IF(ISNUMBER(Deficit!D95),TEXT(Deficit!D95, "0.00"),""), "")</f>
        <v/>
      </c>
      <c r="C90" s="15" t="str">
        <f>IFERROR(IF(ISNUMBER(Deficit!E95),TEXT(Deficit!E95,"0.00"), ""), "")</f>
        <v/>
      </c>
    </row>
    <row r="91" spans="1:3">
      <c r="A91" s="23" t="str">
        <f>TEXT(IF(Deficit!B96&lt;&gt;0,Deficit!B96-364, ""), "yyyy")</f>
        <v/>
      </c>
      <c r="B91" s="15" t="str">
        <f>IFERROR(IF(ISNUMBER(Deficit!D96),TEXT(Deficit!D96, "0.00"),""), "")</f>
        <v/>
      </c>
      <c r="C91" s="15" t="str">
        <f>IFERROR(IF(ISNUMBER(Deficit!E96),TEXT(Deficit!E96,"0.00"), ""), "")</f>
        <v/>
      </c>
    </row>
    <row r="92" spans="1:3">
      <c r="A92" s="23" t="str">
        <f>TEXT(IF(Deficit!B97&lt;&gt;0,Deficit!B97-364, ""), "yyyy")</f>
        <v/>
      </c>
      <c r="B92" s="15" t="str">
        <f>IFERROR(IF(ISNUMBER(Deficit!D97),TEXT(Deficit!D97, "0.00"),""), "")</f>
        <v/>
      </c>
      <c r="C92" s="15" t="str">
        <f>IFERROR(IF(ISNUMBER(Deficit!E97),TEXT(Deficit!E97,"0.00"), ""), "")</f>
        <v/>
      </c>
    </row>
    <row r="93" spans="1:3">
      <c r="A93" s="23" t="str">
        <f>TEXT(IF(Deficit!B98&lt;&gt;0,Deficit!B98-364, ""), "yyyy")</f>
        <v/>
      </c>
      <c r="B93" s="15" t="str">
        <f>IFERROR(IF(ISNUMBER(Deficit!D98),TEXT(Deficit!D98, "0.00"),""), "")</f>
        <v/>
      </c>
      <c r="C93" s="15" t="str">
        <f>IFERROR(IF(ISNUMBER(Deficit!E98),TEXT(Deficit!E98,"0.00"), ""), "")</f>
        <v/>
      </c>
    </row>
    <row r="94" spans="1:3">
      <c r="A94" s="23" t="str">
        <f>TEXT(IF(Deficit!B99&lt;&gt;0,Deficit!B99-364, ""), "yyyy")</f>
        <v/>
      </c>
      <c r="B94" s="15" t="str">
        <f>IFERROR(IF(ISNUMBER(Deficit!D99),TEXT(Deficit!D99, "0.00"),""), "")</f>
        <v/>
      </c>
      <c r="C94" s="15" t="str">
        <f>IFERROR(IF(ISNUMBER(Deficit!E99),TEXT(Deficit!E99,"0.00"), ""), "")</f>
        <v/>
      </c>
    </row>
    <row r="95" spans="1:3">
      <c r="A95" s="23" t="str">
        <f>TEXT(IF(Deficit!B100&lt;&gt;0,Deficit!B100-364, ""), "yyyy")</f>
        <v/>
      </c>
      <c r="B95" s="15" t="str">
        <f>IFERROR(IF(ISNUMBER(Deficit!D100),TEXT(Deficit!D100, "0.00"),""), "")</f>
        <v/>
      </c>
      <c r="C95" s="15" t="str">
        <f>IFERROR(IF(ISNUMBER(Deficit!E100),TEXT(Deficit!E100,"0.00"), ""), "")</f>
        <v/>
      </c>
    </row>
    <row r="96" spans="1:3">
      <c r="A96" s="23" t="str">
        <f>TEXT(IF(Deficit!B101&lt;&gt;0,Deficit!B101-364, ""), "yyyy")</f>
        <v/>
      </c>
      <c r="B96" s="15" t="str">
        <f>IFERROR(IF(ISNUMBER(Deficit!D101),TEXT(Deficit!D101, "0.00"),""), "")</f>
        <v/>
      </c>
      <c r="C96" s="15" t="str">
        <f>IFERROR(IF(ISNUMBER(Deficit!E101),TEXT(Deficit!E101,"0.00"), ""), "")</f>
        <v/>
      </c>
    </row>
    <row r="97" spans="1:3">
      <c r="A97" s="23" t="str">
        <f>TEXT(IF(Deficit!B102&lt;&gt;0,Deficit!B102-364, ""), "yyyy")</f>
        <v/>
      </c>
      <c r="B97" s="15" t="str">
        <f>IFERROR(IF(ISNUMBER(Deficit!D102),TEXT(Deficit!D102, "0.00"),""), "")</f>
        <v/>
      </c>
      <c r="C97" s="15" t="str">
        <f>IFERROR(IF(ISNUMBER(Deficit!E102),TEXT(Deficit!E102,"0.00"), ""), "")</f>
        <v/>
      </c>
    </row>
    <row r="98" spans="1:3">
      <c r="A98" s="23" t="str">
        <f>TEXT(IF(Deficit!B103&lt;&gt;0,Deficit!B103-364, ""), "yyyy")</f>
        <v/>
      </c>
      <c r="B98" s="15" t="str">
        <f>IFERROR(IF(ISNUMBER(Deficit!D103),TEXT(Deficit!D103, "0.00"),""), "")</f>
        <v/>
      </c>
      <c r="C98" s="15" t="str">
        <f>IFERROR(IF(ISNUMBER(Deficit!E103),TEXT(Deficit!E103,"0.00"), ""), "")</f>
        <v/>
      </c>
    </row>
    <row r="99" spans="1:3">
      <c r="A99" s="23" t="str">
        <f>TEXT(IF(Deficit!B104&lt;&gt;0,Deficit!B104-364, ""), "yyyy")</f>
        <v/>
      </c>
      <c r="B99" s="15" t="str">
        <f>IFERROR(IF(ISNUMBER(Deficit!D104),TEXT(Deficit!D104, "0.00"),""), "")</f>
        <v/>
      </c>
      <c r="C99" s="15" t="str">
        <f>IFERROR(IF(ISNUMBER(Deficit!E104),TEXT(Deficit!E104,"0.00"), ""), "")</f>
        <v/>
      </c>
    </row>
    <row r="100" spans="1:3">
      <c r="A100" s="23" t="str">
        <f>TEXT(IF(Deficit!B105&lt;&gt;0,Deficit!B105-364, ""), "yyyy")</f>
        <v/>
      </c>
      <c r="B100" s="15" t="str">
        <f>IFERROR(IF(ISNUMBER(Deficit!D105),TEXT(Deficit!D105, "0.00"),""), "")</f>
        <v/>
      </c>
      <c r="C100" s="15" t="str">
        <f>IFERROR(IF(ISNUMBER(Deficit!E105),TEXT(Deficit!E105,"0.00"), ""), "")</f>
        <v/>
      </c>
    </row>
    <row r="101" spans="1:3">
      <c r="A101" s="23" t="str">
        <f>TEXT(IF(Deficit!B106&lt;&gt;0,Deficit!B106-364, ""), "yyyy")</f>
        <v/>
      </c>
      <c r="B101" s="15" t="str">
        <f>IFERROR(IF(ISNUMBER(Deficit!D106),TEXT(Deficit!D106, "0.00"),""), "")</f>
        <v/>
      </c>
      <c r="C101" s="15" t="str">
        <f>IFERROR(IF(ISNUMBER(Deficit!E106),TEXT(Deficit!E106,"0.00"), ""), "")</f>
        <v/>
      </c>
    </row>
    <row r="102" spans="1:3">
      <c r="A102" s="23" t="str">
        <f>TEXT(IF(Deficit!B107&lt;&gt;0,Deficit!B107-364, ""), "yyyy")</f>
        <v/>
      </c>
      <c r="B102" s="15" t="str">
        <f>IFERROR(IF(ISNUMBER(Deficit!D107),TEXT(Deficit!D107, "0.00"),""), "")</f>
        <v/>
      </c>
      <c r="C102" s="15" t="str">
        <f>IFERROR(IF(ISNUMBER(Deficit!E107),TEXT(Deficit!E107,"0.00"), ""), "")</f>
        <v/>
      </c>
    </row>
    <row r="103" spans="1:3">
      <c r="A103" s="23" t="str">
        <f>TEXT(IF(Deficit!B108&lt;&gt;0,Deficit!B108-364, ""), "yyyy")</f>
        <v/>
      </c>
      <c r="B103" s="15" t="str">
        <f>IFERROR(IF(ISNUMBER(Deficit!D108),TEXT(Deficit!D108, "0.00"),""), "")</f>
        <v/>
      </c>
      <c r="C103" s="15" t="str">
        <f>IFERROR(IF(ISNUMBER(Deficit!E108),TEXT(Deficit!E108,"0.00"), ""), "")</f>
        <v/>
      </c>
    </row>
    <row r="104" spans="1:3">
      <c r="A104" s="23" t="str">
        <f>TEXT(IF(Deficit!B109&lt;&gt;0,Deficit!B109-364, ""), "yyyy")</f>
        <v/>
      </c>
      <c r="B104" s="15" t="str">
        <f>IFERROR(IF(ISNUMBER(Deficit!D109),TEXT(Deficit!D109, "0.00"),""), "")</f>
        <v/>
      </c>
      <c r="C104" s="15" t="str">
        <f>IFERROR(IF(ISNUMBER(Deficit!E109),TEXT(Deficit!E109,"0.00"), ""), "")</f>
        <v/>
      </c>
    </row>
    <row r="105" spans="1:3">
      <c r="A105" s="23" t="str">
        <f>TEXT(IF(Deficit!B110&lt;&gt;0,Deficit!B110-364, ""), "yyyy")</f>
        <v/>
      </c>
      <c r="B105" s="15" t="str">
        <f>IFERROR(IF(ISNUMBER(Deficit!D110),TEXT(Deficit!D110, "0.00"),""), "")</f>
        <v/>
      </c>
      <c r="C105" s="15" t="str">
        <f>IFERROR(IF(ISNUMBER(Deficit!E110),TEXT(Deficit!E110,"0.00"), ""), "")</f>
        <v/>
      </c>
    </row>
    <row r="106" spans="1:3">
      <c r="A106" s="23" t="str">
        <f>TEXT(IF(Deficit!B111&lt;&gt;0,Deficit!B111-364, ""), "yyyy")</f>
        <v/>
      </c>
      <c r="B106" s="15" t="str">
        <f>IFERROR(IF(ISNUMBER(Deficit!D111),TEXT(Deficit!D111, "0.00"),""), "")</f>
        <v/>
      </c>
      <c r="C106" s="15" t="str">
        <f>IFERROR(IF(ISNUMBER(Deficit!E111),TEXT(Deficit!E111,"0.00"), ""), "")</f>
        <v/>
      </c>
    </row>
    <row r="107" spans="1:3">
      <c r="A107" s="23" t="str">
        <f>TEXT(IF(Deficit!B112&lt;&gt;0,Deficit!B112-364, ""), "yyyy")</f>
        <v/>
      </c>
      <c r="B107" s="15" t="str">
        <f>IFERROR(IF(ISNUMBER(Deficit!D112),TEXT(Deficit!D112, "0.00"),""), "")</f>
        <v/>
      </c>
      <c r="C107" s="15" t="str">
        <f>IFERROR(IF(ISNUMBER(Deficit!E112),TEXT(Deficit!E112,"0.00"), ""), "")</f>
        <v/>
      </c>
    </row>
    <row r="108" spans="1:3">
      <c r="A108" s="23" t="str">
        <f>TEXT(IF(Deficit!B113&lt;&gt;0,Deficit!B113-364, ""), "yyyy")</f>
        <v/>
      </c>
      <c r="B108" s="15" t="str">
        <f>IFERROR(IF(ISNUMBER(Deficit!D113),TEXT(Deficit!D113, "0.00"),""), "")</f>
        <v/>
      </c>
      <c r="C108" s="15" t="str">
        <f>IFERROR(IF(ISNUMBER(Deficit!E113),TEXT(Deficit!E113,"0.00"), ""), "")</f>
        <v/>
      </c>
    </row>
    <row r="109" spans="1:3">
      <c r="A109" s="23" t="str">
        <f>TEXT(IF(Deficit!B114&lt;&gt;0,Deficit!B114-364, ""), "yyyy")</f>
        <v/>
      </c>
      <c r="B109" s="15" t="str">
        <f>IFERROR(IF(ISNUMBER(Deficit!D114),TEXT(Deficit!D114, "0.00"),""), "")</f>
        <v/>
      </c>
      <c r="C109" s="15" t="str">
        <f>IFERROR(IF(ISNUMBER(Deficit!E114),TEXT(Deficit!E114,"0.00"), ""), "")</f>
        <v/>
      </c>
    </row>
    <row r="110" spans="1:3">
      <c r="A110" s="23" t="str">
        <f>TEXT(IF(Deficit!B115&lt;&gt;0,Deficit!B115-364, ""), "yyyy")</f>
        <v/>
      </c>
      <c r="B110" s="15" t="str">
        <f>IFERROR(IF(ISNUMBER(Deficit!D115),TEXT(Deficit!D115, "0.00"),""), "")</f>
        <v/>
      </c>
      <c r="C110" s="15" t="str">
        <f>IFERROR(IF(ISNUMBER(Deficit!E115),TEXT(Deficit!E115,"0.00"), ""), "")</f>
        <v/>
      </c>
    </row>
    <row r="111" spans="1:3">
      <c r="A111" s="23" t="str">
        <f>TEXT(IF(Deficit!B116&lt;&gt;0,Deficit!B116-364, ""), "yyyy")</f>
        <v/>
      </c>
      <c r="B111" s="15" t="str">
        <f>IFERROR(IF(ISNUMBER(Deficit!D116),TEXT(Deficit!D116, "0.00"),""), "")</f>
        <v/>
      </c>
      <c r="C111" s="15" t="str">
        <f>IFERROR(IF(ISNUMBER(Deficit!E116),TEXT(Deficit!E116,"0.00"), ""), "")</f>
        <v/>
      </c>
    </row>
    <row r="112" spans="1:3">
      <c r="A112" s="23" t="str">
        <f>TEXT(IF(Deficit!B117&lt;&gt;0,Deficit!B117-364, ""), "yyyy")</f>
        <v/>
      </c>
      <c r="B112" s="15" t="str">
        <f>IFERROR(IF(ISNUMBER(Deficit!D117),TEXT(Deficit!D117, "0.00"),""), "")</f>
        <v/>
      </c>
      <c r="C112" s="15" t="str">
        <f>IFERROR(IF(ISNUMBER(Deficit!E117),TEXT(Deficit!E117,"0.00"), ""), "")</f>
        <v/>
      </c>
    </row>
    <row r="113" spans="1:3">
      <c r="A113" s="23" t="str">
        <f>TEXT(IF(Deficit!B118&lt;&gt;0,Deficit!B118-364, ""), "yyyy")</f>
        <v/>
      </c>
      <c r="B113" s="15" t="str">
        <f>IFERROR(IF(ISNUMBER(Deficit!D118),TEXT(Deficit!D118, "0.00"),""), "")</f>
        <v/>
      </c>
      <c r="C113" s="15" t="str">
        <f>IFERROR(IF(ISNUMBER(Deficit!E118),TEXT(Deficit!E118,"0.00"), ""), "")</f>
        <v/>
      </c>
    </row>
    <row r="114" spans="1:3">
      <c r="A114" s="23" t="str">
        <f>TEXT(IF(Deficit!B119&lt;&gt;0,Deficit!B119-364, ""), "yyyy")</f>
        <v/>
      </c>
      <c r="B114" s="15" t="str">
        <f>IFERROR(IF(ISNUMBER(Deficit!D119),TEXT(Deficit!D119, "0.00"),""), "")</f>
        <v/>
      </c>
      <c r="C114" s="15" t="str">
        <f>IFERROR(IF(ISNUMBER(Deficit!E119),TEXT(Deficit!E119,"0.00"), ""), "")</f>
        <v/>
      </c>
    </row>
    <row r="115" spans="1:3">
      <c r="A115" s="23" t="str">
        <f>TEXT(IF(Deficit!B120&lt;&gt;0,Deficit!B120-364, ""), "yyyy")</f>
        <v/>
      </c>
      <c r="B115" s="15" t="str">
        <f>IFERROR(IF(ISNUMBER(Deficit!D120),TEXT(Deficit!D120, "0.00"),""), "")</f>
        <v/>
      </c>
      <c r="C115" s="15" t="str">
        <f>IFERROR(IF(ISNUMBER(Deficit!E120),TEXT(Deficit!E120,"0.00"), ""), "")</f>
        <v/>
      </c>
    </row>
    <row r="116" spans="1:3">
      <c r="A116" s="23" t="str">
        <f>TEXT(IF(Deficit!B121&lt;&gt;0,Deficit!B121-364, ""), "yyyy")</f>
        <v/>
      </c>
      <c r="B116" s="15" t="str">
        <f>IFERROR(IF(ISNUMBER(Deficit!D121),TEXT(Deficit!D121, "0.00"),""), "")</f>
        <v/>
      </c>
      <c r="C116" s="15" t="str">
        <f>IFERROR(IF(ISNUMBER(Deficit!E121),TEXT(Deficit!E121,"0.00"), ""), "")</f>
        <v/>
      </c>
    </row>
    <row r="117" spans="1:3">
      <c r="A117" s="23" t="str">
        <f>TEXT(IF(Deficit!B122&lt;&gt;0,Deficit!B122-364, ""), "yyyy")</f>
        <v/>
      </c>
      <c r="B117" s="15" t="str">
        <f>IFERROR(IF(ISNUMBER(Deficit!D122),TEXT(Deficit!D122, "0.00"),""), "")</f>
        <v/>
      </c>
      <c r="C117" s="15" t="str">
        <f>IFERROR(IF(ISNUMBER(Deficit!E122),TEXT(Deficit!E122,"0.00"), ""), "")</f>
        <v/>
      </c>
    </row>
    <row r="118" spans="1:3">
      <c r="A118" s="23" t="str">
        <f>TEXT(IF(Deficit!B123&lt;&gt;0,Deficit!B123-364, ""), "yyyy")</f>
        <v/>
      </c>
      <c r="B118" s="15" t="str">
        <f>IFERROR(IF(ISNUMBER(Deficit!D123),TEXT(Deficit!D123, "0.00"),""), "")</f>
        <v/>
      </c>
      <c r="C118" s="15" t="str">
        <f>IFERROR(IF(ISNUMBER(Deficit!E123),TEXT(Deficit!E123,"0.00"), ""), "")</f>
        <v/>
      </c>
    </row>
    <row r="119" spans="1:3">
      <c r="A119" s="23" t="str">
        <f>TEXT(IF(Deficit!B124&lt;&gt;0,Deficit!B124-364, ""), "yyyy")</f>
        <v/>
      </c>
      <c r="B119" s="15" t="str">
        <f>IFERROR(IF(ISNUMBER(Deficit!D124),TEXT(Deficit!D124, "0.00"),""), "")</f>
        <v/>
      </c>
      <c r="C119" s="15" t="str">
        <f>IFERROR(IF(ISNUMBER(Deficit!E124),TEXT(Deficit!E124,"0.00"), ""), "")</f>
        <v/>
      </c>
    </row>
    <row r="120" spans="1:3">
      <c r="A120" s="23" t="str">
        <f>TEXT(IF(Deficit!B125&lt;&gt;0,Deficit!B125-364, ""), "yyyy")</f>
        <v/>
      </c>
      <c r="B120" s="15" t="str">
        <f>IFERROR(IF(ISNUMBER(Deficit!D125),TEXT(Deficit!D125, "0.00"),""), "")</f>
        <v/>
      </c>
      <c r="C120" s="15" t="str">
        <f>IFERROR(IF(ISNUMBER(Deficit!E125),TEXT(Deficit!E125,"0.00"), ""), "")</f>
        <v/>
      </c>
    </row>
    <row r="121" spans="1:3">
      <c r="A121" s="23" t="str">
        <f>TEXT(IF(Deficit!B126&lt;&gt;0,Deficit!B126-364, ""), "yyyy")</f>
        <v/>
      </c>
      <c r="B121" s="15" t="str">
        <f>IFERROR(IF(ISNUMBER(Deficit!D126),TEXT(Deficit!D126, "0.00"),""), "")</f>
        <v/>
      </c>
      <c r="C121" s="15" t="str">
        <f>IFERROR(IF(ISNUMBER(Deficit!E126),TEXT(Deficit!E126,"0.00"), ""), "")</f>
        <v/>
      </c>
    </row>
    <row r="122" spans="1:3">
      <c r="A122" s="23" t="str">
        <f>TEXT(IF(Deficit!B127&lt;&gt;0,Deficit!B127-364, ""), "yyyy")</f>
        <v/>
      </c>
      <c r="B122" s="15" t="str">
        <f>IFERROR(IF(ISNUMBER(Deficit!D127),TEXT(Deficit!D127, "0.00"),""), "")</f>
        <v/>
      </c>
      <c r="C122" s="15" t="str">
        <f>IFERROR(IF(ISNUMBER(Deficit!E127),TEXT(Deficit!E127,"0.00"), ""), "")</f>
        <v/>
      </c>
    </row>
    <row r="123" spans="1:3">
      <c r="A123" s="23" t="str">
        <f>TEXT(IF(Deficit!B128&lt;&gt;0,Deficit!B128-364, ""), "yyyy")</f>
        <v/>
      </c>
      <c r="B123" s="15" t="str">
        <f>IFERROR(IF(ISNUMBER(Deficit!D128),TEXT(Deficit!D128, "0.00"),""), "")</f>
        <v/>
      </c>
      <c r="C123" s="15" t="str">
        <f>IFERROR(IF(ISNUMBER(Deficit!E128),TEXT(Deficit!E128,"0.00"), ""), "")</f>
        <v/>
      </c>
    </row>
    <row r="124" spans="1:3">
      <c r="A124" s="23" t="str">
        <f>TEXT(IF(Deficit!B129&lt;&gt;0,Deficit!B129-364, ""), "yyyy")</f>
        <v/>
      </c>
      <c r="B124" s="15" t="str">
        <f>IFERROR(IF(ISNUMBER(Deficit!D129),TEXT(Deficit!D129, "0.00"),""), "")</f>
        <v/>
      </c>
      <c r="C124" s="15" t="str">
        <f>IFERROR(IF(ISNUMBER(Deficit!E129),TEXT(Deficit!E129,"0.00"), ""), "")</f>
        <v/>
      </c>
    </row>
    <row r="125" spans="1:3">
      <c r="A125" s="23" t="str">
        <f>TEXT(IF(Deficit!B130&lt;&gt;0,Deficit!B130-364, ""), "yyyy")</f>
        <v/>
      </c>
      <c r="B125" s="15" t="str">
        <f>IFERROR(IF(ISNUMBER(Deficit!D130),TEXT(Deficit!D130, "0.00"),""), "")</f>
        <v/>
      </c>
      <c r="C125" s="15" t="str">
        <f>IFERROR(IF(ISNUMBER(Deficit!E130),TEXT(Deficit!E130,"0.00"), ""), "")</f>
        <v/>
      </c>
    </row>
    <row r="126" spans="1:3">
      <c r="A126" s="23" t="str">
        <f>TEXT(IF(Deficit!B131&lt;&gt;0,Deficit!B131-364, ""), "yyyy")</f>
        <v/>
      </c>
      <c r="B126" s="15" t="str">
        <f>IFERROR(IF(ISNUMBER(Deficit!D131),TEXT(Deficit!D131, "0.00"),""), "")</f>
        <v/>
      </c>
      <c r="C126" s="15" t="str">
        <f>IFERROR(IF(ISNUMBER(Deficit!E131),TEXT(Deficit!E131,"0.00"), ""), "")</f>
        <v/>
      </c>
    </row>
    <row r="127" spans="1:3">
      <c r="A127" s="23" t="str">
        <f>TEXT(IF(Deficit!B132&lt;&gt;0,Deficit!B132-364, ""), "yyyy")</f>
        <v/>
      </c>
      <c r="B127" s="15" t="str">
        <f>IFERROR(IF(ISNUMBER(Deficit!D132),TEXT(Deficit!D132, "0.00"),""), "")</f>
        <v/>
      </c>
      <c r="C127" s="15" t="str">
        <f>IFERROR(IF(ISNUMBER(Deficit!E132),TEXT(Deficit!E132,"0.00"), ""), "")</f>
        <v/>
      </c>
    </row>
    <row r="128" spans="1:3">
      <c r="A128" s="23" t="str">
        <f>TEXT(IF(Deficit!B133&lt;&gt;0,Deficit!B133-364, ""), "yyyy")</f>
        <v/>
      </c>
      <c r="B128" s="15" t="str">
        <f>IFERROR(IF(ISNUMBER(Deficit!D133),TEXT(Deficit!D133, "0.00"),""), "")</f>
        <v/>
      </c>
      <c r="C128" s="15" t="str">
        <f>IFERROR(IF(ISNUMBER(Deficit!E133),TEXT(Deficit!E133,"0.00"), ""), "")</f>
        <v/>
      </c>
    </row>
    <row r="129" spans="1:3">
      <c r="A129" s="23" t="str">
        <f>TEXT(IF(Deficit!B134&lt;&gt;0,Deficit!B134-364, ""), "yyyy")</f>
        <v/>
      </c>
      <c r="B129" s="15" t="str">
        <f>IFERROR(IF(ISNUMBER(Deficit!D134),TEXT(Deficit!D134, "0.00"),""), "")</f>
        <v/>
      </c>
      <c r="C129" s="15" t="str">
        <f>IFERROR(IF(ISNUMBER(Deficit!E134),TEXT(Deficit!E134,"0.00"), ""), "")</f>
        <v/>
      </c>
    </row>
    <row r="130" spans="1:3">
      <c r="A130" s="23" t="str">
        <f>TEXT(IF(Deficit!B135&lt;&gt;0,Deficit!B135-364, ""), "yyyy")</f>
        <v/>
      </c>
      <c r="B130" s="15" t="str">
        <f>IFERROR(IF(ISNUMBER(Deficit!D135),TEXT(Deficit!D135, "0.00"),""), "")</f>
        <v/>
      </c>
      <c r="C130" s="15" t="str">
        <f>IFERROR(IF(ISNUMBER(Deficit!E135),TEXT(Deficit!E135,"0.00"), ""), "")</f>
        <v/>
      </c>
    </row>
    <row r="131" spans="1:3">
      <c r="A131" s="23" t="str">
        <f>TEXT(IF(Deficit!B136&lt;&gt;0,Deficit!B136-364, ""), "yyyy")</f>
        <v/>
      </c>
      <c r="B131" s="15" t="str">
        <f>IFERROR(IF(ISNUMBER(Deficit!D136),TEXT(Deficit!D136, "0.00"),""), "")</f>
        <v/>
      </c>
      <c r="C131" s="15" t="str">
        <f>IFERROR(IF(ISNUMBER(Deficit!E136),TEXT(Deficit!E136,"0.00"), ""), "")</f>
        <v/>
      </c>
    </row>
    <row r="132" spans="1:3">
      <c r="A132" s="23" t="str">
        <f>TEXT(IF(Deficit!B137&lt;&gt;0,Deficit!B137-364, ""), "yyyy")</f>
        <v/>
      </c>
      <c r="B132" s="15" t="str">
        <f>IFERROR(IF(ISNUMBER(Deficit!D137),TEXT(Deficit!D137, "0.00"),""), "")</f>
        <v/>
      </c>
      <c r="C132" s="15" t="str">
        <f>IFERROR(IF(ISNUMBER(Deficit!E137),TEXT(Deficit!E137,"0.00"), ""), "")</f>
        <v/>
      </c>
    </row>
    <row r="133" spans="1:3">
      <c r="A133" s="23" t="str">
        <f>TEXT(IF(Deficit!B138&lt;&gt;0,Deficit!B138-364, ""), "yyyy")</f>
        <v/>
      </c>
      <c r="B133" s="15" t="str">
        <f>IFERROR(IF(ISNUMBER(Deficit!D138),TEXT(Deficit!D138, "0.00"),""), "")</f>
        <v/>
      </c>
      <c r="C133" s="15" t="str">
        <f>IFERROR(IF(ISNUMBER(Deficit!E138),TEXT(Deficit!E138,"0.00"), ""), "")</f>
        <v/>
      </c>
    </row>
    <row r="134" spans="1:3">
      <c r="A134" s="23" t="str">
        <f>TEXT(IF(Deficit!B139&lt;&gt;0,Deficit!B139-364, ""), "yyyy")</f>
        <v/>
      </c>
      <c r="B134" s="15" t="str">
        <f>IFERROR(IF(ISNUMBER(Deficit!D139),TEXT(Deficit!D139, "0.00"),""), "")</f>
        <v/>
      </c>
      <c r="C134" s="15" t="str">
        <f>IFERROR(IF(ISNUMBER(Deficit!E139),TEXT(Deficit!E139,"0.00"), ""), "")</f>
        <v/>
      </c>
    </row>
    <row r="135" spans="1:3">
      <c r="A135" s="23" t="str">
        <f>TEXT(IF(Deficit!B140&lt;&gt;0,Deficit!B140-364, ""), "yyyy")</f>
        <v/>
      </c>
      <c r="B135" s="15" t="str">
        <f>IFERROR(IF(ISNUMBER(Deficit!D140),TEXT(Deficit!D140, "0.00"),""), "")</f>
        <v/>
      </c>
      <c r="C135" s="15" t="str">
        <f>IFERROR(IF(ISNUMBER(Deficit!E140),TEXT(Deficit!E140,"0.00"), ""), "")</f>
        <v/>
      </c>
    </row>
    <row r="136" spans="1:3">
      <c r="A136" s="23" t="str">
        <f>TEXT(IF(Deficit!B141&lt;&gt;0,Deficit!B141-364, ""), "yyyy")</f>
        <v/>
      </c>
      <c r="B136" s="15" t="str">
        <f>IFERROR(IF(ISNUMBER(Deficit!D141),TEXT(Deficit!D141, "0.00"),""), "")</f>
        <v/>
      </c>
      <c r="C136" s="15" t="str">
        <f>IFERROR(IF(ISNUMBER(Deficit!E141),TEXT(Deficit!E141,"0.00"), ""), "")</f>
        <v/>
      </c>
    </row>
    <row r="137" spans="1:3">
      <c r="A137" s="23" t="str">
        <f>TEXT(IF(Deficit!B142&lt;&gt;0,Deficit!B142-364, ""), "yyyy")</f>
        <v/>
      </c>
      <c r="B137" s="15" t="str">
        <f>IFERROR(IF(ISNUMBER(Deficit!D142),TEXT(Deficit!D142, "0.00"),""), "")</f>
        <v/>
      </c>
      <c r="C137" s="15" t="str">
        <f>IFERROR(IF(ISNUMBER(Deficit!E142),TEXT(Deficit!E142,"0.00"), ""), "")</f>
        <v/>
      </c>
    </row>
    <row r="138" spans="1:3">
      <c r="A138" s="23" t="str">
        <f>TEXT(IF(Deficit!B143&lt;&gt;0,Deficit!B143-364, ""), "yyyy")</f>
        <v/>
      </c>
      <c r="B138" s="15" t="str">
        <f>IFERROR(IF(ISNUMBER(Deficit!D143),TEXT(Deficit!D143, "0.00"),""), "")</f>
        <v/>
      </c>
      <c r="C138" s="15" t="str">
        <f>IFERROR(IF(ISNUMBER(Deficit!E143),TEXT(Deficit!E143,"0.00"), ""), "")</f>
        <v/>
      </c>
    </row>
    <row r="139" spans="1:3">
      <c r="A139" s="23" t="str">
        <f>TEXT(IF(Deficit!B144&lt;&gt;0,Deficit!B144-364, ""), "yyyy")</f>
        <v/>
      </c>
      <c r="B139" s="15" t="str">
        <f>IFERROR(IF(ISNUMBER(Deficit!D144),TEXT(Deficit!D144, "0.00"),""), "")</f>
        <v/>
      </c>
      <c r="C139" s="15" t="str">
        <f>IFERROR(IF(ISNUMBER(Deficit!E144),TEXT(Deficit!E144,"0.00"), ""), "")</f>
        <v/>
      </c>
    </row>
    <row r="140" spans="1:3">
      <c r="A140" s="23" t="str">
        <f>TEXT(IF(Deficit!B145&lt;&gt;0,Deficit!B145-364, ""), "yyyy")</f>
        <v/>
      </c>
      <c r="B140" s="15" t="str">
        <f>IFERROR(IF(ISNUMBER(Deficit!D145),TEXT(Deficit!D145, "0.00"),""), "")</f>
        <v/>
      </c>
      <c r="C140" s="15" t="str">
        <f>IFERROR(IF(ISNUMBER(Deficit!E145),TEXT(Deficit!E145,"0.00"), ""), "")</f>
        <v/>
      </c>
    </row>
    <row r="141" spans="1:3">
      <c r="A141" s="23" t="str">
        <f>TEXT(IF(Deficit!B146&lt;&gt;0,Deficit!B146-364, ""), "yyyy")</f>
        <v/>
      </c>
      <c r="B141" s="15" t="str">
        <f>IFERROR(IF(ISNUMBER(Deficit!D146),TEXT(Deficit!D146, "0.00"),""), "")</f>
        <v/>
      </c>
      <c r="C141" s="15" t="str">
        <f>IFERROR(IF(ISNUMBER(Deficit!E146),TEXT(Deficit!E146,"0.00"), ""), "")</f>
        <v/>
      </c>
    </row>
    <row r="142" spans="1:3">
      <c r="A142" s="23" t="str">
        <f>TEXT(IF(Deficit!B147&lt;&gt;0,Deficit!B147-364, ""), "yyyy")</f>
        <v/>
      </c>
      <c r="B142" s="15" t="str">
        <f>IFERROR(IF(ISNUMBER(Deficit!D147),TEXT(Deficit!D147, "0.00"),""), "")</f>
        <v/>
      </c>
      <c r="C142" s="15" t="str">
        <f>IFERROR(IF(ISNUMBER(Deficit!E147),TEXT(Deficit!E147,"0.00"), ""), "")</f>
        <v/>
      </c>
    </row>
    <row r="143" spans="1:3">
      <c r="A143" s="23" t="str">
        <f>TEXT(IF(Deficit!B148&lt;&gt;0,Deficit!B148-364, ""), "yyyy")</f>
        <v/>
      </c>
      <c r="B143" s="15" t="str">
        <f>IFERROR(IF(ISNUMBER(Deficit!D148),TEXT(Deficit!D148, "0.00"),""), "")</f>
        <v/>
      </c>
      <c r="C143" s="15" t="str">
        <f>IFERROR(IF(ISNUMBER(Deficit!E148),TEXT(Deficit!E148,"0.00"), ""), "")</f>
        <v/>
      </c>
    </row>
    <row r="144" spans="1:3">
      <c r="A144" s="23" t="str">
        <f>TEXT(IF(Deficit!B149&lt;&gt;0,Deficit!B149-364, ""), "yyyy")</f>
        <v/>
      </c>
      <c r="B144" s="15" t="str">
        <f>IFERROR(IF(ISNUMBER(Deficit!D149),TEXT(Deficit!D149, "0.00"),""), "")</f>
        <v/>
      </c>
      <c r="C144" s="15" t="str">
        <f>IFERROR(IF(ISNUMBER(Deficit!E149),TEXT(Deficit!E149,"0.00"), ""), "")</f>
        <v/>
      </c>
    </row>
    <row r="145" spans="1:3">
      <c r="A145" s="23" t="str">
        <f>TEXT(IF(Deficit!B150&lt;&gt;0,Deficit!B150-364, ""), "yyyy")</f>
        <v/>
      </c>
      <c r="B145" s="15" t="str">
        <f>IFERROR(IF(ISNUMBER(Deficit!D150),TEXT(Deficit!D150, "0.00"),""), "")</f>
        <v/>
      </c>
      <c r="C145" s="15" t="str">
        <f>IFERROR(IF(ISNUMBER(Deficit!E150),TEXT(Deficit!E150,"0.00"), ""), "")</f>
        <v/>
      </c>
    </row>
    <row r="146" spans="1:3">
      <c r="A146" s="23" t="str">
        <f>TEXT(IF(Deficit!B151&lt;&gt;0,Deficit!B151-364, ""), "yyyy")</f>
        <v/>
      </c>
      <c r="B146" s="15" t="str">
        <f>IFERROR(IF(ISNUMBER(Deficit!D151),TEXT(Deficit!D151, "0.00"),""), "")</f>
        <v/>
      </c>
      <c r="C146" s="15" t="str">
        <f>IFERROR(IF(ISNUMBER(Deficit!E151),TEXT(Deficit!E151,"0.00"), ""), "")</f>
        <v/>
      </c>
    </row>
    <row r="147" spans="1:3">
      <c r="A147" s="23" t="str">
        <f>TEXT(IF(Deficit!B152&lt;&gt;0,Deficit!B152-364, ""), "yyyy")</f>
        <v/>
      </c>
      <c r="B147" s="15" t="str">
        <f>IFERROR(IF(ISNUMBER(Deficit!D152),TEXT(Deficit!D152, "0.00"),""), "")</f>
        <v/>
      </c>
      <c r="C147" s="15" t="str">
        <f>IFERROR(IF(ISNUMBER(Deficit!E152),TEXT(Deficit!E152,"0.00"), ""), "")</f>
        <v/>
      </c>
    </row>
    <row r="148" spans="1:3">
      <c r="A148" s="23" t="str">
        <f>TEXT(IF(Deficit!B153&lt;&gt;0,Deficit!B153-364, ""), "yyyy")</f>
        <v/>
      </c>
      <c r="B148" s="15" t="str">
        <f>IFERROR(IF(ISNUMBER(Deficit!D153),TEXT(Deficit!D153, "0.00"),""), "")</f>
        <v/>
      </c>
      <c r="C148" s="15" t="str">
        <f>IFERROR(IF(ISNUMBER(Deficit!E153),TEXT(Deficit!E153,"0.00"), ""), "")</f>
        <v/>
      </c>
    </row>
    <row r="149" spans="1:3">
      <c r="A149" s="23" t="str">
        <f>TEXT(IF(Deficit!B154&lt;&gt;0,Deficit!B154-364, ""), "yyyy")</f>
        <v/>
      </c>
      <c r="B149" s="15" t="str">
        <f>IFERROR(IF(ISNUMBER(Deficit!D154),TEXT(Deficit!D154, "0.00"),""), "")</f>
        <v/>
      </c>
      <c r="C149" s="15" t="str">
        <f>IFERROR(IF(ISNUMBER(Deficit!E154),TEXT(Deficit!E154,"0.00"), ""), "")</f>
        <v/>
      </c>
    </row>
    <row r="150" spans="1:3">
      <c r="A150" s="23" t="str">
        <f>TEXT(IF(Deficit!B155&lt;&gt;0,Deficit!B155-364, ""), "yyyy")</f>
        <v/>
      </c>
      <c r="B150" s="15" t="str">
        <f>IFERROR(IF(ISNUMBER(Deficit!D155),TEXT(Deficit!D155, "0.00"),""), "")</f>
        <v/>
      </c>
      <c r="C150" s="15" t="str">
        <f>IFERROR(IF(ISNUMBER(Deficit!E155),TEXT(Deficit!E155,"0.00"), ""), "")</f>
        <v/>
      </c>
    </row>
    <row r="151" spans="1:3">
      <c r="A151" s="23" t="str">
        <f>TEXT(IF(Deficit!B156&lt;&gt;0,Deficit!B156-364, ""), "yyyy")</f>
        <v/>
      </c>
      <c r="B151" s="15" t="str">
        <f>IFERROR(IF(ISNUMBER(Deficit!D156),TEXT(Deficit!D156, "0.00"),""), "")</f>
        <v/>
      </c>
      <c r="C151" s="15" t="str">
        <f>IFERROR(IF(ISNUMBER(Deficit!E156),TEXT(Deficit!E156,"0.00"), ""), "")</f>
        <v/>
      </c>
    </row>
    <row r="152" spans="1:3">
      <c r="A152" s="23" t="str">
        <f>TEXT(IF(Deficit!B157&lt;&gt;0,Deficit!B157-364, ""), "yyyy")</f>
        <v/>
      </c>
      <c r="B152" s="15" t="str">
        <f>IFERROR(IF(ISNUMBER(Deficit!D157),TEXT(Deficit!D157, "0.00"),""), "")</f>
        <v/>
      </c>
      <c r="C152" s="15" t="str">
        <f>IFERROR(IF(ISNUMBER(Deficit!E157),TEXT(Deficit!E157,"0.00"), ""), "")</f>
        <v/>
      </c>
    </row>
    <row r="153" spans="1:3">
      <c r="A153" s="23" t="str">
        <f>TEXT(IF(Deficit!B158&lt;&gt;0,Deficit!B158-364, ""), "yyyy")</f>
        <v/>
      </c>
      <c r="B153" s="15" t="str">
        <f>IFERROR(IF(ISNUMBER(Deficit!D158),TEXT(Deficit!D158, "0.00"),""), "")</f>
        <v/>
      </c>
      <c r="C153" s="15" t="str">
        <f>IFERROR(IF(ISNUMBER(Deficit!E158),TEXT(Deficit!E158,"0.00"), ""), "")</f>
        <v/>
      </c>
    </row>
    <row r="154" spans="1:3">
      <c r="A154" s="23" t="str">
        <f>TEXT(IF(Deficit!B159&lt;&gt;0,Deficit!B159-364, ""), "yyyy")</f>
        <v/>
      </c>
      <c r="B154" s="15" t="str">
        <f>IFERROR(IF(ISNUMBER(Deficit!D159),TEXT(Deficit!D159, "0.00"),""), "")</f>
        <v/>
      </c>
      <c r="C154" s="15" t="str">
        <f>IFERROR(IF(ISNUMBER(Deficit!E159),TEXT(Deficit!E159,"0.00"), ""), "")</f>
        <v/>
      </c>
    </row>
    <row r="155" spans="1:3">
      <c r="A155" s="23" t="str">
        <f>TEXT(IF(Deficit!B160&lt;&gt;0,Deficit!B160-364, ""), "yyyy")</f>
        <v/>
      </c>
      <c r="B155" s="15" t="str">
        <f>IFERROR(IF(ISNUMBER(Deficit!D160),TEXT(Deficit!D160, "0.00"),""), "")</f>
        <v/>
      </c>
      <c r="C155" s="15" t="str">
        <f>IFERROR(IF(ISNUMBER(Deficit!E160),TEXT(Deficit!E160,"0.00"), ""), "")</f>
        <v/>
      </c>
    </row>
    <row r="156" spans="1:3">
      <c r="A156" s="23" t="str">
        <f>TEXT(IF(Deficit!B161&lt;&gt;0,Deficit!B161-364, ""), "yyyy")</f>
        <v/>
      </c>
      <c r="B156" s="15" t="str">
        <f>IFERROR(IF(ISNUMBER(Deficit!D161),TEXT(Deficit!D161, "0.00"),""), "")</f>
        <v/>
      </c>
      <c r="C156" s="15" t="str">
        <f>IFERROR(IF(ISNUMBER(Deficit!E161),TEXT(Deficit!E161,"0.00"), ""), "")</f>
        <v/>
      </c>
    </row>
    <row r="157" spans="1:3">
      <c r="A157" s="23" t="str">
        <f>TEXT(IF(Deficit!B162&lt;&gt;0,Deficit!B162-364, ""), "yyyy")</f>
        <v/>
      </c>
      <c r="B157" s="15" t="str">
        <f>IFERROR(IF(ISNUMBER(Deficit!D162),TEXT(Deficit!D162, "0.00"),""), "")</f>
        <v/>
      </c>
      <c r="C157" s="15" t="str">
        <f>IFERROR(IF(ISNUMBER(Deficit!E162),TEXT(Deficit!E162,"0.00"), ""), "")</f>
        <v/>
      </c>
    </row>
    <row r="158" spans="1:3">
      <c r="A158" s="23" t="str">
        <f>TEXT(IF(Deficit!B163&lt;&gt;0,Deficit!B163-364, ""), "yyyy")</f>
        <v/>
      </c>
      <c r="B158" s="15" t="str">
        <f>IFERROR(IF(ISNUMBER(Deficit!D163),TEXT(Deficit!D163, "0.00"),""), "")</f>
        <v/>
      </c>
      <c r="C158" s="15" t="str">
        <f>IFERROR(IF(ISNUMBER(Deficit!E163),TEXT(Deficit!E163,"0.00"), ""), "")</f>
        <v/>
      </c>
    </row>
    <row r="159" spans="1:3">
      <c r="A159" s="23" t="str">
        <f>TEXT(IF(Deficit!B164&lt;&gt;0,Deficit!B164-364, ""), "yyyy")</f>
        <v/>
      </c>
      <c r="B159" s="15" t="str">
        <f>IFERROR(IF(ISNUMBER(Deficit!D164),TEXT(Deficit!D164, "0.00"),""), "")</f>
        <v/>
      </c>
      <c r="C159" s="15" t="str">
        <f>IFERROR(IF(ISNUMBER(Deficit!E164),TEXT(Deficit!E164,"0.00"), ""), "")</f>
        <v/>
      </c>
    </row>
    <row r="160" spans="1:3">
      <c r="A160" s="23" t="str">
        <f>TEXT(IF(Deficit!B165&lt;&gt;0,Deficit!B165-364, ""), "yyyy")</f>
        <v/>
      </c>
      <c r="B160" s="15" t="str">
        <f>IFERROR(IF(ISNUMBER(Deficit!D165),TEXT(Deficit!D165, "0.00"),""), "")</f>
        <v/>
      </c>
      <c r="C160" s="15" t="str">
        <f>IFERROR(IF(ISNUMBER(Deficit!E165),TEXT(Deficit!E165,"0.00"), ""), "")</f>
        <v/>
      </c>
    </row>
    <row r="161" spans="1:3">
      <c r="A161" s="23" t="str">
        <f>TEXT(IF(Deficit!B166&lt;&gt;0,Deficit!B166-364, ""), "yyyy")</f>
        <v/>
      </c>
      <c r="B161" s="15" t="str">
        <f>IFERROR(IF(ISNUMBER(Deficit!D166),TEXT(Deficit!D166, "0.00"),""), "")</f>
        <v/>
      </c>
      <c r="C161" s="15" t="str">
        <f>IFERROR(IF(ISNUMBER(Deficit!E166),TEXT(Deficit!E166,"0.00"), ""), "")</f>
        <v/>
      </c>
    </row>
    <row r="162" spans="1:3">
      <c r="A162" s="23" t="str">
        <f>TEXT(IF(Deficit!B167&lt;&gt;0,Deficit!B167-364, ""), "yyyy")</f>
        <v/>
      </c>
      <c r="B162" s="15" t="str">
        <f>IFERROR(IF(ISNUMBER(Deficit!D167),TEXT(Deficit!D167, "0.00"),""), "")</f>
        <v/>
      </c>
      <c r="C162" s="15" t="str">
        <f>IFERROR(IF(ISNUMBER(Deficit!E167),TEXT(Deficit!E167,"0.00"), ""), "")</f>
        <v/>
      </c>
    </row>
    <row r="163" spans="1:3">
      <c r="A163" s="23" t="str">
        <f>TEXT(IF(Deficit!B168&lt;&gt;0,Deficit!B168-364, ""), "yyyy")</f>
        <v/>
      </c>
      <c r="B163" s="15" t="str">
        <f>IFERROR(IF(ISNUMBER(Deficit!D168),TEXT(Deficit!D168, "0.00"),""), "")</f>
        <v/>
      </c>
      <c r="C163" s="15" t="str">
        <f>IFERROR(IF(ISNUMBER(Deficit!E168),TEXT(Deficit!E168,"0.00"), ""), "")</f>
        <v/>
      </c>
    </row>
    <row r="164" spans="1:3">
      <c r="A164" s="23" t="str">
        <f>TEXT(IF(Deficit!B169&lt;&gt;0,Deficit!B169-364, ""), "yyyy")</f>
        <v/>
      </c>
      <c r="B164" s="15" t="str">
        <f>IFERROR(IF(ISNUMBER(Deficit!D169),TEXT(Deficit!D169, "0.00"),""), "")</f>
        <v/>
      </c>
      <c r="C164" s="15" t="str">
        <f>IFERROR(IF(ISNUMBER(Deficit!E169),TEXT(Deficit!E169,"0.00"), ""), "")</f>
        <v/>
      </c>
    </row>
    <row r="165" spans="1:3">
      <c r="A165" s="23" t="str">
        <f>TEXT(IF(Deficit!B170&lt;&gt;0,Deficit!B170-364, ""), "yyyy")</f>
        <v/>
      </c>
      <c r="B165" s="15" t="str">
        <f>IFERROR(IF(ISNUMBER(Deficit!D170),TEXT(Deficit!D170, "0.00"),""), "")</f>
        <v/>
      </c>
      <c r="C165" s="15" t="str">
        <f>IFERROR(IF(ISNUMBER(Deficit!E170),TEXT(Deficit!E170,"0.00"), ""), "")</f>
        <v/>
      </c>
    </row>
    <row r="166" spans="1:3">
      <c r="A166" s="23" t="str">
        <f>TEXT(IF(Deficit!B171&lt;&gt;0,Deficit!B171-364, ""), "yyyy")</f>
        <v/>
      </c>
      <c r="B166" s="15" t="str">
        <f>IFERROR(IF(ISNUMBER(Deficit!D171),TEXT(Deficit!D171, "0.00"),""), "")</f>
        <v/>
      </c>
      <c r="C166" s="15" t="str">
        <f>IFERROR(IF(ISNUMBER(Deficit!E171),TEXT(Deficit!E171,"0.00"), ""), "")</f>
        <v/>
      </c>
    </row>
    <row r="167" spans="1:3">
      <c r="A167" s="23" t="str">
        <f>TEXT(IF(Deficit!B172&lt;&gt;0,Deficit!B172-364, ""), "yyyy")</f>
        <v/>
      </c>
      <c r="B167" s="15" t="str">
        <f>IFERROR(IF(ISNUMBER(Deficit!D172),TEXT(Deficit!D172, "0.00"),""), "")</f>
        <v/>
      </c>
      <c r="C167" s="15" t="str">
        <f>IFERROR(IF(ISNUMBER(Deficit!E172),TEXT(Deficit!E172,"0.00"), ""), "")</f>
        <v/>
      </c>
    </row>
    <row r="168" spans="1:3">
      <c r="A168" s="23" t="str">
        <f>TEXT(IF(Deficit!B173&lt;&gt;0,Deficit!B173-364, ""), "yyyy")</f>
        <v/>
      </c>
      <c r="B168" s="15" t="str">
        <f>IFERROR(IF(ISNUMBER(Deficit!D173),TEXT(Deficit!D173, "0.00"),""), "")</f>
        <v/>
      </c>
      <c r="C168" s="15" t="str">
        <f>IFERROR(IF(ISNUMBER(Deficit!E173),TEXT(Deficit!E173,"0.00"), ""), "")</f>
        <v/>
      </c>
    </row>
    <row r="169" spans="1:3">
      <c r="A169" s="23" t="str">
        <f>TEXT(IF(Deficit!B174&lt;&gt;0,Deficit!B174-364, ""), "yyyy")</f>
        <v/>
      </c>
      <c r="B169" s="15" t="str">
        <f>IFERROR(IF(ISNUMBER(Deficit!D174),TEXT(Deficit!D174, "0.00"),""), "")</f>
        <v/>
      </c>
      <c r="C169" s="15" t="str">
        <f>IFERROR(IF(ISNUMBER(Deficit!E174),TEXT(Deficit!E174,"0.00"), ""), "")</f>
        <v/>
      </c>
    </row>
    <row r="170" spans="1:3">
      <c r="A170" s="23" t="str">
        <f>TEXT(IF(Deficit!B175&lt;&gt;0,Deficit!B175-364, ""), "yyyy")</f>
        <v/>
      </c>
      <c r="B170" s="15" t="str">
        <f>IFERROR(IF(ISNUMBER(Deficit!D175),TEXT(Deficit!D175, "0.00"),""), "")</f>
        <v/>
      </c>
      <c r="C170" s="15" t="str">
        <f>IFERROR(IF(ISNUMBER(Deficit!E175),TEXT(Deficit!E175,"0.00"), ""), "")</f>
        <v/>
      </c>
    </row>
    <row r="171" spans="1:3">
      <c r="A171" s="23" t="str">
        <f>TEXT(IF(Deficit!B176&lt;&gt;0,Deficit!B176-364, ""), "yyyy")</f>
        <v/>
      </c>
      <c r="B171" s="15" t="str">
        <f>IFERROR(IF(ISNUMBER(Deficit!D176),TEXT(Deficit!D176, "0.00"),""), "")</f>
        <v/>
      </c>
      <c r="C171" s="15" t="str">
        <f>IFERROR(IF(ISNUMBER(Deficit!E176),TEXT(Deficit!E176,"0.00"), ""), "")</f>
        <v/>
      </c>
    </row>
    <row r="172" spans="1:3">
      <c r="A172" s="23" t="str">
        <f>TEXT(IF(Deficit!B177&lt;&gt;0,Deficit!B177-364, ""), "yyyy")</f>
        <v/>
      </c>
      <c r="B172" s="15" t="str">
        <f>IFERROR(IF(ISNUMBER(Deficit!D177),TEXT(Deficit!D177, "0.00"),""), "")</f>
        <v/>
      </c>
      <c r="C172" s="15" t="str">
        <f>IFERROR(IF(ISNUMBER(Deficit!E177),TEXT(Deficit!E177,"0.00"), ""), "")</f>
        <v/>
      </c>
    </row>
    <row r="173" spans="1:3">
      <c r="A173" s="23" t="str">
        <f>TEXT(IF(Deficit!B178&lt;&gt;0,Deficit!B178-364, ""), "yyyy")</f>
        <v/>
      </c>
      <c r="B173" s="15" t="str">
        <f>IFERROR(IF(ISNUMBER(Deficit!D178),TEXT(Deficit!D178, "0.00"),""), "")</f>
        <v/>
      </c>
      <c r="C173" s="15" t="str">
        <f>IFERROR(IF(ISNUMBER(Deficit!E178),TEXT(Deficit!E178,"0.00"), ""), "")</f>
        <v/>
      </c>
    </row>
    <row r="174" spans="1:3">
      <c r="A174" s="23" t="str">
        <f>TEXT(IF(Deficit!B179&lt;&gt;0,Deficit!B179-364, ""), "yyyy")</f>
        <v/>
      </c>
      <c r="B174" s="15" t="str">
        <f>IFERROR(IF(ISNUMBER(Deficit!D179),TEXT(Deficit!D179, "0.00"),""), "")</f>
        <v/>
      </c>
      <c r="C174" s="15" t="str">
        <f>IFERROR(IF(ISNUMBER(Deficit!E179),TEXT(Deficit!E179,"0.00"), ""), "")</f>
        <v/>
      </c>
    </row>
    <row r="175" spans="1:3">
      <c r="A175" s="23" t="str">
        <f>TEXT(IF(Deficit!B180&lt;&gt;0,Deficit!B180-364, ""), "yyyy")</f>
        <v/>
      </c>
      <c r="B175" s="15" t="str">
        <f>IFERROR(IF(ISNUMBER(Deficit!D180),TEXT(Deficit!D180, "0.00"),""), "")</f>
        <v/>
      </c>
      <c r="C175" s="15" t="str">
        <f>IFERROR(IF(ISNUMBER(Deficit!E180),TEXT(Deficit!E180,"0.00"), ""), "")</f>
        <v/>
      </c>
    </row>
    <row r="176" spans="1:3">
      <c r="A176" s="23" t="str">
        <f>TEXT(IF(Deficit!B181&lt;&gt;0,Deficit!B181-364, ""), "yyyy")</f>
        <v/>
      </c>
      <c r="B176" s="15" t="str">
        <f>IFERROR(IF(ISNUMBER(Deficit!D181),TEXT(Deficit!D181, "0.00"),""), "")</f>
        <v/>
      </c>
      <c r="C176" s="15" t="str">
        <f>IFERROR(IF(ISNUMBER(Deficit!E181),TEXT(Deficit!E181,"0.00"), ""), "")</f>
        <v/>
      </c>
    </row>
    <row r="177" spans="1:3">
      <c r="A177" s="23" t="str">
        <f>TEXT(IF(Deficit!B182&lt;&gt;0,Deficit!B182-364, ""), "yyyy")</f>
        <v/>
      </c>
      <c r="B177" s="15" t="str">
        <f>IFERROR(IF(ISNUMBER(Deficit!D182),TEXT(Deficit!D182, "0.00"),""), "")</f>
        <v/>
      </c>
      <c r="C177" s="15" t="str">
        <f>IFERROR(IF(ISNUMBER(Deficit!E182),TEXT(Deficit!E182,"0.00"), ""), "")</f>
        <v/>
      </c>
    </row>
    <row r="178" spans="1:3">
      <c r="A178" s="23" t="str">
        <f>TEXT(IF(Deficit!B183&lt;&gt;0,Deficit!B183-364, ""), "yyyy")</f>
        <v/>
      </c>
      <c r="B178" s="15" t="str">
        <f>IFERROR(IF(ISNUMBER(Deficit!D183),TEXT(Deficit!D183, "0.00"),""), "")</f>
        <v/>
      </c>
      <c r="C178" s="15" t="str">
        <f>IFERROR(IF(ISNUMBER(Deficit!E183),TEXT(Deficit!E183,"0.00"), ""), "")</f>
        <v/>
      </c>
    </row>
    <row r="179" spans="1:3">
      <c r="A179" s="23" t="str">
        <f>TEXT(IF(Deficit!B184&lt;&gt;0,Deficit!B184-364, ""), "yyyy")</f>
        <v/>
      </c>
      <c r="B179" s="15" t="str">
        <f>IFERROR(IF(ISNUMBER(Deficit!D184),TEXT(Deficit!D184, "0.00"),""), "")</f>
        <v/>
      </c>
      <c r="C179" s="15" t="str">
        <f>IFERROR(IF(ISNUMBER(Deficit!E184),TEXT(Deficit!E184,"0.00"), ""), "")</f>
        <v/>
      </c>
    </row>
    <row r="180" spans="1:3">
      <c r="A180" s="23" t="str">
        <f>TEXT(IF(Deficit!B185&lt;&gt;0,Deficit!B185-364, ""), "yyyy")</f>
        <v/>
      </c>
      <c r="B180" s="15" t="str">
        <f>IFERROR(IF(ISNUMBER(Deficit!D185),TEXT(Deficit!D185, "0.00"),""), "")</f>
        <v/>
      </c>
      <c r="C180" s="15" t="str">
        <f>IFERROR(IF(ISNUMBER(Deficit!E185),TEXT(Deficit!E185,"0.00"), ""), "")</f>
        <v/>
      </c>
    </row>
    <row r="181" spans="1:3">
      <c r="A181" s="23" t="str">
        <f>TEXT(IF(Deficit!B186&lt;&gt;0,Deficit!B186-364, ""), "yyyy")</f>
        <v/>
      </c>
      <c r="B181" s="15" t="str">
        <f>IFERROR(IF(ISNUMBER(Deficit!D186),TEXT(Deficit!D186, "0.00"),""), "")</f>
        <v/>
      </c>
      <c r="C181" s="15" t="str">
        <f>IFERROR(IF(ISNUMBER(Deficit!E186),TEXT(Deficit!E186,"0.00"), ""), "")</f>
        <v/>
      </c>
    </row>
    <row r="182" spans="1:3">
      <c r="A182" s="23" t="str">
        <f>TEXT(IF(Deficit!B187&lt;&gt;0,Deficit!B187-364, ""), "yyyy")</f>
        <v/>
      </c>
      <c r="B182" s="15" t="str">
        <f>IFERROR(IF(ISNUMBER(Deficit!D187),TEXT(Deficit!D187, "0.00"),""), "")</f>
        <v/>
      </c>
      <c r="C182" s="15" t="str">
        <f>IFERROR(IF(ISNUMBER(Deficit!E187),TEXT(Deficit!E187,"0.00"), ""), "")</f>
        <v/>
      </c>
    </row>
    <row r="183" spans="1:3">
      <c r="A183" s="23" t="str">
        <f>TEXT(IF(Deficit!B188&lt;&gt;0,Deficit!B188-364, ""), "yyyy")</f>
        <v/>
      </c>
      <c r="B183" s="15" t="str">
        <f>IFERROR(IF(ISNUMBER(Deficit!D188),TEXT(Deficit!D188, "0.00"),""), "")</f>
        <v/>
      </c>
      <c r="C183" s="15" t="str">
        <f>IFERROR(IF(ISNUMBER(Deficit!E188),TEXT(Deficit!E188,"0.00"), ""), "")</f>
        <v/>
      </c>
    </row>
    <row r="184" spans="1:3">
      <c r="A184" s="23" t="str">
        <f>TEXT(IF(Deficit!B189&lt;&gt;0,Deficit!B189-364, ""), "yyyy")</f>
        <v/>
      </c>
      <c r="B184" s="15" t="str">
        <f>IFERROR(IF(ISNUMBER(Deficit!D189),TEXT(Deficit!D189, "0.00"),""), "")</f>
        <v/>
      </c>
      <c r="C184" s="15" t="str">
        <f>IFERROR(IF(ISNUMBER(Deficit!E189),TEXT(Deficit!E189,"0.00"), ""), "")</f>
        <v/>
      </c>
    </row>
    <row r="185" spans="1:3">
      <c r="A185" s="23" t="str">
        <f>TEXT(IF(Deficit!B190&lt;&gt;0,Deficit!B190-364, ""), "yyyy")</f>
        <v/>
      </c>
      <c r="B185" s="15" t="str">
        <f>IFERROR(IF(ISNUMBER(Deficit!D190),TEXT(Deficit!D190, "0.00"),""), "")</f>
        <v/>
      </c>
      <c r="C185" s="15" t="str">
        <f>IFERROR(IF(ISNUMBER(Deficit!E190),TEXT(Deficit!E190,"0.00"), ""), "")</f>
        <v/>
      </c>
    </row>
    <row r="186" spans="1:3">
      <c r="A186" s="23" t="str">
        <f>TEXT(IF(Deficit!B191&lt;&gt;0,Deficit!B191-364, ""), "yyyy")</f>
        <v/>
      </c>
      <c r="B186" s="15" t="str">
        <f>IFERROR(IF(ISNUMBER(Deficit!D191),TEXT(Deficit!D191, "0.00"),""), "")</f>
        <v/>
      </c>
      <c r="C186" s="15" t="str">
        <f>IFERROR(IF(ISNUMBER(Deficit!E191),TEXT(Deficit!E191,"0.00"), ""), "")</f>
        <v/>
      </c>
    </row>
    <row r="187" spans="1:3">
      <c r="A187" s="23" t="str">
        <f>TEXT(IF(Deficit!B192&lt;&gt;0,Deficit!B192-364, ""), "yyyy")</f>
        <v/>
      </c>
      <c r="B187" s="15" t="str">
        <f>IFERROR(IF(ISNUMBER(Deficit!D192),TEXT(Deficit!D192, "0.00"),""), "")</f>
        <v/>
      </c>
      <c r="C187" s="15" t="str">
        <f>IFERROR(IF(ISNUMBER(Deficit!E192),TEXT(Deficit!E192,"0.00"), ""), "")</f>
        <v/>
      </c>
    </row>
    <row r="188" spans="1:3">
      <c r="A188" s="23" t="str">
        <f>TEXT(IF(Deficit!B193&lt;&gt;0,Deficit!B193-364, ""), "yyyy")</f>
        <v/>
      </c>
      <c r="B188" s="15" t="str">
        <f>IFERROR(IF(ISNUMBER(Deficit!D193),TEXT(Deficit!D193, "0.00"),""), "")</f>
        <v/>
      </c>
      <c r="C188" s="15" t="str">
        <f>IFERROR(IF(ISNUMBER(Deficit!E193),TEXT(Deficit!E193,"0.00"), ""), "")</f>
        <v/>
      </c>
    </row>
    <row r="189" spans="1:3">
      <c r="A189" s="23" t="str">
        <f>TEXT(IF(Deficit!B194&lt;&gt;0,Deficit!B194-364, ""), "yyyy")</f>
        <v/>
      </c>
      <c r="B189" s="15" t="str">
        <f>IFERROR(IF(ISNUMBER(Deficit!D194),TEXT(Deficit!D194, "0.00"),""), "")</f>
        <v/>
      </c>
      <c r="C189" s="15" t="str">
        <f>IFERROR(IF(ISNUMBER(Deficit!E194),TEXT(Deficit!E194,"0.00"), ""), "")</f>
        <v/>
      </c>
    </row>
    <row r="190" spans="1:3">
      <c r="A190" s="23" t="str">
        <f>TEXT(IF(Deficit!B195&lt;&gt;0,Deficit!B195-364, ""), "yyyy")</f>
        <v/>
      </c>
      <c r="B190" s="15" t="str">
        <f>IFERROR(IF(ISNUMBER(Deficit!D195),TEXT(Deficit!D195, "0.00"),""), "")</f>
        <v/>
      </c>
      <c r="C190" s="15" t="str">
        <f>IFERROR(IF(ISNUMBER(Deficit!E195),TEXT(Deficit!E195,"0.00"), ""), "")</f>
        <v/>
      </c>
    </row>
    <row r="191" spans="1:3">
      <c r="A191" s="23" t="str">
        <f>TEXT(IF(Deficit!B196&lt;&gt;0,Deficit!B196-364, ""), "yyyy")</f>
        <v/>
      </c>
      <c r="B191" s="15" t="str">
        <f>IFERROR(IF(ISNUMBER(Deficit!D196),TEXT(Deficit!D196, "0.00"),""), "")</f>
        <v/>
      </c>
      <c r="C191" s="15" t="str">
        <f>IFERROR(IF(ISNUMBER(Deficit!E196),TEXT(Deficit!E196,"0.00"), ""), "")</f>
        <v/>
      </c>
    </row>
    <row r="192" spans="1:3">
      <c r="A192" s="23" t="str">
        <f>TEXT(IF(Deficit!B197&lt;&gt;0,Deficit!B197-364, ""), "yyyy")</f>
        <v/>
      </c>
      <c r="B192" s="15" t="str">
        <f>IFERROR(IF(ISNUMBER(Deficit!D197),TEXT(Deficit!D197, "0.00"),""), "")</f>
        <v/>
      </c>
      <c r="C192" s="15" t="str">
        <f>IFERROR(IF(ISNUMBER(Deficit!E197),TEXT(Deficit!E197,"0.00"), ""), "")</f>
        <v/>
      </c>
    </row>
    <row r="193" spans="1:3">
      <c r="A193" s="23" t="str">
        <f>TEXT(IF(Deficit!B198&lt;&gt;0,Deficit!B198-364, ""), "yyyy")</f>
        <v/>
      </c>
      <c r="B193" s="15" t="str">
        <f>IFERROR(IF(ISNUMBER(Deficit!D198),TEXT(Deficit!D198, "0.00"),""), "")</f>
        <v/>
      </c>
      <c r="C193" s="15" t="str">
        <f>IFERROR(IF(ISNUMBER(Deficit!E198),TEXT(Deficit!E198,"0.00"), ""), "")</f>
        <v/>
      </c>
    </row>
    <row r="194" spans="1:3">
      <c r="A194" s="23" t="str">
        <f>TEXT(IF(Deficit!B199&lt;&gt;0,Deficit!B199-364, ""), "yyyy")</f>
        <v/>
      </c>
      <c r="B194" s="15" t="str">
        <f>IFERROR(IF(ISNUMBER(Deficit!D199),TEXT(Deficit!D199, "0.00"),""), "")</f>
        <v/>
      </c>
      <c r="C194" s="15" t="str">
        <f>IFERROR(IF(ISNUMBER(Deficit!E199),TEXT(Deficit!E199,"0.00"), ""), "")</f>
        <v/>
      </c>
    </row>
    <row r="195" spans="1:3">
      <c r="A195" s="23" t="str">
        <f>TEXT(IF(Deficit!B200&lt;&gt;0,Deficit!B200-364, ""), "yyyy")</f>
        <v/>
      </c>
      <c r="B195" s="15" t="str">
        <f>IFERROR(IF(ISNUMBER(Deficit!D200),TEXT(Deficit!D200, "0.00"),""), "")</f>
        <v/>
      </c>
      <c r="C195" s="15" t="str">
        <f>IFERROR(IF(ISNUMBER(Deficit!E200),TEXT(Deficit!E200,"0.00"), ""), "")</f>
        <v/>
      </c>
    </row>
    <row r="196" spans="1:3">
      <c r="A196" s="23" t="str">
        <f>TEXT(IF(Deficit!B201&lt;&gt;0,Deficit!B201-364, ""), "yyyy")</f>
        <v/>
      </c>
      <c r="B196" s="15" t="str">
        <f>IFERROR(IF(ISNUMBER(Deficit!D201),TEXT(Deficit!D201, "0.00"),""), "")</f>
        <v/>
      </c>
      <c r="C196" s="15" t="str">
        <f>IFERROR(IF(ISNUMBER(Deficit!E201),TEXT(Deficit!E201,"0.00"), ""), "")</f>
        <v/>
      </c>
    </row>
    <row r="197" spans="1:3">
      <c r="A197" s="23" t="str">
        <f>TEXT(IF(Deficit!B202&lt;&gt;0,Deficit!B202-364, ""), "yyyy")</f>
        <v/>
      </c>
      <c r="B197" s="15" t="str">
        <f>IFERROR(IF(ISNUMBER(Deficit!D202),TEXT(Deficit!D202, "0.00"),""), "")</f>
        <v/>
      </c>
      <c r="C197" s="15" t="str">
        <f>IFERROR(IF(ISNUMBER(Deficit!E202),TEXT(Deficit!E202,"0.00"), ""), "")</f>
        <v/>
      </c>
    </row>
    <row r="198" spans="1:3">
      <c r="A198" s="23" t="str">
        <f>TEXT(IF(Deficit!B203&lt;&gt;0,Deficit!B203-364, ""), "yyyy")</f>
        <v/>
      </c>
      <c r="B198" s="15" t="str">
        <f>IFERROR(IF(ISNUMBER(Deficit!D203),TEXT(Deficit!D203, "0.00"),""), "")</f>
        <v/>
      </c>
      <c r="C198" s="15" t="str">
        <f>IFERROR(IF(ISNUMBER(Deficit!E203),TEXT(Deficit!E203,"0.00"), ""), "")</f>
        <v/>
      </c>
    </row>
    <row r="199" spans="1:3">
      <c r="A199" s="23" t="str">
        <f>TEXT(IF(Deficit!B204&lt;&gt;0,Deficit!B204-364, ""), "yyyy")</f>
        <v/>
      </c>
      <c r="B199" s="15" t="str">
        <f>IFERROR(IF(ISNUMBER(Deficit!D204),TEXT(Deficit!D204, "0.00"),""), "")</f>
        <v/>
      </c>
      <c r="C199" s="15" t="str">
        <f>IFERROR(IF(ISNUMBER(Deficit!E204),TEXT(Deficit!E204,"0.00"), ""), "")</f>
        <v/>
      </c>
    </row>
    <row r="200" spans="1:3">
      <c r="A200" s="23" t="str">
        <f>TEXT(IF(Deficit!B205&lt;&gt;0,Deficit!B205-364, ""), "yyyy")</f>
        <v/>
      </c>
      <c r="B200" s="15" t="str">
        <f>IFERROR(IF(ISNUMBER(Deficit!D205),TEXT(Deficit!D205, "0.00"),""), "")</f>
        <v/>
      </c>
      <c r="C200" s="15" t="str">
        <f>IFERROR(IF(ISNUMBER(Deficit!E205),TEXT(Deficit!E205,"0.00"), ""), "")</f>
        <v/>
      </c>
    </row>
    <row r="201" spans="1:3">
      <c r="A201" s="23" t="str">
        <f>TEXT(IF(Deficit!B206&lt;&gt;0,Deficit!B206-364, ""), "yyyy")</f>
        <v/>
      </c>
      <c r="B201" s="15" t="str">
        <f>IFERROR(IF(ISNUMBER(Deficit!D206),TEXT(Deficit!D206, "0.00"),""), "")</f>
        <v/>
      </c>
      <c r="C201" s="15" t="str">
        <f>IFERROR(IF(ISNUMBER(Deficit!E206),TEXT(Deficit!E206,"0.00"), ""), "")</f>
        <v/>
      </c>
    </row>
    <row r="202" spans="1:3">
      <c r="A202" s="23" t="str">
        <f>TEXT(IF(Deficit!B207&lt;&gt;0,Deficit!B207-364, ""), "yyyy")</f>
        <v/>
      </c>
      <c r="B202" s="15" t="str">
        <f>IFERROR(IF(ISNUMBER(Deficit!D207),TEXT(Deficit!D207, "0.00"),""), "")</f>
        <v/>
      </c>
      <c r="C202" s="15" t="str">
        <f>IFERROR(IF(ISNUMBER(Deficit!E207),TEXT(Deficit!E207,"0.00"), ""), "")</f>
        <v/>
      </c>
    </row>
    <row r="203" spans="1:3">
      <c r="A203" s="23" t="str">
        <f>TEXT(IF(Deficit!B208&lt;&gt;0,Deficit!B208-364, ""), "yyyy")</f>
        <v/>
      </c>
      <c r="B203" s="15" t="str">
        <f>IFERROR(IF(ISNUMBER(Deficit!D208),TEXT(Deficit!D208, "0.00"),""), "")</f>
        <v/>
      </c>
      <c r="C203" s="15" t="str">
        <f>IFERROR(IF(ISNUMBER(Deficit!E208),TEXT(Deficit!E208,"0.00"), ""), "")</f>
        <v/>
      </c>
    </row>
    <row r="204" spans="1:3">
      <c r="A204" s="23" t="str">
        <f>TEXT(IF(Deficit!B209&lt;&gt;0,Deficit!B209-364, ""), "yyyy")</f>
        <v/>
      </c>
      <c r="B204" s="15" t="str">
        <f>IFERROR(IF(ISNUMBER(Deficit!D209),TEXT(Deficit!D209, "0.00"),""), "")</f>
        <v/>
      </c>
      <c r="C204" s="15" t="str">
        <f>IFERROR(IF(ISNUMBER(Deficit!E209),TEXT(Deficit!E209,"0.00"), ""), "")</f>
        <v/>
      </c>
    </row>
    <row r="205" spans="1:3">
      <c r="A205" s="23" t="str">
        <f>TEXT(IF(Deficit!B210&lt;&gt;0,Deficit!B210-364, ""), "yyyy")</f>
        <v/>
      </c>
      <c r="B205" s="15" t="str">
        <f>IFERROR(IF(ISNUMBER(Deficit!D210),TEXT(Deficit!D210, "0.00"),""), "")</f>
        <v/>
      </c>
      <c r="C205" s="15" t="str">
        <f>IFERROR(IF(ISNUMBER(Deficit!E210),TEXT(Deficit!E210,"0.00"), ""), "")</f>
        <v/>
      </c>
    </row>
    <row r="206" spans="1:3">
      <c r="A206" s="23" t="str">
        <f>TEXT(IF(Deficit!B211&lt;&gt;0,Deficit!B211-364, ""), "yyyy")</f>
        <v/>
      </c>
      <c r="B206" s="15" t="str">
        <f>IFERROR(IF(ISNUMBER(Deficit!D211),TEXT(Deficit!D211, "0.00"),""), "")</f>
        <v/>
      </c>
      <c r="C206" s="15" t="str">
        <f>IFERROR(IF(ISNUMBER(Deficit!E211),TEXT(Deficit!E211,"0.00"), ""), "")</f>
        <v/>
      </c>
    </row>
    <row r="207" spans="1:3">
      <c r="A207" s="23" t="str">
        <f>TEXT(IF(Deficit!B212&lt;&gt;0,Deficit!B212-364, ""), "yyyy")</f>
        <v/>
      </c>
      <c r="B207" s="15" t="str">
        <f>IFERROR(IF(ISNUMBER(Deficit!D212),TEXT(Deficit!D212, "0.00"),""), "")</f>
        <v/>
      </c>
      <c r="C207" s="15" t="str">
        <f>IFERROR(IF(ISNUMBER(Deficit!E212),TEXT(Deficit!E212,"0.00"), ""), "")</f>
        <v/>
      </c>
    </row>
    <row r="208" spans="1:3">
      <c r="A208" s="23" t="str">
        <f>TEXT(IF(Deficit!B213&lt;&gt;0,Deficit!B213-364, ""), "yyyy")</f>
        <v/>
      </c>
      <c r="B208" s="15" t="str">
        <f>IFERROR(IF(ISNUMBER(Deficit!D213),TEXT(Deficit!D213, "0.00"),""), "")</f>
        <v/>
      </c>
      <c r="C208" s="15" t="str">
        <f>IFERROR(IF(ISNUMBER(Deficit!E213),TEXT(Deficit!E213,"0.00"), ""), "")</f>
        <v/>
      </c>
    </row>
    <row r="209" spans="1:3">
      <c r="A209" s="23" t="str">
        <f>TEXT(IF(Deficit!B214&lt;&gt;0,Deficit!B214-364, ""), "yyyy")</f>
        <v/>
      </c>
      <c r="B209" s="15" t="str">
        <f>IFERROR(IF(ISNUMBER(Deficit!D214),TEXT(Deficit!D214, "0.00"),""), "")</f>
        <v/>
      </c>
      <c r="C209" s="15" t="str">
        <f>IFERROR(IF(ISNUMBER(Deficit!E214),TEXT(Deficit!E214,"0.00"), ""), "")</f>
        <v/>
      </c>
    </row>
    <row r="210" spans="1:3">
      <c r="A210" s="23" t="str">
        <f>TEXT(IF(Deficit!B215&lt;&gt;0,Deficit!B215-364, ""), "yyyy")</f>
        <v/>
      </c>
      <c r="B210" s="15" t="str">
        <f>IFERROR(IF(ISNUMBER(Deficit!D215),TEXT(Deficit!D215, "0.00"),""), "")</f>
        <v/>
      </c>
      <c r="C210" s="15" t="str">
        <f>IFERROR(IF(ISNUMBER(Deficit!E215),TEXT(Deficit!E215,"0.00"), ""), "")</f>
        <v/>
      </c>
    </row>
    <row r="211" spans="1:3">
      <c r="A211" s="23" t="str">
        <f>TEXT(IF(Deficit!B216&lt;&gt;0,Deficit!B216-364, ""), "yyyy")</f>
        <v/>
      </c>
      <c r="B211" s="15" t="str">
        <f>IFERROR(IF(ISNUMBER(Deficit!D216),TEXT(Deficit!D216, "0.00"),""), "")</f>
        <v/>
      </c>
      <c r="C211" s="15" t="str">
        <f>IFERROR(IF(ISNUMBER(Deficit!E216),TEXT(Deficit!E216,"0.00"), ""), "")</f>
        <v/>
      </c>
    </row>
    <row r="212" spans="1:3">
      <c r="A212" s="23" t="str">
        <f>TEXT(IF(Deficit!B217&lt;&gt;0,Deficit!B217-364, ""), "yyyy")</f>
        <v/>
      </c>
      <c r="B212" s="15" t="str">
        <f>IFERROR(IF(ISNUMBER(Deficit!D217),TEXT(Deficit!D217, "0.00"),""), "")</f>
        <v/>
      </c>
      <c r="C212" s="15" t="str">
        <f>IFERROR(IF(ISNUMBER(Deficit!E217),TEXT(Deficit!E217,"0.00"), ""), "")</f>
        <v/>
      </c>
    </row>
    <row r="213" spans="1:3">
      <c r="A213" s="23" t="str">
        <f>TEXT(IF(Deficit!B218&lt;&gt;0,Deficit!B218-364, ""), "yyyy")</f>
        <v/>
      </c>
      <c r="B213" s="15" t="str">
        <f>IFERROR(IF(ISNUMBER(Deficit!D218),TEXT(Deficit!D218, "0.00"),""), "")</f>
        <v/>
      </c>
      <c r="C213" s="15" t="str">
        <f>IFERROR(IF(ISNUMBER(Deficit!E218),TEXT(Deficit!E218,"0.00"), ""), "")</f>
        <v/>
      </c>
    </row>
    <row r="214" spans="1:3">
      <c r="A214" s="23" t="str">
        <f>TEXT(IF(Deficit!B219&lt;&gt;0,Deficit!B219-364, ""), "yyyy")</f>
        <v/>
      </c>
      <c r="B214" s="15" t="str">
        <f>IFERROR(IF(ISNUMBER(Deficit!D219),TEXT(Deficit!D219, "0.00"),""), "")</f>
        <v/>
      </c>
      <c r="C214" s="15" t="str">
        <f>IFERROR(IF(ISNUMBER(Deficit!E219),TEXT(Deficit!E219,"0.00"), ""), "")</f>
        <v/>
      </c>
    </row>
    <row r="215" spans="1:3">
      <c r="A215" s="23" t="str">
        <f>TEXT(IF(Deficit!B220&lt;&gt;0,Deficit!B220-364, ""), "yyyy")</f>
        <v/>
      </c>
      <c r="B215" s="15" t="str">
        <f>IFERROR(IF(ISNUMBER(Deficit!D220),TEXT(Deficit!D220, "0.00"),""), "")</f>
        <v/>
      </c>
      <c r="C215" s="15" t="str">
        <f>IFERROR(IF(ISNUMBER(Deficit!E220),TEXT(Deficit!E220,"0.00"), ""), "")</f>
        <v/>
      </c>
    </row>
    <row r="216" spans="1:3">
      <c r="A216" s="23" t="str">
        <f>TEXT(IF(Deficit!B221&lt;&gt;0,Deficit!B221-364, ""), "yyyy")</f>
        <v/>
      </c>
      <c r="B216" s="15" t="str">
        <f>IFERROR(IF(ISNUMBER(Deficit!D221),TEXT(Deficit!D221, "0.00"),""), "")</f>
        <v/>
      </c>
      <c r="C216" s="15" t="str">
        <f>IFERROR(IF(ISNUMBER(Deficit!E221),TEXT(Deficit!E221,"0.00"), ""), "")</f>
        <v/>
      </c>
    </row>
    <row r="217" spans="1:3">
      <c r="A217" s="23" t="str">
        <f>TEXT(IF(Deficit!B222&lt;&gt;0,Deficit!B222-364, ""), "yyyy")</f>
        <v/>
      </c>
      <c r="B217" s="15" t="str">
        <f>IFERROR(IF(ISNUMBER(Deficit!D222),TEXT(Deficit!D222, "0.00"),""), "")</f>
        <v/>
      </c>
      <c r="C217" s="15" t="str">
        <f>IFERROR(IF(ISNUMBER(Deficit!E222),TEXT(Deficit!E222,"0.00"), ""), "")</f>
        <v/>
      </c>
    </row>
    <row r="218" spans="1:3">
      <c r="A218" s="23" t="str">
        <f>TEXT(IF(Deficit!B223&lt;&gt;0,Deficit!B223-364, ""), "yyyy")</f>
        <v/>
      </c>
      <c r="B218" s="15" t="str">
        <f>IFERROR(IF(ISNUMBER(Deficit!D223),TEXT(Deficit!D223, "0.00"),""), "")</f>
        <v/>
      </c>
      <c r="C218" s="15" t="str">
        <f>IFERROR(IF(ISNUMBER(Deficit!E223),TEXT(Deficit!E223,"0.00"), ""), "")</f>
        <v/>
      </c>
    </row>
    <row r="219" spans="1:3">
      <c r="A219" s="23" t="str">
        <f>TEXT(IF(Deficit!B224&lt;&gt;0,Deficit!B224-364, ""), "yyyy")</f>
        <v/>
      </c>
      <c r="B219" s="15" t="str">
        <f>IFERROR(IF(ISNUMBER(Deficit!D224),TEXT(Deficit!D224, "0.00"),""), "")</f>
        <v/>
      </c>
      <c r="C219" s="15" t="str">
        <f>IFERROR(IF(ISNUMBER(Deficit!E224),TEXT(Deficit!E224,"0.00"), ""), "")</f>
        <v/>
      </c>
    </row>
    <row r="220" spans="1:3">
      <c r="A220" s="23" t="str">
        <f>TEXT(IF(Deficit!B225&lt;&gt;0,Deficit!B225-364, ""), "yyyy")</f>
        <v/>
      </c>
      <c r="B220" s="15" t="str">
        <f>IFERROR(IF(ISNUMBER(Deficit!D225),TEXT(Deficit!D225, "0.00"),""), "")</f>
        <v/>
      </c>
      <c r="C220" s="15" t="str">
        <f>IFERROR(IF(ISNUMBER(Deficit!E225),TEXT(Deficit!E225,"0.00"), ""), "")</f>
        <v/>
      </c>
    </row>
    <row r="221" spans="1:3">
      <c r="A221" s="23" t="str">
        <f>TEXT(IF(Deficit!B226&lt;&gt;0,Deficit!B226-364, ""), "yyyy")</f>
        <v/>
      </c>
      <c r="B221" s="15" t="str">
        <f>IFERROR(IF(ISNUMBER(Deficit!D226),TEXT(Deficit!D226, "0.00"),""), "")</f>
        <v/>
      </c>
      <c r="C221" s="15" t="str">
        <f>IFERROR(IF(ISNUMBER(Deficit!E226),TEXT(Deficit!E226,"0.00"), ""), "")</f>
        <v/>
      </c>
    </row>
    <row r="222" spans="1:3">
      <c r="A222" s="23" t="str">
        <f>TEXT(IF(Deficit!B227&lt;&gt;0,Deficit!B227-364, ""), "yyyy")</f>
        <v/>
      </c>
      <c r="B222" s="15" t="str">
        <f>IFERROR(IF(ISNUMBER(Deficit!D227),TEXT(Deficit!D227, "0.00"),""), "")</f>
        <v/>
      </c>
      <c r="C222" s="15" t="str">
        <f>IFERROR(IF(ISNUMBER(Deficit!E227),TEXT(Deficit!E227,"0.00"), ""), "")</f>
        <v/>
      </c>
    </row>
    <row r="223" spans="1:3">
      <c r="A223" s="23" t="str">
        <f>TEXT(IF(Deficit!B228&lt;&gt;0,Deficit!B228-364, ""), "yyyy")</f>
        <v/>
      </c>
      <c r="B223" s="15" t="str">
        <f>IFERROR(IF(ISNUMBER(Deficit!D228),TEXT(Deficit!D228, "0.00"),""), "")</f>
        <v/>
      </c>
      <c r="C223" s="15" t="str">
        <f>IFERROR(IF(ISNUMBER(Deficit!E228),TEXT(Deficit!E228,"0.00"), ""), "")</f>
        <v/>
      </c>
    </row>
    <row r="224" spans="1:3">
      <c r="A224" s="23" t="str">
        <f>TEXT(IF(Deficit!B229&lt;&gt;0,Deficit!B229-364, ""), "yyyy")</f>
        <v/>
      </c>
      <c r="B224" s="15" t="str">
        <f>IFERROR(IF(ISNUMBER(Deficit!D229),TEXT(Deficit!D229, "0.00"),""), "")</f>
        <v/>
      </c>
      <c r="C224" s="15" t="str">
        <f>IFERROR(IF(ISNUMBER(Deficit!E229),TEXT(Deficit!E229,"0.00"), ""), "")</f>
        <v/>
      </c>
    </row>
    <row r="225" spans="1:3">
      <c r="A225" s="23" t="str">
        <f>TEXT(IF(Deficit!B230&lt;&gt;0,Deficit!B230-364, ""), "yyyy")</f>
        <v/>
      </c>
      <c r="B225" s="15" t="str">
        <f>IFERROR(IF(ISNUMBER(Deficit!D230),TEXT(Deficit!D230, "0.00"),""), "")</f>
        <v/>
      </c>
      <c r="C225" s="15" t="str">
        <f>IFERROR(IF(ISNUMBER(Deficit!E230),TEXT(Deficit!E230,"0.00"), ""), "")</f>
        <v/>
      </c>
    </row>
    <row r="226" spans="1:3">
      <c r="A226" s="23" t="str">
        <f>TEXT(IF(Deficit!B231&lt;&gt;0,Deficit!B231-364, ""), "yyyy")</f>
        <v/>
      </c>
      <c r="B226" s="15" t="str">
        <f>IFERROR(IF(ISNUMBER(Deficit!D231),TEXT(Deficit!D231, "0.00"),""), "")</f>
        <v/>
      </c>
      <c r="C226" s="15" t="str">
        <f>IFERROR(IF(ISNUMBER(Deficit!E231),TEXT(Deficit!E231,"0.00"), ""), "")</f>
        <v/>
      </c>
    </row>
    <row r="227" spans="1:3">
      <c r="A227" s="23" t="str">
        <f>TEXT(IF(Deficit!B232&lt;&gt;0,Deficit!B232-364, ""), "yyyy")</f>
        <v/>
      </c>
      <c r="B227" s="15" t="str">
        <f>IFERROR(IF(ISNUMBER(Deficit!D232),TEXT(Deficit!D232, "0.00"),""), "")</f>
        <v/>
      </c>
      <c r="C227" s="15" t="str">
        <f>IFERROR(IF(ISNUMBER(Deficit!E232),TEXT(Deficit!E232,"0.00"), ""), "")</f>
        <v/>
      </c>
    </row>
    <row r="228" spans="1:3">
      <c r="A228" s="23" t="str">
        <f>TEXT(IF(Deficit!B233&lt;&gt;0,Deficit!B233-364, ""), "yyyy")</f>
        <v/>
      </c>
      <c r="B228" s="15" t="str">
        <f>IFERROR(IF(ISNUMBER(Deficit!D233),TEXT(Deficit!D233, "0.00"),""), "")</f>
        <v/>
      </c>
      <c r="C228" s="15" t="str">
        <f>IFERROR(IF(ISNUMBER(Deficit!E233),TEXT(Deficit!E233,"0.00"), ""), "")</f>
        <v/>
      </c>
    </row>
    <row r="229" spans="1:3">
      <c r="A229" s="23" t="str">
        <f>TEXT(IF(Deficit!B234&lt;&gt;0,Deficit!B234-364, ""), "yyyy")</f>
        <v/>
      </c>
      <c r="B229" s="15" t="str">
        <f>IFERROR(IF(ISNUMBER(Deficit!D234),TEXT(Deficit!D234, "0.00"),""), "")</f>
        <v/>
      </c>
      <c r="C229" s="15" t="str">
        <f>IFERROR(IF(ISNUMBER(Deficit!E234),TEXT(Deficit!E234,"0.00"), ""), "")</f>
        <v/>
      </c>
    </row>
    <row r="230" spans="1:3">
      <c r="A230" s="23" t="str">
        <f>TEXT(IF(Deficit!B235&lt;&gt;0,Deficit!B235-364, ""), "yyyy")</f>
        <v/>
      </c>
      <c r="B230" s="15" t="str">
        <f>IFERROR(IF(ISNUMBER(Deficit!D235),TEXT(Deficit!D235, "0.00"),""), "")</f>
        <v/>
      </c>
      <c r="C230" s="15" t="str">
        <f>IFERROR(IF(ISNUMBER(Deficit!E235),TEXT(Deficit!E235,"0.00"), ""), "")</f>
        <v/>
      </c>
    </row>
    <row r="231" spans="1:3">
      <c r="A231" s="23" t="str">
        <f>TEXT(IF(Deficit!B236&lt;&gt;0,Deficit!B236-364, ""), "yyyy")</f>
        <v/>
      </c>
      <c r="B231" s="15" t="str">
        <f>IFERROR(IF(ISNUMBER(Deficit!D236),TEXT(Deficit!D236, "0.00"),""), "")</f>
        <v/>
      </c>
      <c r="C231" s="15" t="str">
        <f>IFERROR(IF(ISNUMBER(Deficit!E236),TEXT(Deficit!E236,"0.00"), ""), "")</f>
        <v/>
      </c>
    </row>
    <row r="232" spans="1:3">
      <c r="A232" s="23" t="str">
        <f>TEXT(IF(Deficit!B237&lt;&gt;0,Deficit!B237-364, ""), "yyyy")</f>
        <v/>
      </c>
      <c r="B232" s="15" t="str">
        <f>IFERROR(IF(ISNUMBER(Deficit!D237),TEXT(Deficit!D237, "0.00"),""), "")</f>
        <v/>
      </c>
      <c r="C232" s="15" t="str">
        <f>IFERROR(IF(ISNUMBER(Deficit!E237),TEXT(Deficit!E237,"0.00"), ""), "")</f>
        <v/>
      </c>
    </row>
    <row r="233" spans="1:3">
      <c r="A233" s="23" t="str">
        <f>TEXT(IF(Deficit!B238&lt;&gt;0,Deficit!B238-364, ""), "yyyy")</f>
        <v/>
      </c>
      <c r="B233" s="15" t="str">
        <f>IFERROR(IF(ISNUMBER(Deficit!D238),TEXT(Deficit!D238, "0.00"),""), "")</f>
        <v/>
      </c>
      <c r="C233" s="15" t="str">
        <f>IFERROR(IF(ISNUMBER(Deficit!E238),TEXT(Deficit!E238,"0.00"), ""), "")</f>
        <v/>
      </c>
    </row>
    <row r="234" spans="1:3">
      <c r="A234" s="23" t="str">
        <f>TEXT(IF(Deficit!B239&lt;&gt;0,Deficit!B239-364, ""), "yyyy")</f>
        <v/>
      </c>
      <c r="B234" s="15" t="str">
        <f>IFERROR(IF(ISNUMBER(Deficit!D239),TEXT(Deficit!D239, "0.00"),""), "")</f>
        <v/>
      </c>
      <c r="C234" s="15" t="str">
        <f>IFERROR(IF(ISNUMBER(Deficit!E239),TEXT(Deficit!E239,"0.00"), ""), "")</f>
        <v/>
      </c>
    </row>
    <row r="235" spans="1:3">
      <c r="A235" s="23" t="str">
        <f>TEXT(IF(Deficit!B240&lt;&gt;0,Deficit!B240-364, ""), "yyyy")</f>
        <v/>
      </c>
      <c r="B235" s="15" t="str">
        <f>IFERROR(IF(ISNUMBER(Deficit!D240),TEXT(Deficit!D240, "0.00"),""), "")</f>
        <v/>
      </c>
      <c r="C235" s="15" t="str">
        <f>IFERROR(IF(ISNUMBER(Deficit!E240),TEXT(Deficit!E240,"0.00"), ""), "")</f>
        <v/>
      </c>
    </row>
    <row r="236" spans="1:3">
      <c r="A236" s="23" t="str">
        <f>TEXT(IF(Deficit!B241&lt;&gt;0,Deficit!B241-364, ""), "yyyy")</f>
        <v/>
      </c>
      <c r="B236" s="15" t="str">
        <f>IFERROR(IF(ISNUMBER(Deficit!D241),TEXT(Deficit!D241, "0.00"),""), "")</f>
        <v/>
      </c>
      <c r="C236" s="15" t="str">
        <f>IFERROR(IF(ISNUMBER(Deficit!E241),TEXT(Deficit!E241,"0.00"), ""), "")</f>
        <v/>
      </c>
    </row>
    <row r="237" spans="1:3">
      <c r="A237" s="23" t="str">
        <f>TEXT(IF(Deficit!B242&lt;&gt;0,Deficit!B242-364, ""), "yyyy")</f>
        <v/>
      </c>
      <c r="B237" s="15" t="str">
        <f>IFERROR(IF(ISNUMBER(Deficit!D242),TEXT(Deficit!D242, "0.00"),""), "")</f>
        <v/>
      </c>
      <c r="C237" s="15" t="str">
        <f>IFERROR(IF(ISNUMBER(Deficit!E242),TEXT(Deficit!E242,"0.00"), ""), "")</f>
        <v/>
      </c>
    </row>
    <row r="238" spans="1:3">
      <c r="A238" s="23" t="str">
        <f>TEXT(IF(Deficit!B243&lt;&gt;0,Deficit!B243-364, ""), "yyyy")</f>
        <v/>
      </c>
      <c r="B238" s="15" t="str">
        <f>IFERROR(IF(ISNUMBER(Deficit!D243),TEXT(Deficit!D243, "0.00"),""), "")</f>
        <v/>
      </c>
      <c r="C238" s="15" t="str">
        <f>IFERROR(IF(ISNUMBER(Deficit!E243),TEXT(Deficit!E243,"0.00"), ""), "")</f>
        <v/>
      </c>
    </row>
    <row r="239" spans="1:3">
      <c r="A239" s="23" t="str">
        <f>TEXT(IF(Deficit!B244&lt;&gt;0,Deficit!B244-364, ""), "yyyy")</f>
        <v/>
      </c>
      <c r="B239" s="15" t="str">
        <f>IFERROR(IF(ISNUMBER(Deficit!D244),TEXT(Deficit!D244, "0.00"),""), "")</f>
        <v/>
      </c>
      <c r="C239" s="15" t="str">
        <f>IFERROR(IF(ISNUMBER(Deficit!E244),TEXT(Deficit!E244,"0.00"), ""), "")</f>
        <v/>
      </c>
    </row>
    <row r="240" spans="1:3">
      <c r="A240" s="23" t="str">
        <f>TEXT(IF(Deficit!B245&lt;&gt;0,Deficit!B245-364, ""), "yyyy")</f>
        <v/>
      </c>
      <c r="B240" s="15" t="str">
        <f>IFERROR(IF(ISNUMBER(Deficit!D245),TEXT(Deficit!D245, "0.00"),""), "")</f>
        <v/>
      </c>
      <c r="C240" s="15" t="str">
        <f>IFERROR(IF(ISNUMBER(Deficit!E245),TEXT(Deficit!E245,"0.00"), ""), "")</f>
        <v/>
      </c>
    </row>
    <row r="241" spans="1:3">
      <c r="A241" s="23" t="str">
        <f>TEXT(IF(Deficit!B246&lt;&gt;0,Deficit!B246-364, ""), "yyyy")</f>
        <v/>
      </c>
      <c r="B241" s="15" t="str">
        <f>IFERROR(IF(ISNUMBER(Deficit!D246),TEXT(Deficit!D246, "0.00"),""), "")</f>
        <v/>
      </c>
      <c r="C241" s="15" t="str">
        <f>IFERROR(IF(ISNUMBER(Deficit!E246),TEXT(Deficit!E246,"0.00"), ""), "")</f>
        <v/>
      </c>
    </row>
    <row r="242" spans="1:3">
      <c r="A242" s="23" t="str">
        <f>TEXT(IF(Deficit!B247&lt;&gt;0,Deficit!B247-364, ""), "yyyy")</f>
        <v/>
      </c>
      <c r="B242" s="15" t="str">
        <f>IFERROR(IF(ISNUMBER(Deficit!D247),TEXT(Deficit!D247, "0.00"),""), "")</f>
        <v/>
      </c>
      <c r="C242" s="15" t="str">
        <f>IFERROR(IF(ISNUMBER(Deficit!E247),TEXT(Deficit!E247,"0.00"), ""), "")</f>
        <v/>
      </c>
    </row>
    <row r="243" spans="1:3">
      <c r="A243" s="23" t="str">
        <f>TEXT(IF(Deficit!B248&lt;&gt;0,Deficit!B248-364, ""), "yyyy")</f>
        <v/>
      </c>
      <c r="B243" s="15" t="str">
        <f>IFERROR(IF(ISNUMBER(Deficit!D248),TEXT(Deficit!D248, "0.00"),""), "")</f>
        <v/>
      </c>
      <c r="C243" s="15" t="str">
        <f>IFERROR(IF(ISNUMBER(Deficit!E248),TEXT(Deficit!E248,"0.00"), ""), "")</f>
        <v/>
      </c>
    </row>
    <row r="244" spans="1:3">
      <c r="A244" s="23" t="str">
        <f>TEXT(IF(Deficit!B249&lt;&gt;0,Deficit!B249-364, ""), "yyyy")</f>
        <v/>
      </c>
      <c r="B244" s="15" t="str">
        <f>IFERROR(IF(ISNUMBER(Deficit!D249),TEXT(Deficit!D249, "0.00"),""), "")</f>
        <v/>
      </c>
      <c r="C244" s="15" t="str">
        <f>IFERROR(IF(ISNUMBER(Deficit!E249),TEXT(Deficit!E249,"0.00"), ""), "")</f>
        <v/>
      </c>
    </row>
    <row r="245" spans="1:3">
      <c r="A245" s="23" t="str">
        <f>TEXT(IF(Deficit!B250&lt;&gt;0,Deficit!B250-364, ""), "yyyy")</f>
        <v/>
      </c>
      <c r="B245" s="15" t="str">
        <f>IFERROR(IF(ISNUMBER(Deficit!D250),TEXT(Deficit!D250, "0.00"),""), "")</f>
        <v/>
      </c>
      <c r="C245" s="15" t="str">
        <f>IFERROR(IF(ISNUMBER(Deficit!E250),TEXT(Deficit!E250,"0.00"), ""), "")</f>
        <v/>
      </c>
    </row>
    <row r="246" spans="1:3">
      <c r="A246" s="23" t="str">
        <f>TEXT(IF(Deficit!B251&lt;&gt;0,Deficit!B251-364, ""), "yyyy")</f>
        <v/>
      </c>
      <c r="B246" s="15" t="str">
        <f>IFERROR(IF(ISNUMBER(Deficit!D251),TEXT(Deficit!D251, "0.00"),""), "")</f>
        <v/>
      </c>
      <c r="C246" s="15" t="str">
        <f>IFERROR(IF(ISNUMBER(Deficit!E251),TEXT(Deficit!E251,"0.00"), ""), "")</f>
        <v/>
      </c>
    </row>
    <row r="247" spans="1:3">
      <c r="A247" s="23" t="str">
        <f>TEXT(IF(Deficit!B252&lt;&gt;0,Deficit!B252-364, ""), "yyyy")</f>
        <v/>
      </c>
      <c r="B247" s="15" t="str">
        <f>IFERROR(IF(ISNUMBER(Deficit!D252),TEXT(Deficit!D252, "0.00"),""), "")</f>
        <v/>
      </c>
      <c r="C247" s="15" t="str">
        <f>IFERROR(IF(ISNUMBER(Deficit!E252),TEXT(Deficit!E252,"0.00"), ""), "")</f>
        <v/>
      </c>
    </row>
    <row r="248" spans="1:3">
      <c r="A248" s="23" t="str">
        <f>TEXT(IF(Deficit!B253&lt;&gt;0,Deficit!B253-364, ""), "yyyy")</f>
        <v/>
      </c>
      <c r="B248" s="15" t="str">
        <f>IFERROR(IF(ISNUMBER(Deficit!D253),TEXT(Deficit!D253, "0.00"),""), "")</f>
        <v/>
      </c>
      <c r="C248" s="15" t="str">
        <f>IFERROR(IF(ISNUMBER(Deficit!E253),TEXT(Deficit!E253,"0.00"), ""), "")</f>
        <v/>
      </c>
    </row>
    <row r="249" spans="1:3">
      <c r="A249" s="23" t="str">
        <f>TEXT(IF(Deficit!B254&lt;&gt;0,Deficit!B254-364, ""), "yyyy")</f>
        <v/>
      </c>
      <c r="B249" s="15" t="str">
        <f>IFERROR(IF(ISNUMBER(Deficit!D254),TEXT(Deficit!D254, "0.00"),""), "")</f>
        <v/>
      </c>
      <c r="C249" s="15" t="str">
        <f>IFERROR(IF(ISNUMBER(Deficit!E254),TEXT(Deficit!E254,"0.00"), ""), "")</f>
        <v/>
      </c>
    </row>
    <row r="250" spans="1:3">
      <c r="A250" s="23" t="str">
        <f>TEXT(IF(Deficit!B255&lt;&gt;0,Deficit!B255-364, ""), "yyyy")</f>
        <v/>
      </c>
      <c r="B250" s="15" t="str">
        <f>IFERROR(IF(ISNUMBER(Deficit!D255),TEXT(Deficit!D255, "0.00"),""), "")</f>
        <v/>
      </c>
      <c r="C250" s="15" t="str">
        <f>IFERROR(IF(ISNUMBER(Deficit!E255),TEXT(Deficit!E255,"0.00"), ""), "")</f>
        <v/>
      </c>
    </row>
    <row r="251" spans="1:3">
      <c r="A251" s="23" t="str">
        <f>TEXT(IF(Deficit!B256&lt;&gt;0,Deficit!B256-364, ""), "yyyy")</f>
        <v/>
      </c>
      <c r="B251" s="15" t="str">
        <f>IFERROR(IF(ISNUMBER(Deficit!D256),TEXT(Deficit!D256, "0.00"),""), "")</f>
        <v/>
      </c>
      <c r="C251" s="15" t="str">
        <f>IFERROR(IF(ISNUMBER(Deficit!E256),TEXT(Deficit!E256,"0.00"), ""), "")</f>
        <v/>
      </c>
    </row>
    <row r="252" spans="1:3">
      <c r="A252" s="23" t="str">
        <f>TEXT(IF(Deficit!B257&lt;&gt;0,Deficit!B257-364, ""), "yyyy")</f>
        <v/>
      </c>
      <c r="B252" s="15" t="str">
        <f>IFERROR(IF(ISNUMBER(Deficit!D257),TEXT(Deficit!D257, "0.00"),""), "")</f>
        <v/>
      </c>
      <c r="C252" s="15" t="str">
        <f>IFERROR(IF(ISNUMBER(Deficit!E257),TEXT(Deficit!E257,"0.00"), ""), "")</f>
        <v/>
      </c>
    </row>
    <row r="253" spans="1:3">
      <c r="A253" s="23" t="str">
        <f>TEXT(IF(Deficit!B258&lt;&gt;0,Deficit!B258-364, ""), "yyyy")</f>
        <v/>
      </c>
      <c r="B253" s="15" t="str">
        <f>IFERROR(IF(ISNUMBER(Deficit!D258),TEXT(Deficit!D258, "0.00"),""), "")</f>
        <v/>
      </c>
      <c r="C253" s="15" t="str">
        <f>IFERROR(IF(ISNUMBER(Deficit!E258),TEXT(Deficit!E258,"0.00"), ""), "")</f>
        <v/>
      </c>
    </row>
    <row r="254" spans="1:3">
      <c r="A254" s="23" t="str">
        <f>TEXT(IF(Deficit!B259&lt;&gt;0,Deficit!B259-364, ""), "yyyy")</f>
        <v/>
      </c>
      <c r="B254" s="15" t="str">
        <f>IFERROR(IF(ISNUMBER(Deficit!D259),TEXT(Deficit!D259, "0.00"),""), "")</f>
        <v/>
      </c>
      <c r="C254" s="15" t="str">
        <f>IFERROR(IF(ISNUMBER(Deficit!E259),TEXT(Deficit!E259,"0.00"), ""), "")</f>
        <v/>
      </c>
    </row>
    <row r="255" spans="1:3">
      <c r="A255" s="23" t="str">
        <f>TEXT(IF(Deficit!B260&lt;&gt;0,Deficit!B260-364, ""), "yyyy")</f>
        <v/>
      </c>
      <c r="B255" s="15" t="str">
        <f>IFERROR(IF(ISNUMBER(Deficit!D260),TEXT(Deficit!D260, "0.00"),""), "")</f>
        <v/>
      </c>
      <c r="C255" s="15" t="str">
        <f>IFERROR(IF(ISNUMBER(Deficit!E260),TEXT(Deficit!E260,"0.00"), ""), "")</f>
        <v/>
      </c>
    </row>
    <row r="256" spans="1:3">
      <c r="A256" s="23" t="str">
        <f>TEXT(IF(Deficit!B261&lt;&gt;0,Deficit!B261-364, ""), "yyyy")</f>
        <v/>
      </c>
      <c r="B256" s="15" t="str">
        <f>IFERROR(IF(ISNUMBER(Deficit!D261),TEXT(Deficit!D261, "0.00"),""), "")</f>
        <v/>
      </c>
      <c r="C256" s="15" t="str">
        <f>IFERROR(IF(ISNUMBER(Deficit!E261),TEXT(Deficit!E261,"0.00"), ""), "")</f>
        <v/>
      </c>
    </row>
    <row r="257" spans="1:3">
      <c r="A257" s="23" t="str">
        <f>TEXT(IF(Deficit!B262&lt;&gt;0,Deficit!B262-364, ""), "yyyy")</f>
        <v/>
      </c>
      <c r="B257" s="15" t="str">
        <f>IFERROR(IF(ISNUMBER(Deficit!D262),TEXT(Deficit!D262, "0.00"),""), "")</f>
        <v/>
      </c>
      <c r="C257" s="15" t="str">
        <f>IFERROR(IF(ISNUMBER(Deficit!E262),TEXT(Deficit!E262,"0.00"), ""), "")</f>
        <v/>
      </c>
    </row>
    <row r="258" spans="1:3">
      <c r="A258" s="23" t="str">
        <f>TEXT(IF(Deficit!B263&lt;&gt;0,Deficit!B263-364, ""), "yyyy")</f>
        <v/>
      </c>
      <c r="B258" s="15" t="str">
        <f>IFERROR(IF(ISNUMBER(Deficit!D263),TEXT(Deficit!D263, "0.00"),""), "")</f>
        <v/>
      </c>
      <c r="C258" s="15" t="str">
        <f>IFERROR(IF(ISNUMBER(Deficit!E263),TEXT(Deficit!E263,"0.00"), ""), "")</f>
        <v/>
      </c>
    </row>
    <row r="259" spans="1:3">
      <c r="A259" s="23" t="str">
        <f>TEXT(IF(Deficit!B264&lt;&gt;0,Deficit!B264-364, ""), "yyyy")</f>
        <v/>
      </c>
      <c r="B259" s="15" t="str">
        <f>IFERROR(IF(ISNUMBER(Deficit!D264),TEXT(Deficit!D264, "0.00"),""), "")</f>
        <v/>
      </c>
      <c r="C259" s="15" t="str">
        <f>IFERROR(IF(ISNUMBER(Deficit!E264),TEXT(Deficit!E264,"0.00"), ""), "")</f>
        <v/>
      </c>
    </row>
    <row r="260" spans="1:3">
      <c r="A260" s="23" t="str">
        <f>TEXT(IF(Deficit!B265&lt;&gt;0,Deficit!B265-364, ""), "yyyy")</f>
        <v/>
      </c>
      <c r="B260" s="15" t="str">
        <f>IFERROR(IF(ISNUMBER(Deficit!D265),TEXT(Deficit!D265, "0.00"),""), "")</f>
        <v/>
      </c>
      <c r="C260" s="15" t="str">
        <f>IFERROR(IF(ISNUMBER(Deficit!E265),TEXT(Deficit!E265,"0.00"), ""), "")</f>
        <v/>
      </c>
    </row>
    <row r="261" spans="1:3">
      <c r="A261" s="23" t="str">
        <f>TEXT(IF(Deficit!B266&lt;&gt;0,Deficit!B266-364, ""), "yyyy")</f>
        <v/>
      </c>
      <c r="B261" s="15" t="str">
        <f>IFERROR(IF(ISNUMBER(Deficit!D266),TEXT(Deficit!D266, "0.00"),""), "")</f>
        <v/>
      </c>
      <c r="C261" s="15" t="str">
        <f>IFERROR(IF(ISNUMBER(Deficit!E266),TEXT(Deficit!E266,"0.00"), ""), "")</f>
        <v/>
      </c>
    </row>
    <row r="262" spans="1:3">
      <c r="A262" s="23" t="str">
        <f>TEXT(IF(Deficit!B267&lt;&gt;0,Deficit!B267-364, ""), "yyyy")</f>
        <v/>
      </c>
      <c r="B262" s="15" t="str">
        <f>IFERROR(IF(ISNUMBER(Deficit!D267),TEXT(Deficit!D267, "0.00"),""), "")</f>
        <v/>
      </c>
      <c r="C262" s="15" t="str">
        <f>IFERROR(IF(ISNUMBER(Deficit!E267),TEXT(Deficit!E267,"0.00"), ""), "")</f>
        <v/>
      </c>
    </row>
    <row r="263" spans="1:3">
      <c r="A263" s="23" t="str">
        <f>TEXT(IF(Deficit!B268&lt;&gt;0,Deficit!B268-364, ""), "yyyy")</f>
        <v/>
      </c>
      <c r="B263" s="15" t="str">
        <f>IFERROR(IF(ISNUMBER(Deficit!D268),TEXT(Deficit!D268, "0.00"),""), "")</f>
        <v/>
      </c>
      <c r="C263" s="15" t="str">
        <f>IFERROR(IF(ISNUMBER(Deficit!E268),TEXT(Deficit!E268,"0.00"), ""), "")</f>
        <v/>
      </c>
    </row>
    <row r="264" spans="1:3">
      <c r="A264" s="23" t="str">
        <f>TEXT(IF(Deficit!B269&lt;&gt;0,Deficit!B269-364, ""), "yyyy")</f>
        <v/>
      </c>
      <c r="B264" s="15" t="str">
        <f>IFERROR(IF(ISNUMBER(Deficit!D269),TEXT(Deficit!D269, "0.00"),""), "")</f>
        <v/>
      </c>
      <c r="C264" s="15" t="str">
        <f>IFERROR(IF(ISNUMBER(Deficit!E269),TEXT(Deficit!E269,"0.00"), ""), "")</f>
        <v/>
      </c>
    </row>
    <row r="265" spans="1:3">
      <c r="A265" s="23" t="str">
        <f>TEXT(IF(Deficit!B270&lt;&gt;0,Deficit!B270-364, ""), "yyyy")</f>
        <v/>
      </c>
      <c r="B265" s="15" t="str">
        <f>IFERROR(IF(ISNUMBER(Deficit!D270),TEXT(Deficit!D270, "0.00"),""), "")</f>
        <v/>
      </c>
      <c r="C265" s="15" t="str">
        <f>IFERROR(IF(ISNUMBER(Deficit!E270),TEXT(Deficit!E270,"0.00"), ""), "")</f>
        <v/>
      </c>
    </row>
    <row r="266" spans="1:3">
      <c r="A266" s="23" t="str">
        <f>TEXT(IF(Deficit!B271&lt;&gt;0,Deficit!B271-364, ""), "yyyy")</f>
        <v/>
      </c>
      <c r="B266" s="15" t="str">
        <f>IFERROR(IF(ISNUMBER(Deficit!D271),TEXT(Deficit!D271, "0.00"),""), "")</f>
        <v/>
      </c>
      <c r="C266" s="15" t="str">
        <f>IFERROR(IF(ISNUMBER(Deficit!E271),TEXT(Deficit!E271,"0.00"), ""), "")</f>
        <v/>
      </c>
    </row>
    <row r="267" spans="1:3">
      <c r="A267" s="23" t="str">
        <f>TEXT(IF(Deficit!B272&lt;&gt;0,Deficit!B272-364, ""), "yyyy")</f>
        <v/>
      </c>
      <c r="B267" s="15" t="str">
        <f>IFERROR(IF(ISNUMBER(Deficit!D272),TEXT(Deficit!D272, "0.00"),""), "")</f>
        <v/>
      </c>
      <c r="C267" s="15" t="str">
        <f>IFERROR(IF(ISNUMBER(Deficit!E272),TEXT(Deficit!E272,"0.00"), ""), "")</f>
        <v/>
      </c>
    </row>
    <row r="268" spans="1:3">
      <c r="A268" s="23" t="str">
        <f>TEXT(IF(Deficit!B273&lt;&gt;0,Deficit!B273-364, ""), "yyyy")</f>
        <v/>
      </c>
      <c r="B268" s="15" t="str">
        <f>IFERROR(IF(ISNUMBER(Deficit!D273),TEXT(Deficit!D273, "0.00"),""), "")</f>
        <v/>
      </c>
      <c r="C268" s="15" t="str">
        <f>IFERROR(IF(ISNUMBER(Deficit!E273),TEXT(Deficit!E273,"0.00"), ""), "")</f>
        <v/>
      </c>
    </row>
    <row r="269" spans="1:3">
      <c r="A269" s="23" t="str">
        <f>TEXT(IF(Deficit!B274&lt;&gt;0,Deficit!B274-364, ""), "yyyy")</f>
        <v/>
      </c>
      <c r="B269" s="15" t="str">
        <f>IFERROR(IF(ISNUMBER(Deficit!D274),TEXT(Deficit!D274, "0.00"),""), "")</f>
        <v/>
      </c>
      <c r="C269" s="15" t="str">
        <f>IFERROR(IF(ISNUMBER(Deficit!E274),TEXT(Deficit!E274,"0.00"), ""), "")</f>
        <v/>
      </c>
    </row>
    <row r="270" spans="1:3">
      <c r="A270" s="23" t="str">
        <f>TEXT(IF(Deficit!B275&lt;&gt;0,Deficit!B275-364, ""), "yyyy")</f>
        <v/>
      </c>
      <c r="B270" s="15" t="str">
        <f>IFERROR(IF(ISNUMBER(Deficit!D275),TEXT(Deficit!D275, "0.00"),""), "")</f>
        <v/>
      </c>
      <c r="C270" s="15" t="str">
        <f>IFERROR(IF(ISNUMBER(Deficit!E275),TEXT(Deficit!E275,"0.00"), ""), "")</f>
        <v/>
      </c>
    </row>
    <row r="271" spans="1:3">
      <c r="A271" s="23" t="str">
        <f>TEXT(IF(Deficit!B276&lt;&gt;0,Deficit!B276-364, ""), "yyyy")</f>
        <v/>
      </c>
      <c r="B271" s="15" t="str">
        <f>IFERROR(IF(ISNUMBER(Deficit!D276),TEXT(Deficit!D276, "0.00"),""), "")</f>
        <v/>
      </c>
      <c r="C271" s="15" t="str">
        <f>IFERROR(IF(ISNUMBER(Deficit!E276),TEXT(Deficit!E276,"0.00"), ""), "")</f>
        <v/>
      </c>
    </row>
    <row r="272" spans="1:3">
      <c r="A272" s="23" t="str">
        <f>TEXT(IF(Deficit!B277&lt;&gt;0,Deficit!B277-364, ""), "yyyy")</f>
        <v/>
      </c>
      <c r="B272" s="15" t="str">
        <f>IFERROR(IF(ISNUMBER(Deficit!D277),TEXT(Deficit!D277, "0.00"),""), "")</f>
        <v/>
      </c>
      <c r="C272" s="15" t="str">
        <f>IFERROR(IF(ISNUMBER(Deficit!E277),TEXT(Deficit!E277,"0.00"), ""), "")</f>
        <v/>
      </c>
    </row>
    <row r="273" spans="1:3">
      <c r="A273" s="23" t="str">
        <f>TEXT(IF(Deficit!B278&lt;&gt;0,Deficit!B278-364, ""), "yyyy")</f>
        <v/>
      </c>
      <c r="B273" s="15" t="str">
        <f>IFERROR(IF(ISNUMBER(Deficit!D278),TEXT(Deficit!D278, "0.00"),""), "")</f>
        <v/>
      </c>
      <c r="C273" s="15" t="str">
        <f>IFERROR(IF(ISNUMBER(Deficit!E278),TEXT(Deficit!E278,"0.00"), ""), "")</f>
        <v/>
      </c>
    </row>
    <row r="274" spans="1:3">
      <c r="A274" s="23" t="str">
        <f>TEXT(IF(Deficit!B279&lt;&gt;0,Deficit!B279-364, ""), "yyyy")</f>
        <v/>
      </c>
      <c r="B274" s="15" t="str">
        <f>IFERROR(IF(ISNUMBER(Deficit!D279),TEXT(Deficit!D279, "0.00"),""), "")</f>
        <v/>
      </c>
      <c r="C274" s="15" t="str">
        <f>IFERROR(IF(ISNUMBER(Deficit!E279),TEXT(Deficit!E279,"0.00"), ""), "")</f>
        <v/>
      </c>
    </row>
    <row r="275" spans="1:3">
      <c r="A275" s="23" t="str">
        <f>TEXT(IF(Deficit!B280&lt;&gt;0,Deficit!B280-364, ""), "yyyy")</f>
        <v/>
      </c>
      <c r="B275" s="15" t="str">
        <f>IFERROR(IF(ISNUMBER(Deficit!D280),TEXT(Deficit!D280, "0.00"),""), "")</f>
        <v/>
      </c>
      <c r="C275" s="15" t="str">
        <f>IFERROR(IF(ISNUMBER(Deficit!E280),TEXT(Deficit!E280,"0.00"), ""), "")</f>
        <v/>
      </c>
    </row>
    <row r="276" spans="1:3">
      <c r="A276" s="23" t="str">
        <f>TEXT(IF(Deficit!B281&lt;&gt;0,Deficit!B281-364, ""), "yyyy")</f>
        <v/>
      </c>
      <c r="B276" s="15" t="str">
        <f>IFERROR(IF(ISNUMBER(Deficit!D281),TEXT(Deficit!D281, "0.00"),""), "")</f>
        <v/>
      </c>
      <c r="C276" s="15" t="str">
        <f>IFERROR(IF(ISNUMBER(Deficit!E281),TEXT(Deficit!E281,"0.00"), ""), "")</f>
        <v/>
      </c>
    </row>
    <row r="277" spans="1:3">
      <c r="A277" s="23" t="str">
        <f>TEXT(IF(Deficit!B282&lt;&gt;0,Deficit!B282-364, ""), "yyyy")</f>
        <v/>
      </c>
      <c r="B277" s="15" t="str">
        <f>IFERROR(IF(ISNUMBER(Deficit!D282),TEXT(Deficit!D282, "0.00"),""), "")</f>
        <v/>
      </c>
      <c r="C277" s="15" t="str">
        <f>IFERROR(IF(ISNUMBER(Deficit!E282),TEXT(Deficit!E282,"0.00"), ""), "")</f>
        <v/>
      </c>
    </row>
    <row r="278" spans="1:3">
      <c r="A278" s="23" t="str">
        <f>TEXT(IF(Deficit!B283&lt;&gt;0,Deficit!B283-364, ""), "yyyy")</f>
        <v/>
      </c>
      <c r="B278" s="15" t="str">
        <f>IFERROR(IF(ISNUMBER(Deficit!D283),TEXT(Deficit!D283, "0.00"),""), "")</f>
        <v/>
      </c>
      <c r="C278" s="15" t="str">
        <f>IFERROR(IF(ISNUMBER(Deficit!E283),TEXT(Deficit!E283,"0.00"), ""), "")</f>
        <v/>
      </c>
    </row>
    <row r="279" spans="1:3">
      <c r="A279" s="23" t="str">
        <f>TEXT(IF(Deficit!B284&lt;&gt;0,Deficit!B284-364, ""), "yyyy")</f>
        <v/>
      </c>
      <c r="B279" s="15" t="str">
        <f>IFERROR(IF(ISNUMBER(Deficit!D284),TEXT(Deficit!D284, "0.00"),""), "")</f>
        <v/>
      </c>
      <c r="C279" s="15" t="str">
        <f>IFERROR(IF(ISNUMBER(Deficit!E284),TEXT(Deficit!E284,"0.00"), ""), "")</f>
        <v/>
      </c>
    </row>
    <row r="280" spans="1:3">
      <c r="A280" s="23" t="str">
        <f>TEXT(IF(Deficit!B285&lt;&gt;0,Deficit!B285-364, ""), "yyyy")</f>
        <v/>
      </c>
      <c r="B280" s="15" t="str">
        <f>IFERROR(IF(ISNUMBER(Deficit!D285),TEXT(Deficit!D285, "0.00"),""), "")</f>
        <v/>
      </c>
      <c r="C280" s="15" t="str">
        <f>IFERROR(IF(ISNUMBER(Deficit!E285),TEXT(Deficit!E285,"0.00"), ""), "")</f>
        <v/>
      </c>
    </row>
    <row r="281" spans="1:3">
      <c r="A281" s="23" t="str">
        <f>TEXT(IF(Deficit!B286&lt;&gt;0,Deficit!B286-364, ""), "yyyy")</f>
        <v/>
      </c>
      <c r="B281" s="15" t="str">
        <f>IFERROR(IF(ISNUMBER(Deficit!D286),TEXT(Deficit!D286, "0.00"),""), "")</f>
        <v/>
      </c>
      <c r="C281" s="15" t="str">
        <f>IFERROR(IF(ISNUMBER(Deficit!E286),TEXT(Deficit!E286,"0.00"), ""), "")</f>
        <v/>
      </c>
    </row>
    <row r="282" spans="1:3">
      <c r="A282" s="23" t="str">
        <f>TEXT(IF(Deficit!B287&lt;&gt;0,Deficit!B287-364, ""), "yyyy")</f>
        <v/>
      </c>
      <c r="B282" s="15" t="str">
        <f>IFERROR(IF(ISNUMBER(Deficit!D287),TEXT(Deficit!D287, "0.00"),""), "")</f>
        <v/>
      </c>
      <c r="C282" s="15" t="str">
        <f>IFERROR(IF(ISNUMBER(Deficit!E287),TEXT(Deficit!E287,"0.00"), ""), "")</f>
        <v/>
      </c>
    </row>
    <row r="283" spans="1:3">
      <c r="A283" s="23" t="str">
        <f>TEXT(IF(Deficit!B288&lt;&gt;0,Deficit!B288-364, ""), "yyyy")</f>
        <v/>
      </c>
      <c r="B283" s="15" t="str">
        <f>IFERROR(IF(ISNUMBER(Deficit!D288),TEXT(Deficit!D288, "0.00"),""), "")</f>
        <v/>
      </c>
      <c r="C283" s="15" t="str">
        <f>IFERROR(IF(ISNUMBER(Deficit!E288),TEXT(Deficit!E288,"0.00"), ""), "")</f>
        <v/>
      </c>
    </row>
    <row r="284" spans="1:3">
      <c r="A284" s="23" t="str">
        <f>TEXT(IF(Deficit!B289&lt;&gt;0,Deficit!B289-364, ""), "yyyy")</f>
        <v/>
      </c>
      <c r="B284" s="15" t="str">
        <f>IFERROR(IF(ISNUMBER(Deficit!D289),TEXT(Deficit!D289, "0.00"),""), "")</f>
        <v/>
      </c>
      <c r="C284" s="15" t="str">
        <f>IFERROR(IF(ISNUMBER(Deficit!E289),TEXT(Deficit!E289,"0.00"), ""), "")</f>
        <v/>
      </c>
    </row>
    <row r="285" spans="1:3">
      <c r="A285" s="23" t="str">
        <f>TEXT(IF(Deficit!B290&lt;&gt;0,Deficit!B290-364, ""), "yyyy")</f>
        <v/>
      </c>
      <c r="B285" s="15" t="str">
        <f>IFERROR(IF(ISNUMBER(Deficit!D290),TEXT(Deficit!D290, "0.00"),""), "")</f>
        <v/>
      </c>
      <c r="C285" s="15" t="str">
        <f>IFERROR(IF(ISNUMBER(Deficit!E290),TEXT(Deficit!E290,"0.00"), ""), 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C540"/>
  <sheetViews>
    <sheetView workbookViewId="0">
      <selection activeCell="B2" sqref="B2"/>
    </sheetView>
  </sheetViews>
  <sheetFormatPr defaultRowHeight="15"/>
  <cols>
    <col min="1" max="1" width="10.42578125" bestFit="1" customWidth="1"/>
    <col min="2" max="2" width="11.42578125" bestFit="1" customWidth="1"/>
  </cols>
  <sheetData>
    <row r="1" spans="1:3">
      <c r="A1" s="23" t="s">
        <v>143</v>
      </c>
      <c r="B1" s="23" t="s">
        <v>181</v>
      </c>
      <c r="C1" s="23" t="s">
        <v>182</v>
      </c>
    </row>
    <row r="2" spans="1:3">
      <c r="A2" t="str">
        <f>TEXT(IF('Debt to GDP Ratio'!B6&lt;&gt;0,'Debt to GDP Ratio'!B6-364, ""), "mm/dd/yyyy")</f>
        <v>01/01/1975</v>
      </c>
      <c r="B2" t="str">
        <f>IFERROR(IF(ISNUMBER('Debt to GDP Ratio'!D6),TEXT('Debt to GDP Ratio'!D6,"0.00"), ""), "")</f>
        <v>24.50</v>
      </c>
      <c r="C2" s="23" t="str">
        <f>IFERROR(IF(ISNUMBER('Debt to GDP Ratio'!E6),TEXT('Debt to GDP Ratio'!E6,"0.00"), ""), "")</f>
        <v/>
      </c>
    </row>
    <row r="3" spans="1:3">
      <c r="A3" s="23" t="str">
        <f>TEXT(IF('Debt to GDP Ratio'!B7&lt;&gt;0,'Debt to GDP Ratio'!B7-364, ""), "mm/dd/yyyy")</f>
        <v>01/02/1976</v>
      </c>
      <c r="B3" s="23" t="str">
        <f>IFERROR(IF(ISNUMBER('Debt to GDP Ratio'!D7),TEXT('Debt to GDP Ratio'!D7,"0.00"), ""), "")</f>
        <v>26.70</v>
      </c>
      <c r="C3" s="23" t="str">
        <f>IFERROR(IF(ISNUMBER('Debt to GDP Ratio'!E7),TEXT('Debt to GDP Ratio'!E7,"0.00"), ""), "")</f>
        <v/>
      </c>
    </row>
    <row r="4" spans="1:3">
      <c r="A4" s="23" t="str">
        <f>TEXT(IF('Debt to GDP Ratio'!B8&lt;&gt;0,'Debt to GDP Ratio'!B8-364, ""), "mm/dd/yyyy")</f>
        <v>01/01/1977</v>
      </c>
      <c r="B4" s="23" t="str">
        <f>IFERROR(IF(ISNUMBER('Debt to GDP Ratio'!D8),TEXT('Debt to GDP Ratio'!D8,"0.00"), ""), "")</f>
        <v>27.10</v>
      </c>
      <c r="C4" s="23" t="str">
        <f>IFERROR(IF(ISNUMBER('Debt to GDP Ratio'!E8),TEXT('Debt to GDP Ratio'!E8,"0.00"), ""), "")</f>
        <v/>
      </c>
    </row>
    <row r="5" spans="1:3">
      <c r="A5" s="23" t="str">
        <f>TEXT(IF('Debt to GDP Ratio'!B9&lt;&gt;0,'Debt to GDP Ratio'!B9-364, ""), "mm/dd/yyyy")</f>
        <v>01/01/1978</v>
      </c>
      <c r="B5" s="23" t="str">
        <f>IFERROR(IF(ISNUMBER('Debt to GDP Ratio'!D9),TEXT('Debt to GDP Ratio'!D9,"0.00"), ""), "")</f>
        <v>26.60</v>
      </c>
      <c r="C5" s="23" t="str">
        <f>IFERROR(IF(ISNUMBER('Debt to GDP Ratio'!E9),TEXT('Debt to GDP Ratio'!E9,"0.00"), ""), "")</f>
        <v/>
      </c>
    </row>
    <row r="6" spans="1:3">
      <c r="A6" s="23" t="str">
        <f>TEXT(IF('Debt to GDP Ratio'!B10&lt;&gt;0,'Debt to GDP Ratio'!B10-364, ""), "mm/dd/yyyy")</f>
        <v>01/01/1979</v>
      </c>
      <c r="B6" s="23" t="str">
        <f>IFERROR(IF(ISNUMBER('Debt to GDP Ratio'!D10),TEXT('Debt to GDP Ratio'!D10,"0.00"), ""), "")</f>
        <v>24.90</v>
      </c>
      <c r="C6" s="23" t="str">
        <f>IFERROR(IF(ISNUMBER('Debt to GDP Ratio'!E10),TEXT('Debt to GDP Ratio'!E10,"0.00"), ""), "")</f>
        <v/>
      </c>
    </row>
    <row r="7" spans="1:3">
      <c r="A7" s="23" t="str">
        <f>TEXT(IF('Debt to GDP Ratio'!B11&lt;&gt;0,'Debt to GDP Ratio'!B11-364, ""), "mm/dd/yyyy")</f>
        <v>01/02/1980</v>
      </c>
      <c r="B7" s="23" t="str">
        <f>IFERROR(IF(ISNUMBER('Debt to GDP Ratio'!D11),TEXT('Debt to GDP Ratio'!D11,"0.00"), ""), "")</f>
        <v>25.50</v>
      </c>
      <c r="C7" s="23" t="str">
        <f>IFERROR(IF(ISNUMBER('Debt to GDP Ratio'!E11),TEXT('Debt to GDP Ratio'!E11,"0.00"), ""), "")</f>
        <v/>
      </c>
    </row>
    <row r="8" spans="1:3">
      <c r="A8" s="23" t="str">
        <f>TEXT(IF('Debt to GDP Ratio'!B12&lt;&gt;0,'Debt to GDP Ratio'!B12-364, ""), "mm/dd/yyyy")</f>
        <v>01/01/1981</v>
      </c>
      <c r="B8" s="23" t="str">
        <f>IFERROR(IF(ISNUMBER('Debt to GDP Ratio'!D12),TEXT('Debt to GDP Ratio'!D12,"0.00"), ""), "")</f>
        <v>25.20</v>
      </c>
      <c r="C8" s="23" t="str">
        <f>IFERROR(IF(ISNUMBER('Debt to GDP Ratio'!E12),TEXT('Debt to GDP Ratio'!E12,"0.00"), ""), "")</f>
        <v/>
      </c>
    </row>
    <row r="9" spans="1:3">
      <c r="A9" s="23" t="str">
        <f>TEXT(IF('Debt to GDP Ratio'!B13&lt;&gt;0,'Debt to GDP Ratio'!B13-364, ""), "mm/dd/yyyy")</f>
        <v>01/01/1982</v>
      </c>
      <c r="B9" s="23" t="str">
        <f>IFERROR(IF(ISNUMBER('Debt to GDP Ratio'!D13),TEXT('Debt to GDP Ratio'!D13,"0.00"), ""), "")</f>
        <v>27.90</v>
      </c>
      <c r="C9" s="23" t="str">
        <f>IFERROR(IF(ISNUMBER('Debt to GDP Ratio'!E13),TEXT('Debt to GDP Ratio'!E13,"0.00"), ""), "")</f>
        <v/>
      </c>
    </row>
    <row r="10" spans="1:3">
      <c r="A10" s="23" t="str">
        <f>TEXT(IF('Debt to GDP Ratio'!B14&lt;&gt;0,'Debt to GDP Ratio'!B14-364, ""), "mm/dd/yyyy")</f>
        <v>01/01/1983</v>
      </c>
      <c r="B10" s="23" t="str">
        <f>IFERROR(IF(ISNUMBER('Debt to GDP Ratio'!D14),TEXT('Debt to GDP Ratio'!D14,"0.00"), ""), "")</f>
        <v>32.10</v>
      </c>
      <c r="C10" s="23" t="str">
        <f>IFERROR(IF(ISNUMBER('Debt to GDP Ratio'!E14),TEXT('Debt to GDP Ratio'!E14,"0.00"), ""), "")</f>
        <v/>
      </c>
    </row>
    <row r="11" spans="1:3">
      <c r="A11" s="23" t="str">
        <f>TEXT(IF('Debt to GDP Ratio'!B15&lt;&gt;0,'Debt to GDP Ratio'!B15-364, ""), "mm/dd/yyyy")</f>
        <v>01/02/1984</v>
      </c>
      <c r="B11" s="23" t="str">
        <f>IFERROR(IF(ISNUMBER('Debt to GDP Ratio'!D15),TEXT('Debt to GDP Ratio'!D15,"0.00"), ""), "")</f>
        <v>33.10</v>
      </c>
      <c r="C11" s="23" t="str">
        <f>IFERROR(IF(ISNUMBER('Debt to GDP Ratio'!E15),TEXT('Debt to GDP Ratio'!E15,"0.00"), ""), "")</f>
        <v/>
      </c>
    </row>
    <row r="12" spans="1:3">
      <c r="A12" s="23" t="str">
        <f>TEXT(IF('Debt to GDP Ratio'!B16&lt;&gt;0,'Debt to GDP Ratio'!B16-364, ""), "mm/dd/yyyy")</f>
        <v>01/01/1985</v>
      </c>
      <c r="B12" s="23" t="str">
        <f>IFERROR(IF(ISNUMBER('Debt to GDP Ratio'!D16),TEXT('Debt to GDP Ratio'!D16,"0.00"), ""), "")</f>
        <v>35.30</v>
      </c>
      <c r="C12" s="23" t="str">
        <f>IFERROR(IF(ISNUMBER('Debt to GDP Ratio'!E16),TEXT('Debt to GDP Ratio'!E16,"0.00"), ""), "")</f>
        <v/>
      </c>
    </row>
    <row r="13" spans="1:3">
      <c r="A13" s="23" t="str">
        <f>TEXT(IF('Debt to GDP Ratio'!B17&lt;&gt;0,'Debt to GDP Ratio'!B17-364, ""), "mm/dd/yyyy")</f>
        <v>01/01/1986</v>
      </c>
      <c r="B13" s="23" t="str">
        <f>IFERROR(IF(ISNUMBER('Debt to GDP Ratio'!D17),TEXT('Debt to GDP Ratio'!D17,"0.00"), ""), "")</f>
        <v>38.40</v>
      </c>
      <c r="C13" s="23" t="str">
        <f>IFERROR(IF(ISNUMBER('Debt to GDP Ratio'!E17),TEXT('Debt to GDP Ratio'!E17,"0.00"), ""), "")</f>
        <v/>
      </c>
    </row>
    <row r="14" spans="1:3">
      <c r="A14" s="23" t="str">
        <f>TEXT(IF('Debt to GDP Ratio'!B18&lt;&gt;0,'Debt to GDP Ratio'!B18-364, ""), "mm/dd/yyyy")</f>
        <v>01/01/1987</v>
      </c>
      <c r="B14" s="23" t="str">
        <f>IFERROR(IF(ISNUMBER('Debt to GDP Ratio'!D18),TEXT('Debt to GDP Ratio'!D18,"0.00"), ""), "")</f>
        <v>39.50</v>
      </c>
      <c r="C14" s="23" t="str">
        <f>IFERROR(IF(ISNUMBER('Debt to GDP Ratio'!E18),TEXT('Debt to GDP Ratio'!E18,"0.00"), ""), "")</f>
        <v/>
      </c>
    </row>
    <row r="15" spans="1:3">
      <c r="A15" s="23" t="str">
        <f>TEXT(IF('Debt to GDP Ratio'!B19&lt;&gt;0,'Debt to GDP Ratio'!B19-364, ""), "mm/dd/yyyy")</f>
        <v>01/02/1988</v>
      </c>
      <c r="B15" s="23" t="str">
        <f>IFERROR(IF(ISNUMBER('Debt to GDP Ratio'!D19),TEXT('Debt to GDP Ratio'!D19,"0.00"), ""), "")</f>
        <v>39.80</v>
      </c>
      <c r="C15" s="23" t="str">
        <f>IFERROR(IF(ISNUMBER('Debt to GDP Ratio'!E19),TEXT('Debt to GDP Ratio'!E19,"0.00"), ""), "")</f>
        <v/>
      </c>
    </row>
    <row r="16" spans="1:3">
      <c r="A16" s="23" t="str">
        <f>TEXT(IF('Debt to GDP Ratio'!B20&lt;&gt;0,'Debt to GDP Ratio'!B20-364, ""), "mm/dd/yyyy")</f>
        <v>01/01/1989</v>
      </c>
      <c r="B16" s="23" t="str">
        <f>IFERROR(IF(ISNUMBER('Debt to GDP Ratio'!D20),TEXT('Debt to GDP Ratio'!D20,"0.00"), ""), "")</f>
        <v>39.30</v>
      </c>
      <c r="C16" s="23" t="str">
        <f>IFERROR(IF(ISNUMBER('Debt to GDP Ratio'!E20),TEXT('Debt to GDP Ratio'!E20,"0.00"), ""), "")</f>
        <v/>
      </c>
    </row>
    <row r="17" spans="1:3">
      <c r="A17" s="23" t="str">
        <f>TEXT(IF('Debt to GDP Ratio'!B21&lt;&gt;0,'Debt to GDP Ratio'!B21-364, ""), "mm/dd/yyyy")</f>
        <v>01/01/1990</v>
      </c>
      <c r="B17" s="23" t="str">
        <f>IFERROR(IF(ISNUMBER('Debt to GDP Ratio'!D21),TEXT('Debt to GDP Ratio'!D21,"0.00"), ""), "")</f>
        <v>40.80</v>
      </c>
      <c r="C17" s="23" t="str">
        <f>IFERROR(IF(ISNUMBER('Debt to GDP Ratio'!E21),TEXT('Debt to GDP Ratio'!E21,"0.00"), ""), "")</f>
        <v/>
      </c>
    </row>
    <row r="18" spans="1:3">
      <c r="A18" s="23" t="str">
        <f>TEXT(IF('Debt to GDP Ratio'!B22&lt;&gt;0,'Debt to GDP Ratio'!B22-364, ""), "mm/dd/yyyy")</f>
        <v>01/01/1991</v>
      </c>
      <c r="B18" s="23" t="str">
        <f>IFERROR(IF(ISNUMBER('Debt to GDP Ratio'!D22),TEXT('Debt to GDP Ratio'!D22,"0.00"), ""), "")</f>
        <v>44.00</v>
      </c>
      <c r="C18" s="23" t="str">
        <f>IFERROR(IF(ISNUMBER('Debt to GDP Ratio'!E22),TEXT('Debt to GDP Ratio'!E22,"0.00"), ""), "")</f>
        <v/>
      </c>
    </row>
    <row r="19" spans="1:3">
      <c r="A19" s="23" t="str">
        <f>TEXT(IF('Debt to GDP Ratio'!B23&lt;&gt;0,'Debt to GDP Ratio'!B23-364, ""), "mm/dd/yyyy")</f>
        <v>01/02/1992</v>
      </c>
      <c r="B19" s="23" t="str">
        <f>IFERROR(IF(ISNUMBER('Debt to GDP Ratio'!D23),TEXT('Debt to GDP Ratio'!D23,"0.00"), ""), "")</f>
        <v>46.60</v>
      </c>
      <c r="C19" s="23" t="str">
        <f>IFERROR(IF(ISNUMBER('Debt to GDP Ratio'!E23),TEXT('Debt to GDP Ratio'!E23,"0.00"), ""), "")</f>
        <v/>
      </c>
    </row>
    <row r="20" spans="1:3">
      <c r="A20" s="23" t="str">
        <f>TEXT(IF('Debt to GDP Ratio'!B24&lt;&gt;0,'Debt to GDP Ratio'!B24-364, ""), "mm/dd/yyyy")</f>
        <v>01/01/1993</v>
      </c>
      <c r="B20" s="23" t="str">
        <f>IFERROR(IF(ISNUMBER('Debt to GDP Ratio'!D24),TEXT('Debt to GDP Ratio'!D24,"0.00"), ""), "")</f>
        <v>47.80</v>
      </c>
      <c r="C20" s="23" t="str">
        <f>IFERROR(IF(ISNUMBER('Debt to GDP Ratio'!E24),TEXT('Debt to GDP Ratio'!E24,"0.00"), ""), "")</f>
        <v/>
      </c>
    </row>
    <row r="21" spans="1:3">
      <c r="A21" s="23" t="str">
        <f>TEXT(IF('Debt to GDP Ratio'!B25&lt;&gt;0,'Debt to GDP Ratio'!B25-364, ""), "mm/dd/yyyy")</f>
        <v>01/01/1994</v>
      </c>
      <c r="B21" s="23" t="str">
        <f>IFERROR(IF(ISNUMBER('Debt to GDP Ratio'!D25),TEXT('Debt to GDP Ratio'!D25,"0.00"), ""), "")</f>
        <v>47.70</v>
      </c>
      <c r="C21" s="23" t="str">
        <f>IFERROR(IF(ISNUMBER('Debt to GDP Ratio'!E25),TEXT('Debt to GDP Ratio'!E25,"0.00"), ""), "")</f>
        <v/>
      </c>
    </row>
    <row r="22" spans="1:3">
      <c r="A22" s="23" t="str">
        <f>TEXT(IF('Debt to GDP Ratio'!B26&lt;&gt;0,'Debt to GDP Ratio'!B26-364, ""), "mm/dd/yyyy")</f>
        <v>01/01/1995</v>
      </c>
      <c r="B22" s="23" t="str">
        <f>IFERROR(IF(ISNUMBER('Debt to GDP Ratio'!D26),TEXT('Debt to GDP Ratio'!D26,"0.00"), ""), "")</f>
        <v>47.50</v>
      </c>
      <c r="C22" s="23" t="str">
        <f>IFERROR(IF(ISNUMBER('Debt to GDP Ratio'!E26),TEXT('Debt to GDP Ratio'!E26,"0.00"), ""), "")</f>
        <v/>
      </c>
    </row>
    <row r="23" spans="1:3">
      <c r="A23" s="23" t="str">
        <f>TEXT(IF('Debt to GDP Ratio'!B27&lt;&gt;0,'Debt to GDP Ratio'!B27-364, ""), "mm/dd/yyyy")</f>
        <v>01/02/1996</v>
      </c>
      <c r="B23" s="23" t="str">
        <f>IFERROR(IF(ISNUMBER('Debt to GDP Ratio'!D27),TEXT('Debt to GDP Ratio'!D27,"0.00"), ""), "")</f>
        <v>46.80</v>
      </c>
      <c r="C23" s="23" t="str">
        <f>IFERROR(IF(ISNUMBER('Debt to GDP Ratio'!E27),TEXT('Debt to GDP Ratio'!E27,"0.00"), ""), "")</f>
        <v/>
      </c>
    </row>
    <row r="24" spans="1:3">
      <c r="A24" s="23" t="str">
        <f>TEXT(IF('Debt to GDP Ratio'!B28&lt;&gt;0,'Debt to GDP Ratio'!B28-364, ""), "mm/dd/yyyy")</f>
        <v>01/01/1997</v>
      </c>
      <c r="B24" s="23" t="str">
        <f>IFERROR(IF(ISNUMBER('Debt to GDP Ratio'!D28),TEXT('Debt to GDP Ratio'!D28,"0.00"), ""), "")</f>
        <v>44.50</v>
      </c>
      <c r="C24" s="23" t="str">
        <f>IFERROR(IF(ISNUMBER('Debt to GDP Ratio'!E28),TEXT('Debt to GDP Ratio'!E28,"0.00"), ""), "")</f>
        <v/>
      </c>
    </row>
    <row r="25" spans="1:3">
      <c r="A25" s="23" t="str">
        <f>TEXT(IF('Debt to GDP Ratio'!B29&lt;&gt;0,'Debt to GDP Ratio'!B29-364, ""), "mm/dd/yyyy")</f>
        <v>01/01/1998</v>
      </c>
      <c r="B25" s="23" t="str">
        <f>IFERROR(IF(ISNUMBER('Debt to GDP Ratio'!D29),TEXT('Debt to GDP Ratio'!D29,"0.00"), ""), "")</f>
        <v>41.60</v>
      </c>
      <c r="C25" s="23" t="str">
        <f>IFERROR(IF(ISNUMBER('Debt to GDP Ratio'!E29),TEXT('Debt to GDP Ratio'!E29,"0.00"), ""), "")</f>
        <v/>
      </c>
    </row>
    <row r="26" spans="1:3">
      <c r="A26" s="23" t="str">
        <f>TEXT(IF('Debt to GDP Ratio'!B30&lt;&gt;0,'Debt to GDP Ratio'!B30-364, ""), "mm/dd/yyyy")</f>
        <v>01/01/1999</v>
      </c>
      <c r="B26" s="23" t="str">
        <f>IFERROR(IF(ISNUMBER('Debt to GDP Ratio'!D30),TEXT('Debt to GDP Ratio'!D30,"0.00"), ""), "")</f>
        <v>38.20</v>
      </c>
      <c r="C26" s="23" t="str">
        <f>IFERROR(IF(ISNUMBER('Debt to GDP Ratio'!E30),TEXT('Debt to GDP Ratio'!E30,"0.00"), ""), "")</f>
        <v/>
      </c>
    </row>
    <row r="27" spans="1:3">
      <c r="A27" s="23" t="str">
        <f>TEXT(IF('Debt to GDP Ratio'!B31&lt;&gt;0,'Debt to GDP Ratio'!B31-364, ""), "mm/dd/yyyy")</f>
        <v>01/02/2000</v>
      </c>
      <c r="B27" s="23" t="str">
        <f>IFERROR(IF(ISNUMBER('Debt to GDP Ratio'!D31),TEXT('Debt to GDP Ratio'!D31,"0.00"), ""), "")</f>
        <v>33.60</v>
      </c>
      <c r="C27" s="23" t="str">
        <f>IFERROR(IF(ISNUMBER('Debt to GDP Ratio'!E31),TEXT('Debt to GDP Ratio'!E31,"0.00"), ""), "")</f>
        <v/>
      </c>
    </row>
    <row r="28" spans="1:3">
      <c r="A28" s="23" t="str">
        <f>TEXT(IF('Debt to GDP Ratio'!B32&lt;&gt;0,'Debt to GDP Ratio'!B32-364, ""), "mm/dd/yyyy")</f>
        <v>01/01/2001</v>
      </c>
      <c r="B28" s="23" t="str">
        <f>IFERROR(IF(ISNUMBER('Debt to GDP Ratio'!D32),TEXT('Debt to GDP Ratio'!D32,"0.00"), ""), "")</f>
        <v>31.40</v>
      </c>
      <c r="C28" s="23" t="str">
        <f>IFERROR(IF(ISNUMBER('Debt to GDP Ratio'!E32),TEXT('Debt to GDP Ratio'!E32,"0.00"), ""), "")</f>
        <v/>
      </c>
    </row>
    <row r="29" spans="1:3">
      <c r="A29" s="23" t="str">
        <f>TEXT(IF('Debt to GDP Ratio'!B33&lt;&gt;0,'Debt to GDP Ratio'!B33-364, ""), "mm/dd/yyyy")</f>
        <v>01/01/2002</v>
      </c>
      <c r="B29" s="23" t="str">
        <f>IFERROR(IF(ISNUMBER('Debt to GDP Ratio'!D33),TEXT('Debt to GDP Ratio'!D33,"0.00"), ""), "")</f>
        <v>32.50</v>
      </c>
      <c r="C29" s="23" t="str">
        <f>IFERROR(IF(ISNUMBER('Debt to GDP Ratio'!E33),TEXT('Debt to GDP Ratio'!E33,"0.00"), ""), "")</f>
        <v/>
      </c>
    </row>
    <row r="30" spans="1:3">
      <c r="A30" s="23" t="str">
        <f>TEXT(IF('Debt to GDP Ratio'!B34&lt;&gt;0,'Debt to GDP Ratio'!B34-364, ""), "mm/dd/yyyy")</f>
        <v>01/01/2003</v>
      </c>
      <c r="B30" s="23" t="str">
        <f>IFERROR(IF(ISNUMBER('Debt to GDP Ratio'!D34),TEXT('Debt to GDP Ratio'!D34,"0.00"), ""), "")</f>
        <v>34.50</v>
      </c>
      <c r="C30" s="23" t="str">
        <f>IFERROR(IF(ISNUMBER('Debt to GDP Ratio'!E34),TEXT('Debt to GDP Ratio'!E34,"0.00"), ""), "")</f>
        <v/>
      </c>
    </row>
    <row r="31" spans="1:3">
      <c r="A31" s="23" t="str">
        <f>TEXT(IF('Debt to GDP Ratio'!B35&lt;&gt;0,'Debt to GDP Ratio'!B35-364, ""), "mm/dd/yyyy")</f>
        <v>01/02/2004</v>
      </c>
      <c r="B31" s="23" t="str">
        <f>IFERROR(IF(ISNUMBER('Debt to GDP Ratio'!D35),TEXT('Debt to GDP Ratio'!D35,"0.00"), ""), "")</f>
        <v>35.50</v>
      </c>
      <c r="C31" s="23" t="str">
        <f>IFERROR(IF(ISNUMBER('Debt to GDP Ratio'!E35),TEXT('Debt to GDP Ratio'!E35,"0.00"), ""), "")</f>
        <v/>
      </c>
    </row>
    <row r="32" spans="1:3">
      <c r="A32" s="23" t="str">
        <f>TEXT(IF('Debt to GDP Ratio'!B36&lt;&gt;0,'Debt to GDP Ratio'!B36-364, ""), "mm/dd/yyyy")</f>
        <v>01/01/2005</v>
      </c>
      <c r="B32" s="23" t="str">
        <f>IFERROR(IF(ISNUMBER('Debt to GDP Ratio'!D36),TEXT('Debt to GDP Ratio'!D36,"0.00"), ""), "")</f>
        <v>35.60</v>
      </c>
      <c r="C32" s="23" t="str">
        <f>IFERROR(IF(ISNUMBER('Debt to GDP Ratio'!E36),TEXT('Debt to GDP Ratio'!E36,"0.00"), ""), "")</f>
        <v/>
      </c>
    </row>
    <row r="33" spans="1:3">
      <c r="A33" s="23" t="str">
        <f>TEXT(IF('Debt to GDP Ratio'!B37&lt;&gt;0,'Debt to GDP Ratio'!B37-364, ""), "mm/dd/yyyy")</f>
        <v>01/01/2006</v>
      </c>
      <c r="B33" s="23" t="str">
        <f>IFERROR(IF(ISNUMBER('Debt to GDP Ratio'!D37),TEXT('Debt to GDP Ratio'!D37,"0.00"), ""), "")</f>
        <v>35.30</v>
      </c>
      <c r="C33" s="23" t="str">
        <f>IFERROR(IF(ISNUMBER('Debt to GDP Ratio'!E37),TEXT('Debt to GDP Ratio'!E37,"0.00"), ""), "")</f>
        <v/>
      </c>
    </row>
    <row r="34" spans="1:3">
      <c r="A34" s="23" t="str">
        <f>TEXT(IF('Debt to GDP Ratio'!B38&lt;&gt;0,'Debt to GDP Ratio'!B38-364, ""), "mm/dd/yyyy")</f>
        <v>01/01/2007</v>
      </c>
      <c r="B34" s="23" t="str">
        <f>IFERROR(IF(ISNUMBER('Debt to GDP Ratio'!D38),TEXT('Debt to GDP Ratio'!D38,"0.00"), ""), "")</f>
        <v>35.10</v>
      </c>
      <c r="C34" s="23" t="str">
        <f>IFERROR(IF(ISNUMBER('Debt to GDP Ratio'!E38),TEXT('Debt to GDP Ratio'!E38,"0.00"), ""), "")</f>
        <v/>
      </c>
    </row>
    <row r="35" spans="1:3">
      <c r="A35" s="23" t="str">
        <f>TEXT(IF('Debt to GDP Ratio'!B39&lt;&gt;0,'Debt to GDP Ratio'!B39-364, ""), "mm/dd/yyyy")</f>
        <v>01/02/2008</v>
      </c>
      <c r="B35" s="23" t="str">
        <f>IFERROR(IF(ISNUMBER('Debt to GDP Ratio'!D39),TEXT('Debt to GDP Ratio'!D39,"0.00"), ""), "")</f>
        <v>39.30</v>
      </c>
      <c r="C35" s="23" t="str">
        <f>IFERROR(IF(ISNUMBER('Debt to GDP Ratio'!E39),TEXT('Debt to GDP Ratio'!E39,"0.00"), ""), "")</f>
        <v/>
      </c>
    </row>
    <row r="36" spans="1:3">
      <c r="A36" s="23" t="str">
        <f>TEXT(IF('Debt to GDP Ratio'!B40&lt;&gt;0,'Debt to GDP Ratio'!B40-364, ""), "mm/dd/yyyy")</f>
        <v>01/01/2009</v>
      </c>
      <c r="B36" s="23" t="str">
        <f>IFERROR(IF(ISNUMBER('Debt to GDP Ratio'!D40),TEXT('Debt to GDP Ratio'!D40,"0.00"), ""), "")</f>
        <v>52.30</v>
      </c>
      <c r="C36" s="23" t="str">
        <f>IFERROR(IF(ISNUMBER('Debt to GDP Ratio'!E40),TEXT('Debt to GDP Ratio'!E40,"0.00"), ""), "")</f>
        <v/>
      </c>
    </row>
    <row r="37" spans="1:3">
      <c r="A37" s="23" t="str">
        <f>TEXT(IF('Debt to GDP Ratio'!B41&lt;&gt;0,'Debt to GDP Ratio'!B41-364, ""), "mm/dd/yyyy")</f>
        <v>01/01/2010</v>
      </c>
      <c r="B37" s="23" t="str">
        <f>IFERROR(IF(ISNUMBER('Debt to GDP Ratio'!D41),TEXT('Debt to GDP Ratio'!D41,"0.00"), ""), "")</f>
        <v>61.00</v>
      </c>
      <c r="C37" s="23" t="str">
        <f>IFERROR(IF(ISNUMBER('Debt to GDP Ratio'!E41),TEXT('Debt to GDP Ratio'!E41,"0.00"), ""), "")</f>
        <v/>
      </c>
    </row>
    <row r="38" spans="1:3">
      <c r="A38" s="23" t="str">
        <f>TEXT(IF('Debt to GDP Ratio'!B42&lt;&gt;0,'Debt to GDP Ratio'!B42-364, ""), "mm/dd/yyyy")</f>
        <v>01/01/2011</v>
      </c>
      <c r="B38" s="23" t="str">
        <f>IFERROR(IF(ISNUMBER('Debt to GDP Ratio'!D42),TEXT('Debt to GDP Ratio'!D42,"0.00"), ""), "")</f>
        <v>65.80</v>
      </c>
      <c r="C38" s="23" t="str">
        <f>IFERROR(IF(ISNUMBER('Debt to GDP Ratio'!E42),TEXT('Debt to GDP Ratio'!E42,"0.00"), ""), "")</f>
        <v/>
      </c>
    </row>
    <row r="39" spans="1:3">
      <c r="A39" s="23" t="str">
        <f>TEXT(IF('Debt to GDP Ratio'!B43&lt;&gt;0,'Debt to GDP Ratio'!B43-364, ""), "mm/dd/yyyy")</f>
        <v>01/02/2012</v>
      </c>
      <c r="B39" s="23" t="str">
        <f>IFERROR(IF(ISNUMBER('Debt to GDP Ratio'!D43),TEXT('Debt to GDP Ratio'!D43,"0.00"), ""), "")</f>
        <v>70.10</v>
      </c>
      <c r="C39" s="23" t="str">
        <f>IFERROR(IF(ISNUMBER('Debt to GDP Ratio'!E43),TEXT('Debt to GDP Ratio'!E43,"0.00"), ""), "")</f>
        <v/>
      </c>
    </row>
    <row r="40" spans="1:3">
      <c r="A40" s="23" t="str">
        <f>TEXT(IF('Debt to GDP Ratio'!B44&lt;&gt;0,'Debt to GDP Ratio'!B44-364, ""), "mm/dd/yyyy")</f>
        <v>01/01/2013</v>
      </c>
      <c r="B40" s="23" t="str">
        <f>IFERROR(IF(ISNUMBER('Debt to GDP Ratio'!D44),TEXT('Debt to GDP Ratio'!D44,"0.00"), ""), "")</f>
        <v>72.00</v>
      </c>
      <c r="C40" s="23" t="str">
        <f>IFERROR(IF(ISNUMBER('Debt to GDP Ratio'!E44),TEXT('Debt to GDP Ratio'!E44,"0.00"), ""), "")</f>
        <v/>
      </c>
    </row>
    <row r="41" spans="1:3">
      <c r="A41" s="23" t="str">
        <f>TEXT(IF('Debt to GDP Ratio'!B45&lt;&gt;0,'Debt to GDP Ratio'!B45-364, ""), "mm/dd/yyyy")</f>
        <v>01/01/2014</v>
      </c>
      <c r="B41" s="23" t="str">
        <f>IFERROR(IF(ISNUMBER('Debt to GDP Ratio'!D45),TEXT('Debt to GDP Ratio'!D45,"0.00"), ""), "")</f>
        <v>74.40</v>
      </c>
      <c r="C41" s="23" t="str">
        <f>IFERROR(IF(ISNUMBER('Debt to GDP Ratio'!E45),TEXT('Debt to GDP Ratio'!E45,"0.00"), ""), "")</f>
        <v>74.40</v>
      </c>
    </row>
    <row r="42" spans="1:3">
      <c r="A42" s="23" t="str">
        <f>TEXT(IF('Debt to GDP Ratio'!B46&lt;&gt;0,'Debt to GDP Ratio'!B46-364, ""), "mm/dd/yyyy")</f>
        <v>01/01/2015</v>
      </c>
      <c r="B42" s="23" t="str">
        <f>IFERROR(IF(ISNUMBER('Debt to GDP Ratio'!D46),TEXT('Debt to GDP Ratio'!D46,"0.00"), ""), "")</f>
        <v/>
      </c>
      <c r="C42" s="23" t="str">
        <f>IFERROR(IF(ISNUMBER('Debt to GDP Ratio'!E46),TEXT('Debt to GDP Ratio'!E46,"0.00"), ""), "")</f>
        <v>74.00</v>
      </c>
    </row>
    <row r="43" spans="1:3">
      <c r="A43" s="23" t="str">
        <f>TEXT(IF('Debt to GDP Ratio'!B47&lt;&gt;0,'Debt to GDP Ratio'!B47-364, ""), "mm/dd/yyyy")</f>
        <v>01/02/2016</v>
      </c>
      <c r="B43" s="23" t="str">
        <f>IFERROR(IF(ISNUMBER('Debt to GDP Ratio'!D47),TEXT('Debt to GDP Ratio'!D47,"0.00"), ""), "")</f>
        <v/>
      </c>
      <c r="C43" s="23" t="str">
        <f>IFERROR(IF(ISNUMBER('Debt to GDP Ratio'!E47),TEXT('Debt to GDP Ratio'!E47,"0.00"), ""), "")</f>
        <v>73.60</v>
      </c>
    </row>
    <row r="44" spans="1:3">
      <c r="A44" s="23" t="str">
        <f>TEXT(IF('Debt to GDP Ratio'!B48&lt;&gt;0,'Debt to GDP Ratio'!B48-364, ""), "mm/dd/yyyy")</f>
        <v>01/01/2017</v>
      </c>
      <c r="B44" s="23" t="str">
        <f>IFERROR(IF(ISNUMBER('Debt to GDP Ratio'!D48),TEXT('Debt to GDP Ratio'!D48,"0.00"), ""), "")</f>
        <v/>
      </c>
      <c r="C44" s="23" t="str">
        <f>IFERROR(IF(ISNUMBER('Debt to GDP Ratio'!E48),TEXT('Debt to GDP Ratio'!E48,"0.00"), ""), "")</f>
        <v>73.00</v>
      </c>
    </row>
    <row r="45" spans="1:3">
      <c r="A45" s="23" t="str">
        <f>TEXT(IF('Debt to GDP Ratio'!B49&lt;&gt;0,'Debt to GDP Ratio'!B49-364, ""), "mm/dd/yyyy")</f>
        <v>01/01/2018</v>
      </c>
      <c r="B45" s="23" t="str">
        <f>IFERROR(IF(ISNUMBER('Debt to GDP Ratio'!D49),TEXT('Debt to GDP Ratio'!D49,"0.00"), ""), "")</f>
        <v/>
      </c>
      <c r="C45" s="23" t="str">
        <f>IFERROR(IF(ISNUMBER('Debt to GDP Ratio'!E49),TEXT('Debt to GDP Ratio'!E49,"0.00"), ""), "")</f>
        <v>72.80</v>
      </c>
    </row>
    <row r="46" spans="1:3">
      <c r="A46" s="23" t="str">
        <f>TEXT(IF('Debt to GDP Ratio'!B50&lt;&gt;0,'Debt to GDP Ratio'!B50-364, ""), "mm/dd/yyyy")</f>
        <v>01/01/2019</v>
      </c>
      <c r="B46" s="23" t="str">
        <f>IFERROR(IF(ISNUMBER('Debt to GDP Ratio'!D50),TEXT('Debt to GDP Ratio'!D50,"0.00"), ""), "")</f>
        <v/>
      </c>
      <c r="C46" s="23" t="str">
        <f>IFERROR(IF(ISNUMBER('Debt to GDP Ratio'!E50),TEXT('Debt to GDP Ratio'!E50,"0.00"), ""), "")</f>
        <v>73.10</v>
      </c>
    </row>
    <row r="47" spans="1:3">
      <c r="A47" s="23" t="str">
        <f>TEXT(IF('Debt to GDP Ratio'!B51&lt;&gt;0,'Debt to GDP Ratio'!B51-364, ""), "mm/dd/yyyy")</f>
        <v>01/02/2020</v>
      </c>
      <c r="B47" s="23" t="str">
        <f>IFERROR(IF(ISNUMBER('Debt to GDP Ratio'!D51),TEXT('Debt to GDP Ratio'!D51,"0.00"), ""), "")</f>
        <v/>
      </c>
      <c r="C47" s="23" t="str">
        <f>IFERROR(IF(ISNUMBER('Debt to GDP Ratio'!E51),TEXT('Debt to GDP Ratio'!E51,"0.00"), ""), "")</f>
        <v>73.60</v>
      </c>
    </row>
    <row r="48" spans="1:3">
      <c r="A48" s="23" t="str">
        <f>TEXT(IF('Debt to GDP Ratio'!B52&lt;&gt;0,'Debt to GDP Ratio'!B52-364, ""), "mm/dd/yyyy")</f>
        <v>01/01/2021</v>
      </c>
      <c r="B48" s="23" t="str">
        <f>IFERROR(IF(ISNUMBER('Debt to GDP Ratio'!D52),TEXT('Debt to GDP Ratio'!D52,"0.00"), ""), "")</f>
        <v/>
      </c>
      <c r="C48" s="23" t="str">
        <f>IFERROR(IF(ISNUMBER('Debt to GDP Ratio'!E52),TEXT('Debt to GDP Ratio'!E52,"0.00"), ""), "")</f>
        <v>74.30</v>
      </c>
    </row>
    <row r="49" spans="1:3">
      <c r="A49" s="23" t="str">
        <f>TEXT(IF('Debt to GDP Ratio'!B53&lt;&gt;0,'Debt to GDP Ratio'!B53-364, ""), "mm/dd/yyyy")</f>
        <v>01/01/2022</v>
      </c>
      <c r="B49" s="23" t="str">
        <f>IFERROR(IF(ISNUMBER('Debt to GDP Ratio'!D53),TEXT('Debt to GDP Ratio'!D53,"0.00"), ""), "")</f>
        <v/>
      </c>
      <c r="C49" s="23" t="str">
        <f>IFERROR(IF(ISNUMBER('Debt to GDP Ratio'!E53),TEXT('Debt to GDP Ratio'!E53,"0.00"), ""), "")</f>
        <v>75.40</v>
      </c>
    </row>
    <row r="50" spans="1:3">
      <c r="A50" s="23" t="str">
        <f>TEXT(IF('Debt to GDP Ratio'!B54&lt;&gt;0,'Debt to GDP Ratio'!B54-364, ""), "mm/dd/yyyy")</f>
        <v>01/01/2023</v>
      </c>
      <c r="B50" s="23" t="str">
        <f>IFERROR(IF(ISNUMBER('Debt to GDP Ratio'!D54),TEXT('Debt to GDP Ratio'!D54,"0.00"), ""), "")</f>
        <v/>
      </c>
      <c r="C50" s="23" t="str">
        <f>IFERROR(IF(ISNUMBER('Debt to GDP Ratio'!E54),TEXT('Debt to GDP Ratio'!E54,"0.00"), ""), "")</f>
        <v>76.40</v>
      </c>
    </row>
    <row r="51" spans="1:3">
      <c r="A51" s="23" t="str">
        <f>TEXT(IF('Debt to GDP Ratio'!B55&lt;&gt;0,'Debt to GDP Ratio'!B55-364, ""), "mm/dd/yyyy")</f>
        <v>01/02/2024</v>
      </c>
      <c r="B51" s="23" t="str">
        <f>IFERROR(IF(ISNUMBER('Debt to GDP Ratio'!D55),TEXT('Debt to GDP Ratio'!D55,"0.00"), ""), "")</f>
        <v/>
      </c>
      <c r="C51" s="23" t="str">
        <f>IFERROR(IF(ISNUMBER('Debt to GDP Ratio'!E55),TEXT('Debt to GDP Ratio'!E55,"0.00"), ""), "")</f>
        <v>77.20</v>
      </c>
    </row>
    <row r="52" spans="1:3">
      <c r="A52" s="23" t="str">
        <f>TEXT(IF('Debt to GDP Ratio'!B56&lt;&gt;0,'Debt to GDP Ratio'!B56-364, ""), "mm/dd/yyyy")</f>
        <v/>
      </c>
      <c r="B52" s="23" t="str">
        <f>IFERROR(IF(ISNUMBER('Debt to GDP Ratio'!D56),TEXT('Debt to GDP Ratio'!D56,"0.00"), ""), "")</f>
        <v/>
      </c>
      <c r="C52" s="23" t="str">
        <f>IFERROR(IF(ISNUMBER('Debt to GDP Ratio'!E56),TEXT('Debt to GDP Ratio'!E56,"0.00"), ""), "")</f>
        <v/>
      </c>
    </row>
    <row r="53" spans="1:3">
      <c r="A53" s="23" t="str">
        <f>TEXT(IF('Debt to GDP Ratio'!B57&lt;&gt;0,'Debt to GDP Ratio'!B57-364, ""), "mm/dd/yyyy")</f>
        <v/>
      </c>
      <c r="B53" s="23" t="str">
        <f>IFERROR(IF(ISNUMBER('Debt to GDP Ratio'!D57),TEXT('Debt to GDP Ratio'!D57,"0.00"), ""), "")</f>
        <v/>
      </c>
      <c r="C53" s="23" t="str">
        <f>IFERROR(IF(ISNUMBER('Debt to GDP Ratio'!E57),TEXT('Debt to GDP Ratio'!E57,"0.00"), ""), "")</f>
        <v/>
      </c>
    </row>
    <row r="54" spans="1:3">
      <c r="A54" s="23" t="str">
        <f>TEXT(IF('Debt to GDP Ratio'!B58&lt;&gt;0,'Debt to GDP Ratio'!B58-364, ""), "mm/dd/yyyy")</f>
        <v/>
      </c>
      <c r="B54" s="23" t="str">
        <f>IFERROR(IF(ISNUMBER('Debt to GDP Ratio'!D58),TEXT('Debt to GDP Ratio'!D58,"0.00"), ""), "")</f>
        <v/>
      </c>
      <c r="C54" s="23" t="str">
        <f>IFERROR(IF(ISNUMBER('Debt to GDP Ratio'!E58),TEXT('Debt to GDP Ratio'!E58,"0.00"), ""), "")</f>
        <v/>
      </c>
    </row>
    <row r="55" spans="1:3">
      <c r="A55" s="23" t="str">
        <f>TEXT(IF('Debt to GDP Ratio'!B59&lt;&gt;0,'Debt to GDP Ratio'!B59-364, ""), "mm/dd/yyyy")</f>
        <v/>
      </c>
      <c r="B55" s="23" t="str">
        <f>IFERROR(IF(ISNUMBER('Debt to GDP Ratio'!D59),TEXT('Debt to GDP Ratio'!D59,"0.00"), ""), "")</f>
        <v/>
      </c>
      <c r="C55" s="23" t="str">
        <f>IFERROR(IF(ISNUMBER('Debt to GDP Ratio'!E59),TEXT('Debt to GDP Ratio'!E59,"0.00"), ""), "")</f>
        <v/>
      </c>
    </row>
    <row r="56" spans="1:3">
      <c r="A56" s="23" t="str">
        <f>TEXT(IF('Debt to GDP Ratio'!B60&lt;&gt;0,'Debt to GDP Ratio'!B60-364, ""), "mm/dd/yyyy")</f>
        <v/>
      </c>
      <c r="B56" s="23" t="str">
        <f>IFERROR(IF(ISNUMBER('Debt to GDP Ratio'!D60),TEXT('Debt to GDP Ratio'!D60,"0.00"), ""), "")</f>
        <v/>
      </c>
      <c r="C56" s="23" t="str">
        <f>IFERROR(IF(ISNUMBER('Debt to GDP Ratio'!E60),TEXT('Debt to GDP Ratio'!E60,"0.00"), ""), "")</f>
        <v/>
      </c>
    </row>
    <row r="57" spans="1:3">
      <c r="A57" s="23" t="str">
        <f>TEXT(IF('Debt to GDP Ratio'!B61&lt;&gt;0,'Debt to GDP Ratio'!B61-364, ""), "mm/dd/yyyy")</f>
        <v/>
      </c>
      <c r="B57" s="23" t="str">
        <f>IFERROR(IF(ISNUMBER('Debt to GDP Ratio'!D61),TEXT('Debt to GDP Ratio'!D61,"0.00"), ""), "")</f>
        <v/>
      </c>
      <c r="C57" s="23" t="str">
        <f>IFERROR(IF(ISNUMBER('Debt to GDP Ratio'!E61),TEXT('Debt to GDP Ratio'!E61,"0.00"), ""), "")</f>
        <v/>
      </c>
    </row>
    <row r="58" spans="1:3">
      <c r="A58" s="23" t="str">
        <f>TEXT(IF('Debt to GDP Ratio'!B62&lt;&gt;0,'Debt to GDP Ratio'!B62-364, ""), "mm/dd/yyyy")</f>
        <v/>
      </c>
      <c r="B58" s="23" t="str">
        <f>IFERROR(IF(ISNUMBER('Debt to GDP Ratio'!D62),TEXT('Debt to GDP Ratio'!D62,"0.00"), ""), "")</f>
        <v/>
      </c>
      <c r="C58" s="23" t="str">
        <f>IFERROR(IF(ISNUMBER('Debt to GDP Ratio'!E62),TEXT('Debt to GDP Ratio'!E62,"0.00"), ""), "")</f>
        <v/>
      </c>
    </row>
    <row r="59" spans="1:3">
      <c r="A59" s="23" t="str">
        <f>TEXT(IF('Debt to GDP Ratio'!B63&lt;&gt;0,'Debt to GDP Ratio'!B63-364, ""), "mm/dd/yyyy")</f>
        <v/>
      </c>
      <c r="B59" s="23" t="str">
        <f>IFERROR(IF(ISNUMBER('Debt to GDP Ratio'!D63),TEXT('Debt to GDP Ratio'!D63,"0.00"), ""), "")</f>
        <v/>
      </c>
      <c r="C59" s="23" t="str">
        <f>IFERROR(IF(ISNUMBER('Debt to GDP Ratio'!E63),TEXT('Debt to GDP Ratio'!E63,"0.00"), ""), "")</f>
        <v/>
      </c>
    </row>
    <row r="60" spans="1:3">
      <c r="A60" s="23" t="str">
        <f>TEXT(IF('Debt to GDP Ratio'!B64&lt;&gt;0,'Debt to GDP Ratio'!B64-364, ""), "mm/dd/yyyy")</f>
        <v/>
      </c>
      <c r="B60" s="23" t="str">
        <f>IFERROR(IF(ISNUMBER('Debt to GDP Ratio'!D64),TEXT('Debt to GDP Ratio'!D64,"0.00"), ""), "")</f>
        <v/>
      </c>
      <c r="C60" s="23" t="str">
        <f>IFERROR(IF(ISNUMBER('Debt to GDP Ratio'!E64),TEXT('Debt to GDP Ratio'!E64,"0.00"), ""), "")</f>
        <v/>
      </c>
    </row>
    <row r="61" spans="1:3">
      <c r="A61" s="23" t="str">
        <f>TEXT(IF('Debt to GDP Ratio'!B65&lt;&gt;0,'Debt to GDP Ratio'!B65-364, ""), "mm/dd/yyyy")</f>
        <v/>
      </c>
      <c r="B61" s="23" t="str">
        <f>IFERROR(IF(ISNUMBER('Debt to GDP Ratio'!D65),TEXT('Debt to GDP Ratio'!D65,"0.00"), ""), "")</f>
        <v/>
      </c>
      <c r="C61" s="23" t="str">
        <f>IFERROR(IF(ISNUMBER('Debt to GDP Ratio'!E65),TEXT('Debt to GDP Ratio'!E65,"0.00"), ""), "")</f>
        <v/>
      </c>
    </row>
    <row r="62" spans="1:3">
      <c r="A62" s="23" t="str">
        <f>TEXT(IF('Debt to GDP Ratio'!B66&lt;&gt;0,'Debt to GDP Ratio'!B66-364, ""), "mm/dd/yyyy")</f>
        <v/>
      </c>
      <c r="B62" s="23" t="str">
        <f>IFERROR(IF(ISNUMBER('Debt to GDP Ratio'!D66),TEXT('Debt to GDP Ratio'!D66,"0.00"), ""), "")</f>
        <v/>
      </c>
      <c r="C62" s="23" t="str">
        <f>IFERROR(IF(ISNUMBER('Debt to GDP Ratio'!E66),TEXT('Debt to GDP Ratio'!E66,"0.00"), ""), "")</f>
        <v/>
      </c>
    </row>
    <row r="63" spans="1:3">
      <c r="A63" s="23" t="str">
        <f>TEXT(IF('Debt to GDP Ratio'!B67&lt;&gt;0,'Debt to GDP Ratio'!B67-364, ""), "mm/dd/yyyy")</f>
        <v/>
      </c>
      <c r="B63" s="23" t="str">
        <f>IFERROR(IF(ISNUMBER('Debt to GDP Ratio'!D67),TEXT('Debt to GDP Ratio'!D67,"0.00"), ""), "")</f>
        <v/>
      </c>
      <c r="C63" s="23" t="str">
        <f>IFERROR(IF(ISNUMBER('Debt to GDP Ratio'!E67),TEXT('Debt to GDP Ratio'!E67,"0.00"), ""), "")</f>
        <v/>
      </c>
    </row>
    <row r="64" spans="1:3">
      <c r="A64" s="23" t="str">
        <f>TEXT(IF('Debt to GDP Ratio'!B68&lt;&gt;0,'Debt to GDP Ratio'!B68-364, ""), "mm/dd/yyyy")</f>
        <v/>
      </c>
      <c r="B64" s="23" t="str">
        <f>IFERROR(IF(ISNUMBER('Debt to GDP Ratio'!D68),TEXT('Debt to GDP Ratio'!D68,"0.00"), ""), "")</f>
        <v/>
      </c>
      <c r="C64" s="23" t="str">
        <f>IFERROR(IF(ISNUMBER('Debt to GDP Ratio'!E68),TEXT('Debt to GDP Ratio'!E68,"0.00"), ""), "")</f>
        <v/>
      </c>
    </row>
    <row r="65" spans="1:3">
      <c r="A65" s="23" t="str">
        <f>TEXT(IF('Debt to GDP Ratio'!B69&lt;&gt;0,'Debt to GDP Ratio'!B69-364, ""), "mm/dd/yyyy")</f>
        <v/>
      </c>
      <c r="B65" s="23" t="str">
        <f>IFERROR(IF(ISNUMBER('Debt to GDP Ratio'!D69),TEXT('Debt to GDP Ratio'!D69,"0.00"), ""), "")</f>
        <v/>
      </c>
      <c r="C65" s="23" t="str">
        <f>IFERROR(IF(ISNUMBER('Debt to GDP Ratio'!E69),TEXT('Debt to GDP Ratio'!E69,"0.00"), ""), "")</f>
        <v/>
      </c>
    </row>
    <row r="66" spans="1:3">
      <c r="A66" s="23" t="str">
        <f>TEXT(IF('Debt to GDP Ratio'!B70&lt;&gt;0,'Debt to GDP Ratio'!B70-364, ""), "mm/dd/yyyy")</f>
        <v/>
      </c>
      <c r="B66" s="23" t="str">
        <f>IFERROR(IF(ISNUMBER('Debt to GDP Ratio'!D70),TEXT('Debt to GDP Ratio'!D70,"0.00"), ""), "")</f>
        <v/>
      </c>
      <c r="C66" s="23" t="str">
        <f>IFERROR(IF(ISNUMBER('Debt to GDP Ratio'!E70),TEXT('Debt to GDP Ratio'!E70,"0.00"), ""), "")</f>
        <v/>
      </c>
    </row>
    <row r="67" spans="1:3">
      <c r="A67" s="23" t="str">
        <f>TEXT(IF('Debt to GDP Ratio'!B71&lt;&gt;0,'Debt to GDP Ratio'!B71-364, ""), "mm/dd/yyyy")</f>
        <v/>
      </c>
      <c r="B67" s="23" t="str">
        <f>IFERROR(IF(ISNUMBER('Debt to GDP Ratio'!D71),TEXT('Debt to GDP Ratio'!D71,"0.00"), ""), "")</f>
        <v/>
      </c>
      <c r="C67" s="23" t="str">
        <f>IFERROR(IF(ISNUMBER('Debt to GDP Ratio'!E71),TEXT('Debt to GDP Ratio'!E71,"0.00"), ""), "")</f>
        <v/>
      </c>
    </row>
    <row r="68" spans="1:3">
      <c r="A68" s="23" t="str">
        <f>TEXT(IF('Debt to GDP Ratio'!B72&lt;&gt;0,'Debt to GDP Ratio'!B72-364, ""), "mm/dd/yyyy")</f>
        <v/>
      </c>
      <c r="B68" s="23" t="str">
        <f>IFERROR(IF(ISNUMBER('Debt to GDP Ratio'!D72),TEXT('Debt to GDP Ratio'!D72,"0.00"), ""), "")</f>
        <v/>
      </c>
      <c r="C68" s="23" t="str">
        <f>IFERROR(IF(ISNUMBER('Debt to GDP Ratio'!E72),TEXT('Debt to GDP Ratio'!E72,"0.00"), ""), "")</f>
        <v/>
      </c>
    </row>
    <row r="69" spans="1:3">
      <c r="A69" s="23" t="str">
        <f>TEXT(IF('Debt to GDP Ratio'!B73&lt;&gt;0,'Debt to GDP Ratio'!B73-364, ""), "mm/dd/yyyy")</f>
        <v/>
      </c>
      <c r="B69" s="23" t="str">
        <f>IFERROR(IF(ISNUMBER('Debt to GDP Ratio'!D73),TEXT('Debt to GDP Ratio'!D73,"0.00"), ""), "")</f>
        <v/>
      </c>
      <c r="C69" s="23" t="str">
        <f>IFERROR(IF(ISNUMBER('Debt to GDP Ratio'!E73),TEXT('Debt to GDP Ratio'!E73,"0.00"), ""), "")</f>
        <v/>
      </c>
    </row>
    <row r="70" spans="1:3">
      <c r="A70" s="23" t="str">
        <f>TEXT(IF('Debt to GDP Ratio'!B74&lt;&gt;0,'Debt to GDP Ratio'!B74-364, ""), "mm/dd/yyyy")</f>
        <v/>
      </c>
      <c r="B70" s="23" t="str">
        <f>IFERROR(IF(ISNUMBER('Debt to GDP Ratio'!D74),TEXT('Debt to GDP Ratio'!D74,"0.00"), ""), "")</f>
        <v/>
      </c>
      <c r="C70" s="23" t="str">
        <f>IFERROR(IF(ISNUMBER('Debt to GDP Ratio'!E74),TEXT('Debt to GDP Ratio'!E74,"0.00"), ""), "")</f>
        <v/>
      </c>
    </row>
    <row r="71" spans="1:3">
      <c r="A71" s="23" t="str">
        <f>TEXT(IF('Debt to GDP Ratio'!B75&lt;&gt;0,'Debt to GDP Ratio'!B75-364, ""), "mm/dd/yyyy")</f>
        <v/>
      </c>
      <c r="B71" s="23" t="str">
        <f>IFERROR(IF(ISNUMBER('Debt to GDP Ratio'!D75),TEXT('Debt to GDP Ratio'!D75,"0.00"), ""), "")</f>
        <v/>
      </c>
      <c r="C71" s="23" t="str">
        <f>IFERROR(IF(ISNUMBER('Debt to GDP Ratio'!E75),TEXT('Debt to GDP Ratio'!E75,"0.00"), ""), "")</f>
        <v/>
      </c>
    </row>
    <row r="72" spans="1:3">
      <c r="A72" s="23" t="str">
        <f>TEXT(IF('Debt to GDP Ratio'!B76&lt;&gt;0,'Debt to GDP Ratio'!B76-364, ""), "mm/dd/yyyy")</f>
        <v/>
      </c>
      <c r="B72" s="23" t="str">
        <f>IFERROR(IF(ISNUMBER('Debt to GDP Ratio'!D76),TEXT('Debt to GDP Ratio'!D76,"0.00"), ""), "")</f>
        <v/>
      </c>
      <c r="C72" s="23" t="str">
        <f>IFERROR(IF(ISNUMBER('Debt to GDP Ratio'!E76),TEXT('Debt to GDP Ratio'!E76,"0.00"), ""), "")</f>
        <v/>
      </c>
    </row>
    <row r="73" spans="1:3">
      <c r="A73" s="23" t="str">
        <f>TEXT(IF('Debt to GDP Ratio'!B77&lt;&gt;0,'Debt to GDP Ratio'!B77-364, ""), "mm/dd/yyyy")</f>
        <v/>
      </c>
      <c r="B73" s="23" t="str">
        <f>IFERROR(IF(ISNUMBER('Debt to GDP Ratio'!D77),TEXT('Debt to GDP Ratio'!D77,"0.00"), ""), "")</f>
        <v/>
      </c>
      <c r="C73" s="23" t="str">
        <f>IFERROR(IF(ISNUMBER('Debt to GDP Ratio'!E77),TEXT('Debt to GDP Ratio'!E77,"0.00"), ""), "")</f>
        <v/>
      </c>
    </row>
    <row r="74" spans="1:3">
      <c r="A74" s="23" t="str">
        <f>TEXT(IF('Debt to GDP Ratio'!B78&lt;&gt;0,'Debt to GDP Ratio'!B78-364, ""), "mm/dd/yyyy")</f>
        <v/>
      </c>
      <c r="B74" s="23" t="str">
        <f>IFERROR(IF(ISNUMBER('Debt to GDP Ratio'!D78),TEXT('Debt to GDP Ratio'!D78,"0.00"), ""), "")</f>
        <v/>
      </c>
      <c r="C74" s="23" t="str">
        <f>IFERROR(IF(ISNUMBER('Debt to GDP Ratio'!E78),TEXT('Debt to GDP Ratio'!E78,"0.00"), ""), "")</f>
        <v/>
      </c>
    </row>
    <row r="75" spans="1:3">
      <c r="A75" s="23" t="str">
        <f>TEXT(IF('Debt to GDP Ratio'!B79&lt;&gt;0,'Debt to GDP Ratio'!B79-364, ""), "mm/dd/yyyy")</f>
        <v/>
      </c>
      <c r="B75" s="23" t="str">
        <f>IFERROR(IF(ISNUMBER('Debt to GDP Ratio'!D79),TEXT('Debt to GDP Ratio'!D79,"0.00"), ""), "")</f>
        <v/>
      </c>
      <c r="C75" s="23" t="str">
        <f>IFERROR(IF(ISNUMBER('Debt to GDP Ratio'!E79),TEXT('Debt to GDP Ratio'!E79,"0.00"), ""), "")</f>
        <v/>
      </c>
    </row>
    <row r="76" spans="1:3">
      <c r="A76" s="23" t="str">
        <f>TEXT(IF('Debt to GDP Ratio'!B80&lt;&gt;0,'Debt to GDP Ratio'!B80-364, ""), "mm/dd/yyyy")</f>
        <v/>
      </c>
      <c r="B76" s="23" t="str">
        <f>IFERROR(IF(ISNUMBER('Debt to GDP Ratio'!D80),TEXT('Debt to GDP Ratio'!D80,"0.00"), ""), "")</f>
        <v/>
      </c>
      <c r="C76" s="23" t="str">
        <f>IFERROR(IF(ISNUMBER('Debt to GDP Ratio'!E80),TEXT('Debt to GDP Ratio'!E80,"0.00"), ""), "")</f>
        <v/>
      </c>
    </row>
    <row r="77" spans="1:3">
      <c r="A77" s="23" t="str">
        <f>TEXT(IF('Debt to GDP Ratio'!B81&lt;&gt;0,'Debt to GDP Ratio'!B81-364, ""), "mm/dd/yyyy")</f>
        <v/>
      </c>
      <c r="B77" s="23" t="str">
        <f>IFERROR(IF(ISNUMBER('Debt to GDP Ratio'!D81),TEXT('Debt to GDP Ratio'!D81,"0.00"), ""), "")</f>
        <v/>
      </c>
      <c r="C77" s="23" t="str">
        <f>IFERROR(IF(ISNUMBER('Debt to GDP Ratio'!E81),TEXT('Debt to GDP Ratio'!E81,"0.00"), ""), "")</f>
        <v/>
      </c>
    </row>
    <row r="78" spans="1:3">
      <c r="A78" s="23" t="str">
        <f>TEXT(IF('Debt to GDP Ratio'!B82&lt;&gt;0,'Debt to GDP Ratio'!B82-364, ""), "mm/dd/yyyy")</f>
        <v/>
      </c>
      <c r="B78" s="23" t="str">
        <f>IFERROR(IF(ISNUMBER('Debt to GDP Ratio'!D82),TEXT('Debt to GDP Ratio'!D82,"0.00"), ""), "")</f>
        <v/>
      </c>
      <c r="C78" s="23" t="str">
        <f>IFERROR(IF(ISNUMBER('Debt to GDP Ratio'!E82),TEXT('Debt to GDP Ratio'!E82,"0.00"), ""), "")</f>
        <v/>
      </c>
    </row>
    <row r="79" spans="1:3">
      <c r="A79" s="23" t="str">
        <f>TEXT(IF('Debt to GDP Ratio'!B83&lt;&gt;0,'Debt to GDP Ratio'!B83-364, ""), "mm/dd/yyyy")</f>
        <v/>
      </c>
      <c r="B79" s="23" t="str">
        <f>IFERROR(IF(ISNUMBER('Debt to GDP Ratio'!D83),TEXT('Debt to GDP Ratio'!D83,"0.00"), ""), "")</f>
        <v/>
      </c>
      <c r="C79" s="23" t="str">
        <f>IFERROR(IF(ISNUMBER('Debt to GDP Ratio'!E83),TEXT('Debt to GDP Ratio'!E83,"0.00"), ""), "")</f>
        <v/>
      </c>
    </row>
    <row r="80" spans="1:3">
      <c r="A80" s="23" t="str">
        <f>TEXT(IF('Debt to GDP Ratio'!B84&lt;&gt;0,'Debt to GDP Ratio'!B84-364, ""), "mm/dd/yyyy")</f>
        <v/>
      </c>
      <c r="B80" s="23" t="str">
        <f>IFERROR(IF(ISNUMBER('Debt to GDP Ratio'!D84),TEXT('Debt to GDP Ratio'!D84,"0.00"), ""), "")</f>
        <v/>
      </c>
      <c r="C80" s="23" t="str">
        <f>IFERROR(IF(ISNUMBER('Debt to GDP Ratio'!E84),TEXT('Debt to GDP Ratio'!E84,"0.00"), ""), "")</f>
        <v/>
      </c>
    </row>
    <row r="81" spans="1:3">
      <c r="A81" s="23" t="str">
        <f>TEXT(IF('Debt to GDP Ratio'!B85&lt;&gt;0,'Debt to GDP Ratio'!B85-364, ""), "mm/dd/yyyy")</f>
        <v/>
      </c>
      <c r="B81" s="23" t="str">
        <f>IFERROR(IF(ISNUMBER('Debt to GDP Ratio'!D85),TEXT('Debt to GDP Ratio'!D85,"0.00"), ""), "")</f>
        <v/>
      </c>
      <c r="C81" s="23" t="str">
        <f>IFERROR(IF(ISNUMBER('Debt to GDP Ratio'!E85),TEXT('Debt to GDP Ratio'!E85,"0.00"), ""), "")</f>
        <v/>
      </c>
    </row>
    <row r="82" spans="1:3">
      <c r="A82" s="23" t="str">
        <f>TEXT(IF('Debt to GDP Ratio'!B86&lt;&gt;0,'Debt to GDP Ratio'!B86-364, ""), "mm/dd/yyyy")</f>
        <v/>
      </c>
      <c r="B82" s="23" t="str">
        <f>IFERROR(IF(ISNUMBER('Debt to GDP Ratio'!D86),TEXT('Debt to GDP Ratio'!D86,"0.00"), ""), "")</f>
        <v/>
      </c>
      <c r="C82" s="23" t="str">
        <f>IFERROR(IF(ISNUMBER('Debt to GDP Ratio'!E86),TEXT('Debt to GDP Ratio'!E86,"0.00"), ""), "")</f>
        <v/>
      </c>
    </row>
    <row r="83" spans="1:3">
      <c r="A83" s="23" t="str">
        <f>TEXT(IF('Debt to GDP Ratio'!B87&lt;&gt;0,'Debt to GDP Ratio'!B87-364, ""), "mm/dd/yyyy")</f>
        <v/>
      </c>
      <c r="B83" s="23" t="str">
        <f>IFERROR(IF(ISNUMBER('Debt to GDP Ratio'!D87),TEXT('Debt to GDP Ratio'!D87,"0.00"), ""), "")</f>
        <v/>
      </c>
      <c r="C83" s="23" t="str">
        <f>IFERROR(IF(ISNUMBER('Debt to GDP Ratio'!E87),TEXT('Debt to GDP Ratio'!E87,"0.00"), ""), "")</f>
        <v/>
      </c>
    </row>
    <row r="84" spans="1:3">
      <c r="A84" s="23" t="str">
        <f>TEXT(IF('Debt to GDP Ratio'!B88&lt;&gt;0,'Debt to GDP Ratio'!B88-364, ""), "mm/dd/yyyy")</f>
        <v/>
      </c>
      <c r="B84" s="23" t="str">
        <f>IFERROR(IF(ISNUMBER('Debt to GDP Ratio'!D88),TEXT('Debt to GDP Ratio'!D88,"0.00"), ""), "")</f>
        <v/>
      </c>
      <c r="C84" s="23" t="str">
        <f>IFERROR(IF(ISNUMBER('Debt to GDP Ratio'!E88),TEXT('Debt to GDP Ratio'!E88,"0.00"), ""), "")</f>
        <v/>
      </c>
    </row>
    <row r="85" spans="1:3">
      <c r="A85" s="23" t="str">
        <f>TEXT(IF('Debt to GDP Ratio'!B89&lt;&gt;0,'Debt to GDP Ratio'!B89-364, ""), "mm/dd/yyyy")</f>
        <v/>
      </c>
      <c r="B85" s="23" t="str">
        <f>IFERROR(IF(ISNUMBER('Debt to GDP Ratio'!D89),TEXT('Debt to GDP Ratio'!D89,"0.00"), ""), "")</f>
        <v/>
      </c>
      <c r="C85" s="23" t="str">
        <f>IFERROR(IF(ISNUMBER('Debt to GDP Ratio'!E89),TEXT('Debt to GDP Ratio'!E89,"0.00"), ""), "")</f>
        <v/>
      </c>
    </row>
    <row r="86" spans="1:3">
      <c r="A86" s="23" t="str">
        <f>TEXT(IF('Debt to GDP Ratio'!B90&lt;&gt;0,'Debt to GDP Ratio'!B90-364, ""), "mm/dd/yyyy")</f>
        <v/>
      </c>
      <c r="B86" s="23" t="str">
        <f>IFERROR(IF(ISNUMBER('Debt to GDP Ratio'!D90),TEXT('Debt to GDP Ratio'!D90,"0.00"), ""), "")</f>
        <v/>
      </c>
      <c r="C86" s="23" t="str">
        <f>IFERROR(IF(ISNUMBER('Debt to GDP Ratio'!E90),TEXT('Debt to GDP Ratio'!E90,"0.00"), ""), "")</f>
        <v/>
      </c>
    </row>
    <row r="87" spans="1:3">
      <c r="A87" s="23" t="str">
        <f>TEXT(IF('Debt to GDP Ratio'!B91&lt;&gt;0,'Debt to GDP Ratio'!B91-364, ""), "mm/dd/yyyy")</f>
        <v/>
      </c>
      <c r="B87" s="23" t="str">
        <f>IFERROR(IF(ISNUMBER('Debt to GDP Ratio'!D91),TEXT('Debt to GDP Ratio'!D91,"0.00"), ""), "")</f>
        <v/>
      </c>
      <c r="C87" s="23" t="str">
        <f>IFERROR(IF(ISNUMBER('Debt to GDP Ratio'!E91),TEXT('Debt to GDP Ratio'!E91,"0.00"), ""), "")</f>
        <v/>
      </c>
    </row>
    <row r="88" spans="1:3">
      <c r="A88" s="23" t="str">
        <f>TEXT(IF('Debt to GDP Ratio'!B92&lt;&gt;0,'Debt to GDP Ratio'!B92-364, ""), "mm/dd/yyyy")</f>
        <v/>
      </c>
      <c r="B88" s="23" t="str">
        <f>IFERROR(IF(ISNUMBER('Debt to GDP Ratio'!D92),TEXT('Debt to GDP Ratio'!D92,"0.00"), ""), "")</f>
        <v/>
      </c>
      <c r="C88" s="23" t="str">
        <f>IFERROR(IF(ISNUMBER('Debt to GDP Ratio'!E92),TEXT('Debt to GDP Ratio'!E92,"0.00"), ""), "")</f>
        <v/>
      </c>
    </row>
    <row r="89" spans="1:3">
      <c r="A89" s="23" t="str">
        <f>TEXT(IF('Debt to GDP Ratio'!B93&lt;&gt;0,'Debt to GDP Ratio'!B93-364, ""), "mm/dd/yyyy")</f>
        <v/>
      </c>
      <c r="B89" s="23" t="str">
        <f>IFERROR(IF(ISNUMBER('Debt to GDP Ratio'!D93),TEXT('Debt to GDP Ratio'!D93,"0.00"), ""), "")</f>
        <v/>
      </c>
      <c r="C89" s="23" t="str">
        <f>IFERROR(IF(ISNUMBER('Debt to GDP Ratio'!E93),TEXT('Debt to GDP Ratio'!E93,"0.00"), ""), "")</f>
        <v/>
      </c>
    </row>
    <row r="90" spans="1:3">
      <c r="A90" s="23" t="str">
        <f>TEXT(IF('Debt to GDP Ratio'!B94&lt;&gt;0,'Debt to GDP Ratio'!B94-364, ""), "mm/dd/yyyy")</f>
        <v/>
      </c>
      <c r="B90" s="23" t="str">
        <f>IFERROR(IF(ISNUMBER('Debt to GDP Ratio'!D94),TEXT('Debt to GDP Ratio'!D94,"0.00"), ""), "")</f>
        <v/>
      </c>
      <c r="C90" s="23" t="str">
        <f>IFERROR(IF(ISNUMBER('Debt to GDP Ratio'!E94),TEXT('Debt to GDP Ratio'!E94,"0.00"), ""), "")</f>
        <v/>
      </c>
    </row>
    <row r="91" spans="1:3">
      <c r="A91" s="23" t="str">
        <f>TEXT(IF('Debt to GDP Ratio'!B95&lt;&gt;0,'Debt to GDP Ratio'!B95-364, ""), "mm/dd/yyyy")</f>
        <v/>
      </c>
      <c r="B91" s="23" t="str">
        <f>IFERROR(IF(ISNUMBER('Debt to GDP Ratio'!D95),TEXT('Debt to GDP Ratio'!D95,"0.00"), ""), "")</f>
        <v/>
      </c>
      <c r="C91" s="23" t="str">
        <f>IFERROR(IF(ISNUMBER('Debt to GDP Ratio'!E95),TEXT('Debt to GDP Ratio'!E95,"0.00"), ""), "")</f>
        <v/>
      </c>
    </row>
    <row r="92" spans="1:3">
      <c r="A92" s="23" t="str">
        <f>TEXT(IF('Debt to GDP Ratio'!B96&lt;&gt;0,'Debt to GDP Ratio'!B96-364, ""), "mm/dd/yyyy")</f>
        <v/>
      </c>
      <c r="B92" s="23" t="str">
        <f>IFERROR(IF(ISNUMBER('Debt to GDP Ratio'!D96),TEXT('Debt to GDP Ratio'!D96,"0.00"), ""), "")</f>
        <v/>
      </c>
      <c r="C92" s="23" t="str">
        <f>IFERROR(IF(ISNUMBER('Debt to GDP Ratio'!E96),TEXT('Debt to GDP Ratio'!E96,"0.00"), ""), "")</f>
        <v/>
      </c>
    </row>
    <row r="93" spans="1:3">
      <c r="A93" s="23" t="str">
        <f>TEXT(IF('Debt to GDP Ratio'!B97&lt;&gt;0,'Debt to GDP Ratio'!B97-364, ""), "mm/dd/yyyy")</f>
        <v/>
      </c>
      <c r="B93" s="23" t="str">
        <f>IFERROR(IF(ISNUMBER('Debt to GDP Ratio'!D97),TEXT('Debt to GDP Ratio'!D97,"0.00"), ""), "")</f>
        <v/>
      </c>
      <c r="C93" s="23" t="str">
        <f>IFERROR(IF(ISNUMBER('Debt to GDP Ratio'!E97),TEXT('Debt to GDP Ratio'!E97,"0.00"), ""), "")</f>
        <v/>
      </c>
    </row>
    <row r="94" spans="1:3">
      <c r="A94" s="23" t="str">
        <f>TEXT(IF('Debt to GDP Ratio'!B98&lt;&gt;0,'Debt to GDP Ratio'!B98-364, ""), "mm/dd/yyyy")</f>
        <v/>
      </c>
      <c r="B94" s="23" t="str">
        <f>IFERROR(IF(ISNUMBER('Debt to GDP Ratio'!D98),TEXT('Debt to GDP Ratio'!D98,"0.00"), ""), "")</f>
        <v/>
      </c>
      <c r="C94" s="23" t="str">
        <f>IFERROR(IF(ISNUMBER('Debt to GDP Ratio'!E98),TEXT('Debt to GDP Ratio'!E98,"0.00"), ""), "")</f>
        <v/>
      </c>
    </row>
    <row r="95" spans="1:3">
      <c r="A95" s="23" t="str">
        <f>TEXT(IF('Debt to GDP Ratio'!B99&lt;&gt;0,'Debt to GDP Ratio'!B99-364, ""), "mm/dd/yyyy")</f>
        <v/>
      </c>
      <c r="B95" s="23" t="str">
        <f>IFERROR(IF(ISNUMBER('Debt to GDP Ratio'!D99),TEXT('Debt to GDP Ratio'!D99,"0.00"), ""), "")</f>
        <v/>
      </c>
      <c r="C95" s="23" t="str">
        <f>IFERROR(IF(ISNUMBER('Debt to GDP Ratio'!E99),TEXT('Debt to GDP Ratio'!E99,"0.00"), ""), "")</f>
        <v/>
      </c>
    </row>
    <row r="96" spans="1:3">
      <c r="A96" s="23" t="str">
        <f>TEXT(IF('Debt to GDP Ratio'!B100&lt;&gt;0,'Debt to GDP Ratio'!B100-364, ""), "mm/dd/yyyy")</f>
        <v/>
      </c>
      <c r="B96" s="23" t="str">
        <f>IFERROR(IF(ISNUMBER('Debt to GDP Ratio'!D100),TEXT('Debt to GDP Ratio'!D100,"0.00"), ""), "")</f>
        <v/>
      </c>
      <c r="C96" s="23" t="str">
        <f>IFERROR(IF(ISNUMBER('Debt to GDP Ratio'!E100),TEXT('Debt to GDP Ratio'!E100,"0.00"), ""), "")</f>
        <v/>
      </c>
    </row>
    <row r="97" spans="1:3">
      <c r="A97" s="23" t="str">
        <f>TEXT(IF('Debt to GDP Ratio'!B101&lt;&gt;0,'Debt to GDP Ratio'!B101-364, ""), "mm/dd/yyyy")</f>
        <v/>
      </c>
      <c r="B97" s="23" t="str">
        <f>IFERROR(IF(ISNUMBER('Debt to GDP Ratio'!D101),TEXT('Debt to GDP Ratio'!D101,"0.00"), ""), "")</f>
        <v/>
      </c>
      <c r="C97" s="23" t="str">
        <f>IFERROR(IF(ISNUMBER('Debt to GDP Ratio'!E101),TEXT('Debt to GDP Ratio'!E101,"0.00"), ""), "")</f>
        <v/>
      </c>
    </row>
    <row r="98" spans="1:3">
      <c r="A98" s="23" t="str">
        <f>TEXT(IF('Debt to GDP Ratio'!B102&lt;&gt;0,'Debt to GDP Ratio'!B102-364, ""), "mm/dd/yyyy")</f>
        <v/>
      </c>
      <c r="B98" s="23" t="str">
        <f>IFERROR(IF(ISNUMBER('Debt to GDP Ratio'!D102),TEXT('Debt to GDP Ratio'!D102,"0.00"), ""), "")</f>
        <v/>
      </c>
      <c r="C98" s="23" t="str">
        <f>IFERROR(IF(ISNUMBER('Debt to GDP Ratio'!E102),TEXT('Debt to GDP Ratio'!E102,"0.00"), ""), "")</f>
        <v/>
      </c>
    </row>
    <row r="99" spans="1:3">
      <c r="A99" s="23" t="str">
        <f>TEXT(IF('Debt to GDP Ratio'!B103&lt;&gt;0,'Debt to GDP Ratio'!B103-364, ""), "mm/dd/yyyy")</f>
        <v/>
      </c>
      <c r="B99" s="23" t="str">
        <f>IFERROR(IF(ISNUMBER('Debt to GDP Ratio'!D103),TEXT('Debt to GDP Ratio'!D103,"0.00"), ""), "")</f>
        <v/>
      </c>
      <c r="C99" s="23" t="str">
        <f>IFERROR(IF(ISNUMBER('Debt to GDP Ratio'!E103),TEXT('Debt to GDP Ratio'!E103,"0.00"), ""), "")</f>
        <v/>
      </c>
    </row>
    <row r="100" spans="1:3">
      <c r="A100" s="23" t="str">
        <f>TEXT(IF('Debt to GDP Ratio'!B104&lt;&gt;0,'Debt to GDP Ratio'!B104-364, ""), "mm/dd/yyyy")</f>
        <v/>
      </c>
      <c r="B100" s="23" t="str">
        <f>IFERROR(IF(ISNUMBER('Debt to GDP Ratio'!D104),TEXT('Debt to GDP Ratio'!D104,"0.00"), ""), "")</f>
        <v/>
      </c>
      <c r="C100" s="23" t="str">
        <f>IFERROR(IF(ISNUMBER('Debt to GDP Ratio'!E104),TEXT('Debt to GDP Ratio'!E104,"0.00"), ""), "")</f>
        <v/>
      </c>
    </row>
    <row r="101" spans="1:3">
      <c r="A101" s="23" t="str">
        <f>TEXT(IF('Debt to GDP Ratio'!B105&lt;&gt;0,'Debt to GDP Ratio'!B105-364, ""), "mm/dd/yyyy")</f>
        <v/>
      </c>
      <c r="B101" s="23" t="str">
        <f>IFERROR(IF(ISNUMBER('Debt to GDP Ratio'!D105),TEXT('Debt to GDP Ratio'!D105,"0.00"), ""), "")</f>
        <v/>
      </c>
      <c r="C101" s="23" t="str">
        <f>IFERROR(IF(ISNUMBER('Debt to GDP Ratio'!E105),TEXT('Debt to GDP Ratio'!E105,"0.00"), ""), "")</f>
        <v/>
      </c>
    </row>
    <row r="102" spans="1:3">
      <c r="A102" s="23" t="str">
        <f>TEXT(IF('Debt to GDP Ratio'!B106&lt;&gt;0,'Debt to GDP Ratio'!B106-364, ""), "mm/dd/yyyy")</f>
        <v/>
      </c>
      <c r="B102" s="23" t="str">
        <f>IFERROR(IF(ISNUMBER('Debt to GDP Ratio'!D106),TEXT('Debt to GDP Ratio'!D106,"0.00"), ""), "")</f>
        <v/>
      </c>
      <c r="C102" s="23" t="str">
        <f>IFERROR(IF(ISNUMBER('Debt to GDP Ratio'!E106),TEXT('Debt to GDP Ratio'!E106,"0.00"), ""), "")</f>
        <v/>
      </c>
    </row>
    <row r="103" spans="1:3">
      <c r="A103" s="23" t="str">
        <f>TEXT(IF('Debt to GDP Ratio'!B107&lt;&gt;0,'Debt to GDP Ratio'!B107-364, ""), "mm/dd/yyyy")</f>
        <v/>
      </c>
      <c r="B103" s="23" t="str">
        <f>IFERROR(IF(ISNUMBER('Debt to GDP Ratio'!D107),TEXT('Debt to GDP Ratio'!D107,"0.00"), ""), "")</f>
        <v/>
      </c>
      <c r="C103" s="23" t="str">
        <f>IFERROR(IF(ISNUMBER('Debt to GDP Ratio'!E107),TEXT('Debt to GDP Ratio'!E107,"0.00"), ""), "")</f>
        <v/>
      </c>
    </row>
    <row r="104" spans="1:3">
      <c r="A104" s="23" t="str">
        <f>TEXT(IF('Debt to GDP Ratio'!B108&lt;&gt;0,'Debt to GDP Ratio'!B108-364, ""), "mm/dd/yyyy")</f>
        <v/>
      </c>
      <c r="B104" s="23" t="str">
        <f>IFERROR(IF(ISNUMBER('Debt to GDP Ratio'!D108),TEXT('Debt to GDP Ratio'!D108,"0.00"), ""), "")</f>
        <v/>
      </c>
      <c r="C104" s="23" t="str">
        <f>IFERROR(IF(ISNUMBER('Debt to GDP Ratio'!E108),TEXT('Debt to GDP Ratio'!E108,"0.00"), ""), "")</f>
        <v/>
      </c>
    </row>
    <row r="105" spans="1:3">
      <c r="A105" s="23" t="str">
        <f>TEXT(IF('Debt to GDP Ratio'!B109&lt;&gt;0,'Debt to GDP Ratio'!B109-364, ""), "mm/dd/yyyy")</f>
        <v/>
      </c>
      <c r="B105" s="23" t="str">
        <f>IFERROR(IF(ISNUMBER('Debt to GDP Ratio'!D109),TEXT('Debt to GDP Ratio'!D109,"0.00"), ""), "")</f>
        <v/>
      </c>
      <c r="C105" s="23" t="str">
        <f>IFERROR(IF(ISNUMBER('Debt to GDP Ratio'!E109),TEXT('Debt to GDP Ratio'!E109,"0.00"), ""), "")</f>
        <v/>
      </c>
    </row>
    <row r="106" spans="1:3">
      <c r="A106" s="23" t="str">
        <f>TEXT(IF('Debt to GDP Ratio'!B110&lt;&gt;0,'Debt to GDP Ratio'!B110-364, ""), "mm/dd/yyyy")</f>
        <v/>
      </c>
      <c r="B106" s="23" t="str">
        <f>IFERROR(IF(ISNUMBER('Debt to GDP Ratio'!D110),TEXT('Debt to GDP Ratio'!D110,"0.00"), ""), "")</f>
        <v/>
      </c>
      <c r="C106" s="23" t="str">
        <f>IFERROR(IF(ISNUMBER('Debt to GDP Ratio'!E110),TEXT('Debt to GDP Ratio'!E110,"0.00"), ""), "")</f>
        <v/>
      </c>
    </row>
    <row r="107" spans="1:3">
      <c r="A107" s="23" t="str">
        <f>TEXT(IF('Debt to GDP Ratio'!B111&lt;&gt;0,'Debt to GDP Ratio'!B111-364, ""), "mm/dd/yyyy")</f>
        <v/>
      </c>
      <c r="B107" s="23" t="str">
        <f>IFERROR(IF(ISNUMBER('Debt to GDP Ratio'!D111),TEXT('Debt to GDP Ratio'!D111,"0.00"), ""), "")</f>
        <v/>
      </c>
      <c r="C107" s="23" t="str">
        <f>IFERROR(IF(ISNUMBER('Debt to GDP Ratio'!E111),TEXT('Debt to GDP Ratio'!E111,"0.00"), ""), "")</f>
        <v/>
      </c>
    </row>
    <row r="108" spans="1:3">
      <c r="A108" s="23" t="str">
        <f>TEXT(IF('Debt to GDP Ratio'!B112&lt;&gt;0,'Debt to GDP Ratio'!B112-364, ""), "mm/dd/yyyy")</f>
        <v/>
      </c>
      <c r="B108" s="23" t="str">
        <f>IFERROR(IF(ISNUMBER('Debt to GDP Ratio'!D112),TEXT('Debt to GDP Ratio'!D112,"0.00"), ""), "")</f>
        <v/>
      </c>
      <c r="C108" s="23" t="str">
        <f>IFERROR(IF(ISNUMBER('Debt to GDP Ratio'!E112),TEXT('Debt to GDP Ratio'!E112,"0.00"), ""), "")</f>
        <v/>
      </c>
    </row>
    <row r="109" spans="1:3">
      <c r="A109" s="23" t="str">
        <f>TEXT(IF('Debt to GDP Ratio'!B113&lt;&gt;0,'Debt to GDP Ratio'!B113-364, ""), "mm/dd/yyyy")</f>
        <v/>
      </c>
      <c r="B109" s="23" t="str">
        <f>IFERROR(IF(ISNUMBER('Debt to GDP Ratio'!D113),TEXT('Debt to GDP Ratio'!D113,"0.00"), ""), "")</f>
        <v/>
      </c>
      <c r="C109" s="23" t="str">
        <f>IFERROR(IF(ISNUMBER('Debt to GDP Ratio'!E113),TEXT('Debt to GDP Ratio'!E113,"0.00"), ""), "")</f>
        <v/>
      </c>
    </row>
    <row r="110" spans="1:3">
      <c r="A110" s="23" t="str">
        <f>TEXT(IF('Debt to GDP Ratio'!B114&lt;&gt;0,'Debt to GDP Ratio'!B114-364, ""), "mm/dd/yyyy")</f>
        <v/>
      </c>
      <c r="B110" s="23" t="str">
        <f>IFERROR(IF(ISNUMBER('Debt to GDP Ratio'!D114),TEXT('Debt to GDP Ratio'!D114,"0.00"), ""), "")</f>
        <v/>
      </c>
      <c r="C110" s="23" t="str">
        <f>IFERROR(IF(ISNUMBER('Debt to GDP Ratio'!E114),TEXT('Debt to GDP Ratio'!E114,"0.00"), ""), "")</f>
        <v/>
      </c>
    </row>
    <row r="111" spans="1:3">
      <c r="A111" s="23" t="str">
        <f>TEXT(IF('Debt to GDP Ratio'!B115&lt;&gt;0,'Debt to GDP Ratio'!B115-364, ""), "mm/dd/yyyy")</f>
        <v/>
      </c>
      <c r="B111" s="23" t="str">
        <f>IFERROR(IF(ISNUMBER('Debt to GDP Ratio'!D115),TEXT('Debt to GDP Ratio'!D115,"0.00"), ""), "")</f>
        <v/>
      </c>
      <c r="C111" s="23" t="str">
        <f>IFERROR(IF(ISNUMBER('Debt to GDP Ratio'!E115),TEXT('Debt to GDP Ratio'!E115,"0.00"), ""), "")</f>
        <v/>
      </c>
    </row>
    <row r="112" spans="1:3">
      <c r="A112" s="23" t="str">
        <f>TEXT(IF('Debt to GDP Ratio'!B116&lt;&gt;0,'Debt to GDP Ratio'!B116-364, ""), "mm/dd/yyyy")</f>
        <v/>
      </c>
      <c r="B112" s="23" t="str">
        <f>IFERROR(IF(ISNUMBER('Debt to GDP Ratio'!D116),TEXT('Debt to GDP Ratio'!D116,"0.00"), ""), "")</f>
        <v/>
      </c>
      <c r="C112" s="23" t="str">
        <f>IFERROR(IF(ISNUMBER('Debt to GDP Ratio'!E116),TEXT('Debt to GDP Ratio'!E116,"0.00"), ""), "")</f>
        <v/>
      </c>
    </row>
    <row r="113" spans="1:3">
      <c r="A113" s="23" t="str">
        <f>TEXT(IF('Debt to GDP Ratio'!B117&lt;&gt;0,'Debt to GDP Ratio'!B117-364, ""), "mm/dd/yyyy")</f>
        <v/>
      </c>
      <c r="B113" s="23" t="str">
        <f>IFERROR(IF(ISNUMBER('Debt to GDP Ratio'!D117),TEXT('Debt to GDP Ratio'!D117,"0.00"), ""), "")</f>
        <v/>
      </c>
      <c r="C113" s="23" t="str">
        <f>IFERROR(IF(ISNUMBER('Debt to GDP Ratio'!E117),TEXT('Debt to GDP Ratio'!E117,"0.00"), ""), "")</f>
        <v/>
      </c>
    </row>
    <row r="114" spans="1:3">
      <c r="A114" s="23" t="str">
        <f>TEXT(IF('Debt to GDP Ratio'!B118&lt;&gt;0,'Debt to GDP Ratio'!B118-364, ""), "mm/dd/yyyy")</f>
        <v/>
      </c>
      <c r="B114" s="23" t="str">
        <f>IFERROR(IF(ISNUMBER('Debt to GDP Ratio'!D118),TEXT('Debt to GDP Ratio'!D118,"0.00"), ""), "")</f>
        <v/>
      </c>
      <c r="C114" s="23" t="str">
        <f>IFERROR(IF(ISNUMBER('Debt to GDP Ratio'!E118),TEXT('Debt to GDP Ratio'!E118,"0.00"), ""), "")</f>
        <v/>
      </c>
    </row>
    <row r="115" spans="1:3">
      <c r="A115" s="23" t="str">
        <f>TEXT(IF('Debt to GDP Ratio'!B119&lt;&gt;0,'Debt to GDP Ratio'!B119-364, ""), "mm/dd/yyyy")</f>
        <v/>
      </c>
      <c r="B115" s="23" t="str">
        <f>IFERROR(IF(ISNUMBER('Debt to GDP Ratio'!D119),TEXT('Debt to GDP Ratio'!D119,"0.00"), ""), "")</f>
        <v/>
      </c>
      <c r="C115" s="23" t="str">
        <f>IFERROR(IF(ISNUMBER('Debt to GDP Ratio'!E119),TEXT('Debt to GDP Ratio'!E119,"0.00"), ""), "")</f>
        <v/>
      </c>
    </row>
    <row r="116" spans="1:3">
      <c r="A116" s="23" t="str">
        <f>TEXT(IF('Debt to GDP Ratio'!B120&lt;&gt;0,'Debt to GDP Ratio'!B120-364, ""), "mm/dd/yyyy")</f>
        <v/>
      </c>
      <c r="B116" s="23" t="str">
        <f>IFERROR(IF(ISNUMBER('Debt to GDP Ratio'!D120),TEXT('Debt to GDP Ratio'!D120,"0.00"), ""), "")</f>
        <v/>
      </c>
      <c r="C116" s="23" t="str">
        <f>IFERROR(IF(ISNUMBER('Debt to GDP Ratio'!E120),TEXT('Debt to GDP Ratio'!E120,"0.00"), ""), "")</f>
        <v/>
      </c>
    </row>
    <row r="117" spans="1:3">
      <c r="A117" s="23" t="str">
        <f>TEXT(IF('Debt to GDP Ratio'!B121&lt;&gt;0,'Debt to GDP Ratio'!B121-364, ""), "mm/dd/yyyy")</f>
        <v/>
      </c>
      <c r="B117" s="23" t="str">
        <f>IFERROR(IF(ISNUMBER('Debt to GDP Ratio'!D121),TEXT('Debt to GDP Ratio'!D121,"0.00"), ""), "")</f>
        <v/>
      </c>
      <c r="C117" s="23" t="str">
        <f>IFERROR(IF(ISNUMBER('Debt to GDP Ratio'!E121),TEXT('Debt to GDP Ratio'!E121,"0.00"), ""), "")</f>
        <v/>
      </c>
    </row>
    <row r="118" spans="1:3">
      <c r="A118" s="23" t="str">
        <f>TEXT(IF('Debt to GDP Ratio'!B122&lt;&gt;0,'Debt to GDP Ratio'!B122-364, ""), "mm/dd/yyyy")</f>
        <v/>
      </c>
      <c r="B118" s="23" t="str">
        <f>IFERROR(IF(ISNUMBER('Debt to GDP Ratio'!D122),TEXT('Debt to GDP Ratio'!D122,"0.00"), ""), "")</f>
        <v/>
      </c>
      <c r="C118" s="23" t="str">
        <f>IFERROR(IF(ISNUMBER('Debt to GDP Ratio'!E122),TEXT('Debt to GDP Ratio'!E122,"0.00"), ""), "")</f>
        <v/>
      </c>
    </row>
    <row r="119" spans="1:3">
      <c r="A119" s="23" t="str">
        <f>TEXT(IF('Debt to GDP Ratio'!B123&lt;&gt;0,'Debt to GDP Ratio'!B123-364, ""), "mm/dd/yyyy")</f>
        <v/>
      </c>
      <c r="B119" s="23" t="str">
        <f>IFERROR(IF(ISNUMBER('Debt to GDP Ratio'!D123),TEXT('Debt to GDP Ratio'!D123,"0.00"), ""), "")</f>
        <v/>
      </c>
      <c r="C119" s="23" t="str">
        <f>IFERROR(IF(ISNUMBER('Debt to GDP Ratio'!E123),TEXT('Debt to GDP Ratio'!E123,"0.00"), ""), "")</f>
        <v/>
      </c>
    </row>
    <row r="120" spans="1:3">
      <c r="A120" s="23" t="str">
        <f>TEXT(IF('Debt to GDP Ratio'!B124&lt;&gt;0,'Debt to GDP Ratio'!B124-364, ""), "mm/dd/yyyy")</f>
        <v/>
      </c>
      <c r="B120" s="23" t="str">
        <f>IFERROR(IF(ISNUMBER('Debt to GDP Ratio'!D124),TEXT('Debt to GDP Ratio'!D124,"0.00"), ""), "")</f>
        <v/>
      </c>
      <c r="C120" s="23" t="str">
        <f>IFERROR(IF(ISNUMBER('Debt to GDP Ratio'!E124),TEXT('Debt to GDP Ratio'!E124,"0.00"), ""), "")</f>
        <v/>
      </c>
    </row>
    <row r="121" spans="1:3">
      <c r="A121" s="23" t="str">
        <f>TEXT(IF('Debt to GDP Ratio'!B125&lt;&gt;0,'Debt to GDP Ratio'!B125-364, ""), "mm/dd/yyyy")</f>
        <v/>
      </c>
      <c r="B121" s="23" t="str">
        <f>IFERROR(IF(ISNUMBER('Debt to GDP Ratio'!D125),TEXT('Debt to GDP Ratio'!D125,"0.00"), ""), "")</f>
        <v/>
      </c>
      <c r="C121" s="23" t="str">
        <f>IFERROR(IF(ISNUMBER('Debt to GDP Ratio'!E125),TEXT('Debt to GDP Ratio'!E125,"0.00"), ""), "")</f>
        <v/>
      </c>
    </row>
    <row r="122" spans="1:3">
      <c r="A122" s="23" t="str">
        <f>TEXT(IF('Debt to GDP Ratio'!B126&lt;&gt;0,'Debt to GDP Ratio'!B126-364, ""), "mm/dd/yyyy")</f>
        <v/>
      </c>
      <c r="B122" s="23" t="str">
        <f>IFERROR(IF(ISNUMBER('Debt to GDP Ratio'!D126),TEXT('Debt to GDP Ratio'!D126,"0.00"), ""), "")</f>
        <v/>
      </c>
      <c r="C122" s="23" t="str">
        <f>IFERROR(IF(ISNUMBER('Debt to GDP Ratio'!E126),TEXT('Debt to GDP Ratio'!E126,"0.00"), ""), "")</f>
        <v/>
      </c>
    </row>
    <row r="123" spans="1:3">
      <c r="A123" s="23" t="str">
        <f>TEXT(IF('Debt to GDP Ratio'!B127&lt;&gt;0,'Debt to GDP Ratio'!B127-364, ""), "mm/dd/yyyy")</f>
        <v/>
      </c>
      <c r="B123" s="23" t="str">
        <f>IFERROR(IF(ISNUMBER('Debt to GDP Ratio'!D127),TEXT('Debt to GDP Ratio'!D127,"0.00"), ""), "")</f>
        <v/>
      </c>
      <c r="C123" s="23" t="str">
        <f>IFERROR(IF(ISNUMBER('Debt to GDP Ratio'!E127),TEXT('Debt to GDP Ratio'!E127,"0.00"), ""), "")</f>
        <v/>
      </c>
    </row>
    <row r="124" spans="1:3">
      <c r="A124" s="23" t="str">
        <f>TEXT(IF('Debt to GDP Ratio'!B128&lt;&gt;0,'Debt to GDP Ratio'!B128-364, ""), "mm/dd/yyyy")</f>
        <v/>
      </c>
      <c r="B124" s="23" t="str">
        <f>IFERROR(IF(ISNUMBER('Debt to GDP Ratio'!D128),TEXT('Debt to GDP Ratio'!D128,"0.00"), ""), "")</f>
        <v/>
      </c>
      <c r="C124" s="23" t="str">
        <f>IFERROR(IF(ISNUMBER('Debt to GDP Ratio'!E128),TEXT('Debt to GDP Ratio'!E128,"0.00"), ""), "")</f>
        <v/>
      </c>
    </row>
    <row r="125" spans="1:3">
      <c r="A125" s="23" t="str">
        <f>TEXT(IF('Debt to GDP Ratio'!B129&lt;&gt;0,'Debt to GDP Ratio'!B129-364, ""), "mm/dd/yyyy")</f>
        <v/>
      </c>
      <c r="B125" s="23" t="str">
        <f>IFERROR(IF(ISNUMBER('Debt to GDP Ratio'!D129),TEXT('Debt to GDP Ratio'!D129,"0.00"), ""), "")</f>
        <v/>
      </c>
      <c r="C125" s="23" t="str">
        <f>IFERROR(IF(ISNUMBER('Debt to GDP Ratio'!E129),TEXT('Debt to GDP Ratio'!E129,"0.00"), ""), "")</f>
        <v/>
      </c>
    </row>
    <row r="126" spans="1:3">
      <c r="A126" s="23" t="str">
        <f>TEXT(IF('Debt to GDP Ratio'!B130&lt;&gt;0,'Debt to GDP Ratio'!B130-364, ""), "mm/dd/yyyy")</f>
        <v/>
      </c>
      <c r="B126" s="23" t="str">
        <f>IFERROR(IF(ISNUMBER('Debt to GDP Ratio'!D130),TEXT('Debt to GDP Ratio'!D130,"0.00"), ""), "")</f>
        <v/>
      </c>
      <c r="C126" s="23" t="str">
        <f>IFERROR(IF(ISNUMBER('Debt to GDP Ratio'!E130),TEXT('Debt to GDP Ratio'!E130,"0.00"), ""), "")</f>
        <v/>
      </c>
    </row>
    <row r="127" spans="1:3">
      <c r="A127" s="23" t="str">
        <f>TEXT(IF('Debt to GDP Ratio'!B131&lt;&gt;0,'Debt to GDP Ratio'!B131-364, ""), "mm/dd/yyyy")</f>
        <v/>
      </c>
      <c r="B127" s="23" t="str">
        <f>IFERROR(IF(ISNUMBER('Debt to GDP Ratio'!D131),TEXT('Debt to GDP Ratio'!D131,"0.00"), ""), "")</f>
        <v/>
      </c>
      <c r="C127" s="23" t="str">
        <f>IFERROR(IF(ISNUMBER('Debt to GDP Ratio'!E131),TEXT('Debt to GDP Ratio'!E131,"0.00"), ""), "")</f>
        <v/>
      </c>
    </row>
    <row r="128" spans="1:3">
      <c r="A128" s="23" t="str">
        <f>TEXT(IF('Debt to GDP Ratio'!B132&lt;&gt;0,'Debt to GDP Ratio'!B132-364, ""), "mm/dd/yyyy")</f>
        <v/>
      </c>
      <c r="B128" s="23" t="str">
        <f>IFERROR(IF(ISNUMBER('Debt to GDP Ratio'!D132),TEXT('Debt to GDP Ratio'!D132,"0.00"), ""), "")</f>
        <v/>
      </c>
      <c r="C128" s="23" t="str">
        <f>IFERROR(IF(ISNUMBER('Debt to GDP Ratio'!E132),TEXT('Debt to GDP Ratio'!E132,"0.00"), ""), "")</f>
        <v/>
      </c>
    </row>
    <row r="129" spans="1:3">
      <c r="A129" s="23" t="str">
        <f>TEXT(IF('Debt to GDP Ratio'!B133&lt;&gt;0,'Debt to GDP Ratio'!B133-364, ""), "mm/dd/yyyy")</f>
        <v/>
      </c>
      <c r="B129" s="23" t="str">
        <f>IFERROR(IF(ISNUMBER('Debt to GDP Ratio'!D133),TEXT('Debt to GDP Ratio'!D133,"0.00"), ""), "")</f>
        <v/>
      </c>
      <c r="C129" s="23" t="str">
        <f>IFERROR(IF(ISNUMBER('Debt to GDP Ratio'!E133),TEXT('Debt to GDP Ratio'!E133,"0.00"), ""), "")</f>
        <v/>
      </c>
    </row>
    <row r="130" spans="1:3">
      <c r="A130" s="23" t="str">
        <f>TEXT(IF('Debt to GDP Ratio'!B134&lt;&gt;0,'Debt to GDP Ratio'!B134-364, ""), "mm/dd/yyyy")</f>
        <v/>
      </c>
      <c r="B130" s="23" t="str">
        <f>IFERROR(IF(ISNUMBER('Debt to GDP Ratio'!D134),TEXT('Debt to GDP Ratio'!D134,"0.00"), ""), "")</f>
        <v/>
      </c>
      <c r="C130" s="23" t="str">
        <f>IFERROR(IF(ISNUMBER('Debt to GDP Ratio'!E134),TEXT('Debt to GDP Ratio'!E134,"0.00"), ""), "")</f>
        <v/>
      </c>
    </row>
    <row r="131" spans="1:3">
      <c r="A131" s="23" t="str">
        <f>TEXT(IF('Debt to GDP Ratio'!B135&lt;&gt;0,'Debt to GDP Ratio'!B135-364, ""), "mm/dd/yyyy")</f>
        <v/>
      </c>
      <c r="B131" s="23" t="str">
        <f>IFERROR(IF(ISNUMBER('Debt to GDP Ratio'!D135),TEXT('Debt to GDP Ratio'!D135,"0.00"), ""), "")</f>
        <v/>
      </c>
      <c r="C131" s="23" t="str">
        <f>IFERROR(IF(ISNUMBER('Debt to GDP Ratio'!E135),TEXT('Debt to GDP Ratio'!E135,"0.00"), ""), "")</f>
        <v/>
      </c>
    </row>
    <row r="132" spans="1:3">
      <c r="A132" s="23" t="str">
        <f>TEXT(IF('Debt to GDP Ratio'!B136&lt;&gt;0,'Debt to GDP Ratio'!B136-364, ""), "mm/dd/yyyy")</f>
        <v/>
      </c>
      <c r="B132" s="23" t="str">
        <f>IFERROR(IF(ISNUMBER('Debt to GDP Ratio'!D136),TEXT('Debt to GDP Ratio'!D136,"0.00"), ""), "")</f>
        <v/>
      </c>
      <c r="C132" s="23" t="str">
        <f>IFERROR(IF(ISNUMBER('Debt to GDP Ratio'!E136),TEXT('Debt to GDP Ratio'!E136,"0.00"), ""), "")</f>
        <v/>
      </c>
    </row>
    <row r="133" spans="1:3">
      <c r="A133" s="23" t="str">
        <f>TEXT(IF('Debt to GDP Ratio'!B137&lt;&gt;0,'Debt to GDP Ratio'!B137-364, ""), "mm/dd/yyyy")</f>
        <v/>
      </c>
      <c r="B133" s="23" t="str">
        <f>IFERROR(IF(ISNUMBER('Debt to GDP Ratio'!D137),TEXT('Debt to GDP Ratio'!D137,"0.00"), ""), "")</f>
        <v/>
      </c>
      <c r="C133" s="23" t="str">
        <f>IFERROR(IF(ISNUMBER('Debt to GDP Ratio'!E137),TEXT('Debt to GDP Ratio'!E137,"0.00"), ""), "")</f>
        <v/>
      </c>
    </row>
    <row r="134" spans="1:3">
      <c r="A134" s="23" t="str">
        <f>TEXT(IF('Debt to GDP Ratio'!B138&lt;&gt;0,'Debt to GDP Ratio'!B138-364, ""), "mm/dd/yyyy")</f>
        <v/>
      </c>
      <c r="B134" s="23" t="str">
        <f>IFERROR(IF(ISNUMBER('Debt to GDP Ratio'!D138),TEXT('Debt to GDP Ratio'!D138,"0.00"), ""), "")</f>
        <v/>
      </c>
      <c r="C134" s="23" t="str">
        <f>IFERROR(IF(ISNUMBER('Debt to GDP Ratio'!E138),TEXT('Debt to GDP Ratio'!E138,"0.00"), ""), "")</f>
        <v/>
      </c>
    </row>
    <row r="135" spans="1:3">
      <c r="A135" s="23" t="str">
        <f>TEXT(IF('Debt to GDP Ratio'!B139&lt;&gt;0,'Debt to GDP Ratio'!B139-364, ""), "mm/dd/yyyy")</f>
        <v/>
      </c>
      <c r="B135" s="23" t="str">
        <f>IFERROR(IF(ISNUMBER('Debt to GDP Ratio'!D139),TEXT('Debt to GDP Ratio'!D139,"0.00"), ""), "")</f>
        <v/>
      </c>
      <c r="C135" s="23" t="str">
        <f>IFERROR(IF(ISNUMBER('Debt to GDP Ratio'!E139),TEXT('Debt to GDP Ratio'!E139,"0.00"), ""), "")</f>
        <v/>
      </c>
    </row>
    <row r="136" spans="1:3">
      <c r="A136" s="23" t="str">
        <f>TEXT(IF('Debt to GDP Ratio'!B140&lt;&gt;0,'Debt to GDP Ratio'!B140-364, ""), "mm/dd/yyyy")</f>
        <v/>
      </c>
      <c r="B136" s="23" t="str">
        <f>IFERROR(IF(ISNUMBER('Debt to GDP Ratio'!D140),TEXT('Debt to GDP Ratio'!D140,"0.00"), ""), "")</f>
        <v/>
      </c>
      <c r="C136" s="23" t="str">
        <f>IFERROR(IF(ISNUMBER('Debt to GDP Ratio'!E140),TEXT('Debt to GDP Ratio'!E140,"0.00"), ""), "")</f>
        <v/>
      </c>
    </row>
    <row r="137" spans="1:3">
      <c r="A137" s="23" t="str">
        <f>TEXT(IF('Debt to GDP Ratio'!B141&lt;&gt;0,'Debt to GDP Ratio'!B141-364, ""), "mm/dd/yyyy")</f>
        <v/>
      </c>
      <c r="B137" s="23" t="str">
        <f>IFERROR(IF(ISNUMBER('Debt to GDP Ratio'!D141),TEXT('Debt to GDP Ratio'!D141,"0.00"), ""), "")</f>
        <v/>
      </c>
      <c r="C137" s="23" t="str">
        <f>IFERROR(IF(ISNUMBER('Debt to GDP Ratio'!E141),TEXT('Debt to GDP Ratio'!E141,"0.00"), ""), "")</f>
        <v/>
      </c>
    </row>
    <row r="138" spans="1:3">
      <c r="A138" s="23" t="str">
        <f>TEXT(IF('Debt to GDP Ratio'!B142&lt;&gt;0,'Debt to GDP Ratio'!B142-364, ""), "mm/dd/yyyy")</f>
        <v/>
      </c>
      <c r="B138" s="23" t="str">
        <f>IFERROR(IF(ISNUMBER('Debt to GDP Ratio'!D142),TEXT('Debt to GDP Ratio'!D142,"0.00"), ""), "")</f>
        <v/>
      </c>
      <c r="C138" s="23" t="str">
        <f>IFERROR(IF(ISNUMBER('Debt to GDP Ratio'!E142),TEXT('Debt to GDP Ratio'!E142,"0.00"), ""), "")</f>
        <v/>
      </c>
    </row>
    <row r="139" spans="1:3">
      <c r="A139" s="23" t="str">
        <f>TEXT(IF('Debt to GDP Ratio'!B143&lt;&gt;0,'Debt to GDP Ratio'!B143-364, ""), "mm/dd/yyyy")</f>
        <v/>
      </c>
      <c r="B139" s="23" t="str">
        <f>IFERROR(IF(ISNUMBER('Debt to GDP Ratio'!D143),TEXT('Debt to GDP Ratio'!D143,"0.00"), ""), "")</f>
        <v/>
      </c>
      <c r="C139" s="23" t="str">
        <f>IFERROR(IF(ISNUMBER('Debt to GDP Ratio'!E143),TEXT('Debt to GDP Ratio'!E143,"0.00"), ""), "")</f>
        <v/>
      </c>
    </row>
    <row r="140" spans="1:3">
      <c r="A140" s="23" t="str">
        <f>TEXT(IF('Debt to GDP Ratio'!B144&lt;&gt;0,'Debt to GDP Ratio'!B144-364, ""), "mm/dd/yyyy")</f>
        <v/>
      </c>
      <c r="B140" s="23" t="str">
        <f>IFERROR(IF(ISNUMBER('Debt to GDP Ratio'!D144),TEXT('Debt to GDP Ratio'!D144,"0.00"), ""), "")</f>
        <v/>
      </c>
      <c r="C140" s="23" t="str">
        <f>IFERROR(IF(ISNUMBER('Debt to GDP Ratio'!E144),TEXT('Debt to GDP Ratio'!E144,"0.00"), ""), "")</f>
        <v/>
      </c>
    </row>
    <row r="141" spans="1:3">
      <c r="A141" s="23" t="str">
        <f>TEXT(IF('Debt to GDP Ratio'!B145&lt;&gt;0,'Debt to GDP Ratio'!B145-364, ""), "mm/dd/yyyy")</f>
        <v/>
      </c>
      <c r="B141" s="23" t="str">
        <f>IFERROR(IF(ISNUMBER('Debt to GDP Ratio'!D145),TEXT('Debt to GDP Ratio'!D145,"0.00"), ""), "")</f>
        <v/>
      </c>
      <c r="C141" s="23" t="str">
        <f>IFERROR(IF(ISNUMBER('Debt to GDP Ratio'!E145),TEXT('Debt to GDP Ratio'!E145,"0.00"), ""), "")</f>
        <v/>
      </c>
    </row>
    <row r="142" spans="1:3">
      <c r="A142" s="23" t="str">
        <f>TEXT(IF('Debt to GDP Ratio'!B146&lt;&gt;0,'Debt to GDP Ratio'!B146-364, ""), "mm/dd/yyyy")</f>
        <v/>
      </c>
      <c r="B142" s="23" t="str">
        <f>IFERROR(IF(ISNUMBER('Debt to GDP Ratio'!D146),TEXT('Debt to GDP Ratio'!D146,"0.00"), ""), "")</f>
        <v/>
      </c>
      <c r="C142" s="23" t="str">
        <f>IFERROR(IF(ISNUMBER('Debt to GDP Ratio'!E146),TEXT('Debt to GDP Ratio'!E146,"0.00"), ""), "")</f>
        <v/>
      </c>
    </row>
    <row r="143" spans="1:3">
      <c r="A143" s="23" t="str">
        <f>TEXT(IF('Debt to GDP Ratio'!B147&lt;&gt;0,'Debt to GDP Ratio'!B147-364, ""), "mm/dd/yyyy")</f>
        <v/>
      </c>
      <c r="B143" s="23" t="str">
        <f>IFERROR(IF(ISNUMBER('Debt to GDP Ratio'!D147),TEXT('Debt to GDP Ratio'!D147,"0.00"), ""), "")</f>
        <v/>
      </c>
      <c r="C143" s="23" t="str">
        <f>IFERROR(IF(ISNUMBER('Debt to GDP Ratio'!E147),TEXT('Debt to GDP Ratio'!E147,"0.00"), ""), "")</f>
        <v/>
      </c>
    </row>
    <row r="144" spans="1:3">
      <c r="A144" s="23" t="str">
        <f>TEXT(IF('Debt to GDP Ratio'!B148&lt;&gt;0,'Debt to GDP Ratio'!B148-364, ""), "mm/dd/yyyy")</f>
        <v/>
      </c>
      <c r="B144" s="23" t="str">
        <f>IFERROR(IF(ISNUMBER('Debt to GDP Ratio'!D148),TEXT('Debt to GDP Ratio'!D148,"0.00"), ""), "")</f>
        <v/>
      </c>
      <c r="C144" s="23" t="str">
        <f>IFERROR(IF(ISNUMBER('Debt to GDP Ratio'!E148),TEXT('Debt to GDP Ratio'!E148,"0.00"), ""), "")</f>
        <v/>
      </c>
    </row>
    <row r="145" spans="1:3">
      <c r="A145" s="23" t="str">
        <f>TEXT(IF('Debt to GDP Ratio'!B149&lt;&gt;0,'Debt to GDP Ratio'!B149-364, ""), "mm/dd/yyyy")</f>
        <v/>
      </c>
      <c r="B145" s="23" t="str">
        <f>IFERROR(IF(ISNUMBER('Debt to GDP Ratio'!D149),TEXT('Debt to GDP Ratio'!D149,"0.00"), ""), "")</f>
        <v/>
      </c>
      <c r="C145" s="23" t="str">
        <f>IFERROR(IF(ISNUMBER('Debt to GDP Ratio'!E149),TEXT('Debt to GDP Ratio'!E149,"0.00"), ""), "")</f>
        <v/>
      </c>
    </row>
    <row r="146" spans="1:3">
      <c r="A146" s="23" t="str">
        <f>TEXT(IF('Debt to GDP Ratio'!B150&lt;&gt;0,'Debt to GDP Ratio'!B150-364, ""), "mm/dd/yyyy")</f>
        <v/>
      </c>
      <c r="B146" s="23" t="str">
        <f>IFERROR(IF(ISNUMBER('Debt to GDP Ratio'!D150),TEXT('Debt to GDP Ratio'!D150,"0.00"), ""), "")</f>
        <v/>
      </c>
      <c r="C146" s="23" t="str">
        <f>IFERROR(IF(ISNUMBER('Debt to GDP Ratio'!E150),TEXT('Debt to GDP Ratio'!E150,"0.00"), ""), "")</f>
        <v/>
      </c>
    </row>
    <row r="147" spans="1:3">
      <c r="A147" s="23" t="str">
        <f>TEXT(IF('Debt to GDP Ratio'!B151&lt;&gt;0,'Debt to GDP Ratio'!B151-364, ""), "mm/dd/yyyy")</f>
        <v/>
      </c>
      <c r="B147" s="23" t="str">
        <f>IFERROR(IF(ISNUMBER('Debt to GDP Ratio'!D151),TEXT('Debt to GDP Ratio'!D151,"0.00"), ""), "")</f>
        <v/>
      </c>
      <c r="C147" s="23" t="str">
        <f>IFERROR(IF(ISNUMBER('Debt to GDP Ratio'!E151),TEXT('Debt to GDP Ratio'!E151,"0.00"), ""), "")</f>
        <v/>
      </c>
    </row>
    <row r="148" spans="1:3">
      <c r="A148" s="23" t="str">
        <f>TEXT(IF('Debt to GDP Ratio'!B152&lt;&gt;0,'Debt to GDP Ratio'!B152-364, ""), "mm/dd/yyyy")</f>
        <v/>
      </c>
      <c r="B148" s="23" t="str">
        <f>IFERROR(IF(ISNUMBER('Debt to GDP Ratio'!D152),TEXT('Debt to GDP Ratio'!D152,"0.00"), ""), "")</f>
        <v/>
      </c>
      <c r="C148" s="23" t="str">
        <f>IFERROR(IF(ISNUMBER('Debt to GDP Ratio'!E152),TEXT('Debt to GDP Ratio'!E152,"0.00"), ""), "")</f>
        <v/>
      </c>
    </row>
    <row r="149" spans="1:3">
      <c r="A149" s="23" t="str">
        <f>TEXT(IF('Debt to GDP Ratio'!B153&lt;&gt;0,'Debt to GDP Ratio'!B153-364, ""), "mm/dd/yyyy")</f>
        <v/>
      </c>
      <c r="B149" s="23" t="str">
        <f>IFERROR(IF(ISNUMBER('Debt to GDP Ratio'!D153),TEXT('Debt to GDP Ratio'!D153,"0.00"), ""), "")</f>
        <v/>
      </c>
      <c r="C149" s="23" t="str">
        <f>IFERROR(IF(ISNUMBER('Debt to GDP Ratio'!E153),TEXT('Debt to GDP Ratio'!E153,"0.00"), ""), "")</f>
        <v/>
      </c>
    </row>
    <row r="150" spans="1:3">
      <c r="A150" s="23" t="str">
        <f>TEXT(IF('Debt to GDP Ratio'!B154&lt;&gt;0,'Debt to GDP Ratio'!B154-364, ""), "mm/dd/yyyy")</f>
        <v/>
      </c>
      <c r="B150" s="23" t="str">
        <f>IFERROR(IF(ISNUMBER('Debt to GDP Ratio'!D154),TEXT('Debt to GDP Ratio'!D154,"0.00"), ""), "")</f>
        <v/>
      </c>
      <c r="C150" s="23" t="str">
        <f>IFERROR(IF(ISNUMBER('Debt to GDP Ratio'!E154),TEXT('Debt to GDP Ratio'!E154,"0.00"), ""), "")</f>
        <v/>
      </c>
    </row>
    <row r="151" spans="1:3">
      <c r="A151" s="23" t="str">
        <f>TEXT(IF('Debt to GDP Ratio'!B155&lt;&gt;0,'Debt to GDP Ratio'!B155-364, ""), "mm/dd/yyyy")</f>
        <v/>
      </c>
      <c r="B151" s="23" t="str">
        <f>IFERROR(IF(ISNUMBER('Debt to GDP Ratio'!D155),TEXT('Debt to GDP Ratio'!D155,"0.00"), ""), "")</f>
        <v/>
      </c>
      <c r="C151" s="23" t="str">
        <f>IFERROR(IF(ISNUMBER('Debt to GDP Ratio'!E155),TEXT('Debt to GDP Ratio'!E155,"0.00"), ""), "")</f>
        <v/>
      </c>
    </row>
    <row r="152" spans="1:3">
      <c r="A152" s="23" t="str">
        <f>TEXT(IF('Debt to GDP Ratio'!B156&lt;&gt;0,'Debt to GDP Ratio'!B156-364, ""), "mm/dd/yyyy")</f>
        <v/>
      </c>
      <c r="B152" s="23" t="str">
        <f>IFERROR(IF(ISNUMBER('Debt to GDP Ratio'!D156),TEXT('Debt to GDP Ratio'!D156,"0.00"), ""), "")</f>
        <v/>
      </c>
      <c r="C152" s="23" t="str">
        <f>IFERROR(IF(ISNUMBER('Debt to GDP Ratio'!E156),TEXT('Debt to GDP Ratio'!E156,"0.00"), ""), "")</f>
        <v/>
      </c>
    </row>
    <row r="153" spans="1:3">
      <c r="A153" s="23" t="str">
        <f>TEXT(IF('Debt to GDP Ratio'!B157&lt;&gt;0,'Debt to GDP Ratio'!B157-364, ""), "mm/dd/yyyy")</f>
        <v/>
      </c>
      <c r="B153" s="23" t="str">
        <f>IFERROR(IF(ISNUMBER('Debt to GDP Ratio'!D157),TEXT('Debt to GDP Ratio'!D157,"0.00"), ""), "")</f>
        <v/>
      </c>
      <c r="C153" s="23" t="str">
        <f>IFERROR(IF(ISNUMBER('Debt to GDP Ratio'!E157),TEXT('Debt to GDP Ratio'!E157,"0.00"), ""), "")</f>
        <v/>
      </c>
    </row>
    <row r="154" spans="1:3">
      <c r="A154" s="23" t="str">
        <f>TEXT(IF('Debt to GDP Ratio'!B158&lt;&gt;0,'Debt to GDP Ratio'!B158-364, ""), "mm/dd/yyyy")</f>
        <v/>
      </c>
      <c r="B154" s="23" t="str">
        <f>IFERROR(IF(ISNUMBER('Debt to GDP Ratio'!D158),TEXT('Debt to GDP Ratio'!D158,"0.00"), ""), "")</f>
        <v/>
      </c>
      <c r="C154" s="23" t="str">
        <f>IFERROR(IF(ISNUMBER('Debt to GDP Ratio'!E158),TEXT('Debt to GDP Ratio'!E158,"0.00"), ""), "")</f>
        <v/>
      </c>
    </row>
    <row r="155" spans="1:3">
      <c r="A155" s="23" t="str">
        <f>TEXT(IF('Debt to GDP Ratio'!B159&lt;&gt;0,'Debt to GDP Ratio'!B159-364, ""), "mm/dd/yyyy")</f>
        <v/>
      </c>
      <c r="B155" s="23" t="str">
        <f>IFERROR(IF(ISNUMBER('Debt to GDP Ratio'!D159),TEXT('Debt to GDP Ratio'!D159,"0.00"), ""), "")</f>
        <v/>
      </c>
      <c r="C155" s="23" t="str">
        <f>IFERROR(IF(ISNUMBER('Debt to GDP Ratio'!E159),TEXT('Debt to GDP Ratio'!E159,"0.00"), ""), "")</f>
        <v/>
      </c>
    </row>
    <row r="156" spans="1:3">
      <c r="A156" s="23" t="str">
        <f>TEXT(IF('Debt to GDP Ratio'!B160&lt;&gt;0,'Debt to GDP Ratio'!B160-364, ""), "mm/dd/yyyy")</f>
        <v/>
      </c>
      <c r="B156" s="23" t="str">
        <f>IFERROR(IF(ISNUMBER('Debt to GDP Ratio'!D160),TEXT('Debt to GDP Ratio'!D160,"0.00"), ""), "")</f>
        <v/>
      </c>
      <c r="C156" s="23" t="str">
        <f>IFERROR(IF(ISNUMBER('Debt to GDP Ratio'!E160),TEXT('Debt to GDP Ratio'!E160,"0.00"), ""), "")</f>
        <v/>
      </c>
    </row>
    <row r="157" spans="1:3">
      <c r="A157" s="23" t="str">
        <f>TEXT(IF('Debt to GDP Ratio'!B161&lt;&gt;0,'Debt to GDP Ratio'!B161-364, ""), "mm/dd/yyyy")</f>
        <v/>
      </c>
      <c r="B157" s="23" t="str">
        <f>IFERROR(IF(ISNUMBER('Debt to GDP Ratio'!D161),TEXT('Debt to GDP Ratio'!D161,"0.00"), ""), "")</f>
        <v/>
      </c>
      <c r="C157" s="23" t="str">
        <f>IFERROR(IF(ISNUMBER('Debt to GDP Ratio'!E161),TEXT('Debt to GDP Ratio'!E161,"0.00"), ""), "")</f>
        <v/>
      </c>
    </row>
    <row r="158" spans="1:3">
      <c r="A158" s="23" t="str">
        <f>TEXT(IF('Debt to GDP Ratio'!B162&lt;&gt;0,'Debt to GDP Ratio'!B162-364, ""), "mm/dd/yyyy")</f>
        <v/>
      </c>
      <c r="B158" s="23" t="str">
        <f>IFERROR(IF(ISNUMBER('Debt to GDP Ratio'!D162),TEXT('Debt to GDP Ratio'!D162,"0.00"), ""), "")</f>
        <v/>
      </c>
      <c r="C158" s="23" t="str">
        <f>IFERROR(IF(ISNUMBER('Debt to GDP Ratio'!E162),TEXT('Debt to GDP Ratio'!E162,"0.00"), ""), "")</f>
        <v/>
      </c>
    </row>
    <row r="159" spans="1:3">
      <c r="A159" s="23" t="str">
        <f>TEXT(IF('Debt to GDP Ratio'!B163&lt;&gt;0,'Debt to GDP Ratio'!B163-364, ""), "mm/dd/yyyy")</f>
        <v/>
      </c>
      <c r="B159" s="23" t="str">
        <f>IFERROR(IF(ISNUMBER('Debt to GDP Ratio'!D163),TEXT('Debt to GDP Ratio'!D163,"0.00"), ""), "")</f>
        <v/>
      </c>
      <c r="C159" s="23" t="str">
        <f>IFERROR(IF(ISNUMBER('Debt to GDP Ratio'!E163),TEXT('Debt to GDP Ratio'!E163,"0.00"), ""), "")</f>
        <v/>
      </c>
    </row>
    <row r="160" spans="1:3">
      <c r="A160" s="23" t="str">
        <f>TEXT(IF('Debt to GDP Ratio'!B164&lt;&gt;0,'Debt to GDP Ratio'!B164-364, ""), "mm/dd/yyyy")</f>
        <v/>
      </c>
      <c r="B160" s="23" t="str">
        <f>IFERROR(IF(ISNUMBER('Debt to GDP Ratio'!D164),TEXT('Debt to GDP Ratio'!D164,"0.00"), ""), "")</f>
        <v/>
      </c>
      <c r="C160" s="23" t="str">
        <f>IFERROR(IF(ISNUMBER('Debt to GDP Ratio'!E164),TEXT('Debt to GDP Ratio'!E164,"0.00"), ""), "")</f>
        <v/>
      </c>
    </row>
    <row r="161" spans="1:3">
      <c r="A161" s="23" t="str">
        <f>TEXT(IF('Debt to GDP Ratio'!B165&lt;&gt;0,'Debt to GDP Ratio'!B165-364, ""), "mm/dd/yyyy")</f>
        <v/>
      </c>
      <c r="B161" s="23" t="str">
        <f>IFERROR(IF(ISNUMBER('Debt to GDP Ratio'!D165),TEXT('Debt to GDP Ratio'!D165,"0.00"), ""), "")</f>
        <v/>
      </c>
      <c r="C161" s="23" t="str">
        <f>IFERROR(IF(ISNUMBER('Debt to GDP Ratio'!E165),TEXT('Debt to GDP Ratio'!E165,"0.00"), ""), "")</f>
        <v/>
      </c>
    </row>
    <row r="162" spans="1:3">
      <c r="A162" s="23" t="str">
        <f>TEXT(IF('Debt to GDP Ratio'!B166&lt;&gt;0,'Debt to GDP Ratio'!B166-364, ""), "mm/dd/yyyy")</f>
        <v/>
      </c>
      <c r="B162" s="23" t="str">
        <f>IFERROR(IF(ISNUMBER('Debt to GDP Ratio'!D166),TEXT('Debt to GDP Ratio'!D166,"0.00"), ""), "")</f>
        <v/>
      </c>
      <c r="C162" s="23" t="str">
        <f>IFERROR(IF(ISNUMBER('Debt to GDP Ratio'!E166),TEXT('Debt to GDP Ratio'!E166,"0.00"), ""), "")</f>
        <v/>
      </c>
    </row>
    <row r="163" spans="1:3">
      <c r="A163" s="23" t="str">
        <f>TEXT(IF('Debt to GDP Ratio'!B167&lt;&gt;0,'Debt to GDP Ratio'!B167-364, ""), "mm/dd/yyyy")</f>
        <v/>
      </c>
      <c r="B163" s="23" t="str">
        <f>IFERROR(IF(ISNUMBER('Debt to GDP Ratio'!D167),TEXT('Debt to GDP Ratio'!D167,"0.00"), ""), "")</f>
        <v/>
      </c>
      <c r="C163" s="23" t="str">
        <f>IFERROR(IF(ISNUMBER('Debt to GDP Ratio'!E167),TEXT('Debt to GDP Ratio'!E167,"0.00"), ""), "")</f>
        <v/>
      </c>
    </row>
    <row r="164" spans="1:3">
      <c r="A164" s="23" t="str">
        <f>TEXT(IF('Debt to GDP Ratio'!B168&lt;&gt;0,'Debt to GDP Ratio'!B168-364, ""), "mm/dd/yyyy")</f>
        <v/>
      </c>
      <c r="B164" s="23" t="str">
        <f>IFERROR(IF(ISNUMBER('Debt to GDP Ratio'!D168),TEXT('Debt to GDP Ratio'!D168,"0.00"), ""), "")</f>
        <v/>
      </c>
      <c r="C164" s="23" t="str">
        <f>IFERROR(IF(ISNUMBER('Debt to GDP Ratio'!E168),TEXT('Debt to GDP Ratio'!E168,"0.00"), ""), "")</f>
        <v/>
      </c>
    </row>
    <row r="165" spans="1:3">
      <c r="A165" s="23" t="str">
        <f>TEXT(IF('Debt to GDP Ratio'!B169&lt;&gt;0,'Debt to GDP Ratio'!B169-364, ""), "mm/dd/yyyy")</f>
        <v/>
      </c>
      <c r="B165" s="23" t="str">
        <f>IFERROR(IF(ISNUMBER('Debt to GDP Ratio'!D169),TEXT('Debt to GDP Ratio'!D169,"0.00"), ""), "")</f>
        <v/>
      </c>
      <c r="C165" s="23" t="str">
        <f>IFERROR(IF(ISNUMBER('Debt to GDP Ratio'!E169),TEXT('Debt to GDP Ratio'!E169,"0.00"), ""), "")</f>
        <v/>
      </c>
    </row>
    <row r="166" spans="1:3">
      <c r="A166" s="23" t="str">
        <f>TEXT(IF('Debt to GDP Ratio'!B170&lt;&gt;0,'Debt to GDP Ratio'!B170-364, ""), "mm/dd/yyyy")</f>
        <v/>
      </c>
      <c r="B166" s="23" t="str">
        <f>IFERROR(IF(ISNUMBER('Debt to GDP Ratio'!D170),TEXT('Debt to GDP Ratio'!D170,"0.00"), ""), "")</f>
        <v/>
      </c>
      <c r="C166" s="23" t="str">
        <f>IFERROR(IF(ISNUMBER('Debt to GDP Ratio'!E170),TEXT('Debt to GDP Ratio'!E170,"0.00"), ""), "")</f>
        <v/>
      </c>
    </row>
    <row r="167" spans="1:3">
      <c r="A167" s="23" t="str">
        <f>TEXT(IF('Debt to GDP Ratio'!B171&lt;&gt;0,'Debt to GDP Ratio'!B171-364, ""), "mm/dd/yyyy")</f>
        <v/>
      </c>
      <c r="B167" s="23" t="str">
        <f>IFERROR(IF(ISNUMBER('Debt to GDP Ratio'!D171),TEXT('Debt to GDP Ratio'!D171,"0.00"), ""), "")</f>
        <v/>
      </c>
      <c r="C167" s="23" t="str">
        <f>IFERROR(IF(ISNUMBER('Debt to GDP Ratio'!E171),TEXT('Debt to GDP Ratio'!E171,"0.00"), ""), "")</f>
        <v/>
      </c>
    </row>
    <row r="168" spans="1:3">
      <c r="A168" s="23" t="str">
        <f>TEXT(IF('Debt to GDP Ratio'!B172&lt;&gt;0,'Debt to GDP Ratio'!B172-364, ""), "mm/dd/yyyy")</f>
        <v/>
      </c>
      <c r="B168" s="23" t="str">
        <f>IFERROR(IF(ISNUMBER('Debt to GDP Ratio'!D172),TEXT('Debt to GDP Ratio'!D172,"0.00"), ""), "")</f>
        <v/>
      </c>
      <c r="C168" s="23" t="str">
        <f>IFERROR(IF(ISNUMBER('Debt to GDP Ratio'!E172),TEXT('Debt to GDP Ratio'!E172,"0.00"), ""), "")</f>
        <v/>
      </c>
    </row>
    <row r="169" spans="1:3">
      <c r="A169" s="23" t="str">
        <f>TEXT(IF('Debt to GDP Ratio'!B173&lt;&gt;0,'Debt to GDP Ratio'!B173-364, ""), "mm/dd/yyyy")</f>
        <v/>
      </c>
      <c r="B169" s="23" t="str">
        <f>IFERROR(IF(ISNUMBER('Debt to GDP Ratio'!D173),TEXT('Debt to GDP Ratio'!D173,"0.00"), ""), "")</f>
        <v/>
      </c>
      <c r="C169" s="23" t="str">
        <f>IFERROR(IF(ISNUMBER('Debt to GDP Ratio'!E173),TEXT('Debt to GDP Ratio'!E173,"0.00"), ""), "")</f>
        <v/>
      </c>
    </row>
    <row r="170" spans="1:3">
      <c r="A170" s="23" t="str">
        <f>TEXT(IF('Debt to GDP Ratio'!B174&lt;&gt;0,'Debt to GDP Ratio'!B174-364, ""), "mm/dd/yyyy")</f>
        <v/>
      </c>
      <c r="B170" s="23" t="str">
        <f>IFERROR(IF(ISNUMBER('Debt to GDP Ratio'!D174),TEXT('Debt to GDP Ratio'!D174,"0.00"), ""), "")</f>
        <v/>
      </c>
      <c r="C170" s="23" t="str">
        <f>IFERROR(IF(ISNUMBER('Debt to GDP Ratio'!E174),TEXT('Debt to GDP Ratio'!E174,"0.00"), ""), "")</f>
        <v/>
      </c>
    </row>
    <row r="171" spans="1:3">
      <c r="A171" s="23" t="str">
        <f>TEXT(IF('Debt to GDP Ratio'!B175&lt;&gt;0,'Debt to GDP Ratio'!B175-364, ""), "mm/dd/yyyy")</f>
        <v/>
      </c>
      <c r="B171" s="23" t="str">
        <f>IFERROR(IF(ISNUMBER('Debt to GDP Ratio'!D175),TEXT('Debt to GDP Ratio'!D175,"0.00"), ""), "")</f>
        <v/>
      </c>
      <c r="C171" s="23" t="str">
        <f>IFERROR(IF(ISNUMBER('Debt to GDP Ratio'!E175),TEXT('Debt to GDP Ratio'!E175,"0.00"), ""), "")</f>
        <v/>
      </c>
    </row>
    <row r="172" spans="1:3">
      <c r="A172" s="23" t="str">
        <f>TEXT(IF('Debt to GDP Ratio'!B176&lt;&gt;0,'Debt to GDP Ratio'!B176-364, ""), "mm/dd/yyyy")</f>
        <v/>
      </c>
      <c r="B172" s="23" t="str">
        <f>IFERROR(IF(ISNUMBER('Debt to GDP Ratio'!D176),TEXT('Debt to GDP Ratio'!D176,"0.00"), ""), "")</f>
        <v/>
      </c>
      <c r="C172" s="23" t="str">
        <f>IFERROR(IF(ISNUMBER('Debt to GDP Ratio'!E176),TEXT('Debt to GDP Ratio'!E176,"0.00"), ""), "")</f>
        <v/>
      </c>
    </row>
    <row r="173" spans="1:3">
      <c r="A173" s="23" t="str">
        <f>TEXT(IF('Debt to GDP Ratio'!B177&lt;&gt;0,'Debt to GDP Ratio'!B177-364, ""), "mm/dd/yyyy")</f>
        <v/>
      </c>
      <c r="B173" s="23" t="str">
        <f>IFERROR(IF(ISNUMBER('Debt to GDP Ratio'!D177),TEXT('Debt to GDP Ratio'!D177,"0.00"), ""), "")</f>
        <v/>
      </c>
      <c r="C173" s="23" t="str">
        <f>IFERROR(IF(ISNUMBER('Debt to GDP Ratio'!E177),TEXT('Debt to GDP Ratio'!E177,"0.00"), ""), "")</f>
        <v/>
      </c>
    </row>
    <row r="174" spans="1:3">
      <c r="A174" s="23" t="str">
        <f>TEXT(IF('Debt to GDP Ratio'!B178&lt;&gt;0,'Debt to GDP Ratio'!B178-364, ""), "mm/dd/yyyy")</f>
        <v/>
      </c>
      <c r="B174" s="23" t="str">
        <f>IFERROR(IF(ISNUMBER('Debt to GDP Ratio'!D178),TEXT('Debt to GDP Ratio'!D178,"0.00"), ""), "")</f>
        <v/>
      </c>
      <c r="C174" s="23" t="str">
        <f>IFERROR(IF(ISNUMBER('Debt to GDP Ratio'!E178),TEXT('Debt to GDP Ratio'!E178,"0.00"), ""), "")</f>
        <v/>
      </c>
    </row>
    <row r="175" spans="1:3">
      <c r="A175" s="23" t="str">
        <f>TEXT(IF('Debt to GDP Ratio'!B179&lt;&gt;0,'Debt to GDP Ratio'!B179-364, ""), "mm/dd/yyyy")</f>
        <v/>
      </c>
      <c r="B175" s="23" t="str">
        <f>IFERROR(IF(ISNUMBER('Debt to GDP Ratio'!D179),TEXT('Debt to GDP Ratio'!D179,"0.00"), ""), "")</f>
        <v/>
      </c>
      <c r="C175" s="23" t="str">
        <f>IFERROR(IF(ISNUMBER('Debt to GDP Ratio'!E179),TEXT('Debt to GDP Ratio'!E179,"0.00"), ""), "")</f>
        <v/>
      </c>
    </row>
    <row r="176" spans="1:3">
      <c r="A176" s="23" t="str">
        <f>TEXT(IF('Debt to GDP Ratio'!B180&lt;&gt;0,'Debt to GDP Ratio'!B180-364, ""), "mm/dd/yyyy")</f>
        <v/>
      </c>
      <c r="B176" s="23" t="str">
        <f>IFERROR(IF(ISNUMBER('Debt to GDP Ratio'!D180),TEXT('Debt to GDP Ratio'!D180,"0.00"), ""), "")</f>
        <v/>
      </c>
      <c r="C176" s="23" t="str">
        <f>IFERROR(IF(ISNUMBER('Debt to GDP Ratio'!E180),TEXT('Debt to GDP Ratio'!E180,"0.00"), ""), "")</f>
        <v/>
      </c>
    </row>
    <row r="177" spans="1:3">
      <c r="A177" s="23" t="str">
        <f>TEXT(IF('Debt to GDP Ratio'!B181&lt;&gt;0,'Debt to GDP Ratio'!B181-364, ""), "mm/dd/yyyy")</f>
        <v/>
      </c>
      <c r="B177" s="23" t="str">
        <f>IFERROR(IF(ISNUMBER('Debt to GDP Ratio'!D181),TEXT('Debt to GDP Ratio'!D181,"0.00"), ""), "")</f>
        <v/>
      </c>
      <c r="C177" s="23" t="str">
        <f>IFERROR(IF(ISNUMBER('Debt to GDP Ratio'!E181),TEXT('Debt to GDP Ratio'!E181,"0.00"), ""), "")</f>
        <v/>
      </c>
    </row>
    <row r="178" spans="1:3">
      <c r="A178" s="23" t="str">
        <f>TEXT(IF('Debt to GDP Ratio'!B182&lt;&gt;0,'Debt to GDP Ratio'!B182-364, ""), "mm/dd/yyyy")</f>
        <v/>
      </c>
      <c r="B178" s="23" t="str">
        <f>IFERROR(IF(ISNUMBER('Debt to GDP Ratio'!D182),TEXT('Debt to GDP Ratio'!D182,"0.00"), ""), "")</f>
        <v/>
      </c>
      <c r="C178" s="23" t="str">
        <f>IFERROR(IF(ISNUMBER('Debt to GDP Ratio'!E182),TEXT('Debt to GDP Ratio'!E182,"0.00"), ""), "")</f>
        <v/>
      </c>
    </row>
    <row r="179" spans="1:3">
      <c r="A179" s="23" t="str">
        <f>TEXT(IF('Debt to GDP Ratio'!B183&lt;&gt;0,'Debt to GDP Ratio'!B183-364, ""), "mm/dd/yyyy")</f>
        <v/>
      </c>
      <c r="B179" s="23" t="str">
        <f>IFERROR(IF(ISNUMBER('Debt to GDP Ratio'!D183),TEXT('Debt to GDP Ratio'!D183,"0.00"), ""), "")</f>
        <v/>
      </c>
      <c r="C179" s="23" t="str">
        <f>IFERROR(IF(ISNUMBER('Debt to GDP Ratio'!E183),TEXT('Debt to GDP Ratio'!E183,"0.00"), ""), "")</f>
        <v/>
      </c>
    </row>
    <row r="180" spans="1:3">
      <c r="A180" s="23" t="str">
        <f>TEXT(IF('Debt to GDP Ratio'!B184&lt;&gt;0,'Debt to GDP Ratio'!B184-364, ""), "mm/dd/yyyy")</f>
        <v/>
      </c>
      <c r="B180" s="23" t="str">
        <f>IFERROR(IF(ISNUMBER('Debt to GDP Ratio'!D184),TEXT('Debt to GDP Ratio'!D184,"0.00"), ""), "")</f>
        <v/>
      </c>
      <c r="C180" s="23" t="str">
        <f>IFERROR(IF(ISNUMBER('Debt to GDP Ratio'!E184),TEXT('Debt to GDP Ratio'!E184,"0.00"), ""), "")</f>
        <v/>
      </c>
    </row>
    <row r="181" spans="1:3">
      <c r="A181" s="23" t="str">
        <f>TEXT(IF('Debt to GDP Ratio'!B185&lt;&gt;0,'Debt to GDP Ratio'!B185-364, ""), "mm/dd/yyyy")</f>
        <v/>
      </c>
      <c r="B181" s="23" t="str">
        <f>IFERROR(IF(ISNUMBER('Debt to GDP Ratio'!D185),TEXT('Debt to GDP Ratio'!D185,"0.00"), ""), "")</f>
        <v/>
      </c>
      <c r="C181" s="23" t="str">
        <f>IFERROR(IF(ISNUMBER('Debt to GDP Ratio'!E185),TEXT('Debt to GDP Ratio'!E185,"0.00"), ""), "")</f>
        <v/>
      </c>
    </row>
    <row r="182" spans="1:3">
      <c r="A182" s="23" t="str">
        <f>TEXT(IF('Debt to GDP Ratio'!B186&lt;&gt;0,'Debt to GDP Ratio'!B186-364, ""), "mm/dd/yyyy")</f>
        <v/>
      </c>
      <c r="B182" s="23" t="str">
        <f>IFERROR(IF(ISNUMBER('Debt to GDP Ratio'!D186),TEXT('Debt to GDP Ratio'!D186,"0.00"), ""), "")</f>
        <v/>
      </c>
      <c r="C182" s="23" t="str">
        <f>IFERROR(IF(ISNUMBER('Debt to GDP Ratio'!E186),TEXT('Debt to GDP Ratio'!E186,"0.00"), ""), "")</f>
        <v/>
      </c>
    </row>
    <row r="183" spans="1:3">
      <c r="A183" s="23" t="str">
        <f>TEXT(IF('Debt to GDP Ratio'!B187&lt;&gt;0,'Debt to GDP Ratio'!B187-364, ""), "mm/dd/yyyy")</f>
        <v/>
      </c>
      <c r="B183" s="23" t="str">
        <f>IFERROR(IF(ISNUMBER('Debt to GDP Ratio'!D187),TEXT('Debt to GDP Ratio'!D187,"0.00"), ""), "")</f>
        <v/>
      </c>
      <c r="C183" s="23" t="str">
        <f>IFERROR(IF(ISNUMBER('Debt to GDP Ratio'!E187),TEXT('Debt to GDP Ratio'!E187,"0.00"), ""), "")</f>
        <v/>
      </c>
    </row>
    <row r="184" spans="1:3">
      <c r="A184" s="23" t="str">
        <f>TEXT(IF('Debt to GDP Ratio'!B188&lt;&gt;0,'Debt to GDP Ratio'!B188-364, ""), "mm/dd/yyyy")</f>
        <v/>
      </c>
      <c r="B184" s="23" t="str">
        <f>IFERROR(IF(ISNUMBER('Debt to GDP Ratio'!D188),TEXT('Debt to GDP Ratio'!D188,"0.00"), ""), "")</f>
        <v/>
      </c>
      <c r="C184" s="23" t="str">
        <f>IFERROR(IF(ISNUMBER('Debt to GDP Ratio'!E188),TEXT('Debt to GDP Ratio'!E188,"0.00"), ""), "")</f>
        <v/>
      </c>
    </row>
    <row r="185" spans="1:3">
      <c r="A185" s="23" t="str">
        <f>TEXT(IF('Debt to GDP Ratio'!B189&lt;&gt;0,'Debt to GDP Ratio'!B189-364, ""), "mm/dd/yyyy")</f>
        <v/>
      </c>
      <c r="B185" s="23" t="str">
        <f>IFERROR(IF(ISNUMBER('Debt to GDP Ratio'!D189),TEXT('Debt to GDP Ratio'!D189,"0.00"), ""), "")</f>
        <v/>
      </c>
      <c r="C185" s="23" t="str">
        <f>IFERROR(IF(ISNUMBER('Debt to GDP Ratio'!E189),TEXT('Debt to GDP Ratio'!E189,"0.00"), ""), "")</f>
        <v/>
      </c>
    </row>
    <row r="186" spans="1:3">
      <c r="A186" s="23" t="str">
        <f>TEXT(IF('Debt to GDP Ratio'!B190&lt;&gt;0,'Debt to GDP Ratio'!B190-364, ""), "mm/dd/yyyy")</f>
        <v/>
      </c>
      <c r="B186" s="23" t="str">
        <f>IFERROR(IF(ISNUMBER('Debt to GDP Ratio'!D190),TEXT('Debt to GDP Ratio'!D190,"0.00"), ""), "")</f>
        <v/>
      </c>
      <c r="C186" s="23" t="str">
        <f>IFERROR(IF(ISNUMBER('Debt to GDP Ratio'!E190),TEXT('Debt to GDP Ratio'!E190,"0.00"), ""), "")</f>
        <v/>
      </c>
    </row>
    <row r="187" spans="1:3">
      <c r="A187" s="23" t="str">
        <f>TEXT(IF('Debt to GDP Ratio'!B191&lt;&gt;0,'Debt to GDP Ratio'!B191-364, ""), "mm/dd/yyyy")</f>
        <v/>
      </c>
      <c r="B187" s="23" t="str">
        <f>IFERROR(IF(ISNUMBER('Debt to GDP Ratio'!D191),TEXT('Debt to GDP Ratio'!D191,"0.00"), ""), "")</f>
        <v/>
      </c>
      <c r="C187" s="23" t="str">
        <f>IFERROR(IF(ISNUMBER('Debt to GDP Ratio'!E191),TEXT('Debt to GDP Ratio'!E191,"0.00"), ""), "")</f>
        <v/>
      </c>
    </row>
    <row r="188" spans="1:3">
      <c r="A188" s="23" t="str">
        <f>TEXT(IF('Debt to GDP Ratio'!B192&lt;&gt;0,'Debt to GDP Ratio'!B192-364, ""), "mm/dd/yyyy")</f>
        <v/>
      </c>
      <c r="B188" s="23" t="str">
        <f>IFERROR(IF(ISNUMBER('Debt to GDP Ratio'!D192),TEXT('Debt to GDP Ratio'!D192,"0.00"), ""), "")</f>
        <v/>
      </c>
      <c r="C188" s="23" t="str">
        <f>IFERROR(IF(ISNUMBER('Debt to GDP Ratio'!E192),TEXT('Debt to GDP Ratio'!E192,"0.00"), ""), "")</f>
        <v/>
      </c>
    </row>
    <row r="189" spans="1:3">
      <c r="A189" s="23" t="str">
        <f>TEXT(IF('Debt to GDP Ratio'!B193&lt;&gt;0,'Debt to GDP Ratio'!B193-364, ""), "mm/dd/yyyy")</f>
        <v/>
      </c>
      <c r="B189" s="23" t="str">
        <f>IFERROR(IF(ISNUMBER('Debt to GDP Ratio'!D193),TEXT('Debt to GDP Ratio'!D193,"0.00"), ""), "")</f>
        <v/>
      </c>
      <c r="C189" s="23" t="str">
        <f>IFERROR(IF(ISNUMBER('Debt to GDP Ratio'!E193),TEXT('Debt to GDP Ratio'!E193,"0.00"), ""), "")</f>
        <v/>
      </c>
    </row>
    <row r="190" spans="1:3">
      <c r="A190" s="23" t="str">
        <f>TEXT(IF('Debt to GDP Ratio'!B194&lt;&gt;0,'Debt to GDP Ratio'!B194-364, ""), "mm/dd/yyyy")</f>
        <v/>
      </c>
      <c r="B190" s="23" t="str">
        <f>IFERROR(IF(ISNUMBER('Debt to GDP Ratio'!D194),TEXT('Debt to GDP Ratio'!D194,"0.00"), ""), "")</f>
        <v/>
      </c>
      <c r="C190" s="23" t="str">
        <f>IFERROR(IF(ISNUMBER('Debt to GDP Ratio'!E194),TEXT('Debt to GDP Ratio'!E194,"0.00"), ""), "")</f>
        <v/>
      </c>
    </row>
    <row r="191" spans="1:3">
      <c r="A191" s="23" t="str">
        <f>TEXT(IF('Debt to GDP Ratio'!B195&lt;&gt;0,'Debt to GDP Ratio'!B195-364, ""), "mm/dd/yyyy")</f>
        <v/>
      </c>
      <c r="B191" s="23" t="str">
        <f>IFERROR(IF(ISNUMBER('Debt to GDP Ratio'!D195),TEXT('Debt to GDP Ratio'!D195,"0.00"), ""), "")</f>
        <v/>
      </c>
      <c r="C191" s="23" t="str">
        <f>IFERROR(IF(ISNUMBER('Debt to GDP Ratio'!E195),TEXT('Debt to GDP Ratio'!E195,"0.00"), ""), "")</f>
        <v/>
      </c>
    </row>
    <row r="192" spans="1:3">
      <c r="A192" s="23" t="str">
        <f>TEXT(IF('Debt to GDP Ratio'!B196&lt;&gt;0,'Debt to GDP Ratio'!B196-364, ""), "mm/dd/yyyy")</f>
        <v/>
      </c>
      <c r="B192" s="23" t="str">
        <f>IFERROR(IF(ISNUMBER('Debt to GDP Ratio'!D196),TEXT('Debt to GDP Ratio'!D196,"0.00"), ""), "")</f>
        <v/>
      </c>
      <c r="C192" s="23" t="str">
        <f>IFERROR(IF(ISNUMBER('Debt to GDP Ratio'!E196),TEXT('Debt to GDP Ratio'!E196,"0.00"), ""), "")</f>
        <v/>
      </c>
    </row>
    <row r="193" spans="1:3">
      <c r="A193" s="23" t="str">
        <f>TEXT(IF('Debt to GDP Ratio'!B197&lt;&gt;0,'Debt to GDP Ratio'!B197-364, ""), "mm/dd/yyyy")</f>
        <v/>
      </c>
      <c r="B193" s="23" t="str">
        <f>IFERROR(IF(ISNUMBER('Debt to GDP Ratio'!D197),TEXT('Debt to GDP Ratio'!D197,"0.00"), ""), "")</f>
        <v/>
      </c>
      <c r="C193" s="23" t="str">
        <f>IFERROR(IF(ISNUMBER('Debt to GDP Ratio'!E197),TEXT('Debt to GDP Ratio'!E197,"0.00"), ""), "")</f>
        <v/>
      </c>
    </row>
    <row r="194" spans="1:3">
      <c r="A194" s="23" t="str">
        <f>TEXT(IF('Debt to GDP Ratio'!B198&lt;&gt;0,'Debt to GDP Ratio'!B198-364, ""), "mm/dd/yyyy")</f>
        <v/>
      </c>
      <c r="B194" s="23" t="str">
        <f>IFERROR(IF(ISNUMBER('Debt to GDP Ratio'!D198),TEXT('Debt to GDP Ratio'!D198,"0.00"), ""), "")</f>
        <v/>
      </c>
      <c r="C194" s="23" t="str">
        <f>IFERROR(IF(ISNUMBER('Debt to GDP Ratio'!E198),TEXT('Debt to GDP Ratio'!E198,"0.00"), ""), "")</f>
        <v/>
      </c>
    </row>
    <row r="195" spans="1:3">
      <c r="A195" s="23" t="str">
        <f>TEXT(IF('Debt to GDP Ratio'!B199&lt;&gt;0,'Debt to GDP Ratio'!B199-364, ""), "mm/dd/yyyy")</f>
        <v/>
      </c>
      <c r="B195" s="23" t="str">
        <f>IFERROR(IF(ISNUMBER('Debt to GDP Ratio'!D199),TEXT('Debt to GDP Ratio'!D199,"0.00"), ""), "")</f>
        <v/>
      </c>
      <c r="C195" s="23" t="str">
        <f>IFERROR(IF(ISNUMBER('Debt to GDP Ratio'!E199),TEXT('Debt to GDP Ratio'!E199,"0.00"), ""), "")</f>
        <v/>
      </c>
    </row>
    <row r="196" spans="1:3">
      <c r="A196" s="23" t="str">
        <f>TEXT(IF('Debt to GDP Ratio'!B200&lt;&gt;0,'Debt to GDP Ratio'!B200-364, ""), "mm/dd/yyyy")</f>
        <v/>
      </c>
      <c r="B196" s="23" t="str">
        <f>IFERROR(IF(ISNUMBER('Debt to GDP Ratio'!D200),TEXT('Debt to GDP Ratio'!D200,"0.00"), ""), "")</f>
        <v/>
      </c>
      <c r="C196" s="23" t="str">
        <f>IFERROR(IF(ISNUMBER('Debt to GDP Ratio'!E200),TEXT('Debt to GDP Ratio'!E200,"0.00"), ""), "")</f>
        <v/>
      </c>
    </row>
    <row r="197" spans="1:3">
      <c r="A197" s="23" t="str">
        <f>TEXT(IF('Debt to GDP Ratio'!B201&lt;&gt;0,'Debt to GDP Ratio'!B201-364, ""), "mm/dd/yyyy")</f>
        <v/>
      </c>
      <c r="B197" s="23" t="str">
        <f>IFERROR(IF(ISNUMBER('Debt to GDP Ratio'!D201),TEXT('Debt to GDP Ratio'!D201,"0.00"), ""), "")</f>
        <v/>
      </c>
      <c r="C197" s="23" t="str">
        <f>IFERROR(IF(ISNUMBER('Debt to GDP Ratio'!E201),TEXT('Debt to GDP Ratio'!E201,"0.00"), ""), "")</f>
        <v/>
      </c>
    </row>
    <row r="198" spans="1:3">
      <c r="A198" s="23" t="str">
        <f>TEXT(IF('Debt to GDP Ratio'!B202&lt;&gt;0,'Debt to GDP Ratio'!B202-364, ""), "mm/dd/yyyy")</f>
        <v/>
      </c>
      <c r="B198" s="23" t="str">
        <f>IFERROR(IF(ISNUMBER('Debt to GDP Ratio'!D202),TEXT('Debt to GDP Ratio'!D202,"0.00"), ""), "")</f>
        <v/>
      </c>
      <c r="C198" s="23" t="str">
        <f>IFERROR(IF(ISNUMBER('Debt to GDP Ratio'!E202),TEXT('Debt to GDP Ratio'!E202,"0.00"), ""), "")</f>
        <v/>
      </c>
    </row>
    <row r="199" spans="1:3">
      <c r="A199" s="23" t="str">
        <f>TEXT(IF('Debt to GDP Ratio'!B203&lt;&gt;0,'Debt to GDP Ratio'!B203-364, ""), "mm/dd/yyyy")</f>
        <v/>
      </c>
      <c r="B199" s="23" t="str">
        <f>IFERROR(IF(ISNUMBER('Debt to GDP Ratio'!D203),TEXT('Debt to GDP Ratio'!D203,"0.00"), ""), "")</f>
        <v/>
      </c>
      <c r="C199" s="23" t="str">
        <f>IFERROR(IF(ISNUMBER('Debt to GDP Ratio'!E203),TEXT('Debt to GDP Ratio'!E203,"0.00"), ""), "")</f>
        <v/>
      </c>
    </row>
    <row r="200" spans="1:3">
      <c r="A200" s="23" t="str">
        <f>TEXT(IF('Debt to GDP Ratio'!B204&lt;&gt;0,'Debt to GDP Ratio'!B204-364, ""), "mm/dd/yyyy")</f>
        <v/>
      </c>
      <c r="B200" s="23" t="str">
        <f>IFERROR(IF(ISNUMBER('Debt to GDP Ratio'!D204),TEXT('Debt to GDP Ratio'!D204,"0.00"), ""), "")</f>
        <v/>
      </c>
      <c r="C200" s="23" t="str">
        <f>IFERROR(IF(ISNUMBER('Debt to GDP Ratio'!E204),TEXT('Debt to GDP Ratio'!E204,"0.00"), ""), "")</f>
        <v/>
      </c>
    </row>
    <row r="201" spans="1:3">
      <c r="A201" s="23" t="str">
        <f>TEXT(IF('Debt to GDP Ratio'!B205&lt;&gt;0,'Debt to GDP Ratio'!B205-364, ""), "mm/dd/yyyy")</f>
        <v/>
      </c>
      <c r="B201" s="23" t="str">
        <f>IFERROR(IF(ISNUMBER('Debt to GDP Ratio'!D205),TEXT('Debt to GDP Ratio'!D205,"0.00"), ""), "")</f>
        <v/>
      </c>
      <c r="C201" s="23" t="str">
        <f>IFERROR(IF(ISNUMBER('Debt to GDP Ratio'!E205),TEXT('Debt to GDP Ratio'!E205,"0.00"), ""), "")</f>
        <v/>
      </c>
    </row>
    <row r="202" spans="1:3">
      <c r="A202" s="23" t="str">
        <f>TEXT(IF('Debt to GDP Ratio'!B206&lt;&gt;0,'Debt to GDP Ratio'!B206-364, ""), "mm/dd/yyyy")</f>
        <v/>
      </c>
      <c r="B202" s="23" t="str">
        <f>IFERROR(IF(ISNUMBER('Debt to GDP Ratio'!D206),TEXT('Debt to GDP Ratio'!D206,"0.00"), ""), "")</f>
        <v/>
      </c>
      <c r="C202" s="23" t="str">
        <f>IFERROR(IF(ISNUMBER('Debt to GDP Ratio'!E206),TEXT('Debt to GDP Ratio'!E206,"0.00"), ""), "")</f>
        <v/>
      </c>
    </row>
    <row r="203" spans="1:3">
      <c r="A203" s="23" t="str">
        <f>TEXT(IF('Debt to GDP Ratio'!B207&lt;&gt;0,'Debt to GDP Ratio'!B207-364, ""), "mm/dd/yyyy")</f>
        <v/>
      </c>
      <c r="B203" s="23" t="str">
        <f>IFERROR(IF(ISNUMBER('Debt to GDP Ratio'!D207),TEXT('Debt to GDP Ratio'!D207,"0.00"), ""), "")</f>
        <v/>
      </c>
      <c r="C203" s="23" t="str">
        <f>IFERROR(IF(ISNUMBER('Debt to GDP Ratio'!E207),TEXT('Debt to GDP Ratio'!E207,"0.00"), ""), "")</f>
        <v/>
      </c>
    </row>
    <row r="204" spans="1:3">
      <c r="A204" s="23" t="str">
        <f>TEXT(IF('Debt to GDP Ratio'!B208&lt;&gt;0,'Debt to GDP Ratio'!B208-364, ""), "mm/dd/yyyy")</f>
        <v/>
      </c>
      <c r="B204" s="23" t="str">
        <f>IFERROR(IF(ISNUMBER('Debt to GDP Ratio'!D208),TEXT('Debt to GDP Ratio'!D208,"0.00"), ""), "")</f>
        <v/>
      </c>
      <c r="C204" s="23" t="str">
        <f>IFERROR(IF(ISNUMBER('Debt to GDP Ratio'!E208),TEXT('Debt to GDP Ratio'!E208,"0.00"), ""), "")</f>
        <v/>
      </c>
    </row>
    <row r="205" spans="1:3">
      <c r="A205" s="23" t="str">
        <f>TEXT(IF('Debt to GDP Ratio'!B209&lt;&gt;0,'Debt to GDP Ratio'!B209-364, ""), "mm/dd/yyyy")</f>
        <v/>
      </c>
      <c r="B205" s="23" t="str">
        <f>IFERROR(IF(ISNUMBER('Debt to GDP Ratio'!D209),TEXT('Debt to GDP Ratio'!D209,"0.00"), ""), "")</f>
        <v/>
      </c>
      <c r="C205" s="23" t="str">
        <f>IFERROR(IF(ISNUMBER('Debt to GDP Ratio'!E209),TEXT('Debt to GDP Ratio'!E209,"0.00"), ""), "")</f>
        <v/>
      </c>
    </row>
    <row r="206" spans="1:3">
      <c r="A206" s="23" t="str">
        <f>TEXT(IF('Debt to GDP Ratio'!B210&lt;&gt;0,'Debt to GDP Ratio'!B210-364, ""), "mm/dd/yyyy")</f>
        <v/>
      </c>
      <c r="B206" s="23" t="str">
        <f>IFERROR(IF(ISNUMBER('Debt to GDP Ratio'!D210),TEXT('Debt to GDP Ratio'!D210,"0.00"), ""), "")</f>
        <v/>
      </c>
      <c r="C206" s="23" t="str">
        <f>IFERROR(IF(ISNUMBER('Debt to GDP Ratio'!E210),TEXT('Debt to GDP Ratio'!E210,"0.00"), ""), "")</f>
        <v/>
      </c>
    </row>
    <row r="207" spans="1:3">
      <c r="A207" s="23" t="str">
        <f>TEXT(IF('Debt to GDP Ratio'!B211&lt;&gt;0,'Debt to GDP Ratio'!B211-364, ""), "mm/dd/yyyy")</f>
        <v/>
      </c>
      <c r="B207" s="23" t="str">
        <f>IFERROR(IF(ISNUMBER('Debt to GDP Ratio'!D211),TEXT('Debt to GDP Ratio'!D211,"0.00"), ""), "")</f>
        <v/>
      </c>
      <c r="C207" s="23" t="str">
        <f>IFERROR(IF(ISNUMBER('Debt to GDP Ratio'!E211),TEXT('Debt to GDP Ratio'!E211,"0.00"), ""), "")</f>
        <v/>
      </c>
    </row>
    <row r="208" spans="1:3">
      <c r="A208" s="23" t="str">
        <f>TEXT(IF('Debt to GDP Ratio'!B212&lt;&gt;0,'Debt to GDP Ratio'!B212-364, ""), "mm/dd/yyyy")</f>
        <v/>
      </c>
      <c r="B208" s="23" t="str">
        <f>IFERROR(IF(ISNUMBER('Debt to GDP Ratio'!D212),TEXT('Debt to GDP Ratio'!D212,"0.00"), ""), "")</f>
        <v/>
      </c>
      <c r="C208" s="23" t="str">
        <f>IFERROR(IF(ISNUMBER('Debt to GDP Ratio'!E212),TEXT('Debt to GDP Ratio'!E212,"0.00"), ""), "")</f>
        <v/>
      </c>
    </row>
    <row r="209" spans="1:3">
      <c r="A209" s="23" t="str">
        <f>TEXT(IF('Debt to GDP Ratio'!B213&lt;&gt;0,'Debt to GDP Ratio'!B213-364, ""), "mm/dd/yyyy")</f>
        <v/>
      </c>
      <c r="B209" s="23" t="str">
        <f>IFERROR(IF(ISNUMBER('Debt to GDP Ratio'!D213),TEXT('Debt to GDP Ratio'!D213,"0.00"), ""), "")</f>
        <v/>
      </c>
      <c r="C209" s="23" t="str">
        <f>IFERROR(IF(ISNUMBER('Debt to GDP Ratio'!E213),TEXT('Debt to GDP Ratio'!E213,"0.00"), ""), "")</f>
        <v/>
      </c>
    </row>
    <row r="210" spans="1:3">
      <c r="A210" s="23" t="str">
        <f>TEXT(IF('Debt to GDP Ratio'!B214&lt;&gt;0,'Debt to GDP Ratio'!B214-364, ""), "mm/dd/yyyy")</f>
        <v/>
      </c>
      <c r="B210" s="23" t="str">
        <f>IFERROR(IF(ISNUMBER('Debt to GDP Ratio'!D214),TEXT('Debt to GDP Ratio'!D214,"0.00"), ""), "")</f>
        <v/>
      </c>
      <c r="C210" s="23" t="str">
        <f>IFERROR(IF(ISNUMBER('Debt to GDP Ratio'!E214),TEXT('Debt to GDP Ratio'!E214,"0.00"), ""), "")</f>
        <v/>
      </c>
    </row>
    <row r="211" spans="1:3">
      <c r="A211" s="23" t="str">
        <f>TEXT(IF('Debt to GDP Ratio'!B215&lt;&gt;0,'Debt to GDP Ratio'!B215-364, ""), "mm/dd/yyyy")</f>
        <v/>
      </c>
      <c r="B211" s="23" t="str">
        <f>IFERROR(IF(ISNUMBER('Debt to GDP Ratio'!D215),TEXT('Debt to GDP Ratio'!D215,"0.00"), ""), "")</f>
        <v/>
      </c>
      <c r="C211" s="23" t="str">
        <f>IFERROR(IF(ISNUMBER('Debt to GDP Ratio'!E215),TEXT('Debt to GDP Ratio'!E215,"0.00"), ""), "")</f>
        <v/>
      </c>
    </row>
    <row r="212" spans="1:3">
      <c r="A212" s="23" t="str">
        <f>TEXT(IF('Debt to GDP Ratio'!B216&lt;&gt;0,'Debt to GDP Ratio'!B216-364, ""), "mm/dd/yyyy")</f>
        <v/>
      </c>
      <c r="B212" s="23" t="str">
        <f>IFERROR(IF(ISNUMBER('Debt to GDP Ratio'!D216),TEXT('Debt to GDP Ratio'!D216,"0.00"), ""), "")</f>
        <v/>
      </c>
      <c r="C212" s="23" t="str">
        <f>IFERROR(IF(ISNUMBER('Debt to GDP Ratio'!E216),TEXT('Debt to GDP Ratio'!E216,"0.00"), ""), "")</f>
        <v/>
      </c>
    </row>
    <row r="213" spans="1:3">
      <c r="A213" s="23" t="str">
        <f>TEXT(IF('Debt to GDP Ratio'!B217&lt;&gt;0,'Debt to GDP Ratio'!B217-364, ""), "mm/dd/yyyy")</f>
        <v/>
      </c>
      <c r="B213" s="23" t="str">
        <f>IFERROR(IF(ISNUMBER('Debt to GDP Ratio'!D217),TEXT('Debt to GDP Ratio'!D217,"0.00"), ""), "")</f>
        <v/>
      </c>
      <c r="C213" s="23" t="str">
        <f>IFERROR(IF(ISNUMBER('Debt to GDP Ratio'!E217),TEXT('Debt to GDP Ratio'!E217,"0.00"), ""), "")</f>
        <v/>
      </c>
    </row>
    <row r="214" spans="1:3">
      <c r="A214" s="23" t="str">
        <f>TEXT(IF('Debt to GDP Ratio'!B218&lt;&gt;0,'Debt to GDP Ratio'!B218-364, ""), "mm/dd/yyyy")</f>
        <v/>
      </c>
      <c r="B214" s="23" t="str">
        <f>IFERROR(IF(ISNUMBER('Debt to GDP Ratio'!D218),TEXT('Debt to GDP Ratio'!D218,"0.00"), ""), "")</f>
        <v/>
      </c>
      <c r="C214" s="23" t="str">
        <f>IFERROR(IF(ISNUMBER('Debt to GDP Ratio'!E218),TEXT('Debt to GDP Ratio'!E218,"0.00"), ""), "")</f>
        <v/>
      </c>
    </row>
    <row r="215" spans="1:3">
      <c r="A215" s="23" t="str">
        <f>TEXT(IF('Debt to GDP Ratio'!B219&lt;&gt;0,'Debt to GDP Ratio'!B219-364, ""), "mm/dd/yyyy")</f>
        <v/>
      </c>
      <c r="B215" s="23" t="str">
        <f>IFERROR(IF(ISNUMBER('Debt to GDP Ratio'!D219),TEXT('Debt to GDP Ratio'!D219,"0.00"), ""), "")</f>
        <v/>
      </c>
      <c r="C215" s="23" t="str">
        <f>IFERROR(IF(ISNUMBER('Debt to GDP Ratio'!E219),TEXT('Debt to GDP Ratio'!E219,"0.00"), ""), "")</f>
        <v/>
      </c>
    </row>
    <row r="216" spans="1:3">
      <c r="A216" s="23" t="str">
        <f>TEXT(IF('Debt to GDP Ratio'!B220&lt;&gt;0,'Debt to GDP Ratio'!B220-364, ""), "mm/dd/yyyy")</f>
        <v/>
      </c>
      <c r="B216" s="23" t="str">
        <f>IFERROR(IF(ISNUMBER('Debt to GDP Ratio'!D220),TEXT('Debt to GDP Ratio'!D220,"0.00"), ""), "")</f>
        <v/>
      </c>
      <c r="C216" s="23" t="str">
        <f>IFERROR(IF(ISNUMBER('Debt to GDP Ratio'!E220),TEXT('Debt to GDP Ratio'!E220,"0.00"), ""), "")</f>
        <v/>
      </c>
    </row>
    <row r="217" spans="1:3">
      <c r="A217" s="23" t="str">
        <f>TEXT(IF('Debt to GDP Ratio'!B221&lt;&gt;0,'Debt to GDP Ratio'!B221-364, ""), "mm/dd/yyyy")</f>
        <v/>
      </c>
      <c r="B217" s="23" t="str">
        <f>IFERROR(IF(ISNUMBER('Debt to GDP Ratio'!D221),TEXT('Debt to GDP Ratio'!D221,"0.00"), ""), "")</f>
        <v/>
      </c>
      <c r="C217" s="23" t="str">
        <f>IFERROR(IF(ISNUMBER('Debt to GDP Ratio'!E221),TEXT('Debt to GDP Ratio'!E221,"0.00"), ""), "")</f>
        <v/>
      </c>
    </row>
    <row r="218" spans="1:3">
      <c r="A218" s="23" t="str">
        <f>TEXT(IF('Debt to GDP Ratio'!B222&lt;&gt;0,'Debt to GDP Ratio'!B222-364, ""), "mm/dd/yyyy")</f>
        <v/>
      </c>
      <c r="B218" s="23" t="str">
        <f>IFERROR(IF(ISNUMBER('Debt to GDP Ratio'!D222),TEXT('Debt to GDP Ratio'!D222,"0.00"), ""), "")</f>
        <v/>
      </c>
      <c r="C218" s="23" t="str">
        <f>IFERROR(IF(ISNUMBER('Debt to GDP Ratio'!E222),TEXT('Debt to GDP Ratio'!E222,"0.00"), ""), "")</f>
        <v/>
      </c>
    </row>
    <row r="219" spans="1:3">
      <c r="A219" s="23" t="str">
        <f>TEXT(IF('Debt to GDP Ratio'!B223&lt;&gt;0,'Debt to GDP Ratio'!B223-364, ""), "mm/dd/yyyy")</f>
        <v/>
      </c>
      <c r="B219" s="23" t="str">
        <f>IFERROR(IF(ISNUMBER('Debt to GDP Ratio'!D223),TEXT('Debt to GDP Ratio'!D223,"0.00"), ""), "")</f>
        <v/>
      </c>
      <c r="C219" s="23" t="str">
        <f>IFERROR(IF(ISNUMBER('Debt to GDP Ratio'!E223),TEXT('Debt to GDP Ratio'!E223,"0.00"), ""), "")</f>
        <v/>
      </c>
    </row>
    <row r="220" spans="1:3">
      <c r="A220" s="23" t="str">
        <f>TEXT(IF('Debt to GDP Ratio'!B224&lt;&gt;0,'Debt to GDP Ratio'!B224-364, ""), "mm/dd/yyyy")</f>
        <v/>
      </c>
      <c r="B220" s="23" t="str">
        <f>IFERROR(IF(ISNUMBER('Debt to GDP Ratio'!D224),TEXT('Debt to GDP Ratio'!D224,"0.00"), ""), "")</f>
        <v/>
      </c>
      <c r="C220" s="23" t="str">
        <f>IFERROR(IF(ISNUMBER('Debt to GDP Ratio'!E224),TEXT('Debt to GDP Ratio'!E224,"0.00"), ""), "")</f>
        <v/>
      </c>
    </row>
    <row r="221" spans="1:3">
      <c r="A221" s="23" t="str">
        <f>TEXT(IF('Debt to GDP Ratio'!B225&lt;&gt;0,'Debt to GDP Ratio'!B225-364, ""), "mm/dd/yyyy")</f>
        <v/>
      </c>
      <c r="B221" s="23" t="str">
        <f>IFERROR(IF(ISNUMBER('Debt to GDP Ratio'!D225),TEXT('Debt to GDP Ratio'!D225,"0.00"), ""), "")</f>
        <v/>
      </c>
      <c r="C221" s="23" t="str">
        <f>IFERROR(IF(ISNUMBER('Debt to GDP Ratio'!E225),TEXT('Debt to GDP Ratio'!E225,"0.00"), ""), "")</f>
        <v/>
      </c>
    </row>
    <row r="222" spans="1:3">
      <c r="A222" s="23" t="str">
        <f>TEXT(IF('Debt to GDP Ratio'!B226&lt;&gt;0,'Debt to GDP Ratio'!B226-364, ""), "mm/dd/yyyy")</f>
        <v/>
      </c>
      <c r="B222" s="23" t="str">
        <f>IFERROR(IF(ISNUMBER('Debt to GDP Ratio'!D226),TEXT('Debt to GDP Ratio'!D226,"0.00"), ""), "")</f>
        <v/>
      </c>
      <c r="C222" s="23" t="str">
        <f>IFERROR(IF(ISNUMBER('Debt to GDP Ratio'!E226),TEXT('Debt to GDP Ratio'!E226,"0.00"), ""), "")</f>
        <v/>
      </c>
    </row>
    <row r="223" spans="1:3">
      <c r="A223" s="23" t="str">
        <f>TEXT(IF('Debt to GDP Ratio'!B227&lt;&gt;0,'Debt to GDP Ratio'!B227-364, ""), "mm/dd/yyyy")</f>
        <v/>
      </c>
      <c r="B223" s="23" t="str">
        <f>IFERROR(IF(ISNUMBER('Debt to GDP Ratio'!D227),TEXT('Debt to GDP Ratio'!D227,"0.00"), ""), "")</f>
        <v/>
      </c>
      <c r="C223" s="23" t="str">
        <f>IFERROR(IF(ISNUMBER('Debt to GDP Ratio'!E227),TEXT('Debt to GDP Ratio'!E227,"0.00"), ""), "")</f>
        <v/>
      </c>
    </row>
    <row r="224" spans="1:3">
      <c r="A224" s="23" t="str">
        <f>TEXT(IF('Debt to GDP Ratio'!B228&lt;&gt;0,'Debt to GDP Ratio'!B228-364, ""), "mm/dd/yyyy")</f>
        <v/>
      </c>
      <c r="B224" s="23" t="str">
        <f>IFERROR(IF(ISNUMBER('Debt to GDP Ratio'!D228),TEXT('Debt to GDP Ratio'!D228,"0.00"), ""), "")</f>
        <v/>
      </c>
      <c r="C224" s="23" t="str">
        <f>IFERROR(IF(ISNUMBER('Debt to GDP Ratio'!E228),TEXT('Debt to GDP Ratio'!E228,"0.00"), ""), "")</f>
        <v/>
      </c>
    </row>
    <row r="225" spans="1:3">
      <c r="A225" s="23" t="str">
        <f>TEXT(IF('Debt to GDP Ratio'!B229&lt;&gt;0,'Debt to GDP Ratio'!B229-364, ""), "mm/dd/yyyy")</f>
        <v/>
      </c>
      <c r="B225" s="23" t="str">
        <f>IFERROR(IF(ISNUMBER('Debt to GDP Ratio'!D229),TEXT('Debt to GDP Ratio'!D229,"0.00"), ""), "")</f>
        <v/>
      </c>
      <c r="C225" s="23" t="str">
        <f>IFERROR(IF(ISNUMBER('Debt to GDP Ratio'!E229),TEXT('Debt to GDP Ratio'!E229,"0.00"), ""), "")</f>
        <v/>
      </c>
    </row>
    <row r="226" spans="1:3">
      <c r="A226" s="23" t="str">
        <f>TEXT(IF('Debt to GDP Ratio'!B230&lt;&gt;0,'Debt to GDP Ratio'!B230-364, ""), "mm/dd/yyyy")</f>
        <v/>
      </c>
      <c r="B226" s="23" t="str">
        <f>IFERROR(IF(ISNUMBER('Debt to GDP Ratio'!D230),TEXT('Debt to GDP Ratio'!D230,"0.00"), ""), "")</f>
        <v/>
      </c>
      <c r="C226" s="23" t="str">
        <f>IFERROR(IF(ISNUMBER('Debt to GDP Ratio'!E230),TEXT('Debt to GDP Ratio'!E230,"0.00"), ""), "")</f>
        <v/>
      </c>
    </row>
    <row r="227" spans="1:3">
      <c r="A227" s="23" t="str">
        <f>TEXT(IF('Debt to GDP Ratio'!B231&lt;&gt;0,'Debt to GDP Ratio'!B231-364, ""), "mm/dd/yyyy")</f>
        <v/>
      </c>
      <c r="B227" s="23" t="str">
        <f>IFERROR(IF(ISNUMBER('Debt to GDP Ratio'!D231),TEXT('Debt to GDP Ratio'!D231,"0.00"), ""), "")</f>
        <v/>
      </c>
      <c r="C227" s="23" t="str">
        <f>IFERROR(IF(ISNUMBER('Debt to GDP Ratio'!E231),TEXT('Debt to GDP Ratio'!E231,"0.00"), ""), "")</f>
        <v/>
      </c>
    </row>
    <row r="228" spans="1:3">
      <c r="A228" s="23" t="str">
        <f>TEXT(IF('Debt to GDP Ratio'!B232&lt;&gt;0,'Debt to GDP Ratio'!B232-364, ""), "mm/dd/yyyy")</f>
        <v/>
      </c>
      <c r="B228" s="23" t="str">
        <f>IFERROR(IF(ISNUMBER('Debt to GDP Ratio'!D232),TEXT('Debt to GDP Ratio'!D232,"0.00"), ""), "")</f>
        <v/>
      </c>
      <c r="C228" s="23" t="str">
        <f>IFERROR(IF(ISNUMBER('Debt to GDP Ratio'!E232),TEXT('Debt to GDP Ratio'!E232,"0.00"), ""), "")</f>
        <v/>
      </c>
    </row>
    <row r="229" spans="1:3">
      <c r="A229" s="23" t="str">
        <f>TEXT(IF('Debt to GDP Ratio'!B233&lt;&gt;0,'Debt to GDP Ratio'!B233-364, ""), "mm/dd/yyyy")</f>
        <v/>
      </c>
      <c r="B229" s="23" t="str">
        <f>IFERROR(IF(ISNUMBER('Debt to GDP Ratio'!D233),TEXT('Debt to GDP Ratio'!D233,"0.00"), ""), "")</f>
        <v/>
      </c>
      <c r="C229" s="23" t="str">
        <f>IFERROR(IF(ISNUMBER('Debt to GDP Ratio'!E233),TEXT('Debt to GDP Ratio'!E233,"0.00"), ""), "")</f>
        <v/>
      </c>
    </row>
    <row r="230" spans="1:3">
      <c r="A230" s="23" t="str">
        <f>TEXT(IF('Debt to GDP Ratio'!B234&lt;&gt;0,'Debt to GDP Ratio'!B234-364, ""), "mm/dd/yyyy")</f>
        <v/>
      </c>
      <c r="B230" s="23" t="str">
        <f>IFERROR(IF(ISNUMBER('Debt to GDP Ratio'!D234),TEXT('Debt to GDP Ratio'!D234,"0.00"), ""), "")</f>
        <v/>
      </c>
      <c r="C230" s="23" t="str">
        <f>IFERROR(IF(ISNUMBER('Debt to GDP Ratio'!E234),TEXT('Debt to GDP Ratio'!E234,"0.00"), ""), "")</f>
        <v/>
      </c>
    </row>
    <row r="231" spans="1:3">
      <c r="A231" s="23" t="str">
        <f>TEXT(IF('Debt to GDP Ratio'!B235&lt;&gt;0,'Debt to GDP Ratio'!B235-364, ""), "mm/dd/yyyy")</f>
        <v/>
      </c>
      <c r="B231" s="23" t="str">
        <f>IFERROR(IF(ISNUMBER('Debt to GDP Ratio'!D235),TEXT('Debt to GDP Ratio'!D235,"0.00"), ""), "")</f>
        <v/>
      </c>
      <c r="C231" s="23" t="str">
        <f>IFERROR(IF(ISNUMBER('Debt to GDP Ratio'!E235),TEXT('Debt to GDP Ratio'!E235,"0.00"), ""), "")</f>
        <v/>
      </c>
    </row>
    <row r="232" spans="1:3">
      <c r="A232" s="23" t="str">
        <f>TEXT(IF('Debt to GDP Ratio'!B236&lt;&gt;0,'Debt to GDP Ratio'!B236-364, ""), "mm/dd/yyyy")</f>
        <v/>
      </c>
      <c r="B232" s="23" t="str">
        <f>IFERROR(IF(ISNUMBER('Debt to GDP Ratio'!D236),TEXT('Debt to GDP Ratio'!D236,"0.00"), ""), "")</f>
        <v/>
      </c>
      <c r="C232" s="23" t="str">
        <f>IFERROR(IF(ISNUMBER('Debt to GDP Ratio'!E236),TEXT('Debt to GDP Ratio'!E236,"0.00"), ""), "")</f>
        <v/>
      </c>
    </row>
    <row r="233" spans="1:3">
      <c r="A233" s="23" t="str">
        <f>TEXT(IF('Debt to GDP Ratio'!B237&lt;&gt;0,'Debt to GDP Ratio'!B237-364, ""), "mm/dd/yyyy")</f>
        <v/>
      </c>
      <c r="B233" s="23" t="str">
        <f>IFERROR(IF(ISNUMBER('Debt to GDP Ratio'!D237),TEXT('Debt to GDP Ratio'!D237,"0.00"), ""), "")</f>
        <v/>
      </c>
      <c r="C233" s="23" t="str">
        <f>IFERROR(IF(ISNUMBER('Debt to GDP Ratio'!E237),TEXT('Debt to GDP Ratio'!E237,"0.00"), ""), "")</f>
        <v/>
      </c>
    </row>
    <row r="234" spans="1:3">
      <c r="A234" s="23" t="str">
        <f>TEXT(IF('Debt to GDP Ratio'!B238&lt;&gt;0,'Debt to GDP Ratio'!B238-364, ""), "mm/dd/yyyy")</f>
        <v/>
      </c>
      <c r="B234" s="23" t="str">
        <f>IFERROR(IF(ISNUMBER('Debt to GDP Ratio'!D238),TEXT('Debt to GDP Ratio'!D238,"0.00"), ""), "")</f>
        <v/>
      </c>
      <c r="C234" s="23" t="str">
        <f>IFERROR(IF(ISNUMBER('Debt to GDP Ratio'!E238),TEXT('Debt to GDP Ratio'!E238,"0.00"), ""), "")</f>
        <v/>
      </c>
    </row>
    <row r="235" spans="1:3">
      <c r="A235" s="23" t="str">
        <f>TEXT(IF('Debt to GDP Ratio'!B239&lt;&gt;0,'Debt to GDP Ratio'!B239-364, ""), "mm/dd/yyyy")</f>
        <v/>
      </c>
      <c r="B235" s="23" t="str">
        <f>IFERROR(IF(ISNUMBER('Debt to GDP Ratio'!D239),TEXT('Debt to GDP Ratio'!D239,"0.00"), ""), "")</f>
        <v/>
      </c>
      <c r="C235" s="23" t="str">
        <f>IFERROR(IF(ISNUMBER('Debt to GDP Ratio'!E239),TEXT('Debt to GDP Ratio'!E239,"0.00"), ""), "")</f>
        <v/>
      </c>
    </row>
    <row r="236" spans="1:3">
      <c r="A236" s="23" t="str">
        <f>TEXT(IF('Debt to GDP Ratio'!B240&lt;&gt;0,'Debt to GDP Ratio'!B240-364, ""), "mm/dd/yyyy")</f>
        <v/>
      </c>
      <c r="B236" s="23" t="str">
        <f>IFERROR(IF(ISNUMBER('Debt to GDP Ratio'!D240),TEXT('Debt to GDP Ratio'!D240,"0.00"), ""), "")</f>
        <v/>
      </c>
      <c r="C236" s="23" t="str">
        <f>IFERROR(IF(ISNUMBER('Debt to GDP Ratio'!E240),TEXT('Debt to GDP Ratio'!E240,"0.00"), ""), "")</f>
        <v/>
      </c>
    </row>
    <row r="237" spans="1:3">
      <c r="A237" s="23" t="str">
        <f>TEXT(IF('Debt to GDP Ratio'!B241&lt;&gt;0,'Debt to GDP Ratio'!B241-364, ""), "mm/dd/yyyy")</f>
        <v/>
      </c>
      <c r="B237" s="23" t="str">
        <f>IFERROR(IF(ISNUMBER('Debt to GDP Ratio'!D241),TEXT('Debt to GDP Ratio'!D241,"0.00"), ""), "")</f>
        <v/>
      </c>
      <c r="C237" s="23" t="str">
        <f>IFERROR(IF(ISNUMBER('Debt to GDP Ratio'!E241),TEXT('Debt to GDP Ratio'!E241,"0.00"), ""), "")</f>
        <v/>
      </c>
    </row>
    <row r="238" spans="1:3">
      <c r="A238" s="23" t="str">
        <f>TEXT(IF('Debt to GDP Ratio'!B242&lt;&gt;0,'Debt to GDP Ratio'!B242-364, ""), "mm/dd/yyyy")</f>
        <v/>
      </c>
      <c r="B238" s="23" t="str">
        <f>IFERROR(IF(ISNUMBER('Debt to GDP Ratio'!D242),TEXT('Debt to GDP Ratio'!D242,"0.00"), ""), "")</f>
        <v/>
      </c>
      <c r="C238" s="23" t="str">
        <f>IFERROR(IF(ISNUMBER('Debt to GDP Ratio'!E242),TEXT('Debt to GDP Ratio'!E242,"0.00"), ""), "")</f>
        <v/>
      </c>
    </row>
    <row r="239" spans="1:3">
      <c r="A239" s="23" t="str">
        <f>TEXT(IF('Debt to GDP Ratio'!B243&lt;&gt;0,'Debt to GDP Ratio'!B243-364, ""), "mm/dd/yyyy")</f>
        <v/>
      </c>
      <c r="B239" s="23" t="str">
        <f>IFERROR(IF(ISNUMBER('Debt to GDP Ratio'!D243),TEXT('Debt to GDP Ratio'!D243,"0.00"), ""), "")</f>
        <v/>
      </c>
      <c r="C239" s="23" t="str">
        <f>IFERROR(IF(ISNUMBER('Debt to GDP Ratio'!E243),TEXT('Debt to GDP Ratio'!E243,"0.00"), ""), "")</f>
        <v/>
      </c>
    </row>
    <row r="240" spans="1:3">
      <c r="A240" s="23" t="str">
        <f>TEXT(IF('Debt to GDP Ratio'!B244&lt;&gt;0,'Debt to GDP Ratio'!B244-364, ""), "mm/dd/yyyy")</f>
        <v/>
      </c>
      <c r="B240" s="23" t="str">
        <f>IFERROR(IF(ISNUMBER('Debt to GDP Ratio'!D244),TEXT('Debt to GDP Ratio'!D244,"0.00"), ""), "")</f>
        <v/>
      </c>
      <c r="C240" s="23" t="str">
        <f>IFERROR(IF(ISNUMBER('Debt to GDP Ratio'!E244),TEXT('Debt to GDP Ratio'!E244,"0.00"), ""), "")</f>
        <v/>
      </c>
    </row>
    <row r="241" spans="1:3">
      <c r="A241" s="23" t="str">
        <f>TEXT(IF('Debt to GDP Ratio'!B245&lt;&gt;0,'Debt to GDP Ratio'!B245-364, ""), "mm/dd/yyyy")</f>
        <v/>
      </c>
      <c r="B241" s="23" t="str">
        <f>IFERROR(IF(ISNUMBER('Debt to GDP Ratio'!D245),TEXT('Debt to GDP Ratio'!D245,"0.00"), ""), "")</f>
        <v/>
      </c>
      <c r="C241" s="23" t="str">
        <f>IFERROR(IF(ISNUMBER('Debt to GDP Ratio'!E245),TEXT('Debt to GDP Ratio'!E245,"0.00"), ""), "")</f>
        <v/>
      </c>
    </row>
    <row r="242" spans="1:3">
      <c r="A242" s="23" t="str">
        <f>TEXT(IF('Debt to GDP Ratio'!B246&lt;&gt;0,'Debt to GDP Ratio'!B246-364, ""), "mm/dd/yyyy")</f>
        <v/>
      </c>
      <c r="B242" s="23" t="str">
        <f>IFERROR(IF(ISNUMBER('Debt to GDP Ratio'!D246),TEXT('Debt to GDP Ratio'!D246,"0.00"), ""), "")</f>
        <v/>
      </c>
      <c r="C242" s="23" t="str">
        <f>IFERROR(IF(ISNUMBER('Debt to GDP Ratio'!E246),TEXT('Debt to GDP Ratio'!E246,"0.00"), ""), "")</f>
        <v/>
      </c>
    </row>
    <row r="243" spans="1:3">
      <c r="A243" s="23" t="str">
        <f>TEXT(IF('Debt to GDP Ratio'!B247&lt;&gt;0,'Debt to GDP Ratio'!B247-364, ""), "mm/dd/yyyy")</f>
        <v/>
      </c>
      <c r="B243" s="23" t="str">
        <f>IFERROR(IF(ISNUMBER('Debt to GDP Ratio'!D247),TEXT('Debt to GDP Ratio'!D247,"0.00"), ""), "")</f>
        <v/>
      </c>
      <c r="C243" s="23" t="str">
        <f>IFERROR(IF(ISNUMBER('Debt to GDP Ratio'!E247),TEXT('Debt to GDP Ratio'!E247,"0.00"), ""), "")</f>
        <v/>
      </c>
    </row>
    <row r="244" spans="1:3">
      <c r="A244" s="23" t="str">
        <f>TEXT(IF('Debt to GDP Ratio'!B248&lt;&gt;0,'Debt to GDP Ratio'!B248-364, ""), "mm/dd/yyyy")</f>
        <v/>
      </c>
      <c r="B244" s="23" t="str">
        <f>IFERROR(IF(ISNUMBER('Debt to GDP Ratio'!D248),TEXT('Debt to GDP Ratio'!D248,"0.00"), ""), "")</f>
        <v/>
      </c>
      <c r="C244" s="23" t="str">
        <f>IFERROR(IF(ISNUMBER('Debt to GDP Ratio'!E248),TEXT('Debt to GDP Ratio'!E248,"0.00"), ""), "")</f>
        <v/>
      </c>
    </row>
    <row r="245" spans="1:3">
      <c r="A245" s="23" t="str">
        <f>TEXT(IF('Debt to GDP Ratio'!B249&lt;&gt;0,'Debt to GDP Ratio'!B249-364, ""), "mm/dd/yyyy")</f>
        <v/>
      </c>
      <c r="B245" s="23" t="str">
        <f>IFERROR(IF(ISNUMBER('Debt to GDP Ratio'!D249),TEXT('Debt to GDP Ratio'!D249,"0.00"), ""), "")</f>
        <v/>
      </c>
      <c r="C245" s="23" t="str">
        <f>IFERROR(IF(ISNUMBER('Debt to GDP Ratio'!E249),TEXT('Debt to GDP Ratio'!E249,"0.00"), ""), "")</f>
        <v/>
      </c>
    </row>
    <row r="246" spans="1:3">
      <c r="A246" s="23" t="str">
        <f>TEXT(IF('Debt to GDP Ratio'!B250&lt;&gt;0,'Debt to GDP Ratio'!B250-364, ""), "mm/dd/yyyy")</f>
        <v/>
      </c>
      <c r="B246" s="23" t="str">
        <f>IFERROR(IF(ISNUMBER('Debt to GDP Ratio'!D250),TEXT('Debt to GDP Ratio'!D250,"0.00"), ""), "")</f>
        <v/>
      </c>
      <c r="C246" s="23" t="str">
        <f>IFERROR(IF(ISNUMBER('Debt to GDP Ratio'!E250),TEXT('Debt to GDP Ratio'!E250,"0.00"), ""), "")</f>
        <v/>
      </c>
    </row>
    <row r="247" spans="1:3">
      <c r="A247" s="23" t="str">
        <f>TEXT(IF('Debt to GDP Ratio'!B251&lt;&gt;0,'Debt to GDP Ratio'!B251-364, ""), "mm/dd/yyyy")</f>
        <v/>
      </c>
      <c r="B247" s="23" t="str">
        <f>IFERROR(IF(ISNUMBER('Debt to GDP Ratio'!D251),TEXT('Debt to GDP Ratio'!D251,"0.00"), ""), "")</f>
        <v/>
      </c>
      <c r="C247" s="23" t="str">
        <f>IFERROR(IF(ISNUMBER('Debt to GDP Ratio'!E251),TEXT('Debt to GDP Ratio'!E251,"0.00"), ""), "")</f>
        <v/>
      </c>
    </row>
    <row r="248" spans="1:3">
      <c r="A248" s="23" t="str">
        <f>TEXT(IF('Debt to GDP Ratio'!B252&lt;&gt;0,'Debt to GDP Ratio'!B252-364, ""), "mm/dd/yyyy")</f>
        <v/>
      </c>
      <c r="B248" s="23" t="str">
        <f>IFERROR(IF(ISNUMBER('Debt to GDP Ratio'!D252),TEXT('Debt to GDP Ratio'!D252,"0.00"), ""), "")</f>
        <v/>
      </c>
      <c r="C248" s="23" t="str">
        <f>IFERROR(IF(ISNUMBER('Debt to GDP Ratio'!E252),TEXT('Debt to GDP Ratio'!E252,"0.00"), ""), "")</f>
        <v/>
      </c>
    </row>
    <row r="249" spans="1:3">
      <c r="A249" s="23" t="str">
        <f>TEXT(IF('Debt to GDP Ratio'!B253&lt;&gt;0,'Debt to GDP Ratio'!B253-364, ""), "mm/dd/yyyy")</f>
        <v/>
      </c>
      <c r="B249" s="23" t="str">
        <f>IFERROR(IF(ISNUMBER('Debt to GDP Ratio'!D253),TEXT('Debt to GDP Ratio'!D253,"0.00"), ""), "")</f>
        <v/>
      </c>
      <c r="C249" s="23" t="str">
        <f>IFERROR(IF(ISNUMBER('Debt to GDP Ratio'!E253),TEXT('Debt to GDP Ratio'!E253,"0.00"), ""), "")</f>
        <v/>
      </c>
    </row>
    <row r="250" spans="1:3">
      <c r="A250" s="23" t="str">
        <f>TEXT(IF('Debt to GDP Ratio'!B254&lt;&gt;0,'Debt to GDP Ratio'!B254-364, ""), "mm/dd/yyyy")</f>
        <v/>
      </c>
      <c r="B250" s="23" t="str">
        <f>IFERROR(IF(ISNUMBER('Debt to GDP Ratio'!D254),TEXT('Debt to GDP Ratio'!D254,"0.00"), ""), "")</f>
        <v/>
      </c>
      <c r="C250" s="23" t="str">
        <f>IFERROR(IF(ISNUMBER('Debt to GDP Ratio'!E254),TEXT('Debt to GDP Ratio'!E254,"0.00"), ""), "")</f>
        <v/>
      </c>
    </row>
    <row r="251" spans="1:3">
      <c r="A251" s="23" t="str">
        <f>TEXT(IF('Debt to GDP Ratio'!B255&lt;&gt;0,'Debt to GDP Ratio'!B255-364, ""), "mm/dd/yyyy")</f>
        <v/>
      </c>
      <c r="B251" s="23" t="str">
        <f>IFERROR(IF(ISNUMBER('Debt to GDP Ratio'!D255),TEXT('Debt to GDP Ratio'!D255,"0.00"), ""), "")</f>
        <v/>
      </c>
      <c r="C251" s="23" t="str">
        <f>IFERROR(IF(ISNUMBER('Debt to GDP Ratio'!E255),TEXT('Debt to GDP Ratio'!E255,"0.00"), ""), "")</f>
        <v/>
      </c>
    </row>
    <row r="252" spans="1:3">
      <c r="A252" s="23" t="str">
        <f>TEXT(IF('Debt to GDP Ratio'!B256&lt;&gt;0,'Debt to GDP Ratio'!B256-364, ""), "mm/dd/yyyy")</f>
        <v/>
      </c>
      <c r="B252" s="23" t="str">
        <f>IFERROR(IF(ISNUMBER('Debt to GDP Ratio'!D256),TEXT('Debt to GDP Ratio'!D256,"0.00"), ""), "")</f>
        <v/>
      </c>
      <c r="C252" s="23" t="str">
        <f>IFERROR(IF(ISNUMBER('Debt to GDP Ratio'!E256),TEXT('Debt to GDP Ratio'!E256,"0.00"), ""), "")</f>
        <v/>
      </c>
    </row>
    <row r="253" spans="1:3">
      <c r="A253" s="23" t="str">
        <f>TEXT(IF('Debt to GDP Ratio'!B257&lt;&gt;0,'Debt to GDP Ratio'!B257-364, ""), "mm/dd/yyyy")</f>
        <v/>
      </c>
      <c r="B253" s="23" t="str">
        <f>IFERROR(IF(ISNUMBER('Debt to GDP Ratio'!D257),TEXT('Debt to GDP Ratio'!D257,"0.00"), ""), "")</f>
        <v/>
      </c>
      <c r="C253" s="23" t="str">
        <f>IFERROR(IF(ISNUMBER('Debt to GDP Ratio'!E257),TEXT('Debt to GDP Ratio'!E257,"0.00"), ""), "")</f>
        <v/>
      </c>
    </row>
    <row r="254" spans="1:3">
      <c r="A254" s="23" t="str">
        <f>TEXT(IF('Debt to GDP Ratio'!B258&lt;&gt;0,'Debt to GDP Ratio'!B258-364, ""), "mm/dd/yyyy")</f>
        <v/>
      </c>
      <c r="B254" s="23" t="str">
        <f>IFERROR(IF(ISNUMBER('Debt to GDP Ratio'!D258),TEXT('Debt to GDP Ratio'!D258,"0.00"), ""), "")</f>
        <v/>
      </c>
      <c r="C254" s="23" t="str">
        <f>IFERROR(IF(ISNUMBER('Debt to GDP Ratio'!E258),TEXT('Debt to GDP Ratio'!E258,"0.00"), ""), "")</f>
        <v/>
      </c>
    </row>
    <row r="255" spans="1:3">
      <c r="A255" s="23" t="str">
        <f>TEXT(IF('Debt to GDP Ratio'!B259&lt;&gt;0,'Debt to GDP Ratio'!B259-364, ""), "mm/dd/yyyy")</f>
        <v/>
      </c>
      <c r="B255" s="23" t="str">
        <f>IFERROR(IF(ISNUMBER('Debt to GDP Ratio'!D259),TEXT('Debt to GDP Ratio'!D259,"0.00"), ""), "")</f>
        <v/>
      </c>
      <c r="C255" s="23" t="str">
        <f>IFERROR(IF(ISNUMBER('Debt to GDP Ratio'!E259),TEXT('Debt to GDP Ratio'!E259,"0.00"), ""), "")</f>
        <v/>
      </c>
    </row>
    <row r="256" spans="1:3">
      <c r="A256" s="23" t="str">
        <f>TEXT(IF('Debt to GDP Ratio'!B260&lt;&gt;0,'Debt to GDP Ratio'!B260-364, ""), "mm/dd/yyyy")</f>
        <v/>
      </c>
      <c r="B256" s="23" t="str">
        <f>IFERROR(IF(ISNUMBER('Debt to GDP Ratio'!D260),TEXT('Debt to GDP Ratio'!D260,"0.00"), ""), "")</f>
        <v/>
      </c>
      <c r="C256" s="23" t="str">
        <f>IFERROR(IF(ISNUMBER('Debt to GDP Ratio'!E260),TEXT('Debt to GDP Ratio'!E260,"0.00"), ""), "")</f>
        <v/>
      </c>
    </row>
    <row r="257" spans="1:3">
      <c r="A257" s="23" t="str">
        <f>TEXT(IF('Debt to GDP Ratio'!B261&lt;&gt;0,'Debt to GDP Ratio'!B261-364, ""), "mm/dd/yyyy")</f>
        <v/>
      </c>
      <c r="B257" s="23" t="str">
        <f>IFERROR(IF(ISNUMBER('Debt to GDP Ratio'!D261),TEXT('Debt to GDP Ratio'!D261,"0.00"), ""), "")</f>
        <v/>
      </c>
      <c r="C257" s="23" t="str">
        <f>IFERROR(IF(ISNUMBER('Debt to GDP Ratio'!E261),TEXT('Debt to GDP Ratio'!E261,"0.00"), ""), "")</f>
        <v/>
      </c>
    </row>
    <row r="258" spans="1:3">
      <c r="A258" s="23" t="str">
        <f>TEXT(IF('Debt to GDP Ratio'!B262&lt;&gt;0,'Debt to GDP Ratio'!B262-364, ""), "mm/dd/yyyy")</f>
        <v/>
      </c>
      <c r="B258" s="23" t="str">
        <f>IFERROR(IF(ISNUMBER('Debt to GDP Ratio'!D262),TEXT('Debt to GDP Ratio'!D262,"0.00"), ""), "")</f>
        <v/>
      </c>
      <c r="C258" s="23" t="str">
        <f>IFERROR(IF(ISNUMBER('Debt to GDP Ratio'!E262),TEXT('Debt to GDP Ratio'!E262,"0.00"), ""), "")</f>
        <v/>
      </c>
    </row>
    <row r="259" spans="1:3">
      <c r="A259" s="23" t="str">
        <f>TEXT(IF('Debt to GDP Ratio'!B263&lt;&gt;0,'Debt to GDP Ratio'!B263-364, ""), "mm/dd/yyyy")</f>
        <v/>
      </c>
      <c r="B259" s="23" t="str">
        <f>IFERROR(IF(ISNUMBER('Debt to GDP Ratio'!D263),TEXT('Debt to GDP Ratio'!D263,"0.00"), ""), "")</f>
        <v/>
      </c>
      <c r="C259" s="23" t="str">
        <f>IFERROR(IF(ISNUMBER('Debt to GDP Ratio'!E263),TEXT('Debt to GDP Ratio'!E263,"0.00"), ""), "")</f>
        <v/>
      </c>
    </row>
    <row r="260" spans="1:3">
      <c r="A260" s="23" t="str">
        <f>TEXT(IF('Debt to GDP Ratio'!B264&lt;&gt;0,'Debt to GDP Ratio'!B264-364, ""), "mm/dd/yyyy")</f>
        <v/>
      </c>
      <c r="B260" s="23" t="str">
        <f>IFERROR(IF(ISNUMBER('Debt to GDP Ratio'!D264),TEXT('Debt to GDP Ratio'!D264,"0.00"), ""), "")</f>
        <v/>
      </c>
      <c r="C260" s="23" t="str">
        <f>IFERROR(IF(ISNUMBER('Debt to GDP Ratio'!E264),TEXT('Debt to GDP Ratio'!E264,"0.00"), ""), "")</f>
        <v/>
      </c>
    </row>
    <row r="261" spans="1:3">
      <c r="A261" s="23" t="str">
        <f>TEXT(IF('Debt to GDP Ratio'!B265&lt;&gt;0,'Debt to GDP Ratio'!B265-364, ""), "mm/dd/yyyy")</f>
        <v/>
      </c>
      <c r="B261" s="23" t="str">
        <f>IFERROR(IF(ISNUMBER('Debt to GDP Ratio'!D265),TEXT('Debt to GDP Ratio'!D265,"0.00"), ""), "")</f>
        <v/>
      </c>
      <c r="C261" s="23" t="str">
        <f>IFERROR(IF(ISNUMBER('Debt to GDP Ratio'!E265),TEXT('Debt to GDP Ratio'!E265,"0.00"), ""), "")</f>
        <v/>
      </c>
    </row>
    <row r="262" spans="1:3">
      <c r="A262" s="23" t="str">
        <f>TEXT(IF('Debt to GDP Ratio'!B266&lt;&gt;0,'Debt to GDP Ratio'!B266-364, ""), "mm/dd/yyyy")</f>
        <v/>
      </c>
      <c r="B262" s="23" t="str">
        <f>IFERROR(IF(ISNUMBER('Debt to GDP Ratio'!D266),TEXT('Debt to GDP Ratio'!D266,"0.00"), ""), "")</f>
        <v/>
      </c>
      <c r="C262" s="23" t="str">
        <f>IFERROR(IF(ISNUMBER('Debt to GDP Ratio'!E266),TEXT('Debt to GDP Ratio'!E266,"0.00"), ""), "")</f>
        <v/>
      </c>
    </row>
    <row r="263" spans="1:3">
      <c r="A263" s="23" t="str">
        <f>TEXT(IF('Debt to GDP Ratio'!B267&lt;&gt;0,'Debt to GDP Ratio'!B267-364, ""), "mm/dd/yyyy")</f>
        <v/>
      </c>
      <c r="B263" s="23" t="str">
        <f>IFERROR(IF(ISNUMBER('Debt to GDP Ratio'!D267),TEXT('Debt to GDP Ratio'!D267,"0.00"), ""), "")</f>
        <v/>
      </c>
      <c r="C263" s="23" t="str">
        <f>IFERROR(IF(ISNUMBER('Debt to GDP Ratio'!E267),TEXT('Debt to GDP Ratio'!E267,"0.00"), ""), "")</f>
        <v/>
      </c>
    </row>
    <row r="264" spans="1:3">
      <c r="A264" s="23" t="str">
        <f>TEXT(IF('Debt to GDP Ratio'!B268&lt;&gt;0,'Debt to GDP Ratio'!B268-364, ""), "mm/dd/yyyy")</f>
        <v/>
      </c>
      <c r="B264" s="23" t="str">
        <f>IFERROR(IF(ISNUMBER('Debt to GDP Ratio'!D268),TEXT('Debt to GDP Ratio'!D268,"0.00"), ""), "")</f>
        <v/>
      </c>
      <c r="C264" s="23" t="str">
        <f>IFERROR(IF(ISNUMBER('Debt to GDP Ratio'!E268),TEXT('Debt to GDP Ratio'!E268,"0.00"), ""), "")</f>
        <v/>
      </c>
    </row>
    <row r="265" spans="1:3">
      <c r="A265" s="23" t="str">
        <f>TEXT(IF('Debt to GDP Ratio'!B269&lt;&gt;0,'Debt to GDP Ratio'!B269-364, ""), "mm/dd/yyyy")</f>
        <v/>
      </c>
      <c r="B265" s="23" t="str">
        <f>IFERROR(IF(ISNUMBER('Debt to GDP Ratio'!D269),TEXT('Debt to GDP Ratio'!D269,"0.00"), ""), "")</f>
        <v/>
      </c>
      <c r="C265" s="23" t="str">
        <f>IFERROR(IF(ISNUMBER('Debt to GDP Ratio'!E269),TEXT('Debt to GDP Ratio'!E269,"0.00"), ""), "")</f>
        <v/>
      </c>
    </row>
    <row r="266" spans="1:3">
      <c r="A266" s="23" t="str">
        <f>TEXT(IF('Debt to GDP Ratio'!B270&lt;&gt;0,'Debt to GDP Ratio'!B270-364, ""), "mm/dd/yyyy")</f>
        <v/>
      </c>
      <c r="B266" s="23" t="str">
        <f>IFERROR(IF(ISNUMBER('Debt to GDP Ratio'!D270),TEXT('Debt to GDP Ratio'!D270,"0.00"), ""), "")</f>
        <v/>
      </c>
      <c r="C266" s="23" t="str">
        <f>IFERROR(IF(ISNUMBER('Debt to GDP Ratio'!E270),TEXT('Debt to GDP Ratio'!E270,"0.00"), ""), "")</f>
        <v/>
      </c>
    </row>
    <row r="267" spans="1:3">
      <c r="A267" s="23" t="str">
        <f>TEXT(IF('Debt to GDP Ratio'!B271&lt;&gt;0,'Debt to GDP Ratio'!B271-364, ""), "mm/dd/yyyy")</f>
        <v/>
      </c>
      <c r="B267" s="23" t="str">
        <f>IFERROR(IF(ISNUMBER('Debt to GDP Ratio'!D271),TEXT('Debt to GDP Ratio'!D271,"0.00"), ""), "")</f>
        <v/>
      </c>
      <c r="C267" s="23" t="str">
        <f>IFERROR(IF(ISNUMBER('Debt to GDP Ratio'!E271),TEXT('Debt to GDP Ratio'!E271,"0.00"), ""), "")</f>
        <v/>
      </c>
    </row>
    <row r="268" spans="1:3">
      <c r="A268" s="23" t="str">
        <f>TEXT(IF('Debt to GDP Ratio'!B272&lt;&gt;0,'Debt to GDP Ratio'!B272-364, ""), "mm/dd/yyyy")</f>
        <v/>
      </c>
      <c r="B268" s="23" t="str">
        <f>IFERROR(IF(ISNUMBER('Debt to GDP Ratio'!D272),TEXT('Debt to GDP Ratio'!D272,"0.00"), ""), "")</f>
        <v/>
      </c>
      <c r="C268" s="23" t="str">
        <f>IFERROR(IF(ISNUMBER('Debt to GDP Ratio'!E272),TEXT('Debt to GDP Ratio'!E272,"0.00"), ""), "")</f>
        <v/>
      </c>
    </row>
    <row r="269" spans="1:3">
      <c r="A269" s="23" t="str">
        <f>TEXT(IF('Debt to GDP Ratio'!B273&lt;&gt;0,'Debt to GDP Ratio'!B273-364, ""), "mm/dd/yyyy")</f>
        <v/>
      </c>
      <c r="B269" s="23" t="str">
        <f>IFERROR(IF(ISNUMBER('Debt to GDP Ratio'!D273),TEXT('Debt to GDP Ratio'!D273,"0.00"), ""), "")</f>
        <v/>
      </c>
      <c r="C269" s="23" t="str">
        <f>IFERROR(IF(ISNUMBER('Debt to GDP Ratio'!E273),TEXT('Debt to GDP Ratio'!E273,"0.00"), ""), "")</f>
        <v/>
      </c>
    </row>
    <row r="270" spans="1:3">
      <c r="A270" s="23" t="str">
        <f>TEXT(IF('Debt to GDP Ratio'!B274&lt;&gt;0,'Debt to GDP Ratio'!B274-364, ""), "mm/dd/yyyy")</f>
        <v/>
      </c>
      <c r="B270" s="23" t="str">
        <f>IFERROR(IF(ISNUMBER('Debt to GDP Ratio'!D274),TEXT('Debt to GDP Ratio'!D274,"0.00"), ""), "")</f>
        <v/>
      </c>
      <c r="C270" s="23" t="str">
        <f>IFERROR(IF(ISNUMBER('Debt to GDP Ratio'!E274),TEXT('Debt to GDP Ratio'!E274,"0.00"), ""), "")</f>
        <v/>
      </c>
    </row>
    <row r="271" spans="1:3">
      <c r="A271" s="23" t="str">
        <f>TEXT(IF('Debt to GDP Ratio'!B275&lt;&gt;0,'Debt to GDP Ratio'!B275-364, ""), "mm/dd/yyyy")</f>
        <v/>
      </c>
      <c r="B271" s="23" t="str">
        <f>IFERROR(IF(ISNUMBER('Debt to GDP Ratio'!D275),TEXT('Debt to GDP Ratio'!D275,"0.00"), ""), "")</f>
        <v/>
      </c>
      <c r="C271" s="23" t="str">
        <f>IFERROR(IF(ISNUMBER('Debt to GDP Ratio'!E275),TEXT('Debt to GDP Ratio'!E275,"0.00"), ""), "")</f>
        <v/>
      </c>
    </row>
    <row r="272" spans="1:3">
      <c r="A272" s="23" t="str">
        <f>TEXT(IF('Debt to GDP Ratio'!B276&lt;&gt;0,'Debt to GDP Ratio'!B276-364, ""), "mm/dd/yyyy")</f>
        <v/>
      </c>
      <c r="B272" s="23" t="str">
        <f>IFERROR(IF(ISNUMBER('Debt to GDP Ratio'!D276),TEXT('Debt to GDP Ratio'!D276,"0.00"), ""), "")</f>
        <v/>
      </c>
      <c r="C272" s="23" t="str">
        <f>IFERROR(IF(ISNUMBER('Debt to GDP Ratio'!E276),TEXT('Debt to GDP Ratio'!E276,"0.00"), ""), "")</f>
        <v/>
      </c>
    </row>
    <row r="273" spans="1:3">
      <c r="A273" s="23" t="str">
        <f>TEXT(IF('Debt to GDP Ratio'!B277&lt;&gt;0,'Debt to GDP Ratio'!B277-364, ""), "mm/dd/yyyy")</f>
        <v/>
      </c>
      <c r="B273" s="23" t="str">
        <f>IFERROR(IF(ISNUMBER('Debt to GDP Ratio'!D277),TEXT('Debt to GDP Ratio'!D277,"0.00"), ""), "")</f>
        <v/>
      </c>
      <c r="C273" s="23" t="str">
        <f>IFERROR(IF(ISNUMBER('Debt to GDP Ratio'!E277),TEXT('Debt to GDP Ratio'!E277,"0.00"), ""), "")</f>
        <v/>
      </c>
    </row>
    <row r="274" spans="1:3">
      <c r="A274" s="23" t="str">
        <f>TEXT(IF('Debt to GDP Ratio'!B278&lt;&gt;0,'Debt to GDP Ratio'!B278-364, ""), "mm/dd/yyyy")</f>
        <v/>
      </c>
      <c r="B274" s="23" t="str">
        <f>IFERROR(IF(ISNUMBER('Debt to GDP Ratio'!D278),TEXT('Debt to GDP Ratio'!D278,"0.00"), ""), "")</f>
        <v/>
      </c>
      <c r="C274" s="23" t="str">
        <f>IFERROR(IF(ISNUMBER('Debt to GDP Ratio'!E278),TEXT('Debt to GDP Ratio'!E278,"0.00"), ""), "")</f>
        <v/>
      </c>
    </row>
    <row r="275" spans="1:3">
      <c r="A275" s="23" t="str">
        <f>TEXT(IF('Debt to GDP Ratio'!B279&lt;&gt;0,'Debt to GDP Ratio'!B279-364, ""), "mm/dd/yyyy")</f>
        <v/>
      </c>
      <c r="B275" s="23" t="str">
        <f>IFERROR(IF(ISNUMBER('Debt to GDP Ratio'!D279),TEXT('Debt to GDP Ratio'!D279,"0.00"), ""), "")</f>
        <v/>
      </c>
      <c r="C275" s="23" t="str">
        <f>IFERROR(IF(ISNUMBER('Debt to GDP Ratio'!E279),TEXT('Debt to GDP Ratio'!E279,"0.00"), ""), "")</f>
        <v/>
      </c>
    </row>
    <row r="276" spans="1:3">
      <c r="A276" s="23" t="str">
        <f>TEXT(IF('Debt to GDP Ratio'!B280&lt;&gt;0,'Debt to GDP Ratio'!B280-364, ""), "mm/dd/yyyy")</f>
        <v/>
      </c>
      <c r="B276" s="23" t="str">
        <f>IFERROR(IF(ISNUMBER('Debt to GDP Ratio'!D280),TEXT('Debt to GDP Ratio'!D280,"0.00"), ""), "")</f>
        <v/>
      </c>
      <c r="C276" s="23" t="str">
        <f>IFERROR(IF(ISNUMBER('Debt to GDP Ratio'!E280),TEXT('Debt to GDP Ratio'!E280,"0.00"), ""), "")</f>
        <v/>
      </c>
    </row>
    <row r="277" spans="1:3">
      <c r="A277" s="23" t="str">
        <f>TEXT(IF('Debt to GDP Ratio'!B281&lt;&gt;0,'Debt to GDP Ratio'!B281-364, ""), "mm/dd/yyyy")</f>
        <v/>
      </c>
      <c r="B277" s="23" t="str">
        <f>IFERROR(IF(ISNUMBER('Debt to GDP Ratio'!D281),TEXT('Debt to GDP Ratio'!D281,"0.00"), ""), "")</f>
        <v/>
      </c>
      <c r="C277" s="23" t="str">
        <f>IFERROR(IF(ISNUMBER('Debt to GDP Ratio'!E281),TEXT('Debt to GDP Ratio'!E281,"0.00"), ""), "")</f>
        <v/>
      </c>
    </row>
    <row r="278" spans="1:3">
      <c r="A278" s="23" t="str">
        <f>TEXT(IF('Debt to GDP Ratio'!B282&lt;&gt;0,'Debt to GDP Ratio'!B282-364, ""), "mm/dd/yyyy")</f>
        <v/>
      </c>
      <c r="B278" s="23" t="str">
        <f>IFERROR(IF(ISNUMBER('Debt to GDP Ratio'!D282),TEXT('Debt to GDP Ratio'!D282,"0.00"), ""), "")</f>
        <v/>
      </c>
      <c r="C278" s="23" t="str">
        <f>IFERROR(IF(ISNUMBER('Debt to GDP Ratio'!E282),TEXT('Debt to GDP Ratio'!E282,"0.00"), ""), "")</f>
        <v/>
      </c>
    </row>
    <row r="279" spans="1:3">
      <c r="A279" s="23" t="str">
        <f>TEXT(IF('Debt to GDP Ratio'!B283&lt;&gt;0,'Debt to GDP Ratio'!B283-364, ""), "mm/dd/yyyy")</f>
        <v/>
      </c>
      <c r="B279" s="23" t="str">
        <f>IFERROR(IF(ISNUMBER('Debt to GDP Ratio'!D283),TEXT('Debt to GDP Ratio'!D283,"0.00"), ""), "")</f>
        <v/>
      </c>
      <c r="C279" s="23" t="str">
        <f>IFERROR(IF(ISNUMBER('Debt to GDP Ratio'!E283),TEXT('Debt to GDP Ratio'!E283,"0.00"), ""), "")</f>
        <v/>
      </c>
    </row>
    <row r="280" spans="1:3">
      <c r="A280" s="23" t="str">
        <f>TEXT(IF('Debt to GDP Ratio'!B284&lt;&gt;0,'Debt to GDP Ratio'!B284-364, ""), "mm/dd/yyyy")</f>
        <v/>
      </c>
      <c r="B280" s="23" t="str">
        <f>IFERROR(IF(ISNUMBER('Debt to GDP Ratio'!D284),TEXT('Debt to GDP Ratio'!D284,"0.00"), ""), "")</f>
        <v/>
      </c>
      <c r="C280" s="23" t="str">
        <f>IFERROR(IF(ISNUMBER('Debt to GDP Ratio'!E284),TEXT('Debt to GDP Ratio'!E284,"0.00"), ""), "")</f>
        <v/>
      </c>
    </row>
    <row r="281" spans="1:3">
      <c r="A281" s="23" t="str">
        <f>TEXT(IF('Debt to GDP Ratio'!B285&lt;&gt;0,'Debt to GDP Ratio'!B285-364, ""), "mm/dd/yyyy")</f>
        <v/>
      </c>
      <c r="B281" s="23" t="str">
        <f>IFERROR(IF(ISNUMBER('Debt to GDP Ratio'!D285),TEXT('Debt to GDP Ratio'!D285,"0.00"), ""), "")</f>
        <v/>
      </c>
      <c r="C281" s="23" t="str">
        <f>IFERROR(IF(ISNUMBER('Debt to GDP Ratio'!E285),TEXT('Debt to GDP Ratio'!E285,"0.00"), ""), "")</f>
        <v/>
      </c>
    </row>
    <row r="282" spans="1:3">
      <c r="A282" s="23" t="str">
        <f>TEXT(IF('Debt to GDP Ratio'!B286&lt;&gt;0,'Debt to GDP Ratio'!B286-364, ""), "mm/dd/yyyy")</f>
        <v/>
      </c>
      <c r="B282" s="23" t="str">
        <f>IFERROR(IF(ISNUMBER('Debt to GDP Ratio'!D286),TEXT('Debt to GDP Ratio'!D286,"0.00"), ""), "")</f>
        <v/>
      </c>
      <c r="C282" s="23" t="str">
        <f>IFERROR(IF(ISNUMBER('Debt to GDP Ratio'!E286),TEXT('Debt to GDP Ratio'!E286,"0.00"), ""), "")</f>
        <v/>
      </c>
    </row>
    <row r="283" spans="1:3">
      <c r="A283" s="23" t="str">
        <f>TEXT(IF('Debt to GDP Ratio'!B287&lt;&gt;0,'Debt to GDP Ratio'!B287-364, ""), "mm/dd/yyyy")</f>
        <v/>
      </c>
      <c r="B283" s="23" t="str">
        <f>IFERROR(IF(ISNUMBER('Debt to GDP Ratio'!D287),TEXT('Debt to GDP Ratio'!D287,"0.00"), ""), "")</f>
        <v/>
      </c>
      <c r="C283" s="23" t="str">
        <f>IFERROR(IF(ISNUMBER('Debt to GDP Ratio'!E287),TEXT('Debt to GDP Ratio'!E287,"0.00"), ""), "")</f>
        <v/>
      </c>
    </row>
    <row r="284" spans="1:3">
      <c r="A284" s="23" t="str">
        <f>TEXT(IF('Debt to GDP Ratio'!B288&lt;&gt;0,'Debt to GDP Ratio'!B288-364, ""), "mm/dd/yyyy")</f>
        <v/>
      </c>
      <c r="B284" s="23" t="str">
        <f>IFERROR(IF(ISNUMBER('Debt to GDP Ratio'!D288),TEXT('Debt to GDP Ratio'!D288,"0.00"), ""), "")</f>
        <v/>
      </c>
      <c r="C284" s="23" t="str">
        <f>IFERROR(IF(ISNUMBER('Debt to GDP Ratio'!E288),TEXT('Debt to GDP Ratio'!E288,"0.00"), ""), "")</f>
        <v/>
      </c>
    </row>
    <row r="285" spans="1:3">
      <c r="A285" s="23" t="str">
        <f>TEXT(IF('Debt to GDP Ratio'!B289&lt;&gt;0,'Debt to GDP Ratio'!B289-364, ""), "mm/dd/yyyy")</f>
        <v/>
      </c>
      <c r="B285" s="23" t="str">
        <f>IFERROR(IF(ISNUMBER('Debt to GDP Ratio'!D289),TEXT('Debt to GDP Ratio'!D289,"0.00"), ""), "")</f>
        <v/>
      </c>
      <c r="C285" s="23" t="str">
        <f>IFERROR(IF(ISNUMBER('Debt to GDP Ratio'!E289),TEXT('Debt to GDP Ratio'!E289,"0.00"), ""), "")</f>
        <v/>
      </c>
    </row>
    <row r="286" spans="1:3">
      <c r="A286" s="23" t="str">
        <f>TEXT(IF('Debt to GDP Ratio'!B290&lt;&gt;0,'Debt to GDP Ratio'!B290-364, ""), "mm/dd/yyyy")</f>
        <v/>
      </c>
      <c r="B286" s="23" t="str">
        <f>IFERROR(IF(ISNUMBER('Debt to GDP Ratio'!D290),TEXT('Debt to GDP Ratio'!D290,"0.00"), ""), "")</f>
        <v/>
      </c>
      <c r="C286" s="23" t="str">
        <f>IFERROR(IF(ISNUMBER('Debt to GDP Ratio'!E290),TEXT('Debt to GDP Ratio'!E290,"0.00"), ""), "")</f>
        <v/>
      </c>
    </row>
    <row r="287" spans="1:3">
      <c r="A287" s="23" t="str">
        <f>TEXT(IF('Debt to GDP Ratio'!B291&lt;&gt;0,'Debt to GDP Ratio'!B291-364, ""), "mm/dd/yyyy")</f>
        <v/>
      </c>
      <c r="B287" s="23" t="str">
        <f>IFERROR(IF(ISNUMBER('Debt to GDP Ratio'!D291),TEXT('Debt to GDP Ratio'!D291,"0.00"), ""), "")</f>
        <v/>
      </c>
      <c r="C287" s="23" t="str">
        <f>IFERROR(IF(ISNUMBER('Debt to GDP Ratio'!E291),TEXT('Debt to GDP Ratio'!E291,"0.00"), ""), "")</f>
        <v/>
      </c>
    </row>
    <row r="288" spans="1:3">
      <c r="A288" s="23" t="str">
        <f>TEXT(IF('Debt to GDP Ratio'!B292&lt;&gt;0,'Debt to GDP Ratio'!B292-364, ""), "mm/dd/yyyy")</f>
        <v/>
      </c>
      <c r="B288" s="23" t="str">
        <f>IFERROR(IF(ISNUMBER('Debt to GDP Ratio'!D292),TEXT('Debt to GDP Ratio'!D292,"0.00"), ""), "")</f>
        <v/>
      </c>
      <c r="C288" s="23" t="str">
        <f>IFERROR(IF(ISNUMBER('Debt to GDP Ratio'!E292),TEXT('Debt to GDP Ratio'!E292,"0.00"), ""), "")</f>
        <v/>
      </c>
    </row>
    <row r="289" spans="1:3">
      <c r="A289" s="23" t="str">
        <f>TEXT(IF('Debt to GDP Ratio'!B293&lt;&gt;0,'Debt to GDP Ratio'!B293-364, ""), "mm/dd/yyyy")</f>
        <v/>
      </c>
      <c r="B289" s="23" t="str">
        <f>IFERROR(IF(ISNUMBER('Debt to GDP Ratio'!D293),TEXT('Debt to GDP Ratio'!D293,"0.00"), ""), "")</f>
        <v/>
      </c>
      <c r="C289" s="23" t="str">
        <f>IFERROR(IF(ISNUMBER('Debt to GDP Ratio'!E293),TEXT('Debt to GDP Ratio'!E293,"0.00"), ""), "")</f>
        <v/>
      </c>
    </row>
    <row r="290" spans="1:3">
      <c r="A290" s="23" t="str">
        <f>TEXT(IF('Debt to GDP Ratio'!B294&lt;&gt;0,'Debt to GDP Ratio'!B294-364, ""), "mm/dd/yyyy")</f>
        <v/>
      </c>
      <c r="B290" s="23" t="str">
        <f>IFERROR(IF(ISNUMBER('Debt to GDP Ratio'!D294),TEXT('Debt to GDP Ratio'!D294,"0.00"), ""), "")</f>
        <v/>
      </c>
      <c r="C290" s="23" t="str">
        <f>IFERROR(IF(ISNUMBER('Debt to GDP Ratio'!E294),TEXT('Debt to GDP Ratio'!E294,"0.00"), ""), "")</f>
        <v/>
      </c>
    </row>
    <row r="291" spans="1:3">
      <c r="A291" s="23" t="str">
        <f>TEXT(IF('Debt to GDP Ratio'!B295&lt;&gt;0,'Debt to GDP Ratio'!B295-364, ""), "mm/dd/yyyy")</f>
        <v/>
      </c>
      <c r="B291" s="23" t="str">
        <f>IFERROR(IF(ISNUMBER('Debt to GDP Ratio'!D295),TEXT('Debt to GDP Ratio'!D295,"0.00"), ""), "")</f>
        <v/>
      </c>
      <c r="C291" s="23" t="str">
        <f>IFERROR(IF(ISNUMBER('Debt to GDP Ratio'!E295),TEXT('Debt to GDP Ratio'!E295,"0.00"), ""), "")</f>
        <v/>
      </c>
    </row>
    <row r="292" spans="1:3">
      <c r="A292" s="23" t="str">
        <f>TEXT(IF('Debt to GDP Ratio'!B296&lt;&gt;0,'Debt to GDP Ratio'!B296-364, ""), "mm/dd/yyyy")</f>
        <v/>
      </c>
      <c r="B292" s="23" t="str">
        <f>IFERROR(IF(ISNUMBER('Debt to GDP Ratio'!D296),TEXT('Debt to GDP Ratio'!D296,"0.00"), ""), "")</f>
        <v/>
      </c>
      <c r="C292" s="23" t="str">
        <f>IFERROR(IF(ISNUMBER('Debt to GDP Ratio'!E296),TEXT('Debt to GDP Ratio'!E296,"0.00"), ""), "")</f>
        <v/>
      </c>
    </row>
    <row r="293" spans="1:3">
      <c r="A293" s="23" t="str">
        <f>TEXT(IF('Debt to GDP Ratio'!B297&lt;&gt;0,'Debt to GDP Ratio'!B297-364, ""), "mm/dd/yyyy")</f>
        <v/>
      </c>
      <c r="B293" s="23" t="str">
        <f>IFERROR(IF(ISNUMBER('Debt to GDP Ratio'!D297),TEXT('Debt to GDP Ratio'!D297,"0.00"), ""), "")</f>
        <v/>
      </c>
      <c r="C293" s="23" t="str">
        <f>IFERROR(IF(ISNUMBER('Debt to GDP Ratio'!E297),TEXT('Debt to GDP Ratio'!E297,"0.00"), ""), "")</f>
        <v/>
      </c>
    </row>
    <row r="294" spans="1:3">
      <c r="A294" s="23" t="str">
        <f>TEXT(IF('Debt to GDP Ratio'!B298&lt;&gt;0,'Debt to GDP Ratio'!B298-364, ""), "mm/dd/yyyy")</f>
        <v/>
      </c>
      <c r="B294" s="23" t="str">
        <f>IFERROR(IF(ISNUMBER('Debt to GDP Ratio'!D298),TEXT('Debt to GDP Ratio'!D298,"0.00"), ""), "")</f>
        <v/>
      </c>
      <c r="C294" s="23" t="str">
        <f>IFERROR(IF(ISNUMBER('Debt to GDP Ratio'!E298),TEXT('Debt to GDP Ratio'!E298,"0.00"), ""), "")</f>
        <v/>
      </c>
    </row>
    <row r="295" spans="1:3">
      <c r="A295" s="23" t="str">
        <f>TEXT(IF('Debt to GDP Ratio'!B299&lt;&gt;0,'Debt to GDP Ratio'!B299-364, ""), "mm/dd/yyyy")</f>
        <v/>
      </c>
      <c r="B295" s="23" t="str">
        <f>IFERROR(IF(ISNUMBER('Debt to GDP Ratio'!D299),TEXT('Debt to GDP Ratio'!D299,"0.00"), ""), "")</f>
        <v/>
      </c>
      <c r="C295" s="23" t="str">
        <f>IFERROR(IF(ISNUMBER('Debt to GDP Ratio'!E299),TEXT('Debt to GDP Ratio'!E299,"0.00"), ""), "")</f>
        <v/>
      </c>
    </row>
    <row r="296" spans="1:3">
      <c r="A296" s="23" t="str">
        <f>TEXT(IF('Debt to GDP Ratio'!B300&lt;&gt;0,'Debt to GDP Ratio'!B300-364, ""), "mm/dd/yyyy")</f>
        <v/>
      </c>
      <c r="B296" s="23" t="str">
        <f>IFERROR(IF(ISNUMBER('Debt to GDP Ratio'!D300),TEXT('Debt to GDP Ratio'!D300,"0.00"), ""), "")</f>
        <v/>
      </c>
      <c r="C296" s="23" t="str">
        <f>IFERROR(IF(ISNUMBER('Debt to GDP Ratio'!E300),TEXT('Debt to GDP Ratio'!E300,"0.00"), ""), "")</f>
        <v/>
      </c>
    </row>
    <row r="297" spans="1:3">
      <c r="A297" s="23" t="str">
        <f>TEXT(IF('Debt to GDP Ratio'!B301&lt;&gt;0,'Debt to GDP Ratio'!B301-364, ""), "mm/dd/yyyy")</f>
        <v/>
      </c>
      <c r="B297" s="23" t="str">
        <f>IFERROR(IF(ISNUMBER('Debt to GDP Ratio'!D301),TEXT('Debt to GDP Ratio'!D301,"0.00"), ""), "")</f>
        <v/>
      </c>
      <c r="C297" s="23" t="str">
        <f>IFERROR(IF(ISNUMBER('Debt to GDP Ratio'!E301),TEXT('Debt to GDP Ratio'!E301,"0.00"), ""), "")</f>
        <v/>
      </c>
    </row>
    <row r="298" spans="1:3">
      <c r="A298" s="23" t="str">
        <f>TEXT(IF('Debt to GDP Ratio'!B302&lt;&gt;0,'Debt to GDP Ratio'!B302-364, ""), "mm/dd/yyyy")</f>
        <v/>
      </c>
      <c r="B298" s="23" t="str">
        <f>IFERROR(IF(ISNUMBER('Debt to GDP Ratio'!D302),TEXT('Debt to GDP Ratio'!D302,"0.00"), ""), "")</f>
        <v/>
      </c>
      <c r="C298" s="23" t="str">
        <f>IFERROR(IF(ISNUMBER('Debt to GDP Ratio'!E302),TEXT('Debt to GDP Ratio'!E302,"0.00"), ""), "")</f>
        <v/>
      </c>
    </row>
    <row r="299" spans="1:3">
      <c r="A299" s="23" t="str">
        <f>TEXT(IF('Debt to GDP Ratio'!B303&lt;&gt;0,'Debt to GDP Ratio'!B303-364, ""), "mm/dd/yyyy")</f>
        <v/>
      </c>
      <c r="B299" s="23" t="str">
        <f>IFERROR(IF(ISNUMBER('Debt to GDP Ratio'!D303),TEXT('Debt to GDP Ratio'!D303,"0.00"), ""), "")</f>
        <v/>
      </c>
      <c r="C299" s="23" t="str">
        <f>IFERROR(IF(ISNUMBER('Debt to GDP Ratio'!E303),TEXT('Debt to GDP Ratio'!E303,"0.00"), ""), "")</f>
        <v/>
      </c>
    </row>
    <row r="300" spans="1:3">
      <c r="A300" s="23" t="str">
        <f>TEXT(IF('Debt to GDP Ratio'!B304&lt;&gt;0,'Debt to GDP Ratio'!B304-364, ""), "mm/dd/yyyy")</f>
        <v/>
      </c>
      <c r="B300" s="23" t="str">
        <f>IFERROR(IF(ISNUMBER('Debt to GDP Ratio'!D304),TEXT('Debt to GDP Ratio'!D304,"0.00"), ""), "")</f>
        <v/>
      </c>
      <c r="C300" s="23" t="str">
        <f>IFERROR(IF(ISNUMBER('Debt to GDP Ratio'!E304),TEXT('Debt to GDP Ratio'!E304,"0.00"), ""), "")</f>
        <v/>
      </c>
    </row>
    <row r="301" spans="1:3">
      <c r="A301" s="23" t="str">
        <f>TEXT(IF('Debt to GDP Ratio'!B305&lt;&gt;0,'Debt to GDP Ratio'!B305-364, ""), "mm/dd/yyyy")</f>
        <v/>
      </c>
      <c r="B301" s="23" t="str">
        <f>IFERROR(IF(ISNUMBER('Debt to GDP Ratio'!D305),TEXT('Debt to GDP Ratio'!D305,"0.00"), ""), "")</f>
        <v/>
      </c>
      <c r="C301" s="23" t="str">
        <f>IFERROR(IF(ISNUMBER('Debt to GDP Ratio'!E305),TEXT('Debt to GDP Ratio'!E305,"0.00"), ""), "")</f>
        <v/>
      </c>
    </row>
    <row r="302" spans="1:3">
      <c r="A302" s="23" t="str">
        <f>TEXT(IF('Debt to GDP Ratio'!B306&lt;&gt;0,'Debt to GDP Ratio'!B306-364, ""), "mm/dd/yyyy")</f>
        <v/>
      </c>
      <c r="B302" s="23" t="str">
        <f>IFERROR(IF(ISNUMBER('Debt to GDP Ratio'!D306),TEXT('Debt to GDP Ratio'!D306,"0.00"), ""), "")</f>
        <v/>
      </c>
      <c r="C302" s="23" t="str">
        <f>IFERROR(IF(ISNUMBER('Debt to GDP Ratio'!E306),TEXT('Debt to GDP Ratio'!E306,"0.00"), ""), "")</f>
        <v/>
      </c>
    </row>
    <row r="303" spans="1:3">
      <c r="A303" s="23" t="str">
        <f>TEXT(IF('Debt to GDP Ratio'!B307&lt;&gt;0,'Debt to GDP Ratio'!B307-364, ""), "mm/dd/yyyy")</f>
        <v/>
      </c>
      <c r="B303" s="23" t="str">
        <f>IFERROR(IF(ISNUMBER('Debt to GDP Ratio'!D307),TEXT('Debt to GDP Ratio'!D307,"0.00"), ""), "")</f>
        <v/>
      </c>
      <c r="C303" s="23" t="str">
        <f>IFERROR(IF(ISNUMBER('Debt to GDP Ratio'!E307),TEXT('Debt to GDP Ratio'!E307,"0.00"), ""), "")</f>
        <v/>
      </c>
    </row>
    <row r="304" spans="1:3">
      <c r="A304" s="23" t="str">
        <f>TEXT(IF('Debt to GDP Ratio'!B308&lt;&gt;0,'Debt to GDP Ratio'!B308-364, ""), "mm/dd/yyyy")</f>
        <v/>
      </c>
      <c r="B304" s="23" t="str">
        <f>IFERROR(IF(ISNUMBER('Debt to GDP Ratio'!D308),TEXT('Debt to GDP Ratio'!D308,"0.00"), ""), "")</f>
        <v/>
      </c>
      <c r="C304" s="23" t="str">
        <f>IFERROR(IF(ISNUMBER('Debt to GDP Ratio'!E308),TEXT('Debt to GDP Ratio'!E308,"0.00"), ""), "")</f>
        <v/>
      </c>
    </row>
    <row r="305" spans="1:3">
      <c r="A305" s="23" t="str">
        <f>TEXT(IF('Debt to GDP Ratio'!B309&lt;&gt;0,'Debt to GDP Ratio'!B309-364, ""), "mm/dd/yyyy")</f>
        <v/>
      </c>
      <c r="B305" s="23" t="str">
        <f>IFERROR(IF(ISNUMBER('Debt to GDP Ratio'!D309),TEXT('Debt to GDP Ratio'!D309,"0.00"), ""), "")</f>
        <v/>
      </c>
      <c r="C305" s="23" t="str">
        <f>IFERROR(IF(ISNUMBER('Debt to GDP Ratio'!E309),TEXT('Debt to GDP Ratio'!E309,"0.00"), ""), "")</f>
        <v/>
      </c>
    </row>
    <row r="306" spans="1:3">
      <c r="A306" s="23" t="str">
        <f>TEXT(IF('Debt to GDP Ratio'!B310&lt;&gt;0,'Debt to GDP Ratio'!B310-364, ""), "mm/dd/yyyy")</f>
        <v/>
      </c>
      <c r="B306" s="23" t="str">
        <f>IFERROR(IF(ISNUMBER('Debt to GDP Ratio'!D310),TEXT('Debt to GDP Ratio'!D310,"0.00"), ""), "")</f>
        <v/>
      </c>
      <c r="C306" s="23" t="str">
        <f>IFERROR(IF(ISNUMBER('Debt to GDP Ratio'!E310),TEXT('Debt to GDP Ratio'!E310,"0.00"), ""), "")</f>
        <v/>
      </c>
    </row>
    <row r="307" spans="1:3">
      <c r="A307" s="23" t="str">
        <f>TEXT(IF('Debt to GDP Ratio'!B311&lt;&gt;0,'Debt to GDP Ratio'!B311-364, ""), "mm/dd/yyyy")</f>
        <v/>
      </c>
      <c r="B307" s="23" t="str">
        <f>IFERROR(IF(ISNUMBER('Debt to GDP Ratio'!D311),TEXT('Debt to GDP Ratio'!D311,"0.00"), ""), "")</f>
        <v/>
      </c>
      <c r="C307" s="23" t="str">
        <f>IFERROR(IF(ISNUMBER('Debt to GDP Ratio'!E311),TEXT('Debt to GDP Ratio'!E311,"0.00"), ""), "")</f>
        <v/>
      </c>
    </row>
    <row r="308" spans="1:3">
      <c r="A308" s="23" t="str">
        <f>TEXT(IF('Debt to GDP Ratio'!B312&lt;&gt;0,'Debt to GDP Ratio'!B312-364, ""), "mm/dd/yyyy")</f>
        <v/>
      </c>
      <c r="B308" s="23" t="str">
        <f>IFERROR(IF(ISNUMBER('Debt to GDP Ratio'!D312),TEXT('Debt to GDP Ratio'!D312,"0.00"), ""), "")</f>
        <v/>
      </c>
      <c r="C308" s="23" t="str">
        <f>IFERROR(IF(ISNUMBER('Debt to GDP Ratio'!E312),TEXT('Debt to GDP Ratio'!E312,"0.00"), ""), "")</f>
        <v/>
      </c>
    </row>
    <row r="309" spans="1:3">
      <c r="A309" s="23" t="str">
        <f>TEXT(IF('Debt to GDP Ratio'!B313&lt;&gt;0,'Debt to GDP Ratio'!B313-364, ""), "mm/dd/yyyy")</f>
        <v/>
      </c>
      <c r="B309" s="23" t="str">
        <f>IFERROR(IF(ISNUMBER('Debt to GDP Ratio'!D313),TEXT('Debt to GDP Ratio'!D313,"0.00"), ""), "")</f>
        <v/>
      </c>
      <c r="C309" s="23" t="str">
        <f>IFERROR(IF(ISNUMBER('Debt to GDP Ratio'!E313),TEXT('Debt to GDP Ratio'!E313,"0.00"), ""), "")</f>
        <v/>
      </c>
    </row>
    <row r="310" spans="1:3">
      <c r="A310" s="23" t="str">
        <f>TEXT(IF('Debt to GDP Ratio'!B314&lt;&gt;0,'Debt to GDP Ratio'!B314-364, ""), "mm/dd/yyyy")</f>
        <v/>
      </c>
      <c r="B310" s="23" t="str">
        <f>IFERROR(IF(ISNUMBER('Debt to GDP Ratio'!D314),TEXT('Debt to GDP Ratio'!D314,"0.00"), ""), "")</f>
        <v/>
      </c>
      <c r="C310" s="23" t="str">
        <f>IFERROR(IF(ISNUMBER('Debt to GDP Ratio'!E314),TEXT('Debt to GDP Ratio'!E314,"0.00"), ""), "")</f>
        <v/>
      </c>
    </row>
    <row r="311" spans="1:3">
      <c r="A311" s="23" t="str">
        <f>TEXT(IF('Debt to GDP Ratio'!B315&lt;&gt;0,'Debt to GDP Ratio'!B315-364, ""), "mm/dd/yyyy")</f>
        <v/>
      </c>
      <c r="B311" s="23" t="str">
        <f>IFERROR(IF(ISNUMBER('Debt to GDP Ratio'!D315),TEXT('Debt to GDP Ratio'!D315,"0.00"), ""), "")</f>
        <v/>
      </c>
      <c r="C311" s="23" t="str">
        <f>IFERROR(IF(ISNUMBER('Debt to GDP Ratio'!E315),TEXT('Debt to GDP Ratio'!E315,"0.00"), ""), "")</f>
        <v/>
      </c>
    </row>
    <row r="312" spans="1:3">
      <c r="A312" s="23" t="str">
        <f>TEXT(IF('Debt to GDP Ratio'!B316&lt;&gt;0,'Debt to GDP Ratio'!B316-364, ""), "mm/dd/yyyy")</f>
        <v/>
      </c>
      <c r="B312" s="23" t="str">
        <f>IFERROR(IF(ISNUMBER('Debt to GDP Ratio'!D316),TEXT('Debt to GDP Ratio'!D316,"0.00"), ""), "")</f>
        <v/>
      </c>
      <c r="C312" s="23" t="str">
        <f>IFERROR(IF(ISNUMBER('Debt to GDP Ratio'!E316),TEXT('Debt to GDP Ratio'!E316,"0.00"), ""), "")</f>
        <v/>
      </c>
    </row>
    <row r="313" spans="1:3">
      <c r="A313" s="23" t="str">
        <f>TEXT(IF('Debt to GDP Ratio'!B317&lt;&gt;0,'Debt to GDP Ratio'!B317-364, ""), "mm/dd/yyyy")</f>
        <v/>
      </c>
      <c r="B313" s="23" t="str">
        <f>IFERROR(IF(ISNUMBER('Debt to GDP Ratio'!D317),TEXT('Debt to GDP Ratio'!D317,"0.00"), ""), "")</f>
        <v/>
      </c>
      <c r="C313" s="23" t="str">
        <f>IFERROR(IF(ISNUMBER('Debt to GDP Ratio'!E317),TEXT('Debt to GDP Ratio'!E317,"0.00"), ""), "")</f>
        <v/>
      </c>
    </row>
    <row r="314" spans="1:3">
      <c r="A314" s="23" t="str">
        <f>TEXT(IF('Debt to GDP Ratio'!B318&lt;&gt;0,'Debt to GDP Ratio'!B318-364, ""), "mm/dd/yyyy")</f>
        <v/>
      </c>
      <c r="B314" s="23" t="str">
        <f>IFERROR(IF(ISNUMBER('Debt to GDP Ratio'!D318),TEXT('Debt to GDP Ratio'!D318,"0.00"), ""), "")</f>
        <v/>
      </c>
      <c r="C314" s="23" t="str">
        <f>IFERROR(IF(ISNUMBER('Debt to GDP Ratio'!E318),TEXT('Debt to GDP Ratio'!E318,"0.00"), ""), "")</f>
        <v/>
      </c>
    </row>
    <row r="315" spans="1:3">
      <c r="A315" s="23" t="str">
        <f>TEXT(IF('Debt to GDP Ratio'!B319&lt;&gt;0,'Debt to GDP Ratio'!B319-364, ""), "mm/dd/yyyy")</f>
        <v/>
      </c>
      <c r="B315" s="23" t="str">
        <f>IFERROR(IF(ISNUMBER('Debt to GDP Ratio'!D319),TEXT('Debt to GDP Ratio'!D319,"0.00"), ""), "")</f>
        <v/>
      </c>
      <c r="C315" s="23" t="str">
        <f>IFERROR(IF(ISNUMBER('Debt to GDP Ratio'!E319),TEXT('Debt to GDP Ratio'!E319,"0.00"), ""), "")</f>
        <v/>
      </c>
    </row>
    <row r="316" spans="1:3">
      <c r="A316" s="23" t="str">
        <f>TEXT(IF('Debt to GDP Ratio'!B320&lt;&gt;0,'Debt to GDP Ratio'!B320-364, ""), "mm/dd/yyyy")</f>
        <v/>
      </c>
      <c r="B316" s="23" t="str">
        <f>IFERROR(IF(ISNUMBER('Debt to GDP Ratio'!D320),TEXT('Debt to GDP Ratio'!D320,"0.00"), ""), "")</f>
        <v/>
      </c>
      <c r="C316" s="23" t="str">
        <f>IFERROR(IF(ISNUMBER('Debt to GDP Ratio'!E320),TEXT('Debt to GDP Ratio'!E320,"0.00"), ""), "")</f>
        <v/>
      </c>
    </row>
    <row r="317" spans="1:3">
      <c r="A317" s="23" t="str">
        <f>TEXT(IF('Debt to GDP Ratio'!B321&lt;&gt;0,'Debt to GDP Ratio'!B321-364, ""), "mm/dd/yyyy")</f>
        <v/>
      </c>
      <c r="B317" s="23" t="str">
        <f>IFERROR(IF(ISNUMBER('Debt to GDP Ratio'!D321),TEXT('Debt to GDP Ratio'!D321,"0.00"), ""), "")</f>
        <v/>
      </c>
      <c r="C317" s="23" t="str">
        <f>IFERROR(IF(ISNUMBER('Debt to GDP Ratio'!E321),TEXT('Debt to GDP Ratio'!E321,"0.00"), ""), "")</f>
        <v/>
      </c>
    </row>
    <row r="318" spans="1:3">
      <c r="A318" s="23" t="str">
        <f>TEXT(IF('Debt to GDP Ratio'!B322&lt;&gt;0,'Debt to GDP Ratio'!B322-364, ""), "mm/dd/yyyy")</f>
        <v/>
      </c>
      <c r="B318" s="23" t="str">
        <f>IFERROR(IF(ISNUMBER('Debt to GDP Ratio'!D322),TEXT('Debt to GDP Ratio'!D322,"0.00"), ""), "")</f>
        <v/>
      </c>
      <c r="C318" s="23" t="str">
        <f>IFERROR(IF(ISNUMBER('Debt to GDP Ratio'!E322),TEXT('Debt to GDP Ratio'!E322,"0.00"), ""), "")</f>
        <v/>
      </c>
    </row>
    <row r="319" spans="1:3">
      <c r="A319" s="23" t="str">
        <f>TEXT(IF('Debt to GDP Ratio'!B323&lt;&gt;0,'Debt to GDP Ratio'!B323-364, ""), "mm/dd/yyyy")</f>
        <v/>
      </c>
      <c r="B319" s="23" t="str">
        <f>IFERROR(IF(ISNUMBER('Debt to GDP Ratio'!D323),TEXT('Debt to GDP Ratio'!D323,"0.00"), ""), "")</f>
        <v/>
      </c>
      <c r="C319" s="23" t="str">
        <f>IFERROR(IF(ISNUMBER('Debt to GDP Ratio'!E323),TEXT('Debt to GDP Ratio'!E323,"0.00"), ""), "")</f>
        <v/>
      </c>
    </row>
    <row r="320" spans="1:3">
      <c r="A320" s="23" t="str">
        <f>TEXT(IF('Debt to GDP Ratio'!B324&lt;&gt;0,'Debt to GDP Ratio'!B324-364, ""), "mm/dd/yyyy")</f>
        <v/>
      </c>
      <c r="B320" s="23" t="str">
        <f>IFERROR(IF(ISNUMBER('Debt to GDP Ratio'!D324),TEXT('Debt to GDP Ratio'!D324,"0.00"), ""), "")</f>
        <v/>
      </c>
      <c r="C320" s="23" t="str">
        <f>IFERROR(IF(ISNUMBER('Debt to GDP Ratio'!E324),TEXT('Debt to GDP Ratio'!E324,"0.00"), ""), "")</f>
        <v/>
      </c>
    </row>
    <row r="321" spans="1:3">
      <c r="A321" s="23" t="str">
        <f>TEXT(IF('Debt to GDP Ratio'!B325&lt;&gt;0,'Debt to GDP Ratio'!B325-364, ""), "mm/dd/yyyy")</f>
        <v/>
      </c>
      <c r="B321" s="23" t="str">
        <f>IFERROR(IF(ISNUMBER('Debt to GDP Ratio'!D325),TEXT('Debt to GDP Ratio'!D325,"0.00"), ""), "")</f>
        <v/>
      </c>
      <c r="C321" s="23" t="str">
        <f>IFERROR(IF(ISNUMBER('Debt to GDP Ratio'!E325),TEXT('Debt to GDP Ratio'!E325,"0.00"), ""), "")</f>
        <v/>
      </c>
    </row>
    <row r="322" spans="1:3">
      <c r="A322" s="23" t="str">
        <f>TEXT(IF('Debt to GDP Ratio'!B326&lt;&gt;0,'Debt to GDP Ratio'!B326-364, ""), "mm/dd/yyyy")</f>
        <v/>
      </c>
      <c r="B322" s="23" t="str">
        <f>IFERROR(IF(ISNUMBER('Debt to GDP Ratio'!D326),TEXT('Debt to GDP Ratio'!D326,"0.00"), ""), "")</f>
        <v/>
      </c>
      <c r="C322" s="23" t="str">
        <f>IFERROR(IF(ISNUMBER('Debt to GDP Ratio'!E326),TEXT('Debt to GDP Ratio'!E326,"0.00"), ""), "")</f>
        <v/>
      </c>
    </row>
    <row r="323" spans="1:3">
      <c r="A323" s="23" t="str">
        <f>TEXT(IF('Debt to GDP Ratio'!B327&lt;&gt;0,'Debt to GDP Ratio'!B327-364, ""), "mm/dd/yyyy")</f>
        <v/>
      </c>
      <c r="B323" s="23" t="str">
        <f>IFERROR(IF(ISNUMBER('Debt to GDP Ratio'!D327),TEXT('Debt to GDP Ratio'!D327,"0.00"), ""), "")</f>
        <v/>
      </c>
      <c r="C323" s="23" t="str">
        <f>IFERROR(IF(ISNUMBER('Debt to GDP Ratio'!E327),TEXT('Debt to GDP Ratio'!E327,"0.00"), ""), "")</f>
        <v/>
      </c>
    </row>
    <row r="324" spans="1:3">
      <c r="A324" s="23" t="str">
        <f>TEXT(IF('Debt to GDP Ratio'!B328&lt;&gt;0,'Debt to GDP Ratio'!B328-364, ""), "mm/dd/yyyy")</f>
        <v/>
      </c>
      <c r="B324" s="23" t="str">
        <f>IFERROR(IF(ISNUMBER('Debt to GDP Ratio'!D328),TEXT('Debt to GDP Ratio'!D328,"0.00"), ""), "")</f>
        <v/>
      </c>
      <c r="C324" s="23" t="str">
        <f>IFERROR(IF(ISNUMBER('Debt to GDP Ratio'!E328),TEXT('Debt to GDP Ratio'!E328,"0.00"), ""), "")</f>
        <v/>
      </c>
    </row>
    <row r="325" spans="1:3">
      <c r="A325" s="23" t="str">
        <f>TEXT(IF('Debt to GDP Ratio'!B329&lt;&gt;0,'Debt to GDP Ratio'!B329-364, ""), "mm/dd/yyyy")</f>
        <v/>
      </c>
      <c r="B325" s="23" t="str">
        <f>IFERROR(IF(ISNUMBER('Debt to GDP Ratio'!D329),TEXT('Debt to GDP Ratio'!D329,"0.00"), ""), "")</f>
        <v/>
      </c>
      <c r="C325" s="23" t="str">
        <f>IFERROR(IF(ISNUMBER('Debt to GDP Ratio'!E329),TEXT('Debt to GDP Ratio'!E329,"0.00"), ""), "")</f>
        <v/>
      </c>
    </row>
    <row r="326" spans="1:3">
      <c r="A326" s="23" t="str">
        <f>TEXT(IF('Debt to GDP Ratio'!B330&lt;&gt;0,'Debt to GDP Ratio'!B330-364, ""), "mm/dd/yyyy")</f>
        <v/>
      </c>
      <c r="B326" s="23" t="str">
        <f>IFERROR(IF(ISNUMBER('Debt to GDP Ratio'!D330),TEXT('Debt to GDP Ratio'!D330,"0.00"), ""), "")</f>
        <v/>
      </c>
      <c r="C326" s="23" t="str">
        <f>IFERROR(IF(ISNUMBER('Debt to GDP Ratio'!E330),TEXT('Debt to GDP Ratio'!E330,"0.00"), ""), "")</f>
        <v/>
      </c>
    </row>
    <row r="327" spans="1:3">
      <c r="A327" s="23" t="str">
        <f>TEXT(IF('Debt to GDP Ratio'!B331&lt;&gt;0,'Debt to GDP Ratio'!B331-364, ""), "mm/dd/yyyy")</f>
        <v/>
      </c>
      <c r="B327" s="23" t="str">
        <f>IFERROR(IF(ISNUMBER('Debt to GDP Ratio'!D331),TEXT('Debt to GDP Ratio'!D331,"0.00"), ""), "")</f>
        <v/>
      </c>
      <c r="C327" s="23" t="str">
        <f>IFERROR(IF(ISNUMBER('Debt to GDP Ratio'!E331),TEXT('Debt to GDP Ratio'!E331,"0.00"), ""), "")</f>
        <v/>
      </c>
    </row>
    <row r="328" spans="1:3">
      <c r="A328" s="23" t="str">
        <f>TEXT(IF('Debt to GDP Ratio'!B332&lt;&gt;0,'Debt to GDP Ratio'!B332-364, ""), "mm/dd/yyyy")</f>
        <v/>
      </c>
      <c r="B328" s="23" t="str">
        <f>IFERROR(IF(ISNUMBER('Debt to GDP Ratio'!D332),TEXT('Debt to GDP Ratio'!D332,"0.00"), ""), "")</f>
        <v/>
      </c>
      <c r="C328" s="23" t="str">
        <f>IFERROR(IF(ISNUMBER('Debt to GDP Ratio'!E332),TEXT('Debt to GDP Ratio'!E332,"0.00"), ""), "")</f>
        <v/>
      </c>
    </row>
    <row r="329" spans="1:3">
      <c r="A329" s="23" t="str">
        <f>TEXT(IF('Debt to GDP Ratio'!B333&lt;&gt;0,'Debt to GDP Ratio'!B333-364, ""), "mm/dd/yyyy")</f>
        <v/>
      </c>
      <c r="B329" s="23" t="str">
        <f>IFERROR(IF(ISNUMBER('Debt to GDP Ratio'!D333),TEXT('Debt to GDP Ratio'!D333,"0.00"), ""), "")</f>
        <v/>
      </c>
      <c r="C329" s="23" t="str">
        <f>IFERROR(IF(ISNUMBER('Debt to GDP Ratio'!E333),TEXT('Debt to GDP Ratio'!E333,"0.00"), ""), "")</f>
        <v/>
      </c>
    </row>
    <row r="330" spans="1:3">
      <c r="A330" s="23" t="str">
        <f>TEXT(IF('Debt to GDP Ratio'!B334&lt;&gt;0,'Debt to GDP Ratio'!B334-364, ""), "mm/dd/yyyy")</f>
        <v/>
      </c>
      <c r="B330" s="23" t="str">
        <f>IFERROR(IF(ISNUMBER('Debt to GDP Ratio'!D334),TEXT('Debt to GDP Ratio'!D334,"0.00"), ""), "")</f>
        <v/>
      </c>
      <c r="C330" s="23" t="str">
        <f>IFERROR(IF(ISNUMBER('Debt to GDP Ratio'!E334),TEXT('Debt to GDP Ratio'!E334,"0.00"), ""), "")</f>
        <v/>
      </c>
    </row>
    <row r="331" spans="1:3">
      <c r="A331" s="23" t="str">
        <f>TEXT(IF('Debt to GDP Ratio'!B335&lt;&gt;0,'Debt to GDP Ratio'!B335-364, ""), "mm/dd/yyyy")</f>
        <v/>
      </c>
      <c r="B331" s="23" t="str">
        <f>IFERROR(IF(ISNUMBER('Debt to GDP Ratio'!D335),TEXT('Debt to GDP Ratio'!D335,"0.00"), ""), "")</f>
        <v/>
      </c>
      <c r="C331" s="23" t="str">
        <f>IFERROR(IF(ISNUMBER('Debt to GDP Ratio'!E335),TEXT('Debt to GDP Ratio'!E335,"0.00"), ""), "")</f>
        <v/>
      </c>
    </row>
    <row r="332" spans="1:3">
      <c r="A332" s="23" t="str">
        <f>TEXT(IF('Debt to GDP Ratio'!B336&lt;&gt;0,'Debt to GDP Ratio'!B336-364, ""), "mm/dd/yyyy")</f>
        <v/>
      </c>
      <c r="B332" s="23" t="str">
        <f>IFERROR(IF(ISNUMBER('Debt to GDP Ratio'!D336),TEXT('Debt to GDP Ratio'!D336,"0.00"), ""), "")</f>
        <v/>
      </c>
      <c r="C332" s="23" t="str">
        <f>IFERROR(IF(ISNUMBER('Debt to GDP Ratio'!E336),TEXT('Debt to GDP Ratio'!E336,"0.00"), ""), "")</f>
        <v/>
      </c>
    </row>
    <row r="333" spans="1:3">
      <c r="A333" s="23" t="str">
        <f>TEXT(IF('Debt to GDP Ratio'!B337&lt;&gt;0,'Debt to GDP Ratio'!B337-364, ""), "mm/dd/yyyy")</f>
        <v/>
      </c>
      <c r="B333" s="23" t="str">
        <f>IFERROR(IF(ISNUMBER('Debt to GDP Ratio'!D337),TEXT('Debt to GDP Ratio'!D337,"0.00"), ""), "")</f>
        <v/>
      </c>
      <c r="C333" s="23" t="str">
        <f>IFERROR(IF(ISNUMBER('Debt to GDP Ratio'!E337),TEXT('Debt to GDP Ratio'!E337,"0.00"), ""), "")</f>
        <v/>
      </c>
    </row>
    <row r="334" spans="1:3">
      <c r="A334" s="23" t="str">
        <f>TEXT(IF('Debt to GDP Ratio'!B338&lt;&gt;0,'Debt to GDP Ratio'!B338-364, ""), "mm/dd/yyyy")</f>
        <v/>
      </c>
      <c r="B334" s="23" t="str">
        <f>IFERROR(IF(ISNUMBER('Debt to GDP Ratio'!D338),TEXT('Debt to GDP Ratio'!D338,"0.00"), ""), "")</f>
        <v/>
      </c>
      <c r="C334" s="23" t="str">
        <f>IFERROR(IF(ISNUMBER('Debt to GDP Ratio'!E338),TEXT('Debt to GDP Ratio'!E338,"0.00"), ""), "")</f>
        <v/>
      </c>
    </row>
    <row r="335" spans="1:3">
      <c r="A335" s="23" t="str">
        <f>TEXT(IF('Debt to GDP Ratio'!B339&lt;&gt;0,'Debt to GDP Ratio'!B339-364, ""), "mm/dd/yyyy")</f>
        <v/>
      </c>
      <c r="B335" s="23" t="str">
        <f>IFERROR(IF(ISNUMBER('Debt to GDP Ratio'!D339),TEXT('Debt to GDP Ratio'!D339,"0.00"), ""), "")</f>
        <v/>
      </c>
      <c r="C335" s="23" t="str">
        <f>IFERROR(IF(ISNUMBER('Debt to GDP Ratio'!E339),TEXT('Debt to GDP Ratio'!E339,"0.00"), ""), "")</f>
        <v/>
      </c>
    </row>
    <row r="336" spans="1:3">
      <c r="A336" s="23" t="str">
        <f>TEXT(IF('Debt to GDP Ratio'!B340&lt;&gt;0,'Debt to GDP Ratio'!B340-364, ""), "mm/dd/yyyy")</f>
        <v/>
      </c>
      <c r="B336" s="23" t="str">
        <f>IFERROR(IF(ISNUMBER('Debt to GDP Ratio'!D340),TEXT('Debt to GDP Ratio'!D340,"0.00"), ""), "")</f>
        <v/>
      </c>
      <c r="C336" s="23" t="str">
        <f>IFERROR(IF(ISNUMBER('Debt to GDP Ratio'!E340),TEXT('Debt to GDP Ratio'!E340,"0.00"), ""), "")</f>
        <v/>
      </c>
    </row>
    <row r="337" spans="1:3">
      <c r="A337" s="23" t="str">
        <f>TEXT(IF('Debt to GDP Ratio'!B341&lt;&gt;0,'Debt to GDP Ratio'!B341-364, ""), "mm/dd/yyyy")</f>
        <v/>
      </c>
      <c r="B337" s="23" t="str">
        <f>IFERROR(IF(ISNUMBER('Debt to GDP Ratio'!D341),TEXT('Debt to GDP Ratio'!D341,"0.00"), ""), "")</f>
        <v/>
      </c>
      <c r="C337" s="23" t="str">
        <f>IFERROR(IF(ISNUMBER('Debt to GDP Ratio'!E341),TEXT('Debt to GDP Ratio'!E341,"0.00"), ""), "")</f>
        <v/>
      </c>
    </row>
    <row r="338" spans="1:3">
      <c r="A338" s="23" t="str">
        <f>TEXT(IF('Debt to GDP Ratio'!B342&lt;&gt;0,'Debt to GDP Ratio'!B342-364, ""), "mm/dd/yyyy")</f>
        <v/>
      </c>
      <c r="B338" s="23" t="str">
        <f>IFERROR(IF(ISNUMBER('Debt to GDP Ratio'!D342),TEXT('Debt to GDP Ratio'!D342,"0.00"), ""), "")</f>
        <v/>
      </c>
      <c r="C338" s="23" t="str">
        <f>IFERROR(IF(ISNUMBER('Debt to GDP Ratio'!E342),TEXT('Debt to GDP Ratio'!E342,"0.00"), ""), "")</f>
        <v/>
      </c>
    </row>
    <row r="339" spans="1:3">
      <c r="A339" s="23" t="str">
        <f>TEXT(IF('Debt to GDP Ratio'!B343&lt;&gt;0,'Debt to GDP Ratio'!B343-364, ""), "mm/dd/yyyy")</f>
        <v/>
      </c>
      <c r="B339" s="23" t="str">
        <f>IFERROR(IF(ISNUMBER('Debt to GDP Ratio'!D343),TEXT('Debt to GDP Ratio'!D343,"0.00"), ""), "")</f>
        <v/>
      </c>
      <c r="C339" s="23" t="str">
        <f>IFERROR(IF(ISNUMBER('Debt to GDP Ratio'!E343),TEXT('Debt to GDP Ratio'!E343,"0.00"), ""), "")</f>
        <v/>
      </c>
    </row>
    <row r="340" spans="1:3">
      <c r="A340" s="23" t="str">
        <f>TEXT(IF('Debt to GDP Ratio'!B344&lt;&gt;0,'Debt to GDP Ratio'!B344-364, ""), "mm/dd/yyyy")</f>
        <v/>
      </c>
      <c r="B340" s="23" t="str">
        <f>IFERROR(IF(ISNUMBER('Debt to GDP Ratio'!D344),TEXT('Debt to GDP Ratio'!D344,"0.00"), ""), "")</f>
        <v/>
      </c>
      <c r="C340" s="23" t="str">
        <f>IFERROR(IF(ISNUMBER('Debt to GDP Ratio'!E344),TEXT('Debt to GDP Ratio'!E344,"0.00"), ""), "")</f>
        <v/>
      </c>
    </row>
    <row r="341" spans="1:3">
      <c r="A341" s="23" t="str">
        <f>TEXT(IF('Debt to GDP Ratio'!B345&lt;&gt;0,'Debt to GDP Ratio'!B345-364, ""), "mm/dd/yyyy")</f>
        <v/>
      </c>
      <c r="B341" s="23" t="str">
        <f>IFERROR(IF(ISNUMBER('Debt to GDP Ratio'!D345),TEXT('Debt to GDP Ratio'!D345,"0.00"), ""), "")</f>
        <v/>
      </c>
      <c r="C341" s="23" t="str">
        <f>IFERROR(IF(ISNUMBER('Debt to GDP Ratio'!E345),TEXT('Debt to GDP Ratio'!E345,"0.00"), ""), "")</f>
        <v/>
      </c>
    </row>
    <row r="342" spans="1:3">
      <c r="A342" s="23" t="str">
        <f>TEXT(IF('Debt to GDP Ratio'!B346&lt;&gt;0,'Debt to GDP Ratio'!B346-364, ""), "mm/dd/yyyy")</f>
        <v/>
      </c>
      <c r="B342" s="23" t="str">
        <f>IFERROR(IF(ISNUMBER('Debt to GDP Ratio'!D346),TEXT('Debt to GDP Ratio'!D346,"0.00"), ""), "")</f>
        <v/>
      </c>
      <c r="C342" s="23" t="str">
        <f>IFERROR(IF(ISNUMBER('Debt to GDP Ratio'!E346),TEXT('Debt to GDP Ratio'!E346,"0.00"), ""), "")</f>
        <v/>
      </c>
    </row>
    <row r="343" spans="1:3">
      <c r="A343" s="23" t="str">
        <f>TEXT(IF('Debt to GDP Ratio'!B347&lt;&gt;0,'Debt to GDP Ratio'!B347-364, ""), "mm/dd/yyyy")</f>
        <v/>
      </c>
      <c r="B343" s="23" t="str">
        <f>IFERROR(IF(ISNUMBER('Debt to GDP Ratio'!D347),TEXT('Debt to GDP Ratio'!D347,"0.00"), ""), "")</f>
        <v/>
      </c>
      <c r="C343" s="23" t="str">
        <f>IFERROR(IF(ISNUMBER('Debt to GDP Ratio'!E347),TEXT('Debt to GDP Ratio'!E347,"0.00"), ""), "")</f>
        <v/>
      </c>
    </row>
    <row r="344" spans="1:3">
      <c r="A344" s="23" t="str">
        <f>TEXT(IF('Debt to GDP Ratio'!B348&lt;&gt;0,'Debt to GDP Ratio'!B348-364, ""), "mm/dd/yyyy")</f>
        <v/>
      </c>
      <c r="B344" s="23" t="str">
        <f>IFERROR(IF(ISNUMBER('Debt to GDP Ratio'!D348),TEXT('Debt to GDP Ratio'!D348,"0.00"), ""), "")</f>
        <v/>
      </c>
      <c r="C344" s="23" t="str">
        <f>IFERROR(IF(ISNUMBER('Debt to GDP Ratio'!E348),TEXT('Debt to GDP Ratio'!E348,"0.00"), ""), "")</f>
        <v/>
      </c>
    </row>
    <row r="345" spans="1:3">
      <c r="A345" s="23" t="str">
        <f>TEXT(IF('Debt to GDP Ratio'!B349&lt;&gt;0,'Debt to GDP Ratio'!B349-364, ""), "mm/dd/yyyy")</f>
        <v/>
      </c>
      <c r="B345" s="23" t="str">
        <f>IFERROR(IF(ISNUMBER('Debt to GDP Ratio'!D349),TEXT('Debt to GDP Ratio'!D349,"0.00"), ""), "")</f>
        <v/>
      </c>
      <c r="C345" s="23" t="str">
        <f>IFERROR(IF(ISNUMBER('Debt to GDP Ratio'!E349),TEXT('Debt to GDP Ratio'!E349,"0.00"), ""), "")</f>
        <v/>
      </c>
    </row>
    <row r="346" spans="1:3">
      <c r="A346" s="23" t="str">
        <f>TEXT(IF('Debt to GDP Ratio'!B350&lt;&gt;0,'Debt to GDP Ratio'!B350-364, ""), "mm/dd/yyyy")</f>
        <v/>
      </c>
      <c r="B346" s="23" t="str">
        <f>IFERROR(IF(ISNUMBER('Debt to GDP Ratio'!D350),TEXT('Debt to GDP Ratio'!D350,"0.00"), ""), "")</f>
        <v/>
      </c>
      <c r="C346" s="23" t="str">
        <f>IFERROR(IF(ISNUMBER('Debt to GDP Ratio'!E350),TEXT('Debt to GDP Ratio'!E350,"0.00"), ""), "")</f>
        <v/>
      </c>
    </row>
    <row r="347" spans="1:3">
      <c r="A347" s="23" t="str">
        <f>TEXT(IF('Debt to GDP Ratio'!B351&lt;&gt;0,'Debt to GDP Ratio'!B351-364, ""), "mm/dd/yyyy")</f>
        <v/>
      </c>
      <c r="B347" s="23" t="str">
        <f>IFERROR(IF(ISNUMBER('Debt to GDP Ratio'!D351),TEXT('Debt to GDP Ratio'!D351,"0.00"), ""), "")</f>
        <v/>
      </c>
      <c r="C347" s="23" t="str">
        <f>IFERROR(IF(ISNUMBER('Debt to GDP Ratio'!E351),TEXT('Debt to GDP Ratio'!E351,"0.00"), ""), "")</f>
        <v/>
      </c>
    </row>
    <row r="348" spans="1:3">
      <c r="A348" s="23" t="str">
        <f>TEXT(IF('Debt to GDP Ratio'!B352&lt;&gt;0,'Debt to GDP Ratio'!B352-364, ""), "mm/dd/yyyy")</f>
        <v/>
      </c>
      <c r="B348" s="23" t="str">
        <f>IFERROR(IF(ISNUMBER('Debt to GDP Ratio'!D352),TEXT('Debt to GDP Ratio'!D352,"0.00"), ""), "")</f>
        <v/>
      </c>
      <c r="C348" s="23" t="str">
        <f>IFERROR(IF(ISNUMBER('Debt to GDP Ratio'!E352),TEXT('Debt to GDP Ratio'!E352,"0.00"), ""), "")</f>
        <v/>
      </c>
    </row>
    <row r="349" spans="1:3">
      <c r="A349" s="23" t="str">
        <f>TEXT(IF('Debt to GDP Ratio'!B353&lt;&gt;0,'Debt to GDP Ratio'!B353-364, ""), "mm/dd/yyyy")</f>
        <v/>
      </c>
      <c r="B349" s="23" t="str">
        <f>IFERROR(IF(ISNUMBER('Debt to GDP Ratio'!D353),TEXT('Debt to GDP Ratio'!D353,"0.00"), ""), "")</f>
        <v/>
      </c>
      <c r="C349" s="23" t="str">
        <f>IFERROR(IF(ISNUMBER('Debt to GDP Ratio'!E353),TEXT('Debt to GDP Ratio'!E353,"0.00"), ""), "")</f>
        <v/>
      </c>
    </row>
    <row r="350" spans="1:3">
      <c r="A350" s="23" t="str">
        <f>TEXT(IF('Debt to GDP Ratio'!B354&lt;&gt;0,'Debt to GDP Ratio'!B354-364, ""), "mm/dd/yyyy")</f>
        <v/>
      </c>
      <c r="B350" s="23" t="str">
        <f>IFERROR(IF(ISNUMBER('Debt to GDP Ratio'!D354),TEXT('Debt to GDP Ratio'!D354,"0.00"), ""), "")</f>
        <v/>
      </c>
      <c r="C350" s="23" t="str">
        <f>IFERROR(IF(ISNUMBER('Debt to GDP Ratio'!E354),TEXT('Debt to GDP Ratio'!E354,"0.00"), ""), "")</f>
        <v/>
      </c>
    </row>
    <row r="351" spans="1:3">
      <c r="A351" s="23" t="str">
        <f>TEXT(IF('Debt to GDP Ratio'!B355&lt;&gt;0,'Debt to GDP Ratio'!B355-364, ""), "mm/dd/yyyy")</f>
        <v/>
      </c>
      <c r="B351" s="23" t="str">
        <f>IFERROR(IF(ISNUMBER('Debt to GDP Ratio'!D355),TEXT('Debt to GDP Ratio'!D355,"0.00"), ""), "")</f>
        <v/>
      </c>
      <c r="C351" s="23" t="str">
        <f>IFERROR(IF(ISNUMBER('Debt to GDP Ratio'!E355),TEXT('Debt to GDP Ratio'!E355,"0.00"), ""), "")</f>
        <v/>
      </c>
    </row>
    <row r="352" spans="1:3">
      <c r="A352" s="23" t="str">
        <f>TEXT(IF('Debt to GDP Ratio'!B356&lt;&gt;0,'Debt to GDP Ratio'!B356-364, ""), "mm/dd/yyyy")</f>
        <v/>
      </c>
      <c r="B352" s="23" t="str">
        <f>IFERROR(IF(ISNUMBER('Debt to GDP Ratio'!D356),TEXT('Debt to GDP Ratio'!D356,"0.00"), ""), "")</f>
        <v/>
      </c>
      <c r="C352" s="23" t="str">
        <f>IFERROR(IF(ISNUMBER('Debt to GDP Ratio'!E356),TEXT('Debt to GDP Ratio'!E356,"0.00"), ""), "")</f>
        <v/>
      </c>
    </row>
    <row r="353" spans="1:3">
      <c r="A353" s="23" t="str">
        <f>TEXT(IF('Debt to GDP Ratio'!B357&lt;&gt;0,'Debt to GDP Ratio'!B357-364, ""), "mm/dd/yyyy")</f>
        <v/>
      </c>
      <c r="B353" s="23" t="str">
        <f>IFERROR(IF(ISNUMBER('Debt to GDP Ratio'!D357),TEXT('Debt to GDP Ratio'!D357,"0.00"), ""), "")</f>
        <v/>
      </c>
      <c r="C353" s="23" t="str">
        <f>IFERROR(IF(ISNUMBER('Debt to GDP Ratio'!E357),TEXT('Debt to GDP Ratio'!E357,"0.00"), ""), "")</f>
        <v/>
      </c>
    </row>
    <row r="354" spans="1:3">
      <c r="A354" s="23" t="str">
        <f>TEXT(IF('Debt to GDP Ratio'!B358&lt;&gt;0,'Debt to GDP Ratio'!B358-364, ""), "mm/dd/yyyy")</f>
        <v/>
      </c>
      <c r="B354" s="23" t="str">
        <f>IFERROR(IF(ISNUMBER('Debt to GDP Ratio'!D358),TEXT('Debt to GDP Ratio'!D358,"0.00"), ""), "")</f>
        <v/>
      </c>
      <c r="C354" s="23" t="str">
        <f>IFERROR(IF(ISNUMBER('Debt to GDP Ratio'!E358),TEXT('Debt to GDP Ratio'!E358,"0.00"), ""), "")</f>
        <v/>
      </c>
    </row>
    <row r="355" spans="1:3">
      <c r="A355" s="23" t="str">
        <f>TEXT(IF('Debt to GDP Ratio'!B359&lt;&gt;0,'Debt to GDP Ratio'!B359-364, ""), "mm/dd/yyyy")</f>
        <v/>
      </c>
      <c r="B355" s="23" t="str">
        <f>IFERROR(IF(ISNUMBER('Debt to GDP Ratio'!D359),TEXT('Debt to GDP Ratio'!D359,"0.00"), ""), "")</f>
        <v/>
      </c>
      <c r="C355" s="23" t="str">
        <f>IFERROR(IF(ISNUMBER('Debt to GDP Ratio'!E359),TEXT('Debt to GDP Ratio'!E359,"0.00"), ""), "")</f>
        <v/>
      </c>
    </row>
    <row r="356" spans="1:3">
      <c r="A356" s="23" t="str">
        <f>TEXT(IF('Debt to GDP Ratio'!B360&lt;&gt;0,'Debt to GDP Ratio'!B360-364, ""), "mm/dd/yyyy")</f>
        <v/>
      </c>
      <c r="B356" s="23" t="str">
        <f>IFERROR(IF(ISNUMBER('Debt to GDP Ratio'!D360),TEXT('Debt to GDP Ratio'!D360,"0.00"), ""), "")</f>
        <v/>
      </c>
      <c r="C356" s="23" t="str">
        <f>IFERROR(IF(ISNUMBER('Debt to GDP Ratio'!E360),TEXT('Debt to GDP Ratio'!E360,"0.00"), ""), "")</f>
        <v/>
      </c>
    </row>
    <row r="357" spans="1:3">
      <c r="A357" s="23" t="str">
        <f>TEXT(IF('Debt to GDP Ratio'!B361&lt;&gt;0,'Debt to GDP Ratio'!B361-364, ""), "mm/dd/yyyy")</f>
        <v/>
      </c>
      <c r="B357" s="23" t="str">
        <f>IFERROR(IF(ISNUMBER('Debt to GDP Ratio'!D361),TEXT('Debt to GDP Ratio'!D361,"0.00"), ""), "")</f>
        <v/>
      </c>
      <c r="C357" s="23" t="str">
        <f>IFERROR(IF(ISNUMBER('Debt to GDP Ratio'!E361),TEXT('Debt to GDP Ratio'!E361,"0.00"), ""), "")</f>
        <v/>
      </c>
    </row>
    <row r="358" spans="1:3">
      <c r="A358" s="23" t="str">
        <f>TEXT(IF('Debt to GDP Ratio'!B362&lt;&gt;0,'Debt to GDP Ratio'!B362-364, ""), "mm/dd/yyyy")</f>
        <v/>
      </c>
      <c r="B358" s="23" t="str">
        <f>IFERROR(IF(ISNUMBER('Debt to GDP Ratio'!D362),TEXT('Debt to GDP Ratio'!D362,"0.00"), ""), "")</f>
        <v/>
      </c>
      <c r="C358" s="23" t="str">
        <f>IFERROR(IF(ISNUMBER('Debt to GDP Ratio'!E362),TEXT('Debt to GDP Ratio'!E362,"0.00"), ""), "")</f>
        <v/>
      </c>
    </row>
    <row r="359" spans="1:3">
      <c r="A359" s="23" t="str">
        <f>TEXT(IF('Debt to GDP Ratio'!B363&lt;&gt;0,'Debt to GDP Ratio'!B363-364, ""), "mm/dd/yyyy")</f>
        <v/>
      </c>
      <c r="B359" s="23" t="str">
        <f>IFERROR(IF(ISNUMBER('Debt to GDP Ratio'!D363),TEXT('Debt to GDP Ratio'!D363,"0.00"), ""), "")</f>
        <v/>
      </c>
      <c r="C359" s="23" t="str">
        <f>IFERROR(IF(ISNUMBER('Debt to GDP Ratio'!E363),TEXT('Debt to GDP Ratio'!E363,"0.00"), ""), "")</f>
        <v/>
      </c>
    </row>
    <row r="360" spans="1:3">
      <c r="A360" s="23" t="str">
        <f>TEXT(IF('Debt to GDP Ratio'!B364&lt;&gt;0,'Debt to GDP Ratio'!B364-364, ""), "mm/dd/yyyy")</f>
        <v/>
      </c>
      <c r="B360" s="23" t="str">
        <f>IFERROR(IF(ISNUMBER('Debt to GDP Ratio'!D364),TEXT('Debt to GDP Ratio'!D364,"0.00"), ""), "")</f>
        <v/>
      </c>
      <c r="C360" s="23" t="str">
        <f>IFERROR(IF(ISNUMBER('Debt to GDP Ratio'!E364),TEXT('Debt to GDP Ratio'!E364,"0.00"), ""), "")</f>
        <v/>
      </c>
    </row>
    <row r="361" spans="1:3">
      <c r="A361" s="23" t="str">
        <f>TEXT(IF('Debt to GDP Ratio'!B365&lt;&gt;0,'Debt to GDP Ratio'!B365-364, ""), "mm/dd/yyyy")</f>
        <v/>
      </c>
      <c r="B361" s="23" t="str">
        <f>IFERROR(IF(ISNUMBER('Debt to GDP Ratio'!D365),TEXT('Debt to GDP Ratio'!D365,"0.00"), ""), "")</f>
        <v/>
      </c>
      <c r="C361" s="23" t="str">
        <f>IFERROR(IF(ISNUMBER('Debt to GDP Ratio'!E365),TEXT('Debt to GDP Ratio'!E365,"0.00"), ""), "")</f>
        <v/>
      </c>
    </row>
    <row r="362" spans="1:3">
      <c r="A362" s="23" t="str">
        <f>TEXT(IF('Debt to GDP Ratio'!B366&lt;&gt;0,'Debt to GDP Ratio'!B366-364, ""), "mm/dd/yyyy")</f>
        <v/>
      </c>
      <c r="B362" s="23" t="str">
        <f>IFERROR(IF(ISNUMBER('Debt to GDP Ratio'!D366),TEXT('Debt to GDP Ratio'!D366,"0.00"), ""), "")</f>
        <v/>
      </c>
      <c r="C362" s="23" t="str">
        <f>IFERROR(IF(ISNUMBER('Debt to GDP Ratio'!E366),TEXT('Debt to GDP Ratio'!E366,"0.00"), ""), "")</f>
        <v/>
      </c>
    </row>
    <row r="363" spans="1:3">
      <c r="A363" s="23" t="str">
        <f>TEXT(IF('Debt to GDP Ratio'!B367&lt;&gt;0,'Debt to GDP Ratio'!B367-364, ""), "mm/dd/yyyy")</f>
        <v/>
      </c>
      <c r="B363" s="23" t="str">
        <f>IFERROR(IF(ISNUMBER('Debt to GDP Ratio'!D367),TEXT('Debt to GDP Ratio'!D367,"0.00"), ""), "")</f>
        <v/>
      </c>
      <c r="C363" s="23" t="str">
        <f>IFERROR(IF(ISNUMBER('Debt to GDP Ratio'!E367),TEXT('Debt to GDP Ratio'!E367,"0.00"), ""), "")</f>
        <v/>
      </c>
    </row>
    <row r="364" spans="1:3">
      <c r="A364" s="23" t="str">
        <f>TEXT(IF('Debt to GDP Ratio'!B368&lt;&gt;0,'Debt to GDP Ratio'!B368-364, ""), "mm/dd/yyyy")</f>
        <v/>
      </c>
      <c r="B364" s="23" t="str">
        <f>IFERROR(IF(ISNUMBER('Debt to GDP Ratio'!D368),TEXT('Debt to GDP Ratio'!D368,"0.00"), ""), "")</f>
        <v/>
      </c>
      <c r="C364" s="23" t="str">
        <f>IFERROR(IF(ISNUMBER('Debt to GDP Ratio'!E368),TEXT('Debt to GDP Ratio'!E368,"0.00"), ""), "")</f>
        <v/>
      </c>
    </row>
    <row r="365" spans="1:3">
      <c r="A365" s="23" t="str">
        <f>TEXT(IF('Debt to GDP Ratio'!B369&lt;&gt;0,'Debt to GDP Ratio'!B369-364, ""), "mm/dd/yyyy")</f>
        <v/>
      </c>
      <c r="B365" s="23" t="str">
        <f>IFERROR(IF(ISNUMBER('Debt to GDP Ratio'!D369),TEXT('Debt to GDP Ratio'!D369,"0.00"), ""), "")</f>
        <v/>
      </c>
      <c r="C365" s="23" t="str">
        <f>IFERROR(IF(ISNUMBER('Debt to GDP Ratio'!E369),TEXT('Debt to GDP Ratio'!E369,"0.00"), ""), "")</f>
        <v/>
      </c>
    </row>
    <row r="366" spans="1:3">
      <c r="A366" s="23" t="str">
        <f>TEXT(IF('Debt to GDP Ratio'!B370&lt;&gt;0,'Debt to GDP Ratio'!B370-364, ""), "mm/dd/yyyy")</f>
        <v/>
      </c>
      <c r="B366" s="23" t="str">
        <f>IFERROR(IF(ISNUMBER('Debt to GDP Ratio'!D370),TEXT('Debt to GDP Ratio'!D370,"0.00"), ""), "")</f>
        <v/>
      </c>
      <c r="C366" s="23" t="str">
        <f>IFERROR(IF(ISNUMBER('Debt to GDP Ratio'!E370),TEXT('Debt to GDP Ratio'!E370,"0.00"), ""), "")</f>
        <v/>
      </c>
    </row>
    <row r="367" spans="1:3">
      <c r="A367" s="23" t="str">
        <f>TEXT(IF('Debt to GDP Ratio'!B371&lt;&gt;0,'Debt to GDP Ratio'!B371-364, ""), "mm/dd/yyyy")</f>
        <v/>
      </c>
      <c r="B367" s="23" t="str">
        <f>IFERROR(IF(ISNUMBER('Debt to GDP Ratio'!D371),TEXT('Debt to GDP Ratio'!D371,"0.00"), ""), "")</f>
        <v/>
      </c>
      <c r="C367" s="23" t="str">
        <f>IFERROR(IF(ISNUMBER('Debt to GDP Ratio'!E371),TEXT('Debt to GDP Ratio'!E371,"0.00"), ""), "")</f>
        <v/>
      </c>
    </row>
    <row r="368" spans="1:3">
      <c r="A368" s="23" t="str">
        <f>TEXT(IF('Debt to GDP Ratio'!B372&lt;&gt;0,'Debt to GDP Ratio'!B372-364, ""), "mm/dd/yyyy")</f>
        <v/>
      </c>
      <c r="B368" s="23" t="str">
        <f>IFERROR(IF(ISNUMBER('Debt to GDP Ratio'!D372),TEXT('Debt to GDP Ratio'!D372,"0.00"), ""), "")</f>
        <v/>
      </c>
      <c r="C368" s="23" t="str">
        <f>IFERROR(IF(ISNUMBER('Debt to GDP Ratio'!E372),TEXT('Debt to GDP Ratio'!E372,"0.00"), ""), "")</f>
        <v/>
      </c>
    </row>
    <row r="369" spans="1:3">
      <c r="A369" s="23" t="str">
        <f>TEXT(IF('Debt to GDP Ratio'!B373&lt;&gt;0,'Debt to GDP Ratio'!B373-364, ""), "mm/dd/yyyy")</f>
        <v/>
      </c>
      <c r="B369" s="23" t="str">
        <f>IFERROR(IF(ISNUMBER('Debt to GDP Ratio'!D373),TEXT('Debt to GDP Ratio'!D373,"0.00"), ""), "")</f>
        <v/>
      </c>
      <c r="C369" s="23" t="str">
        <f>IFERROR(IF(ISNUMBER('Debt to GDP Ratio'!E373),TEXT('Debt to GDP Ratio'!E373,"0.00"), ""), "")</f>
        <v/>
      </c>
    </row>
    <row r="370" spans="1:3">
      <c r="A370" s="23" t="str">
        <f>TEXT(IF('Debt to GDP Ratio'!B374&lt;&gt;0,'Debt to GDP Ratio'!B374-364, ""), "mm/dd/yyyy")</f>
        <v/>
      </c>
      <c r="B370" s="23" t="str">
        <f>IFERROR(IF(ISNUMBER('Debt to GDP Ratio'!D374),TEXT('Debt to GDP Ratio'!D374,"0.00"), ""), "")</f>
        <v/>
      </c>
      <c r="C370" s="23" t="str">
        <f>IFERROR(IF(ISNUMBER('Debt to GDP Ratio'!E374),TEXT('Debt to GDP Ratio'!E374,"0.00"), ""), "")</f>
        <v/>
      </c>
    </row>
    <row r="371" spans="1:3">
      <c r="A371" s="23" t="str">
        <f>TEXT(IF('Debt to GDP Ratio'!B375&lt;&gt;0,'Debt to GDP Ratio'!B375-364, ""), "mm/dd/yyyy")</f>
        <v/>
      </c>
      <c r="B371" s="23" t="str">
        <f>IFERROR(IF(ISNUMBER('Debt to GDP Ratio'!D375),TEXT('Debt to GDP Ratio'!D375,"0.00"), ""), "")</f>
        <v/>
      </c>
      <c r="C371" s="23" t="str">
        <f>IFERROR(IF(ISNUMBER('Debt to GDP Ratio'!E375),TEXT('Debt to GDP Ratio'!E375,"0.00"), ""), "")</f>
        <v/>
      </c>
    </row>
    <row r="372" spans="1:3">
      <c r="A372" s="23" t="str">
        <f>TEXT(IF('Debt to GDP Ratio'!B376&lt;&gt;0,'Debt to GDP Ratio'!B376-364, ""), "mm/dd/yyyy")</f>
        <v/>
      </c>
      <c r="B372" s="23" t="str">
        <f>IFERROR(IF(ISNUMBER('Debt to GDP Ratio'!D376),TEXT('Debt to GDP Ratio'!D376,"0.00"), ""), "")</f>
        <v/>
      </c>
      <c r="C372" s="23" t="str">
        <f>IFERROR(IF(ISNUMBER('Debt to GDP Ratio'!E376),TEXT('Debt to GDP Ratio'!E376,"0.00"), ""), "")</f>
        <v/>
      </c>
    </row>
    <row r="373" spans="1:3">
      <c r="A373" s="23" t="str">
        <f>TEXT(IF('Debt to GDP Ratio'!B377&lt;&gt;0,'Debt to GDP Ratio'!B377-364, ""), "mm/dd/yyyy")</f>
        <v/>
      </c>
      <c r="B373" s="23" t="str">
        <f>IFERROR(IF(ISNUMBER('Debt to GDP Ratio'!D377),TEXT('Debt to GDP Ratio'!D377,"0.00"), ""), "")</f>
        <v/>
      </c>
      <c r="C373" s="23" t="str">
        <f>IFERROR(IF(ISNUMBER('Debt to GDP Ratio'!E377),TEXT('Debt to GDP Ratio'!E377,"0.00"), ""), "")</f>
        <v/>
      </c>
    </row>
    <row r="374" spans="1:3">
      <c r="A374" s="23" t="str">
        <f>TEXT(IF('Debt to GDP Ratio'!B378&lt;&gt;0,'Debt to GDP Ratio'!B378-364, ""), "mm/dd/yyyy")</f>
        <v/>
      </c>
      <c r="B374" s="23" t="str">
        <f>IFERROR(IF(ISNUMBER('Debt to GDP Ratio'!D378),TEXT('Debt to GDP Ratio'!D378,"0.00"), ""), "")</f>
        <v/>
      </c>
      <c r="C374" s="23" t="str">
        <f>IFERROR(IF(ISNUMBER('Debt to GDP Ratio'!E378),TEXT('Debt to GDP Ratio'!E378,"0.00"), ""), "")</f>
        <v/>
      </c>
    </row>
    <row r="375" spans="1:3">
      <c r="A375" s="23" t="str">
        <f>TEXT(IF('Debt to GDP Ratio'!B379&lt;&gt;0,'Debt to GDP Ratio'!B379-364, ""), "mm/dd/yyyy")</f>
        <v/>
      </c>
      <c r="B375" s="23" t="str">
        <f>IFERROR(IF(ISNUMBER('Debt to GDP Ratio'!D379),TEXT('Debt to GDP Ratio'!D379,"0.00"), ""), "")</f>
        <v/>
      </c>
      <c r="C375" s="23" t="str">
        <f>IFERROR(IF(ISNUMBER('Debt to GDP Ratio'!E379),TEXT('Debt to GDP Ratio'!E379,"0.00"), ""), "")</f>
        <v/>
      </c>
    </row>
    <row r="376" spans="1:3">
      <c r="A376" s="23" t="str">
        <f>TEXT(IF('Debt to GDP Ratio'!B380&lt;&gt;0,'Debt to GDP Ratio'!B380-364, ""), "mm/dd/yyyy")</f>
        <v/>
      </c>
      <c r="B376" s="23" t="str">
        <f>IFERROR(IF(ISNUMBER('Debt to GDP Ratio'!D380),TEXT('Debt to GDP Ratio'!D380,"0.00"), ""), "")</f>
        <v/>
      </c>
      <c r="C376" s="23" t="str">
        <f>IFERROR(IF(ISNUMBER('Debt to GDP Ratio'!E380),TEXT('Debt to GDP Ratio'!E380,"0.00"), ""), "")</f>
        <v/>
      </c>
    </row>
    <row r="377" spans="1:3">
      <c r="A377" s="23" t="str">
        <f>TEXT(IF('Debt to GDP Ratio'!B381&lt;&gt;0,'Debt to GDP Ratio'!B381-364, ""), "mm/dd/yyyy")</f>
        <v/>
      </c>
      <c r="B377" s="23" t="str">
        <f>IFERROR(IF(ISNUMBER('Debt to GDP Ratio'!D381),TEXT('Debt to GDP Ratio'!D381,"0.00"), ""), "")</f>
        <v/>
      </c>
      <c r="C377" s="23" t="str">
        <f>IFERROR(IF(ISNUMBER('Debt to GDP Ratio'!E381),TEXT('Debt to GDP Ratio'!E381,"0.00"), ""), "")</f>
        <v/>
      </c>
    </row>
    <row r="378" spans="1:3">
      <c r="A378" s="23" t="str">
        <f>TEXT(IF('Debt to GDP Ratio'!B382&lt;&gt;0,'Debt to GDP Ratio'!B382-364, ""), "mm/dd/yyyy")</f>
        <v/>
      </c>
      <c r="B378" s="23" t="str">
        <f>IFERROR(IF(ISNUMBER('Debt to GDP Ratio'!D382),TEXT('Debt to GDP Ratio'!D382,"0.00"), ""), "")</f>
        <v/>
      </c>
      <c r="C378" s="23" t="str">
        <f>IFERROR(IF(ISNUMBER('Debt to GDP Ratio'!E382),TEXT('Debt to GDP Ratio'!E382,"0.00"), ""), "")</f>
        <v/>
      </c>
    </row>
    <row r="379" spans="1:3">
      <c r="A379" s="23" t="str">
        <f>TEXT(IF('Debt to GDP Ratio'!B383&lt;&gt;0,'Debt to GDP Ratio'!B383-364, ""), "mm/dd/yyyy")</f>
        <v/>
      </c>
      <c r="B379" s="23" t="str">
        <f>IFERROR(IF(ISNUMBER('Debt to GDP Ratio'!D383),TEXT('Debt to GDP Ratio'!D383,"0.00"), ""), "")</f>
        <v/>
      </c>
      <c r="C379" s="23" t="str">
        <f>IFERROR(IF(ISNUMBER('Debt to GDP Ratio'!E383),TEXT('Debt to GDP Ratio'!E383,"0.00"), ""), "")</f>
        <v/>
      </c>
    </row>
    <row r="380" spans="1:3">
      <c r="A380" s="23" t="str">
        <f>TEXT(IF('Debt to GDP Ratio'!B384&lt;&gt;0,'Debt to GDP Ratio'!B384-364, ""), "mm/dd/yyyy")</f>
        <v/>
      </c>
      <c r="B380" s="23" t="str">
        <f>IFERROR(IF(ISNUMBER('Debt to GDP Ratio'!D384),TEXT('Debt to GDP Ratio'!D384,"0.00"), ""), "")</f>
        <v/>
      </c>
      <c r="C380" s="23" t="str">
        <f>IFERROR(IF(ISNUMBER('Debt to GDP Ratio'!E384),TEXT('Debt to GDP Ratio'!E384,"0.00"), ""), "")</f>
        <v/>
      </c>
    </row>
    <row r="381" spans="1:3">
      <c r="A381" s="23" t="str">
        <f>TEXT(IF('Debt to GDP Ratio'!B385&lt;&gt;0,'Debt to GDP Ratio'!B385-364, ""), "mm/dd/yyyy")</f>
        <v/>
      </c>
      <c r="B381" s="23" t="str">
        <f>IFERROR(IF(ISNUMBER('Debt to GDP Ratio'!D385),TEXT('Debt to GDP Ratio'!D385,"0.00"), ""), "")</f>
        <v/>
      </c>
      <c r="C381" s="23" t="str">
        <f>IFERROR(IF(ISNUMBER('Debt to GDP Ratio'!E385),TEXT('Debt to GDP Ratio'!E385,"0.00"), ""), "")</f>
        <v/>
      </c>
    </row>
    <row r="382" spans="1:3">
      <c r="A382" s="23" t="str">
        <f>TEXT(IF('Debt to GDP Ratio'!B386&lt;&gt;0,'Debt to GDP Ratio'!B386-364, ""), "mm/dd/yyyy")</f>
        <v/>
      </c>
      <c r="B382" s="23" t="str">
        <f>IFERROR(IF(ISNUMBER('Debt to GDP Ratio'!D386),TEXT('Debt to GDP Ratio'!D386,"0.00"), ""), "")</f>
        <v/>
      </c>
      <c r="C382" s="23" t="str">
        <f>IFERROR(IF(ISNUMBER('Debt to GDP Ratio'!E386),TEXT('Debt to GDP Ratio'!E386,"0.00"), ""), "")</f>
        <v/>
      </c>
    </row>
    <row r="383" spans="1:3">
      <c r="A383" s="23" t="str">
        <f>TEXT(IF('Debt to GDP Ratio'!B387&lt;&gt;0,'Debt to GDP Ratio'!B387-364, ""), "mm/dd/yyyy")</f>
        <v/>
      </c>
      <c r="B383" s="23" t="str">
        <f>IFERROR(IF(ISNUMBER('Debt to GDP Ratio'!D387),TEXT('Debt to GDP Ratio'!D387,"0.00"), ""), "")</f>
        <v/>
      </c>
      <c r="C383" s="23" t="str">
        <f>IFERROR(IF(ISNUMBER('Debt to GDP Ratio'!E387),TEXT('Debt to GDP Ratio'!E387,"0.00"), ""), "")</f>
        <v/>
      </c>
    </row>
    <row r="384" spans="1:3">
      <c r="A384" s="23" t="str">
        <f>TEXT(IF('Debt to GDP Ratio'!B388&lt;&gt;0,'Debt to GDP Ratio'!B388-364, ""), "mm/dd/yyyy")</f>
        <v/>
      </c>
      <c r="B384" s="23" t="str">
        <f>IFERROR(IF(ISNUMBER('Debt to GDP Ratio'!D388),TEXT('Debt to GDP Ratio'!D388,"0.00"), ""), "")</f>
        <v/>
      </c>
      <c r="C384" s="23" t="str">
        <f>IFERROR(IF(ISNUMBER('Debt to GDP Ratio'!E388),TEXT('Debt to GDP Ratio'!E388,"0.00"), ""), "")</f>
        <v/>
      </c>
    </row>
    <row r="385" spans="1:3">
      <c r="A385" s="23" t="str">
        <f>TEXT(IF('Debt to GDP Ratio'!B389&lt;&gt;0,'Debt to GDP Ratio'!B389-364, ""), "mm/dd/yyyy")</f>
        <v/>
      </c>
      <c r="B385" s="23" t="str">
        <f>IFERROR(IF(ISNUMBER('Debt to GDP Ratio'!D389),TEXT('Debt to GDP Ratio'!D389,"0.00"), ""), "")</f>
        <v/>
      </c>
      <c r="C385" s="23" t="str">
        <f>IFERROR(IF(ISNUMBER('Debt to GDP Ratio'!E389),TEXT('Debt to GDP Ratio'!E389,"0.00"), ""), "")</f>
        <v/>
      </c>
    </row>
    <row r="386" spans="1:3">
      <c r="A386" s="23" t="str">
        <f>TEXT(IF('Debt to GDP Ratio'!B390&lt;&gt;0,'Debt to GDP Ratio'!B390-364, ""), "mm/dd/yyyy")</f>
        <v/>
      </c>
      <c r="B386" s="23" t="str">
        <f>IFERROR(IF(ISNUMBER('Debt to GDP Ratio'!D390),TEXT('Debt to GDP Ratio'!D390,"0.00"), ""), "")</f>
        <v/>
      </c>
      <c r="C386" s="23" t="str">
        <f>IFERROR(IF(ISNUMBER('Debt to GDP Ratio'!E390),TEXT('Debt to GDP Ratio'!E390,"0.00"), ""), "")</f>
        <v/>
      </c>
    </row>
    <row r="387" spans="1:3">
      <c r="A387" s="23" t="str">
        <f>TEXT(IF('Debt to GDP Ratio'!B391&lt;&gt;0,'Debt to GDP Ratio'!B391-364, ""), "mm/dd/yyyy")</f>
        <v/>
      </c>
      <c r="B387" s="23" t="str">
        <f>IFERROR(IF(ISNUMBER('Debt to GDP Ratio'!D391),TEXT('Debt to GDP Ratio'!D391,"0.00"), ""), "")</f>
        <v/>
      </c>
      <c r="C387" s="23" t="str">
        <f>IFERROR(IF(ISNUMBER('Debt to GDP Ratio'!E391),TEXT('Debt to GDP Ratio'!E391,"0.00"), ""), "")</f>
        <v/>
      </c>
    </row>
    <row r="388" spans="1:3">
      <c r="A388" s="23" t="str">
        <f>TEXT(IF('Debt to GDP Ratio'!B392&lt;&gt;0,'Debt to GDP Ratio'!B392-364, ""), "mm/dd/yyyy")</f>
        <v/>
      </c>
      <c r="B388" s="23" t="str">
        <f>IFERROR(IF(ISNUMBER('Debt to GDP Ratio'!D392),TEXT('Debt to GDP Ratio'!D392,"0.00"), ""), "")</f>
        <v/>
      </c>
      <c r="C388" s="23" t="str">
        <f>IFERROR(IF(ISNUMBER('Debt to GDP Ratio'!E392),TEXT('Debt to GDP Ratio'!E392,"0.00"), ""), "")</f>
        <v/>
      </c>
    </row>
    <row r="389" spans="1:3">
      <c r="A389" s="23" t="str">
        <f>TEXT(IF('Debt to GDP Ratio'!B393&lt;&gt;0,'Debt to GDP Ratio'!B393-364, ""), "mm/dd/yyyy")</f>
        <v/>
      </c>
      <c r="B389" s="23" t="str">
        <f>IFERROR(IF(ISNUMBER('Debt to GDP Ratio'!D393),TEXT('Debt to GDP Ratio'!D393,"0.00"), ""), "")</f>
        <v/>
      </c>
      <c r="C389" s="23" t="str">
        <f>IFERROR(IF(ISNUMBER('Debt to GDP Ratio'!E393),TEXT('Debt to GDP Ratio'!E393,"0.00"), ""), "")</f>
        <v/>
      </c>
    </row>
    <row r="390" spans="1:3">
      <c r="A390" s="23" t="str">
        <f>TEXT(IF('Debt to GDP Ratio'!B394&lt;&gt;0,'Debt to GDP Ratio'!B394-364, ""), "mm/dd/yyyy")</f>
        <v/>
      </c>
      <c r="B390" s="23" t="str">
        <f>IFERROR(IF(ISNUMBER('Debt to GDP Ratio'!D394),TEXT('Debt to GDP Ratio'!D394,"0.00"), ""), "")</f>
        <v/>
      </c>
      <c r="C390" s="23" t="str">
        <f>IFERROR(IF(ISNUMBER('Debt to GDP Ratio'!E394),TEXT('Debt to GDP Ratio'!E394,"0.00"), ""), "")</f>
        <v/>
      </c>
    </row>
    <row r="391" spans="1:3">
      <c r="A391" s="23" t="str">
        <f>TEXT(IF('Debt to GDP Ratio'!B395&lt;&gt;0,'Debt to GDP Ratio'!B395-364, ""), "mm/dd/yyyy")</f>
        <v/>
      </c>
      <c r="B391" s="23" t="str">
        <f>IFERROR(IF(ISNUMBER('Debt to GDP Ratio'!D395),TEXT('Debt to GDP Ratio'!D395,"0.00"), ""), "")</f>
        <v/>
      </c>
      <c r="C391" s="23" t="str">
        <f>IFERROR(IF(ISNUMBER('Debt to GDP Ratio'!E395),TEXT('Debt to GDP Ratio'!E395,"0.00"), ""), "")</f>
        <v/>
      </c>
    </row>
    <row r="392" spans="1:3">
      <c r="A392" s="23" t="str">
        <f>TEXT(IF('Debt to GDP Ratio'!B396&lt;&gt;0,'Debt to GDP Ratio'!B396-364, ""), "mm/dd/yyyy")</f>
        <v/>
      </c>
      <c r="B392" s="23" t="str">
        <f>IFERROR(IF(ISNUMBER('Debt to GDP Ratio'!D396),TEXT('Debt to GDP Ratio'!D396,"0.00"), ""), "")</f>
        <v/>
      </c>
      <c r="C392" s="23" t="str">
        <f>IFERROR(IF(ISNUMBER('Debt to GDP Ratio'!E396),TEXT('Debt to GDP Ratio'!E396,"0.00"), ""), "")</f>
        <v/>
      </c>
    </row>
    <row r="393" spans="1:3">
      <c r="A393" s="23" t="str">
        <f>TEXT(IF('Debt to GDP Ratio'!B397&lt;&gt;0,'Debt to GDP Ratio'!B397-364, ""), "mm/dd/yyyy")</f>
        <v/>
      </c>
      <c r="B393" s="23" t="str">
        <f>IFERROR(IF(ISNUMBER('Debt to GDP Ratio'!D397),TEXT('Debt to GDP Ratio'!D397,"0.00"), ""), "")</f>
        <v/>
      </c>
      <c r="C393" s="23" t="str">
        <f>IFERROR(IF(ISNUMBER('Debt to GDP Ratio'!E397),TEXT('Debt to GDP Ratio'!E397,"0.00"), ""), "")</f>
        <v/>
      </c>
    </row>
    <row r="394" spans="1:3">
      <c r="A394" s="23" t="str">
        <f>TEXT(IF('Debt to GDP Ratio'!B398&lt;&gt;0,'Debt to GDP Ratio'!B398-364, ""), "mm/dd/yyyy")</f>
        <v/>
      </c>
      <c r="B394" s="23" t="str">
        <f>IFERROR(IF(ISNUMBER('Debt to GDP Ratio'!D398),TEXT('Debt to GDP Ratio'!D398,"0.00"), ""), "")</f>
        <v/>
      </c>
      <c r="C394" s="23" t="str">
        <f>IFERROR(IF(ISNUMBER('Debt to GDP Ratio'!E398),TEXT('Debt to GDP Ratio'!E398,"0.00"), ""), "")</f>
        <v/>
      </c>
    </row>
    <row r="395" spans="1:3">
      <c r="A395" s="23" t="str">
        <f>TEXT(IF('Debt to GDP Ratio'!B399&lt;&gt;0,'Debt to GDP Ratio'!B399-364, ""), "mm/dd/yyyy")</f>
        <v/>
      </c>
      <c r="B395" s="23" t="str">
        <f>IFERROR(IF(ISNUMBER('Debt to GDP Ratio'!D399),TEXT('Debt to GDP Ratio'!D399,"0.00"), ""), "")</f>
        <v/>
      </c>
      <c r="C395" s="23" t="str">
        <f>IFERROR(IF(ISNUMBER('Debt to GDP Ratio'!E399),TEXT('Debt to GDP Ratio'!E399,"0.00"), ""), "")</f>
        <v/>
      </c>
    </row>
    <row r="396" spans="1:3">
      <c r="A396" s="23" t="str">
        <f>TEXT(IF('Debt to GDP Ratio'!B400&lt;&gt;0,'Debt to GDP Ratio'!B400-364, ""), "mm/dd/yyyy")</f>
        <v/>
      </c>
      <c r="B396" s="23" t="str">
        <f>IFERROR(IF(ISNUMBER('Debt to GDP Ratio'!D400),TEXT('Debt to GDP Ratio'!D400,"0.00"), ""), "")</f>
        <v/>
      </c>
      <c r="C396" s="23" t="str">
        <f>IFERROR(IF(ISNUMBER('Debt to GDP Ratio'!E400),TEXT('Debt to GDP Ratio'!E400,"0.00"), ""), "")</f>
        <v/>
      </c>
    </row>
    <row r="397" spans="1:3">
      <c r="A397" s="23" t="str">
        <f>TEXT(IF('Debt to GDP Ratio'!B401&lt;&gt;0,'Debt to GDP Ratio'!B401-364, ""), "mm/dd/yyyy")</f>
        <v/>
      </c>
      <c r="B397" s="23" t="str">
        <f>IFERROR(IF(ISNUMBER('Debt to GDP Ratio'!D401),TEXT('Debt to GDP Ratio'!D401,"0.00"), ""), "")</f>
        <v/>
      </c>
      <c r="C397" s="23" t="str">
        <f>IFERROR(IF(ISNUMBER('Debt to GDP Ratio'!E401),TEXT('Debt to GDP Ratio'!E401,"0.00"), ""), "")</f>
        <v/>
      </c>
    </row>
    <row r="398" spans="1:3">
      <c r="A398" s="23" t="str">
        <f>TEXT(IF('Debt to GDP Ratio'!B402&lt;&gt;0,'Debt to GDP Ratio'!B402-364, ""), "mm/dd/yyyy")</f>
        <v/>
      </c>
      <c r="B398" s="23" t="str">
        <f>IFERROR(IF(ISNUMBER('Debt to GDP Ratio'!D402),TEXT('Debt to GDP Ratio'!D402,"0.00"), ""), "")</f>
        <v/>
      </c>
      <c r="C398" s="23" t="str">
        <f>IFERROR(IF(ISNUMBER('Debt to GDP Ratio'!E402),TEXT('Debt to GDP Ratio'!E402,"0.00"), ""), "")</f>
        <v/>
      </c>
    </row>
    <row r="399" spans="1:3">
      <c r="A399" s="23" t="str">
        <f>TEXT(IF('Debt to GDP Ratio'!B403&lt;&gt;0,'Debt to GDP Ratio'!B403-364, ""), "mm/dd/yyyy")</f>
        <v/>
      </c>
      <c r="B399" s="23" t="str">
        <f>IFERROR(IF(ISNUMBER('Debt to GDP Ratio'!D403),TEXT('Debt to GDP Ratio'!D403,"0.00"), ""), "")</f>
        <v/>
      </c>
      <c r="C399" s="23" t="str">
        <f>IFERROR(IF(ISNUMBER('Debt to GDP Ratio'!E403),TEXT('Debt to GDP Ratio'!E403,"0.00"), ""), "")</f>
        <v/>
      </c>
    </row>
    <row r="400" spans="1:3">
      <c r="A400" s="23" t="str">
        <f>TEXT(IF('Debt to GDP Ratio'!B404&lt;&gt;0,'Debt to GDP Ratio'!B404-364, ""), "mm/dd/yyyy")</f>
        <v/>
      </c>
      <c r="B400" s="23" t="str">
        <f>IFERROR(IF(ISNUMBER('Debt to GDP Ratio'!D404),TEXT('Debt to GDP Ratio'!D404,"0.00"), ""), "")</f>
        <v/>
      </c>
      <c r="C400" s="23" t="str">
        <f>IFERROR(IF(ISNUMBER('Debt to GDP Ratio'!E404),TEXT('Debt to GDP Ratio'!E404,"0.00"), ""), "")</f>
        <v/>
      </c>
    </row>
    <row r="401" spans="1:3">
      <c r="A401" s="23" t="str">
        <f>TEXT(IF('Debt to GDP Ratio'!B405&lt;&gt;0,'Debt to GDP Ratio'!B405-364, ""), "mm/dd/yyyy")</f>
        <v/>
      </c>
      <c r="B401" s="23" t="str">
        <f>IFERROR(IF(ISNUMBER('Debt to GDP Ratio'!D405),TEXT('Debt to GDP Ratio'!D405,"0.00"), ""), "")</f>
        <v/>
      </c>
      <c r="C401" s="23" t="str">
        <f>IFERROR(IF(ISNUMBER('Debt to GDP Ratio'!E405),TEXT('Debt to GDP Ratio'!E405,"0.00"), ""), "")</f>
        <v/>
      </c>
    </row>
    <row r="402" spans="1:3">
      <c r="A402" s="23" t="str">
        <f>TEXT(IF('Debt to GDP Ratio'!B406&lt;&gt;0,'Debt to GDP Ratio'!B406-364, ""), "mm/dd/yyyy")</f>
        <v/>
      </c>
      <c r="B402" s="23" t="str">
        <f>IFERROR(IF(ISNUMBER('Debt to GDP Ratio'!D406),TEXT('Debt to GDP Ratio'!D406,"0.00"), ""), "")</f>
        <v/>
      </c>
      <c r="C402" s="23" t="str">
        <f>IFERROR(IF(ISNUMBER('Debt to GDP Ratio'!E406),TEXT('Debt to GDP Ratio'!E406,"0.00"), ""), "")</f>
        <v/>
      </c>
    </row>
    <row r="403" spans="1:3">
      <c r="A403" s="23" t="str">
        <f>TEXT(IF('Debt to GDP Ratio'!B407&lt;&gt;0,'Debt to GDP Ratio'!B407-364, ""), "mm/dd/yyyy")</f>
        <v/>
      </c>
      <c r="B403" s="23" t="str">
        <f>IFERROR(IF(ISNUMBER('Debt to GDP Ratio'!D407),TEXT('Debt to GDP Ratio'!D407,"0.00"), ""), "")</f>
        <v/>
      </c>
      <c r="C403" s="23" t="str">
        <f>IFERROR(IF(ISNUMBER('Debt to GDP Ratio'!E407),TEXT('Debt to GDP Ratio'!E407,"0.00"), ""), "")</f>
        <v/>
      </c>
    </row>
    <row r="404" spans="1:3">
      <c r="A404" s="23" t="str">
        <f>TEXT(IF('Debt to GDP Ratio'!B408&lt;&gt;0,'Debt to GDP Ratio'!B408-364, ""), "mm/dd/yyyy")</f>
        <v/>
      </c>
      <c r="B404" s="23" t="str">
        <f>IFERROR(IF(ISNUMBER('Debt to GDP Ratio'!D408),TEXT('Debt to GDP Ratio'!D408,"0.00"), ""), "")</f>
        <v/>
      </c>
      <c r="C404" s="23" t="str">
        <f>IFERROR(IF(ISNUMBER('Debt to GDP Ratio'!E408),TEXT('Debt to GDP Ratio'!E408,"0.00"), ""), "")</f>
        <v/>
      </c>
    </row>
    <row r="405" spans="1:3">
      <c r="A405" s="23" t="str">
        <f>TEXT(IF('Debt to GDP Ratio'!B409&lt;&gt;0,'Debt to GDP Ratio'!B409-364, ""), "mm/dd/yyyy")</f>
        <v/>
      </c>
      <c r="B405" s="23" t="str">
        <f>IFERROR(IF(ISNUMBER('Debt to GDP Ratio'!D409),TEXT('Debt to GDP Ratio'!D409,"0.00"), ""), "")</f>
        <v/>
      </c>
      <c r="C405" s="23" t="str">
        <f>IFERROR(IF(ISNUMBER('Debt to GDP Ratio'!E409),TEXT('Debt to GDP Ratio'!E409,"0.00"), ""), "")</f>
        <v/>
      </c>
    </row>
    <row r="406" spans="1:3">
      <c r="A406" s="23" t="str">
        <f>TEXT(IF('Debt to GDP Ratio'!B410&lt;&gt;0,'Debt to GDP Ratio'!B410-364, ""), "mm/dd/yyyy")</f>
        <v/>
      </c>
      <c r="B406" s="23" t="str">
        <f>IFERROR(IF(ISNUMBER('Debt to GDP Ratio'!D410),TEXT('Debt to GDP Ratio'!D410,"0.00"), ""), "")</f>
        <v/>
      </c>
      <c r="C406" s="23" t="str">
        <f>IFERROR(IF(ISNUMBER('Debt to GDP Ratio'!E410),TEXT('Debt to GDP Ratio'!E410,"0.00"), ""), "")</f>
        <v/>
      </c>
    </row>
    <row r="407" spans="1:3">
      <c r="A407" s="23" t="str">
        <f>TEXT(IF('Debt to GDP Ratio'!B411&lt;&gt;0,'Debt to GDP Ratio'!B411-364, ""), "mm/dd/yyyy")</f>
        <v/>
      </c>
      <c r="B407" s="23" t="str">
        <f>IFERROR(IF(ISNUMBER('Debt to GDP Ratio'!D411),TEXT('Debt to GDP Ratio'!D411,"0.00"), ""), "")</f>
        <v/>
      </c>
      <c r="C407" s="23" t="str">
        <f>IFERROR(IF(ISNUMBER('Debt to GDP Ratio'!E411),TEXT('Debt to GDP Ratio'!E411,"0.00"), ""), "")</f>
        <v/>
      </c>
    </row>
    <row r="408" spans="1:3">
      <c r="A408" s="23" t="str">
        <f>TEXT(IF('Debt to GDP Ratio'!B412&lt;&gt;0,'Debt to GDP Ratio'!B412-364, ""), "mm/dd/yyyy")</f>
        <v/>
      </c>
      <c r="B408" s="23" t="str">
        <f>IFERROR(IF(ISNUMBER('Debt to GDP Ratio'!D412),TEXT('Debt to GDP Ratio'!D412,"0.00"), ""), "")</f>
        <v/>
      </c>
      <c r="C408" s="23" t="str">
        <f>IFERROR(IF(ISNUMBER('Debt to GDP Ratio'!E412),TEXT('Debt to GDP Ratio'!E412,"0.00"), ""), "")</f>
        <v/>
      </c>
    </row>
    <row r="409" spans="1:3">
      <c r="A409" s="23" t="str">
        <f>TEXT(IF('Debt to GDP Ratio'!B413&lt;&gt;0,'Debt to GDP Ratio'!B413-364, ""), "mm/dd/yyyy")</f>
        <v/>
      </c>
      <c r="B409" s="23" t="str">
        <f>IFERROR(IF(ISNUMBER('Debt to GDP Ratio'!D413),TEXT('Debt to GDP Ratio'!D413,"0.00"), ""), "")</f>
        <v/>
      </c>
      <c r="C409" s="23" t="str">
        <f>IFERROR(IF(ISNUMBER('Debt to GDP Ratio'!E413),TEXT('Debt to GDP Ratio'!E413,"0.00"), ""), "")</f>
        <v/>
      </c>
    </row>
    <row r="410" spans="1:3">
      <c r="A410" s="23" t="str">
        <f>TEXT(IF('Debt to GDP Ratio'!B414&lt;&gt;0,'Debt to GDP Ratio'!B414-364, ""), "mm/dd/yyyy")</f>
        <v/>
      </c>
      <c r="B410" s="23" t="str">
        <f>IFERROR(IF(ISNUMBER('Debt to GDP Ratio'!D414),TEXT('Debt to GDP Ratio'!D414,"0.00"), ""), "")</f>
        <v/>
      </c>
      <c r="C410" s="23" t="str">
        <f>IFERROR(IF(ISNUMBER('Debt to GDP Ratio'!E414),TEXT('Debt to GDP Ratio'!E414,"0.00"), ""), "")</f>
        <v/>
      </c>
    </row>
    <row r="411" spans="1:3">
      <c r="A411" s="23" t="str">
        <f>TEXT(IF('Debt to GDP Ratio'!B415&lt;&gt;0,'Debt to GDP Ratio'!B415-364, ""), "mm/dd/yyyy")</f>
        <v/>
      </c>
      <c r="B411" s="23" t="str">
        <f>IFERROR(IF(ISNUMBER('Debt to GDP Ratio'!D415),TEXT('Debt to GDP Ratio'!D415,"0.00"), ""), "")</f>
        <v/>
      </c>
      <c r="C411" s="23" t="str">
        <f>IFERROR(IF(ISNUMBER('Debt to GDP Ratio'!E415),TEXT('Debt to GDP Ratio'!E415,"0.00"), ""), "")</f>
        <v/>
      </c>
    </row>
    <row r="412" spans="1:3">
      <c r="A412" s="23" t="str">
        <f>TEXT(IF('Debt to GDP Ratio'!B416&lt;&gt;0,'Debt to GDP Ratio'!B416-364, ""), "mm/dd/yyyy")</f>
        <v/>
      </c>
      <c r="B412" s="23" t="str">
        <f>IFERROR(IF(ISNUMBER('Debt to GDP Ratio'!D416),TEXT('Debt to GDP Ratio'!D416,"0.00"), ""), "")</f>
        <v/>
      </c>
      <c r="C412" s="23" t="str">
        <f>IFERROR(IF(ISNUMBER('Debt to GDP Ratio'!E416),TEXT('Debt to GDP Ratio'!E416,"0.00"), ""), "")</f>
        <v/>
      </c>
    </row>
    <row r="413" spans="1:3">
      <c r="A413" s="23" t="str">
        <f>TEXT(IF('Debt to GDP Ratio'!B417&lt;&gt;0,'Debt to GDP Ratio'!B417-364, ""), "mm/dd/yyyy")</f>
        <v/>
      </c>
      <c r="B413" s="23" t="str">
        <f>IFERROR(IF(ISNUMBER('Debt to GDP Ratio'!D417),TEXT('Debt to GDP Ratio'!D417,"0.00"), ""), "")</f>
        <v/>
      </c>
      <c r="C413" s="23" t="str">
        <f>IFERROR(IF(ISNUMBER('Debt to GDP Ratio'!E417),TEXT('Debt to GDP Ratio'!E417,"0.00"), ""), "")</f>
        <v/>
      </c>
    </row>
    <row r="414" spans="1:3">
      <c r="A414" s="23" t="str">
        <f>TEXT(IF('Debt to GDP Ratio'!B418&lt;&gt;0,'Debt to GDP Ratio'!B418-364, ""), "mm/dd/yyyy")</f>
        <v/>
      </c>
      <c r="B414" s="23" t="str">
        <f>IFERROR(IF(ISNUMBER('Debt to GDP Ratio'!D418),TEXT('Debt to GDP Ratio'!D418,"0.00"), ""), "")</f>
        <v/>
      </c>
      <c r="C414" s="23" t="str">
        <f>IFERROR(IF(ISNUMBER('Debt to GDP Ratio'!E418),TEXT('Debt to GDP Ratio'!E418,"0.00"), ""), "")</f>
        <v/>
      </c>
    </row>
    <row r="415" spans="1:3">
      <c r="A415" s="23" t="str">
        <f>TEXT(IF('Debt to GDP Ratio'!B419&lt;&gt;0,'Debt to GDP Ratio'!B419-364, ""), "mm/dd/yyyy")</f>
        <v/>
      </c>
      <c r="B415" s="23" t="str">
        <f>IFERROR(IF(ISNUMBER('Debt to GDP Ratio'!D419),TEXT('Debt to GDP Ratio'!D419,"0.00"), ""), "")</f>
        <v/>
      </c>
      <c r="C415" s="23" t="str">
        <f>IFERROR(IF(ISNUMBER('Debt to GDP Ratio'!E419),TEXT('Debt to GDP Ratio'!E419,"0.00"), ""), "")</f>
        <v/>
      </c>
    </row>
    <row r="416" spans="1:3">
      <c r="A416" s="23" t="str">
        <f>TEXT(IF('Debt to GDP Ratio'!B420&lt;&gt;0,'Debt to GDP Ratio'!B420-364, ""), "mm/dd/yyyy")</f>
        <v/>
      </c>
      <c r="B416" s="23" t="str">
        <f>IFERROR(IF(ISNUMBER('Debt to GDP Ratio'!D420),TEXT('Debt to GDP Ratio'!D420,"0.00"), ""), "")</f>
        <v/>
      </c>
      <c r="C416" s="23" t="str">
        <f>IFERROR(IF(ISNUMBER('Debt to GDP Ratio'!E420),TEXT('Debt to GDP Ratio'!E420,"0.00"), ""), "")</f>
        <v/>
      </c>
    </row>
    <row r="417" spans="1:3">
      <c r="A417" s="23" t="str">
        <f>TEXT(IF('Debt to GDP Ratio'!B421&lt;&gt;0,'Debt to GDP Ratio'!B421-364, ""), "mm/dd/yyyy")</f>
        <v/>
      </c>
      <c r="B417" s="23" t="str">
        <f>IFERROR(IF(ISNUMBER('Debt to GDP Ratio'!D421),TEXT('Debt to GDP Ratio'!D421,"0.00"), ""), "")</f>
        <v/>
      </c>
      <c r="C417" s="23" t="str">
        <f>IFERROR(IF(ISNUMBER('Debt to GDP Ratio'!E421),TEXT('Debt to GDP Ratio'!E421,"0.00"), ""), "")</f>
        <v/>
      </c>
    </row>
    <row r="418" spans="1:3">
      <c r="A418" s="23" t="str">
        <f>TEXT(IF('Debt to GDP Ratio'!B422&lt;&gt;0,'Debt to GDP Ratio'!B422-364, ""), "mm/dd/yyyy")</f>
        <v/>
      </c>
      <c r="B418" s="23" t="str">
        <f>IFERROR(IF(ISNUMBER('Debt to GDP Ratio'!D422),TEXT('Debt to GDP Ratio'!D422,"0.00"), ""), "")</f>
        <v/>
      </c>
      <c r="C418" s="23" t="str">
        <f>IFERROR(IF(ISNUMBER('Debt to GDP Ratio'!E422),TEXT('Debt to GDP Ratio'!E422,"0.00"), ""), "")</f>
        <v/>
      </c>
    </row>
    <row r="419" spans="1:3">
      <c r="A419" s="23" t="str">
        <f>TEXT(IF('Debt to GDP Ratio'!B423&lt;&gt;0,'Debt to GDP Ratio'!B423-364, ""), "mm/dd/yyyy")</f>
        <v/>
      </c>
      <c r="B419" s="23" t="str">
        <f>IFERROR(IF(ISNUMBER('Debt to GDP Ratio'!D423),TEXT('Debt to GDP Ratio'!D423,"0.00"), ""), "")</f>
        <v/>
      </c>
      <c r="C419" s="23" t="str">
        <f>IFERROR(IF(ISNUMBER('Debt to GDP Ratio'!E423),TEXT('Debt to GDP Ratio'!E423,"0.00"), ""), "")</f>
        <v/>
      </c>
    </row>
    <row r="420" spans="1:3">
      <c r="A420" s="23" t="str">
        <f>TEXT(IF('Debt to GDP Ratio'!B424&lt;&gt;0,'Debt to GDP Ratio'!B424-364, ""), "mm/dd/yyyy")</f>
        <v/>
      </c>
      <c r="B420" s="23" t="str">
        <f>IFERROR(IF(ISNUMBER('Debt to GDP Ratio'!D424),TEXT('Debt to GDP Ratio'!D424,"0.00"), ""), "")</f>
        <v/>
      </c>
      <c r="C420" s="23" t="str">
        <f>IFERROR(IF(ISNUMBER('Debt to GDP Ratio'!E424),TEXT('Debt to GDP Ratio'!E424,"0.00"), ""), "")</f>
        <v/>
      </c>
    </row>
    <row r="421" spans="1:3">
      <c r="A421" s="23" t="str">
        <f>TEXT(IF('Debt to GDP Ratio'!B425&lt;&gt;0,'Debt to GDP Ratio'!B425-364, ""), "mm/dd/yyyy")</f>
        <v/>
      </c>
      <c r="B421" s="23" t="str">
        <f>IFERROR(IF(ISNUMBER('Debt to GDP Ratio'!D425),TEXT('Debt to GDP Ratio'!D425,"0.00"), ""), "")</f>
        <v/>
      </c>
      <c r="C421" s="23" t="str">
        <f>IFERROR(IF(ISNUMBER('Debt to GDP Ratio'!E425),TEXT('Debt to GDP Ratio'!E425,"0.00"), ""), "")</f>
        <v/>
      </c>
    </row>
    <row r="422" spans="1:3">
      <c r="A422" s="23" t="str">
        <f>TEXT(IF('Debt to GDP Ratio'!B426&lt;&gt;0,'Debt to GDP Ratio'!B426-364, ""), "mm/dd/yyyy")</f>
        <v/>
      </c>
      <c r="B422" s="23" t="str">
        <f>IFERROR(IF(ISNUMBER('Debt to GDP Ratio'!D426),TEXT('Debt to GDP Ratio'!D426,"0.00"), ""), "")</f>
        <v/>
      </c>
      <c r="C422" s="23" t="str">
        <f>IFERROR(IF(ISNUMBER('Debt to GDP Ratio'!E426),TEXT('Debt to GDP Ratio'!E426,"0.00"), ""), "")</f>
        <v/>
      </c>
    </row>
    <row r="423" spans="1:3">
      <c r="A423" s="23" t="str">
        <f>TEXT(IF('Debt to GDP Ratio'!B427&lt;&gt;0,'Debt to GDP Ratio'!B427-364, ""), "mm/dd/yyyy")</f>
        <v/>
      </c>
      <c r="B423" s="23" t="str">
        <f>IFERROR(IF(ISNUMBER('Debt to GDP Ratio'!D427),TEXT('Debt to GDP Ratio'!D427,"0.00"), ""), "")</f>
        <v/>
      </c>
      <c r="C423" s="23" t="str">
        <f>IFERROR(IF(ISNUMBER('Debt to GDP Ratio'!E427),TEXT('Debt to GDP Ratio'!E427,"0.00"), ""), "")</f>
        <v/>
      </c>
    </row>
    <row r="424" spans="1:3">
      <c r="A424" s="23" t="str">
        <f>TEXT(IF('Debt to GDP Ratio'!B428&lt;&gt;0,'Debt to GDP Ratio'!B428-364, ""), "mm/dd/yyyy")</f>
        <v/>
      </c>
      <c r="B424" s="23" t="str">
        <f>IFERROR(IF(ISNUMBER('Debt to GDP Ratio'!D428),TEXT('Debt to GDP Ratio'!D428,"0.00"), ""), "")</f>
        <v/>
      </c>
      <c r="C424" s="23" t="str">
        <f>IFERROR(IF(ISNUMBER('Debt to GDP Ratio'!E428),TEXT('Debt to GDP Ratio'!E428,"0.00"), ""), "")</f>
        <v/>
      </c>
    </row>
    <row r="425" spans="1:3">
      <c r="A425" s="23" t="str">
        <f>TEXT(IF('Debt to GDP Ratio'!B429&lt;&gt;0,'Debt to GDP Ratio'!B429-364, ""), "mm/dd/yyyy")</f>
        <v/>
      </c>
      <c r="B425" s="23" t="str">
        <f>IFERROR(IF(ISNUMBER('Debt to GDP Ratio'!D429),TEXT('Debt to GDP Ratio'!D429,"0.00"), ""), "")</f>
        <v/>
      </c>
      <c r="C425" s="23" t="str">
        <f>IFERROR(IF(ISNUMBER('Debt to GDP Ratio'!E429),TEXT('Debt to GDP Ratio'!E429,"0.00"), ""), "")</f>
        <v/>
      </c>
    </row>
    <row r="426" spans="1:3">
      <c r="A426" s="23" t="str">
        <f>TEXT(IF('Debt to GDP Ratio'!B430&lt;&gt;0,'Debt to GDP Ratio'!B430-364, ""), "mm/dd/yyyy")</f>
        <v/>
      </c>
      <c r="B426" s="23" t="str">
        <f>IFERROR(IF(ISNUMBER('Debt to GDP Ratio'!D430),TEXT('Debt to GDP Ratio'!D430,"0.00"), ""), "")</f>
        <v/>
      </c>
      <c r="C426" s="23" t="str">
        <f>IFERROR(IF(ISNUMBER('Debt to GDP Ratio'!E430),TEXT('Debt to GDP Ratio'!E430,"0.00"), ""), "")</f>
        <v/>
      </c>
    </row>
    <row r="427" spans="1:3">
      <c r="A427" s="23" t="str">
        <f>TEXT(IF('Debt to GDP Ratio'!B431&lt;&gt;0,'Debt to GDP Ratio'!B431-364, ""), "mm/dd/yyyy")</f>
        <v/>
      </c>
      <c r="B427" s="23" t="str">
        <f>IFERROR(IF(ISNUMBER('Debt to GDP Ratio'!D431),TEXT('Debt to GDP Ratio'!D431,"0.00"), ""), "")</f>
        <v/>
      </c>
      <c r="C427" s="23" t="str">
        <f>IFERROR(IF(ISNUMBER('Debt to GDP Ratio'!E431),TEXT('Debt to GDP Ratio'!E431,"0.00"), ""), "")</f>
        <v/>
      </c>
    </row>
    <row r="428" spans="1:3">
      <c r="A428" s="23" t="str">
        <f>TEXT(IF('Debt to GDP Ratio'!B432&lt;&gt;0,'Debt to GDP Ratio'!B432-364, ""), "mm/dd/yyyy")</f>
        <v/>
      </c>
      <c r="B428" s="23" t="str">
        <f>IFERROR(IF(ISNUMBER('Debt to GDP Ratio'!D432),TEXT('Debt to GDP Ratio'!D432,"0.00"), ""), "")</f>
        <v/>
      </c>
      <c r="C428" s="23" t="str">
        <f>IFERROR(IF(ISNUMBER('Debt to GDP Ratio'!E432),TEXT('Debt to GDP Ratio'!E432,"0.00"), ""), "")</f>
        <v/>
      </c>
    </row>
    <row r="429" spans="1:3">
      <c r="A429" s="23" t="str">
        <f>TEXT(IF('Debt to GDP Ratio'!B433&lt;&gt;0,'Debt to GDP Ratio'!B433-364, ""), "mm/dd/yyyy")</f>
        <v/>
      </c>
      <c r="B429" s="23" t="str">
        <f>IFERROR(IF(ISNUMBER('Debt to GDP Ratio'!D433),TEXT('Debt to GDP Ratio'!D433,"0.00"), ""), "")</f>
        <v/>
      </c>
      <c r="C429" s="23" t="str">
        <f>IFERROR(IF(ISNUMBER('Debt to GDP Ratio'!E433),TEXT('Debt to GDP Ratio'!E433,"0.00"), ""), "")</f>
        <v/>
      </c>
    </row>
    <row r="430" spans="1:3">
      <c r="A430" s="23" t="str">
        <f>TEXT(IF('Debt to GDP Ratio'!B434&lt;&gt;0,'Debt to GDP Ratio'!B434-364, ""), "mm/dd/yyyy")</f>
        <v/>
      </c>
      <c r="B430" s="23" t="str">
        <f>IFERROR(IF(ISNUMBER('Debt to GDP Ratio'!D434),TEXT('Debt to GDP Ratio'!D434,"0.00"), ""), "")</f>
        <v/>
      </c>
      <c r="C430" s="23" t="str">
        <f>IFERROR(IF(ISNUMBER('Debt to GDP Ratio'!E434),TEXT('Debt to GDP Ratio'!E434,"0.00"), ""), "")</f>
        <v/>
      </c>
    </row>
    <row r="431" spans="1:3">
      <c r="A431" s="23" t="str">
        <f>TEXT(IF('Debt to GDP Ratio'!B435&lt;&gt;0,'Debt to GDP Ratio'!B435-364, ""), "mm/dd/yyyy")</f>
        <v/>
      </c>
      <c r="B431" s="23" t="str">
        <f>IFERROR(IF(ISNUMBER('Debt to GDP Ratio'!D435),TEXT('Debt to GDP Ratio'!D435,"0.00"), ""), "")</f>
        <v/>
      </c>
      <c r="C431" s="23" t="str">
        <f>IFERROR(IF(ISNUMBER('Debt to GDP Ratio'!E435),TEXT('Debt to GDP Ratio'!E435,"0.00"), ""), "")</f>
        <v/>
      </c>
    </row>
    <row r="432" spans="1:3">
      <c r="A432" s="23" t="str">
        <f>TEXT(IF('Debt to GDP Ratio'!B436&lt;&gt;0,'Debt to GDP Ratio'!B436-364, ""), "mm/dd/yyyy")</f>
        <v/>
      </c>
      <c r="B432" s="23" t="str">
        <f>IFERROR(IF(ISNUMBER('Debt to GDP Ratio'!D436),TEXT('Debt to GDP Ratio'!D436,"0.00"), ""), "")</f>
        <v/>
      </c>
      <c r="C432" s="23" t="str">
        <f>IFERROR(IF(ISNUMBER('Debt to GDP Ratio'!E436),TEXT('Debt to GDP Ratio'!E436,"0.00"), ""), "")</f>
        <v/>
      </c>
    </row>
    <row r="433" spans="1:3">
      <c r="A433" s="23" t="str">
        <f>TEXT(IF('Debt to GDP Ratio'!B437&lt;&gt;0,'Debt to GDP Ratio'!B437-364, ""), "mm/dd/yyyy")</f>
        <v/>
      </c>
      <c r="B433" s="23" t="str">
        <f>IFERROR(IF(ISNUMBER('Debt to GDP Ratio'!D437),TEXT('Debt to GDP Ratio'!D437,"0.00"), ""), "")</f>
        <v/>
      </c>
      <c r="C433" s="23" t="str">
        <f>IFERROR(IF(ISNUMBER('Debt to GDP Ratio'!E437),TEXT('Debt to GDP Ratio'!E437,"0.00"), ""), "")</f>
        <v/>
      </c>
    </row>
    <row r="434" spans="1:3">
      <c r="A434" s="23" t="str">
        <f>TEXT(IF('Debt to GDP Ratio'!B438&lt;&gt;0,'Debt to GDP Ratio'!B438-364, ""), "mm/dd/yyyy")</f>
        <v/>
      </c>
      <c r="B434" s="23" t="str">
        <f>IFERROR(IF(ISNUMBER('Debt to GDP Ratio'!D438),TEXT('Debt to GDP Ratio'!D438,"0.00"), ""), "")</f>
        <v/>
      </c>
      <c r="C434" s="23" t="str">
        <f>IFERROR(IF(ISNUMBER('Debt to GDP Ratio'!E438),TEXT('Debt to GDP Ratio'!E438,"0.00"), ""), "")</f>
        <v/>
      </c>
    </row>
    <row r="435" spans="1:3">
      <c r="A435" s="23" t="str">
        <f>TEXT(IF('Debt to GDP Ratio'!B439&lt;&gt;0,'Debt to GDP Ratio'!B439-364, ""), "mm/dd/yyyy")</f>
        <v/>
      </c>
      <c r="B435" s="23" t="str">
        <f>IFERROR(IF(ISNUMBER('Debt to GDP Ratio'!D439),TEXT('Debt to GDP Ratio'!D439,"0.00"), ""), "")</f>
        <v/>
      </c>
      <c r="C435" s="23" t="str">
        <f>IFERROR(IF(ISNUMBER('Debt to GDP Ratio'!E439),TEXT('Debt to GDP Ratio'!E439,"0.00"), ""), "")</f>
        <v/>
      </c>
    </row>
    <row r="436" spans="1:3">
      <c r="A436" s="23" t="str">
        <f>TEXT(IF('Debt to GDP Ratio'!B440&lt;&gt;0,'Debt to GDP Ratio'!B440-364, ""), "mm/dd/yyyy")</f>
        <v/>
      </c>
      <c r="B436" s="23" t="str">
        <f>IFERROR(IF(ISNUMBER('Debt to GDP Ratio'!D440),TEXT('Debt to GDP Ratio'!D440,"0.00"), ""), "")</f>
        <v/>
      </c>
      <c r="C436" s="23" t="str">
        <f>IFERROR(IF(ISNUMBER('Debt to GDP Ratio'!E440),TEXT('Debt to GDP Ratio'!E440,"0.00"), ""), "")</f>
        <v/>
      </c>
    </row>
    <row r="437" spans="1:3">
      <c r="A437" s="23" t="str">
        <f>TEXT(IF('Debt to GDP Ratio'!B441&lt;&gt;0,'Debt to GDP Ratio'!B441-364, ""), "mm/dd/yyyy")</f>
        <v/>
      </c>
      <c r="B437" s="23" t="str">
        <f>IFERROR(IF(ISNUMBER('Debt to GDP Ratio'!D441),TEXT('Debt to GDP Ratio'!D441,"0.00"), ""), "")</f>
        <v/>
      </c>
      <c r="C437" s="23" t="str">
        <f>IFERROR(IF(ISNUMBER('Debt to GDP Ratio'!E441),TEXT('Debt to GDP Ratio'!E441,"0.00"), ""), "")</f>
        <v/>
      </c>
    </row>
    <row r="438" spans="1:3">
      <c r="A438" s="23" t="str">
        <f>TEXT(IF('Debt to GDP Ratio'!B442&lt;&gt;0,'Debt to GDP Ratio'!B442-364, ""), "mm/dd/yyyy")</f>
        <v/>
      </c>
      <c r="B438" s="23" t="str">
        <f>IFERROR(IF(ISNUMBER('Debt to GDP Ratio'!D442),TEXT('Debt to GDP Ratio'!D442,"0.00"), ""), "")</f>
        <v/>
      </c>
      <c r="C438" s="23" t="str">
        <f>IFERROR(IF(ISNUMBER('Debt to GDP Ratio'!E442),TEXT('Debt to GDP Ratio'!E442,"0.00"), ""), "")</f>
        <v/>
      </c>
    </row>
    <row r="439" spans="1:3">
      <c r="A439" s="23" t="str">
        <f>TEXT(IF('Debt to GDP Ratio'!B443&lt;&gt;0,'Debt to GDP Ratio'!B443-364, ""), "mm/dd/yyyy")</f>
        <v/>
      </c>
      <c r="B439" s="23" t="str">
        <f>IFERROR(IF(ISNUMBER('Debt to GDP Ratio'!D443),TEXT('Debt to GDP Ratio'!D443,"0.00"), ""), "")</f>
        <v/>
      </c>
      <c r="C439" s="23" t="str">
        <f>IFERROR(IF(ISNUMBER('Debt to GDP Ratio'!E443),TEXT('Debt to GDP Ratio'!E443,"0.00"), ""), "")</f>
        <v/>
      </c>
    </row>
    <row r="440" spans="1:3">
      <c r="A440" s="23" t="str">
        <f>TEXT(IF('Debt to GDP Ratio'!B444&lt;&gt;0,'Debt to GDP Ratio'!B444-364, ""), "mm/dd/yyyy")</f>
        <v/>
      </c>
      <c r="B440" s="23" t="str">
        <f>IFERROR(IF(ISNUMBER('Debt to GDP Ratio'!D444),TEXT('Debt to GDP Ratio'!D444,"0.00"), ""), "")</f>
        <v/>
      </c>
      <c r="C440" s="23" t="str">
        <f>IFERROR(IF(ISNUMBER('Debt to GDP Ratio'!E444),TEXT('Debt to GDP Ratio'!E444,"0.00"), ""), "")</f>
        <v/>
      </c>
    </row>
    <row r="441" spans="1:3">
      <c r="A441" s="23" t="str">
        <f>TEXT(IF('Debt to GDP Ratio'!B445&lt;&gt;0,'Debt to GDP Ratio'!B445-364, ""), "mm/dd/yyyy")</f>
        <v/>
      </c>
      <c r="B441" s="23" t="str">
        <f>IFERROR(IF(ISNUMBER('Debt to GDP Ratio'!D445),TEXT('Debt to GDP Ratio'!D445,"0.00"), ""), "")</f>
        <v/>
      </c>
      <c r="C441" s="23" t="str">
        <f>IFERROR(IF(ISNUMBER('Debt to GDP Ratio'!E445),TEXT('Debt to GDP Ratio'!E445,"0.00"), ""), "")</f>
        <v/>
      </c>
    </row>
    <row r="442" spans="1:3">
      <c r="A442" s="23" t="str">
        <f>TEXT(IF('Debt to GDP Ratio'!B446&lt;&gt;0,'Debt to GDP Ratio'!B446-364, ""), "mm/dd/yyyy")</f>
        <v/>
      </c>
      <c r="B442" s="23" t="str">
        <f>IFERROR(IF(ISNUMBER('Debt to GDP Ratio'!D446),TEXT('Debt to GDP Ratio'!D446,"0.00"), ""), "")</f>
        <v/>
      </c>
      <c r="C442" s="23" t="str">
        <f>IFERROR(IF(ISNUMBER('Debt to GDP Ratio'!E446),TEXT('Debt to GDP Ratio'!E446,"0.00"), ""), "")</f>
        <v/>
      </c>
    </row>
    <row r="443" spans="1:3">
      <c r="A443" s="23" t="str">
        <f>TEXT(IF('Debt to GDP Ratio'!B447&lt;&gt;0,'Debt to GDP Ratio'!B447-364, ""), "mm/dd/yyyy")</f>
        <v/>
      </c>
      <c r="B443" s="23" t="str">
        <f>IFERROR(IF(ISNUMBER('Debt to GDP Ratio'!D447),TEXT('Debt to GDP Ratio'!D447,"0.00"), ""), "")</f>
        <v/>
      </c>
      <c r="C443" s="23" t="str">
        <f>IFERROR(IF(ISNUMBER('Debt to GDP Ratio'!E447),TEXT('Debt to GDP Ratio'!E447,"0.00"), ""), "")</f>
        <v/>
      </c>
    </row>
    <row r="444" spans="1:3">
      <c r="A444" s="23" t="str">
        <f>TEXT(IF('Debt to GDP Ratio'!B448&lt;&gt;0,'Debt to GDP Ratio'!B448-364, ""), "mm/dd/yyyy")</f>
        <v/>
      </c>
      <c r="B444" s="23" t="str">
        <f>IFERROR(IF(ISNUMBER('Debt to GDP Ratio'!D448),TEXT('Debt to GDP Ratio'!D448,"0.00"), ""), "")</f>
        <v/>
      </c>
      <c r="C444" s="23" t="str">
        <f>IFERROR(IF(ISNUMBER('Debt to GDP Ratio'!E448),TEXT('Debt to GDP Ratio'!E448,"0.00"), ""), "")</f>
        <v/>
      </c>
    </row>
    <row r="445" spans="1:3">
      <c r="A445" s="23" t="str">
        <f>TEXT(IF('Debt to GDP Ratio'!B449&lt;&gt;0,'Debt to GDP Ratio'!B449-364, ""), "mm/dd/yyyy")</f>
        <v/>
      </c>
      <c r="B445" s="23" t="str">
        <f>IFERROR(IF(ISNUMBER('Debt to GDP Ratio'!D449),TEXT('Debt to GDP Ratio'!D449,"0.00"), ""), "")</f>
        <v/>
      </c>
      <c r="C445" s="23" t="str">
        <f>IFERROR(IF(ISNUMBER('Debt to GDP Ratio'!E449),TEXT('Debt to GDP Ratio'!E449,"0.00"), ""), "")</f>
        <v/>
      </c>
    </row>
    <row r="446" spans="1:3">
      <c r="A446" s="23" t="str">
        <f>TEXT(IF('Debt to GDP Ratio'!B450&lt;&gt;0,'Debt to GDP Ratio'!B450-364, ""), "mm/dd/yyyy")</f>
        <v/>
      </c>
      <c r="B446" s="23" t="str">
        <f>IFERROR(IF(ISNUMBER('Debt to GDP Ratio'!D450),TEXT('Debt to GDP Ratio'!D450,"0.00"), ""), "")</f>
        <v/>
      </c>
      <c r="C446" s="23" t="str">
        <f>IFERROR(IF(ISNUMBER('Debt to GDP Ratio'!E450),TEXT('Debt to GDP Ratio'!E450,"0.00"), ""), "")</f>
        <v/>
      </c>
    </row>
    <row r="447" spans="1:3">
      <c r="A447" s="23" t="str">
        <f>TEXT(IF('Debt to GDP Ratio'!B451&lt;&gt;0,'Debt to GDP Ratio'!B451-364, ""), "mm/dd/yyyy")</f>
        <v/>
      </c>
      <c r="B447" s="23" t="str">
        <f>IFERROR(IF(ISNUMBER('Debt to GDP Ratio'!D451),TEXT('Debt to GDP Ratio'!D451,"0.00"), ""), "")</f>
        <v/>
      </c>
      <c r="C447" s="23" t="str">
        <f>IFERROR(IF(ISNUMBER('Debt to GDP Ratio'!E451),TEXT('Debt to GDP Ratio'!E451,"0.00"), ""), "")</f>
        <v/>
      </c>
    </row>
    <row r="448" spans="1:3">
      <c r="A448" s="23" t="str">
        <f>TEXT(IF('Debt to GDP Ratio'!B452&lt;&gt;0,'Debt to GDP Ratio'!B452-364, ""), "mm/dd/yyyy")</f>
        <v/>
      </c>
      <c r="B448" s="23" t="str">
        <f>IFERROR(IF(ISNUMBER('Debt to GDP Ratio'!D452),TEXT('Debt to GDP Ratio'!D452,"0.00"), ""), "")</f>
        <v/>
      </c>
      <c r="C448" s="23" t="str">
        <f>IFERROR(IF(ISNUMBER('Debt to GDP Ratio'!E452),TEXT('Debt to GDP Ratio'!E452,"0.00"), ""), "")</f>
        <v/>
      </c>
    </row>
    <row r="449" spans="1:3">
      <c r="A449" s="23" t="str">
        <f>TEXT(IF('Debt to GDP Ratio'!B453&lt;&gt;0,'Debt to GDP Ratio'!B453-364, ""), "mm/dd/yyyy")</f>
        <v/>
      </c>
      <c r="B449" s="23" t="str">
        <f>IFERROR(IF(ISNUMBER('Debt to GDP Ratio'!D453),TEXT('Debt to GDP Ratio'!D453,"0.00"), ""), "")</f>
        <v/>
      </c>
      <c r="C449" s="23" t="str">
        <f>IFERROR(IF(ISNUMBER('Debt to GDP Ratio'!E453),TEXT('Debt to GDP Ratio'!E453,"0.00"), ""), "")</f>
        <v/>
      </c>
    </row>
    <row r="450" spans="1:3">
      <c r="A450" s="23" t="str">
        <f>TEXT(IF('Debt to GDP Ratio'!B454&lt;&gt;0,'Debt to GDP Ratio'!B454-364, ""), "mm/dd/yyyy")</f>
        <v/>
      </c>
      <c r="B450" s="23" t="str">
        <f>IFERROR(IF(ISNUMBER('Debt to GDP Ratio'!D454),TEXT('Debt to GDP Ratio'!D454,"0.00"), ""), "")</f>
        <v/>
      </c>
      <c r="C450" s="23" t="str">
        <f>IFERROR(IF(ISNUMBER('Debt to GDP Ratio'!E454),TEXT('Debt to GDP Ratio'!E454,"0.00"), ""), "")</f>
        <v/>
      </c>
    </row>
    <row r="451" spans="1:3">
      <c r="A451" s="23" t="str">
        <f>TEXT(IF('Debt to GDP Ratio'!B455&lt;&gt;0,'Debt to GDP Ratio'!B455-364, ""), "mm/dd/yyyy")</f>
        <v/>
      </c>
      <c r="B451" s="23" t="str">
        <f>IFERROR(IF(ISNUMBER('Debt to GDP Ratio'!D455),TEXT('Debt to GDP Ratio'!D455,"0.00"), ""), "")</f>
        <v/>
      </c>
      <c r="C451" s="23" t="str">
        <f>IFERROR(IF(ISNUMBER('Debt to GDP Ratio'!E455),TEXT('Debt to GDP Ratio'!E455,"0.00"), ""), "")</f>
        <v/>
      </c>
    </row>
    <row r="452" spans="1:3">
      <c r="A452" s="23" t="str">
        <f>TEXT(IF('Debt to GDP Ratio'!B456&lt;&gt;0,'Debt to GDP Ratio'!B456-364, ""), "mm/dd/yyyy")</f>
        <v/>
      </c>
      <c r="B452" s="23" t="str">
        <f>IFERROR(IF(ISNUMBER('Debt to GDP Ratio'!D456),TEXT('Debt to GDP Ratio'!D456,"0.00"), ""), "")</f>
        <v/>
      </c>
      <c r="C452" s="23" t="str">
        <f>IFERROR(IF(ISNUMBER('Debt to GDP Ratio'!E456),TEXT('Debt to GDP Ratio'!E456,"0.00"), ""), "")</f>
        <v/>
      </c>
    </row>
    <row r="453" spans="1:3">
      <c r="A453" s="23" t="str">
        <f>TEXT(IF('Debt to GDP Ratio'!B457&lt;&gt;0,'Debt to GDP Ratio'!B457-364, ""), "mm/dd/yyyy")</f>
        <v/>
      </c>
      <c r="B453" s="23" t="str">
        <f>IFERROR(IF(ISNUMBER('Debt to GDP Ratio'!D457),TEXT('Debt to GDP Ratio'!D457,"0.00"), ""), "")</f>
        <v/>
      </c>
      <c r="C453" s="23" t="str">
        <f>IFERROR(IF(ISNUMBER('Debt to GDP Ratio'!E457),TEXT('Debt to GDP Ratio'!E457,"0.00"), ""), "")</f>
        <v/>
      </c>
    </row>
    <row r="454" spans="1:3">
      <c r="A454" s="23" t="str">
        <f>TEXT(IF('Debt to GDP Ratio'!B458&lt;&gt;0,'Debt to GDP Ratio'!B458-364, ""), "mm/dd/yyyy")</f>
        <v/>
      </c>
      <c r="B454" s="23" t="str">
        <f>IFERROR(IF(ISNUMBER('Debt to GDP Ratio'!D458),TEXT('Debt to GDP Ratio'!D458,"0.00"), ""), "")</f>
        <v/>
      </c>
      <c r="C454" s="23" t="str">
        <f>IFERROR(IF(ISNUMBER('Debt to GDP Ratio'!E458),TEXT('Debt to GDP Ratio'!E458,"0.00"), ""), "")</f>
        <v/>
      </c>
    </row>
    <row r="455" spans="1:3">
      <c r="A455" s="23" t="str">
        <f>TEXT(IF('Debt to GDP Ratio'!B459&lt;&gt;0,'Debt to GDP Ratio'!B459-364, ""), "mm/dd/yyyy")</f>
        <v/>
      </c>
      <c r="B455" s="23" t="str">
        <f>IFERROR(IF(ISNUMBER('Debt to GDP Ratio'!D459),TEXT('Debt to GDP Ratio'!D459,"0.00"), ""), "")</f>
        <v/>
      </c>
      <c r="C455" s="23" t="str">
        <f>IFERROR(IF(ISNUMBER('Debt to GDP Ratio'!E459),TEXT('Debt to GDP Ratio'!E459,"0.00"), ""), "")</f>
        <v/>
      </c>
    </row>
    <row r="456" spans="1:3">
      <c r="A456" s="23" t="str">
        <f>TEXT(IF('Debt to GDP Ratio'!B460&lt;&gt;0,'Debt to GDP Ratio'!B460-364, ""), "mm/dd/yyyy")</f>
        <v/>
      </c>
      <c r="B456" s="23" t="str">
        <f>IFERROR(IF(ISNUMBER('Debt to GDP Ratio'!D460),TEXT('Debt to GDP Ratio'!D460,"0.00"), ""), "")</f>
        <v/>
      </c>
      <c r="C456" s="23" t="str">
        <f>IFERROR(IF(ISNUMBER('Debt to GDP Ratio'!E460),TEXT('Debt to GDP Ratio'!E460,"0.00"), ""), "")</f>
        <v/>
      </c>
    </row>
    <row r="457" spans="1:3">
      <c r="A457" s="23" t="str">
        <f>TEXT(IF('Debt to GDP Ratio'!B461&lt;&gt;0,'Debt to GDP Ratio'!B461-364, ""), "mm/dd/yyyy")</f>
        <v/>
      </c>
      <c r="B457" s="23" t="str">
        <f>IFERROR(IF(ISNUMBER('Debt to GDP Ratio'!D461),TEXT('Debt to GDP Ratio'!D461,"0.00"), ""), "")</f>
        <v/>
      </c>
      <c r="C457" s="23" t="str">
        <f>IFERROR(IF(ISNUMBER('Debt to GDP Ratio'!E461),TEXT('Debt to GDP Ratio'!E461,"0.00"), ""), "")</f>
        <v/>
      </c>
    </row>
    <row r="458" spans="1:3">
      <c r="A458" s="23" t="str">
        <f>TEXT(IF('Debt to GDP Ratio'!B462&lt;&gt;0,'Debt to GDP Ratio'!B462-364, ""), "mm/dd/yyyy")</f>
        <v/>
      </c>
      <c r="B458" s="23" t="str">
        <f>IFERROR(IF(ISNUMBER('Debt to GDP Ratio'!D462),TEXT('Debt to GDP Ratio'!D462,"0.00"), ""), "")</f>
        <v/>
      </c>
      <c r="C458" s="23" t="str">
        <f>IFERROR(IF(ISNUMBER('Debt to GDP Ratio'!E462),TEXT('Debt to GDP Ratio'!E462,"0.00"), ""), "")</f>
        <v/>
      </c>
    </row>
    <row r="459" spans="1:3">
      <c r="A459" s="23" t="str">
        <f>TEXT(IF('Debt to GDP Ratio'!B463&lt;&gt;0,'Debt to GDP Ratio'!B463-364, ""), "mm/dd/yyyy")</f>
        <v/>
      </c>
      <c r="B459" s="23" t="str">
        <f>IFERROR(IF(ISNUMBER('Debt to GDP Ratio'!D463),TEXT('Debt to GDP Ratio'!D463,"0.00"), ""), "")</f>
        <v/>
      </c>
      <c r="C459" s="23" t="str">
        <f>IFERROR(IF(ISNUMBER('Debt to GDP Ratio'!E463),TEXT('Debt to GDP Ratio'!E463,"0.00"), ""), "")</f>
        <v/>
      </c>
    </row>
    <row r="460" spans="1:3">
      <c r="A460" s="23" t="str">
        <f>TEXT(IF('Debt to GDP Ratio'!B464&lt;&gt;0,'Debt to GDP Ratio'!B464-364, ""), "mm/dd/yyyy")</f>
        <v/>
      </c>
      <c r="B460" s="23" t="str">
        <f>IFERROR(IF(ISNUMBER('Debt to GDP Ratio'!D464),TEXT('Debt to GDP Ratio'!D464,"0.00"), ""), "")</f>
        <v/>
      </c>
      <c r="C460" s="23" t="str">
        <f>IFERROR(IF(ISNUMBER('Debt to GDP Ratio'!E464),TEXT('Debt to GDP Ratio'!E464,"0.00"), ""), "")</f>
        <v/>
      </c>
    </row>
    <row r="461" spans="1:3">
      <c r="A461" s="23" t="str">
        <f>TEXT(IF('Debt to GDP Ratio'!B465&lt;&gt;0,'Debt to GDP Ratio'!B465-364, ""), "mm/dd/yyyy")</f>
        <v/>
      </c>
      <c r="B461" s="23" t="str">
        <f>IFERROR(IF(ISNUMBER('Debt to GDP Ratio'!D465),TEXT('Debt to GDP Ratio'!D465,"0.00"), ""), "")</f>
        <v/>
      </c>
      <c r="C461" s="23" t="str">
        <f>IFERROR(IF(ISNUMBER('Debt to GDP Ratio'!E465),TEXT('Debt to GDP Ratio'!E465,"0.00"), ""), "")</f>
        <v/>
      </c>
    </row>
    <row r="462" spans="1:3">
      <c r="A462" s="23" t="str">
        <f>TEXT(IF('Debt to GDP Ratio'!B466&lt;&gt;0,'Debt to GDP Ratio'!B466-364, ""), "mm/dd/yyyy")</f>
        <v/>
      </c>
      <c r="B462" s="23" t="str">
        <f>IFERROR(IF(ISNUMBER('Debt to GDP Ratio'!D466),TEXT('Debt to GDP Ratio'!D466,"0.00"), ""), "")</f>
        <v/>
      </c>
      <c r="C462" s="23" t="str">
        <f>IFERROR(IF(ISNUMBER('Debt to GDP Ratio'!E466),TEXT('Debt to GDP Ratio'!E466,"0.00"), ""), "")</f>
        <v/>
      </c>
    </row>
    <row r="463" spans="1:3">
      <c r="A463" s="23" t="str">
        <f>TEXT(IF('Debt to GDP Ratio'!B467&lt;&gt;0,'Debt to GDP Ratio'!B467-364, ""), "mm/dd/yyyy")</f>
        <v/>
      </c>
      <c r="B463" s="23" t="str">
        <f>IFERROR(IF(ISNUMBER('Debt to GDP Ratio'!D467),TEXT('Debt to GDP Ratio'!D467,"0.00"), ""), "")</f>
        <v/>
      </c>
      <c r="C463" s="23" t="str">
        <f>IFERROR(IF(ISNUMBER('Debt to GDP Ratio'!E467),TEXT('Debt to GDP Ratio'!E467,"0.00"), ""), "")</f>
        <v/>
      </c>
    </row>
    <row r="464" spans="1:3">
      <c r="A464" s="23" t="str">
        <f>TEXT(IF('Debt to GDP Ratio'!B468&lt;&gt;0,'Debt to GDP Ratio'!B468-364, ""), "mm/dd/yyyy")</f>
        <v/>
      </c>
      <c r="B464" s="23" t="str">
        <f>IFERROR(IF(ISNUMBER('Debt to GDP Ratio'!D468),TEXT('Debt to GDP Ratio'!D468,"0.00"), ""), "")</f>
        <v/>
      </c>
      <c r="C464" s="23" t="str">
        <f>IFERROR(IF(ISNUMBER('Debt to GDP Ratio'!E468),TEXT('Debt to GDP Ratio'!E468,"0.00"), ""), "")</f>
        <v/>
      </c>
    </row>
    <row r="465" spans="1:3">
      <c r="A465" s="23" t="str">
        <f>TEXT(IF('Debt to GDP Ratio'!B469&lt;&gt;0,'Debt to GDP Ratio'!B469-364, ""), "mm/dd/yyyy")</f>
        <v/>
      </c>
      <c r="B465" s="23" t="str">
        <f>IFERROR(IF(ISNUMBER('Debt to GDP Ratio'!D469),TEXT('Debt to GDP Ratio'!D469,"0.00"), ""), "")</f>
        <v/>
      </c>
      <c r="C465" s="23" t="str">
        <f>IFERROR(IF(ISNUMBER('Debt to GDP Ratio'!E469),TEXT('Debt to GDP Ratio'!E469,"0.00"), ""), "")</f>
        <v/>
      </c>
    </row>
    <row r="466" spans="1:3">
      <c r="A466" s="23" t="str">
        <f>TEXT(IF('Debt to GDP Ratio'!B470&lt;&gt;0,'Debt to GDP Ratio'!B470-364, ""), "mm/dd/yyyy")</f>
        <v/>
      </c>
      <c r="B466" s="23" t="str">
        <f>IFERROR(IF(ISNUMBER('Debt to GDP Ratio'!D470),TEXT('Debt to GDP Ratio'!D470,"0.00"), ""), "")</f>
        <v/>
      </c>
      <c r="C466" s="23" t="str">
        <f>IFERROR(IF(ISNUMBER('Debt to GDP Ratio'!E470),TEXT('Debt to GDP Ratio'!E470,"0.00"), ""), "")</f>
        <v/>
      </c>
    </row>
    <row r="467" spans="1:3">
      <c r="A467" s="23" t="str">
        <f>TEXT(IF('Debt to GDP Ratio'!B471&lt;&gt;0,'Debt to GDP Ratio'!B471-364, ""), "mm/dd/yyyy")</f>
        <v/>
      </c>
      <c r="B467" s="23" t="str">
        <f>IFERROR(IF(ISNUMBER('Debt to GDP Ratio'!D471),TEXT('Debt to GDP Ratio'!D471,"0.00"), ""), "")</f>
        <v/>
      </c>
      <c r="C467" s="23" t="str">
        <f>IFERROR(IF(ISNUMBER('Debt to GDP Ratio'!E471),TEXT('Debt to GDP Ratio'!E471,"0.00"), ""), "")</f>
        <v/>
      </c>
    </row>
    <row r="468" spans="1:3">
      <c r="A468" s="23" t="str">
        <f>TEXT(IF('Debt to GDP Ratio'!B472&lt;&gt;0,'Debt to GDP Ratio'!B472-364, ""), "mm/dd/yyyy")</f>
        <v/>
      </c>
      <c r="B468" s="23" t="str">
        <f>IFERROR(IF(ISNUMBER('Debt to GDP Ratio'!D472),TEXT('Debt to GDP Ratio'!D472,"0.00"), ""), "")</f>
        <v/>
      </c>
      <c r="C468" s="23" t="str">
        <f>IFERROR(IF(ISNUMBER('Debt to GDP Ratio'!E472),TEXT('Debt to GDP Ratio'!E472,"0.00"), ""), "")</f>
        <v/>
      </c>
    </row>
    <row r="469" spans="1:3">
      <c r="A469" s="23" t="str">
        <f>TEXT(IF('Debt to GDP Ratio'!B473&lt;&gt;0,'Debt to GDP Ratio'!B473-364, ""), "mm/dd/yyyy")</f>
        <v/>
      </c>
      <c r="B469" s="23" t="str">
        <f>IFERROR(IF(ISNUMBER('Debt to GDP Ratio'!D473),TEXT('Debt to GDP Ratio'!D473,"0.00"), ""), "")</f>
        <v/>
      </c>
      <c r="C469" s="23" t="str">
        <f>IFERROR(IF(ISNUMBER('Debt to GDP Ratio'!E473),TEXT('Debt to GDP Ratio'!E473,"0.00"), ""), "")</f>
        <v/>
      </c>
    </row>
    <row r="470" spans="1:3">
      <c r="A470" s="23" t="str">
        <f>TEXT(IF('Debt to GDP Ratio'!B474&lt;&gt;0,'Debt to GDP Ratio'!B474-364, ""), "mm/dd/yyyy")</f>
        <v/>
      </c>
      <c r="B470" s="23" t="str">
        <f>IFERROR(IF(ISNUMBER('Debt to GDP Ratio'!D474),TEXT('Debt to GDP Ratio'!D474,"0.00"), ""), "")</f>
        <v/>
      </c>
      <c r="C470" s="23" t="str">
        <f>IFERROR(IF(ISNUMBER('Debt to GDP Ratio'!E474),TEXT('Debt to GDP Ratio'!E474,"0.00"), ""), "")</f>
        <v/>
      </c>
    </row>
    <row r="471" spans="1:3">
      <c r="A471" s="23" t="str">
        <f>TEXT(IF('Debt to GDP Ratio'!B475&lt;&gt;0,'Debt to GDP Ratio'!B475-364, ""), "mm/dd/yyyy")</f>
        <v/>
      </c>
      <c r="B471" s="23" t="str">
        <f>IFERROR(IF(ISNUMBER('Debt to GDP Ratio'!D475),TEXT('Debt to GDP Ratio'!D475,"0.00"), ""), "")</f>
        <v/>
      </c>
      <c r="C471" s="23" t="str">
        <f>IFERROR(IF(ISNUMBER('Debt to GDP Ratio'!E475),TEXT('Debt to GDP Ratio'!E475,"0.00"), ""), "")</f>
        <v/>
      </c>
    </row>
    <row r="472" spans="1:3">
      <c r="A472" s="23" t="str">
        <f>TEXT(IF('Debt to GDP Ratio'!B476&lt;&gt;0,'Debt to GDP Ratio'!B476-364, ""), "mm/dd/yyyy")</f>
        <v/>
      </c>
      <c r="B472" s="23" t="str">
        <f>IFERROR(IF(ISNUMBER('Debt to GDP Ratio'!D476),TEXT('Debt to GDP Ratio'!D476,"0.00"), ""), "")</f>
        <v/>
      </c>
      <c r="C472" s="23" t="str">
        <f>IFERROR(IF(ISNUMBER('Debt to GDP Ratio'!E476),TEXT('Debt to GDP Ratio'!E476,"0.00"), ""), "")</f>
        <v/>
      </c>
    </row>
    <row r="473" spans="1:3">
      <c r="A473" s="23" t="str">
        <f>TEXT(IF('Debt to GDP Ratio'!B477&lt;&gt;0,'Debt to GDP Ratio'!B477-364, ""), "mm/dd/yyyy")</f>
        <v/>
      </c>
      <c r="B473" s="23" t="str">
        <f>IFERROR(IF(ISNUMBER('Debt to GDP Ratio'!D477),TEXT('Debt to GDP Ratio'!D477,"0.00"), ""), "")</f>
        <v/>
      </c>
      <c r="C473" s="23" t="str">
        <f>IFERROR(IF(ISNUMBER('Debt to GDP Ratio'!E477),TEXT('Debt to GDP Ratio'!E477,"0.00"), ""), "")</f>
        <v/>
      </c>
    </row>
    <row r="474" spans="1:3">
      <c r="A474" s="23" t="str">
        <f>TEXT(IF('Debt to GDP Ratio'!B478&lt;&gt;0,'Debt to GDP Ratio'!B478-364, ""), "mm/dd/yyyy")</f>
        <v/>
      </c>
      <c r="B474" s="23" t="str">
        <f>IFERROR(IF(ISNUMBER('Debt to GDP Ratio'!D478),TEXT('Debt to GDP Ratio'!D478,"0.00"), ""), "")</f>
        <v/>
      </c>
      <c r="C474" s="23" t="str">
        <f>IFERROR(IF(ISNUMBER('Debt to GDP Ratio'!E478),TEXT('Debt to GDP Ratio'!E478,"0.00"), ""), "")</f>
        <v/>
      </c>
    </row>
    <row r="475" spans="1:3">
      <c r="A475" s="23" t="str">
        <f>TEXT(IF('Debt to GDP Ratio'!B479&lt;&gt;0,'Debt to GDP Ratio'!B479-364, ""), "mm/dd/yyyy")</f>
        <v/>
      </c>
      <c r="B475" s="23" t="str">
        <f>IFERROR(IF(ISNUMBER('Debt to GDP Ratio'!D479),TEXT('Debt to GDP Ratio'!D479,"0.00"), ""), "")</f>
        <v/>
      </c>
      <c r="C475" s="23" t="str">
        <f>IFERROR(IF(ISNUMBER('Debt to GDP Ratio'!E479),TEXT('Debt to GDP Ratio'!E479,"0.00"), ""), "")</f>
        <v/>
      </c>
    </row>
    <row r="476" spans="1:3">
      <c r="A476" s="23" t="str">
        <f>TEXT(IF('Debt to GDP Ratio'!B480&lt;&gt;0,'Debt to GDP Ratio'!B480-364, ""), "mm/dd/yyyy")</f>
        <v/>
      </c>
      <c r="B476" s="23" t="str">
        <f>IFERROR(IF(ISNUMBER('Debt to GDP Ratio'!D480),TEXT('Debt to GDP Ratio'!D480,"0.00"), ""), "")</f>
        <v/>
      </c>
      <c r="C476" s="23" t="str">
        <f>IFERROR(IF(ISNUMBER('Debt to GDP Ratio'!E480),TEXT('Debt to GDP Ratio'!E480,"0.00"), ""), "")</f>
        <v/>
      </c>
    </row>
    <row r="477" spans="1:3">
      <c r="A477" s="23" t="str">
        <f>TEXT(IF('Debt to GDP Ratio'!B481&lt;&gt;0,'Debt to GDP Ratio'!B481-364, ""), "mm/dd/yyyy")</f>
        <v/>
      </c>
      <c r="B477" s="23" t="str">
        <f>IFERROR(IF(ISNUMBER('Debt to GDP Ratio'!D481),TEXT('Debt to GDP Ratio'!D481,"0.00"), ""), "")</f>
        <v/>
      </c>
      <c r="C477" s="23" t="str">
        <f>IFERROR(IF(ISNUMBER('Debt to GDP Ratio'!E481),TEXT('Debt to GDP Ratio'!E481,"0.00"), ""), "")</f>
        <v/>
      </c>
    </row>
    <row r="478" spans="1:3">
      <c r="A478" s="23" t="str">
        <f>TEXT(IF('Debt to GDP Ratio'!B482&lt;&gt;0,'Debt to GDP Ratio'!B482-364, ""), "mm/dd/yyyy")</f>
        <v/>
      </c>
      <c r="B478" s="23" t="str">
        <f>IFERROR(IF(ISNUMBER('Debt to GDP Ratio'!D482),TEXT('Debt to GDP Ratio'!D482,"0.00"), ""), "")</f>
        <v/>
      </c>
      <c r="C478" s="23" t="str">
        <f>IFERROR(IF(ISNUMBER('Debt to GDP Ratio'!E482),TEXT('Debt to GDP Ratio'!E482,"0.00"), ""), "")</f>
        <v/>
      </c>
    </row>
    <row r="479" spans="1:3">
      <c r="A479" s="23" t="str">
        <f>TEXT(IF('Debt to GDP Ratio'!B483&lt;&gt;0,'Debt to GDP Ratio'!B483-364, ""), "mm/dd/yyyy")</f>
        <v/>
      </c>
      <c r="B479" s="23" t="str">
        <f>IFERROR(IF(ISNUMBER('Debt to GDP Ratio'!D483),TEXT('Debt to GDP Ratio'!D483,"0.00"), ""), "")</f>
        <v/>
      </c>
      <c r="C479" s="23" t="str">
        <f>IFERROR(IF(ISNUMBER('Debt to GDP Ratio'!E483),TEXT('Debt to GDP Ratio'!E483,"0.00"), ""), "")</f>
        <v/>
      </c>
    </row>
    <row r="480" spans="1:3">
      <c r="A480" s="23" t="str">
        <f>TEXT(IF('Debt to GDP Ratio'!B484&lt;&gt;0,'Debt to GDP Ratio'!B484-364, ""), "mm/dd/yyyy")</f>
        <v/>
      </c>
      <c r="B480" s="23" t="str">
        <f>IFERROR(IF(ISNUMBER('Debt to GDP Ratio'!D484),TEXT('Debt to GDP Ratio'!D484,"0.00"), ""), "")</f>
        <v/>
      </c>
      <c r="C480" s="23" t="str">
        <f>IFERROR(IF(ISNUMBER('Debt to GDP Ratio'!E484),TEXT('Debt to GDP Ratio'!E484,"0.00"), ""), "")</f>
        <v/>
      </c>
    </row>
    <row r="481" spans="1:3">
      <c r="A481" s="23" t="str">
        <f>TEXT(IF('Debt to GDP Ratio'!B485&lt;&gt;0,'Debt to GDP Ratio'!B485-364, ""), "mm/dd/yyyy")</f>
        <v/>
      </c>
      <c r="B481" s="23" t="str">
        <f>IFERROR(IF(ISNUMBER('Debt to GDP Ratio'!D485),TEXT('Debt to GDP Ratio'!D485,"0.00"), ""), "")</f>
        <v/>
      </c>
      <c r="C481" s="23" t="str">
        <f>IFERROR(IF(ISNUMBER('Debt to GDP Ratio'!E485),TEXT('Debt to GDP Ratio'!E485,"0.00"), ""), "")</f>
        <v/>
      </c>
    </row>
    <row r="482" spans="1:3">
      <c r="A482" s="23" t="str">
        <f>TEXT(IF('Debt to GDP Ratio'!B486&lt;&gt;0,'Debt to GDP Ratio'!B486-364, ""), "mm/dd/yyyy")</f>
        <v/>
      </c>
      <c r="B482" s="23" t="str">
        <f>IFERROR(IF(ISNUMBER('Debt to GDP Ratio'!D486),TEXT('Debt to GDP Ratio'!D486,"0.00"), ""), "")</f>
        <v/>
      </c>
      <c r="C482" s="23" t="str">
        <f>IFERROR(IF(ISNUMBER('Debt to GDP Ratio'!E486),TEXT('Debt to GDP Ratio'!E486,"0.00"), ""), "")</f>
        <v/>
      </c>
    </row>
    <row r="483" spans="1:3">
      <c r="A483" s="23" t="str">
        <f>TEXT(IF('Debt to GDP Ratio'!B487&lt;&gt;0,'Debt to GDP Ratio'!B487-364, ""), "mm/dd/yyyy")</f>
        <v/>
      </c>
      <c r="B483" s="23" t="str">
        <f>IFERROR(IF(ISNUMBER('Debt to GDP Ratio'!D487),TEXT('Debt to GDP Ratio'!D487,"0.00"), ""), "")</f>
        <v/>
      </c>
      <c r="C483" s="23" t="str">
        <f>IFERROR(IF(ISNUMBER('Debt to GDP Ratio'!E487),TEXT('Debt to GDP Ratio'!E487,"0.00"), ""), "")</f>
        <v/>
      </c>
    </row>
    <row r="484" spans="1:3">
      <c r="A484" s="23" t="str">
        <f>TEXT(IF('Debt to GDP Ratio'!B488&lt;&gt;0,'Debt to GDP Ratio'!B488-364, ""), "mm/dd/yyyy")</f>
        <v/>
      </c>
      <c r="B484" s="23" t="str">
        <f>IFERROR(IF(ISNUMBER('Debt to GDP Ratio'!D488),TEXT('Debt to GDP Ratio'!D488,"0.00"), ""), "")</f>
        <v/>
      </c>
      <c r="C484" s="23" t="str">
        <f>IFERROR(IF(ISNUMBER('Debt to GDP Ratio'!E488),TEXT('Debt to GDP Ratio'!E488,"0.00"), ""), "")</f>
        <v/>
      </c>
    </row>
    <row r="485" spans="1:3">
      <c r="A485" s="23" t="str">
        <f>TEXT(IF('Debt to GDP Ratio'!B489&lt;&gt;0,'Debt to GDP Ratio'!B489-364, ""), "mm/dd/yyyy")</f>
        <v/>
      </c>
      <c r="B485" s="23" t="str">
        <f>IFERROR(IF(ISNUMBER('Debt to GDP Ratio'!D489),TEXT('Debt to GDP Ratio'!D489,"0.00"), ""), "")</f>
        <v/>
      </c>
      <c r="C485" s="23" t="str">
        <f>IFERROR(IF(ISNUMBER('Debt to GDP Ratio'!E489),TEXT('Debt to GDP Ratio'!E489,"0.00"), ""), "")</f>
        <v/>
      </c>
    </row>
    <row r="486" spans="1:3">
      <c r="A486" s="23" t="str">
        <f>TEXT(IF('Debt to GDP Ratio'!B490&lt;&gt;0,'Debt to GDP Ratio'!B490-364, ""), "mm/dd/yyyy")</f>
        <v/>
      </c>
      <c r="B486" s="23" t="str">
        <f>IFERROR(IF(ISNUMBER('Debt to GDP Ratio'!D490),TEXT('Debt to GDP Ratio'!D490,"0.00"), ""), "")</f>
        <v/>
      </c>
      <c r="C486" s="23" t="str">
        <f>IFERROR(IF(ISNUMBER('Debt to GDP Ratio'!E490),TEXT('Debt to GDP Ratio'!E490,"0.00"), ""), "")</f>
        <v/>
      </c>
    </row>
    <row r="487" spans="1:3">
      <c r="A487" s="23" t="str">
        <f>TEXT(IF('Debt to GDP Ratio'!B491&lt;&gt;0,'Debt to GDP Ratio'!B491-364, ""), "mm/dd/yyyy")</f>
        <v/>
      </c>
      <c r="B487" s="23" t="str">
        <f>IFERROR(IF(ISNUMBER('Debt to GDP Ratio'!D491),TEXT('Debt to GDP Ratio'!D491,"0.00"), ""), "")</f>
        <v/>
      </c>
      <c r="C487" s="23" t="str">
        <f>IFERROR(IF(ISNUMBER('Debt to GDP Ratio'!E491),TEXT('Debt to GDP Ratio'!E491,"0.00"), ""), "")</f>
        <v/>
      </c>
    </row>
    <row r="488" spans="1:3">
      <c r="A488" s="23" t="str">
        <f>TEXT(IF('Debt to GDP Ratio'!B492&lt;&gt;0,'Debt to GDP Ratio'!B492-364, ""), "mm/dd/yyyy")</f>
        <v/>
      </c>
      <c r="B488" s="23" t="str">
        <f>IFERROR(IF(ISNUMBER('Debt to GDP Ratio'!D492),TEXT('Debt to GDP Ratio'!D492,"0.00"), ""), "")</f>
        <v/>
      </c>
      <c r="C488" s="23" t="str">
        <f>IFERROR(IF(ISNUMBER('Debt to GDP Ratio'!E492),TEXT('Debt to GDP Ratio'!E492,"0.00"), ""), "")</f>
        <v/>
      </c>
    </row>
    <row r="489" spans="1:3">
      <c r="A489" s="23" t="str">
        <f>TEXT(IF('Debt to GDP Ratio'!B493&lt;&gt;0,'Debt to GDP Ratio'!B493-364, ""), "mm/dd/yyyy")</f>
        <v/>
      </c>
      <c r="B489" s="23" t="str">
        <f>IFERROR(IF(ISNUMBER('Debt to GDP Ratio'!D493),TEXT('Debt to GDP Ratio'!D493,"0.00"), ""), "")</f>
        <v/>
      </c>
      <c r="C489" s="23" t="str">
        <f>IFERROR(IF(ISNUMBER('Debt to GDP Ratio'!E493),TEXT('Debt to GDP Ratio'!E493,"0.00"), ""), "")</f>
        <v/>
      </c>
    </row>
    <row r="490" spans="1:3">
      <c r="A490" s="23" t="str">
        <f>TEXT(IF('Debt to GDP Ratio'!B494&lt;&gt;0,'Debt to GDP Ratio'!B494-364, ""), "mm/dd/yyyy")</f>
        <v/>
      </c>
      <c r="B490" s="23" t="str">
        <f>IFERROR(IF(ISNUMBER('Debt to GDP Ratio'!D494),TEXT('Debt to GDP Ratio'!D494,"0.00"), ""), "")</f>
        <v/>
      </c>
      <c r="C490" s="23" t="str">
        <f>IFERROR(IF(ISNUMBER('Debt to GDP Ratio'!E494),TEXT('Debt to GDP Ratio'!E494,"0.00"), ""), "")</f>
        <v/>
      </c>
    </row>
    <row r="491" spans="1:3">
      <c r="A491" s="23" t="str">
        <f>TEXT(IF('Debt to GDP Ratio'!B495&lt;&gt;0,'Debt to GDP Ratio'!B495-364, ""), "mm/dd/yyyy")</f>
        <v/>
      </c>
      <c r="B491" s="23" t="str">
        <f>IFERROR(IF(ISNUMBER('Debt to GDP Ratio'!D495),TEXT('Debt to GDP Ratio'!D495,"0.00"), ""), "")</f>
        <v/>
      </c>
      <c r="C491" s="23" t="str">
        <f>IFERROR(IF(ISNUMBER('Debt to GDP Ratio'!E495),TEXT('Debt to GDP Ratio'!E495,"0.00"), ""), "")</f>
        <v/>
      </c>
    </row>
    <row r="492" spans="1:3">
      <c r="A492" s="23" t="str">
        <f>TEXT(IF('Debt to GDP Ratio'!B496&lt;&gt;0,'Debt to GDP Ratio'!B496-364, ""), "mm/dd/yyyy")</f>
        <v/>
      </c>
      <c r="B492" s="23" t="str">
        <f>IFERROR(IF(ISNUMBER('Debt to GDP Ratio'!D496),TEXT('Debt to GDP Ratio'!D496,"0.00"), ""), "")</f>
        <v/>
      </c>
      <c r="C492" s="23" t="str">
        <f>IFERROR(IF(ISNUMBER('Debt to GDP Ratio'!E496),TEXT('Debt to GDP Ratio'!E496,"0.00"), ""), "")</f>
        <v/>
      </c>
    </row>
    <row r="493" spans="1:3">
      <c r="A493" s="23" t="str">
        <f>TEXT(IF('Debt to GDP Ratio'!B497&lt;&gt;0,'Debt to GDP Ratio'!B497-364, ""), "mm/dd/yyyy")</f>
        <v/>
      </c>
      <c r="B493" s="23" t="str">
        <f>IFERROR(IF(ISNUMBER('Debt to GDP Ratio'!D497),TEXT('Debt to GDP Ratio'!D497,"0.00"), ""), "")</f>
        <v/>
      </c>
      <c r="C493" s="23" t="str">
        <f>IFERROR(IF(ISNUMBER('Debt to GDP Ratio'!E497),TEXT('Debt to GDP Ratio'!E497,"0.00"), ""), "")</f>
        <v/>
      </c>
    </row>
    <row r="494" spans="1:3">
      <c r="A494" s="23" t="str">
        <f>TEXT(IF('Debt to GDP Ratio'!B498&lt;&gt;0,'Debt to GDP Ratio'!B498-364, ""), "mm/dd/yyyy")</f>
        <v/>
      </c>
      <c r="B494" s="23" t="str">
        <f>IFERROR(IF(ISNUMBER('Debt to GDP Ratio'!D498),TEXT('Debt to GDP Ratio'!D498,"0.00"), ""), "")</f>
        <v/>
      </c>
      <c r="C494" s="23" t="str">
        <f>IFERROR(IF(ISNUMBER('Debt to GDP Ratio'!E498),TEXT('Debt to GDP Ratio'!E498,"0.00"), ""), "")</f>
        <v/>
      </c>
    </row>
    <row r="495" spans="1:3">
      <c r="A495" s="23" t="str">
        <f>TEXT(IF('Debt to GDP Ratio'!B499&lt;&gt;0,'Debt to GDP Ratio'!B499-364, ""), "mm/dd/yyyy")</f>
        <v/>
      </c>
      <c r="B495" s="23" t="str">
        <f>IFERROR(IF(ISNUMBER('Debt to GDP Ratio'!D499),TEXT('Debt to GDP Ratio'!D499,"0.00"), ""), "")</f>
        <v/>
      </c>
      <c r="C495" s="23" t="str">
        <f>IFERROR(IF(ISNUMBER('Debt to GDP Ratio'!E499),TEXT('Debt to GDP Ratio'!E499,"0.00"), ""), "")</f>
        <v/>
      </c>
    </row>
    <row r="496" spans="1:3">
      <c r="A496" s="23" t="str">
        <f>TEXT(IF('Debt to GDP Ratio'!B500&lt;&gt;0,'Debt to GDP Ratio'!B500-364, ""), "mm/dd/yyyy")</f>
        <v/>
      </c>
      <c r="B496" s="23" t="str">
        <f>IFERROR(IF(ISNUMBER('Debt to GDP Ratio'!D500),TEXT('Debt to GDP Ratio'!D500,"0.00"), ""), "")</f>
        <v/>
      </c>
      <c r="C496" s="23" t="str">
        <f>IFERROR(IF(ISNUMBER('Debt to GDP Ratio'!E500),TEXT('Debt to GDP Ratio'!E500,"0.00"), ""), "")</f>
        <v/>
      </c>
    </row>
    <row r="497" spans="1:3">
      <c r="A497" s="23" t="str">
        <f>TEXT(IF('Debt to GDP Ratio'!B501&lt;&gt;0,'Debt to GDP Ratio'!B501-364, ""), "mm/dd/yyyy")</f>
        <v/>
      </c>
      <c r="B497" s="23" t="str">
        <f>IFERROR(IF(ISNUMBER('Debt to GDP Ratio'!D501),TEXT('Debt to GDP Ratio'!D501,"0.00"), ""), "")</f>
        <v/>
      </c>
      <c r="C497" s="23" t="str">
        <f>IFERROR(IF(ISNUMBER('Debt to GDP Ratio'!E501),TEXT('Debt to GDP Ratio'!E501,"0.00"), ""), "")</f>
        <v/>
      </c>
    </row>
    <row r="498" spans="1:3">
      <c r="A498" s="23" t="str">
        <f>TEXT(IF('Debt to GDP Ratio'!B502&lt;&gt;0,'Debt to GDP Ratio'!B502-364, ""), "mm/dd/yyyy")</f>
        <v/>
      </c>
      <c r="B498" s="23" t="str">
        <f>IFERROR(IF(ISNUMBER('Debt to GDP Ratio'!D502),TEXT('Debt to GDP Ratio'!D502,"0.00"), ""), "")</f>
        <v/>
      </c>
      <c r="C498" s="23" t="str">
        <f>IFERROR(IF(ISNUMBER('Debt to GDP Ratio'!E502),TEXT('Debt to GDP Ratio'!E502,"0.00"), ""), "")</f>
        <v/>
      </c>
    </row>
    <row r="499" spans="1:3">
      <c r="A499" s="23" t="str">
        <f>TEXT(IF('Debt to GDP Ratio'!B503&lt;&gt;0,'Debt to GDP Ratio'!B503-364, ""), "mm/dd/yyyy")</f>
        <v/>
      </c>
      <c r="B499" s="23" t="str">
        <f>IFERROR(IF(ISNUMBER('Debt to GDP Ratio'!D503),TEXT('Debt to GDP Ratio'!D503,"0.00"), ""), "")</f>
        <v/>
      </c>
      <c r="C499" s="23" t="str">
        <f>IFERROR(IF(ISNUMBER('Debt to GDP Ratio'!E503),TEXT('Debt to GDP Ratio'!E503,"0.00"), ""), "")</f>
        <v/>
      </c>
    </row>
    <row r="500" spans="1:3">
      <c r="A500" s="23" t="str">
        <f>TEXT(IF('Debt to GDP Ratio'!B504&lt;&gt;0,'Debt to GDP Ratio'!B504-364, ""), "mm/dd/yyyy")</f>
        <v/>
      </c>
      <c r="B500" s="23" t="str">
        <f>IFERROR(IF(ISNUMBER('Debt to GDP Ratio'!D504),TEXT('Debt to GDP Ratio'!D504,"0.00"), ""), "")</f>
        <v/>
      </c>
      <c r="C500" s="23" t="str">
        <f>IFERROR(IF(ISNUMBER('Debt to GDP Ratio'!E504),TEXT('Debt to GDP Ratio'!E504,"0.00"), ""), "")</f>
        <v/>
      </c>
    </row>
    <row r="501" spans="1:3">
      <c r="A501" s="23" t="str">
        <f>TEXT(IF('Debt to GDP Ratio'!B505&lt;&gt;0,'Debt to GDP Ratio'!B505-364, ""), "mm/dd/yyyy")</f>
        <v/>
      </c>
      <c r="B501" s="23" t="str">
        <f>IFERROR(IF(ISNUMBER('Debt to GDP Ratio'!D505),TEXT('Debt to GDP Ratio'!D505,"0.00"), ""), "")</f>
        <v/>
      </c>
      <c r="C501" s="23" t="str">
        <f>IFERROR(IF(ISNUMBER('Debt to GDP Ratio'!E505),TEXT('Debt to GDP Ratio'!E505,"0.00"), ""), "")</f>
        <v/>
      </c>
    </row>
    <row r="502" spans="1:3">
      <c r="A502" s="23" t="str">
        <f>TEXT(IF('Debt to GDP Ratio'!B506&lt;&gt;0,'Debt to GDP Ratio'!B506-364, ""), "mm/dd/yyyy")</f>
        <v/>
      </c>
      <c r="B502" s="23" t="str">
        <f>IFERROR(IF(ISNUMBER('Debt to GDP Ratio'!D506),TEXT('Debt to GDP Ratio'!D506,"0.00"), ""), "")</f>
        <v/>
      </c>
      <c r="C502" s="23" t="str">
        <f>IFERROR(IF(ISNUMBER('Debt to GDP Ratio'!E506),TEXT('Debt to GDP Ratio'!E506,"0.00"), ""), "")</f>
        <v/>
      </c>
    </row>
    <row r="503" spans="1:3">
      <c r="A503" s="23" t="str">
        <f>TEXT(IF('Debt to GDP Ratio'!B507&lt;&gt;0,'Debt to GDP Ratio'!B507-364, ""), "mm/dd/yyyy")</f>
        <v/>
      </c>
      <c r="B503" s="23" t="str">
        <f>IFERROR(IF(ISNUMBER('Debt to GDP Ratio'!D507),TEXT('Debt to GDP Ratio'!D507,"0.00"), ""), "")</f>
        <v/>
      </c>
      <c r="C503" s="23" t="str">
        <f>IFERROR(IF(ISNUMBER('Debt to GDP Ratio'!E507),TEXT('Debt to GDP Ratio'!E507,"0.00"), ""), "")</f>
        <v/>
      </c>
    </row>
    <row r="504" spans="1:3">
      <c r="A504" s="23" t="str">
        <f>TEXT(IF('Debt to GDP Ratio'!B508&lt;&gt;0,'Debt to GDP Ratio'!B508-364, ""), "mm/dd/yyyy")</f>
        <v/>
      </c>
      <c r="B504" s="23" t="str">
        <f>IFERROR(IF(ISNUMBER('Debt to GDP Ratio'!D508),TEXT('Debt to GDP Ratio'!D508,"0.00"), ""), "")</f>
        <v/>
      </c>
      <c r="C504" s="23" t="str">
        <f>IFERROR(IF(ISNUMBER('Debt to GDP Ratio'!E508),TEXT('Debt to GDP Ratio'!E508,"0.00"), ""), "")</f>
        <v/>
      </c>
    </row>
    <row r="505" spans="1:3">
      <c r="A505" s="23" t="str">
        <f>TEXT(IF('Debt to GDP Ratio'!B509&lt;&gt;0,'Debt to GDP Ratio'!B509-364, ""), "mm/dd/yyyy")</f>
        <v/>
      </c>
      <c r="B505" s="23" t="str">
        <f>IFERROR(IF(ISNUMBER('Debt to GDP Ratio'!D509),TEXT('Debt to GDP Ratio'!D509,"0.00"), ""), "")</f>
        <v/>
      </c>
      <c r="C505" s="23" t="str">
        <f>IFERROR(IF(ISNUMBER('Debt to GDP Ratio'!E509),TEXT('Debt to GDP Ratio'!E509,"0.00"), ""), "")</f>
        <v/>
      </c>
    </row>
    <row r="506" spans="1:3">
      <c r="A506" s="23" t="str">
        <f>TEXT(IF('Debt to GDP Ratio'!B510&lt;&gt;0,'Debt to GDP Ratio'!B510-364, ""), "mm/dd/yyyy")</f>
        <v/>
      </c>
      <c r="B506" s="23" t="str">
        <f>IFERROR(IF(ISNUMBER('Debt to GDP Ratio'!D510),TEXT('Debt to GDP Ratio'!D510,"0.00"), ""), "")</f>
        <v/>
      </c>
      <c r="C506" s="23" t="str">
        <f>IFERROR(IF(ISNUMBER('Debt to GDP Ratio'!E510),TEXT('Debt to GDP Ratio'!E510,"0.00"), ""), "")</f>
        <v/>
      </c>
    </row>
    <row r="507" spans="1:3">
      <c r="A507" s="23" t="str">
        <f>TEXT(IF('Debt to GDP Ratio'!B511&lt;&gt;0,'Debt to GDP Ratio'!B511-364, ""), "mm/dd/yyyy")</f>
        <v/>
      </c>
      <c r="B507" s="23" t="str">
        <f>IFERROR(IF(ISNUMBER('Debt to GDP Ratio'!D511),TEXT('Debt to GDP Ratio'!D511,"0.00"), ""), "")</f>
        <v/>
      </c>
      <c r="C507" s="23" t="str">
        <f>IFERROR(IF(ISNUMBER('Debt to GDP Ratio'!E511),TEXT('Debt to GDP Ratio'!E511,"0.00"), ""), "")</f>
        <v/>
      </c>
    </row>
    <row r="508" spans="1:3">
      <c r="A508" s="23" t="str">
        <f>TEXT(IF('Debt to GDP Ratio'!B512&lt;&gt;0,'Debt to GDP Ratio'!B512-364, ""), "mm/dd/yyyy")</f>
        <v/>
      </c>
      <c r="B508" s="23" t="str">
        <f>IFERROR(IF(ISNUMBER('Debt to GDP Ratio'!D512),TEXT('Debt to GDP Ratio'!D512,"0.00"), ""), "")</f>
        <v/>
      </c>
      <c r="C508" s="23" t="str">
        <f>IFERROR(IF(ISNUMBER('Debt to GDP Ratio'!E512),TEXT('Debt to GDP Ratio'!E512,"0.00"), ""), "")</f>
        <v/>
      </c>
    </row>
    <row r="509" spans="1:3">
      <c r="A509" s="23" t="str">
        <f>TEXT(IF('Debt to GDP Ratio'!B513&lt;&gt;0,'Debt to GDP Ratio'!B513-364, ""), "mm/dd/yyyy")</f>
        <v/>
      </c>
      <c r="B509" s="23" t="str">
        <f>IFERROR(IF(ISNUMBER('Debt to GDP Ratio'!D513),TEXT('Debt to GDP Ratio'!D513,"0.00"), ""), "")</f>
        <v/>
      </c>
      <c r="C509" s="23" t="str">
        <f>IFERROR(IF(ISNUMBER('Debt to GDP Ratio'!E513),TEXT('Debt to GDP Ratio'!E513,"0.00"), ""), "")</f>
        <v/>
      </c>
    </row>
    <row r="510" spans="1:3">
      <c r="A510" s="23" t="str">
        <f>TEXT(IF('Debt to GDP Ratio'!B514&lt;&gt;0,'Debt to GDP Ratio'!B514-364, ""), "mm/dd/yyyy")</f>
        <v/>
      </c>
      <c r="B510" s="23" t="str">
        <f>IFERROR(IF(ISNUMBER('Debt to GDP Ratio'!D514),TEXT('Debt to GDP Ratio'!D514,"0.00"), ""), "")</f>
        <v/>
      </c>
      <c r="C510" s="23" t="str">
        <f>IFERROR(IF(ISNUMBER('Debt to GDP Ratio'!E514),TEXT('Debt to GDP Ratio'!E514,"0.00"), ""), "")</f>
        <v/>
      </c>
    </row>
    <row r="511" spans="1:3">
      <c r="A511" s="23" t="str">
        <f>TEXT(IF('Debt to GDP Ratio'!B515&lt;&gt;0,'Debt to GDP Ratio'!B515-364, ""), "mm/dd/yyyy")</f>
        <v/>
      </c>
      <c r="B511" s="23" t="str">
        <f>IFERROR(IF(ISNUMBER('Debt to GDP Ratio'!D515),TEXT('Debt to GDP Ratio'!D515,"0.00"), ""), "")</f>
        <v/>
      </c>
      <c r="C511" s="23" t="str">
        <f>IFERROR(IF(ISNUMBER('Debt to GDP Ratio'!E515),TEXT('Debt to GDP Ratio'!E515,"0.00"), ""), "")</f>
        <v/>
      </c>
    </row>
    <row r="512" spans="1:3">
      <c r="A512" s="23" t="str">
        <f>TEXT(IF('Debt to GDP Ratio'!B516&lt;&gt;0,'Debt to GDP Ratio'!B516-364, ""), "mm/dd/yyyy")</f>
        <v/>
      </c>
      <c r="B512" s="23" t="str">
        <f>IFERROR(IF(ISNUMBER('Debt to GDP Ratio'!D516),TEXT('Debt to GDP Ratio'!D516,"0.00"), ""), "")</f>
        <v/>
      </c>
      <c r="C512" s="23" t="str">
        <f>IFERROR(IF(ISNUMBER('Debt to GDP Ratio'!E516),TEXT('Debt to GDP Ratio'!E516,"0.00"), ""), "")</f>
        <v/>
      </c>
    </row>
    <row r="513" spans="1:3">
      <c r="A513" s="23" t="str">
        <f>TEXT(IF('Debt to GDP Ratio'!B517&lt;&gt;0,'Debt to GDP Ratio'!B517-364, ""), "mm/dd/yyyy")</f>
        <v/>
      </c>
      <c r="B513" s="23" t="str">
        <f>IFERROR(IF(ISNUMBER('Debt to GDP Ratio'!D517),TEXT('Debt to GDP Ratio'!D517,"0.00"), ""), "")</f>
        <v/>
      </c>
      <c r="C513" s="23" t="str">
        <f>IFERROR(IF(ISNUMBER('Debt to GDP Ratio'!E517),TEXT('Debt to GDP Ratio'!E517,"0.00"), ""), "")</f>
        <v/>
      </c>
    </row>
    <row r="514" spans="1:3">
      <c r="A514" s="23" t="str">
        <f>TEXT(IF('Debt to GDP Ratio'!B518&lt;&gt;0,'Debt to GDP Ratio'!B518-364, ""), "mm/dd/yyyy")</f>
        <v/>
      </c>
      <c r="B514" s="23" t="str">
        <f>IFERROR(IF(ISNUMBER('Debt to GDP Ratio'!D518),TEXT('Debt to GDP Ratio'!D518,"0.00"), ""), "")</f>
        <v/>
      </c>
      <c r="C514" s="23" t="str">
        <f>IFERROR(IF(ISNUMBER('Debt to GDP Ratio'!E518),TEXT('Debt to GDP Ratio'!E518,"0.00"), ""), "")</f>
        <v/>
      </c>
    </row>
    <row r="515" spans="1:3">
      <c r="A515" s="23" t="str">
        <f>TEXT(IF('Debt to GDP Ratio'!B519&lt;&gt;0,'Debt to GDP Ratio'!B519-364, ""), "mm/dd/yyyy")</f>
        <v/>
      </c>
      <c r="B515" s="23" t="str">
        <f>IFERROR(IF(ISNUMBER('Debt to GDP Ratio'!D519),TEXT('Debt to GDP Ratio'!D519,"0.00"), ""), "")</f>
        <v/>
      </c>
      <c r="C515" s="23" t="str">
        <f>IFERROR(IF(ISNUMBER('Debt to GDP Ratio'!E519),TEXT('Debt to GDP Ratio'!E519,"0.00"), ""), "")</f>
        <v/>
      </c>
    </row>
    <row r="516" spans="1:3">
      <c r="A516" s="23" t="str">
        <f>TEXT(IF('Debt to GDP Ratio'!B520&lt;&gt;0,'Debt to GDP Ratio'!B520-364, ""), "mm/dd/yyyy")</f>
        <v/>
      </c>
      <c r="B516" s="23" t="str">
        <f>IFERROR(IF(ISNUMBER('Debt to GDP Ratio'!D520),TEXT('Debt to GDP Ratio'!D520,"0.00"), ""), "")</f>
        <v/>
      </c>
      <c r="C516" s="23" t="str">
        <f>IFERROR(IF(ISNUMBER('Debt to GDP Ratio'!E520),TEXT('Debt to GDP Ratio'!E520,"0.00"), ""), "")</f>
        <v/>
      </c>
    </row>
    <row r="517" spans="1:3">
      <c r="A517" s="23" t="str">
        <f>TEXT(IF('Debt to GDP Ratio'!B521&lt;&gt;0,'Debt to GDP Ratio'!B521-364, ""), "mm/dd/yyyy")</f>
        <v/>
      </c>
      <c r="B517" s="23" t="str">
        <f>IFERROR(IF(ISNUMBER('Debt to GDP Ratio'!D521),TEXT('Debt to GDP Ratio'!D521,"0.00"), ""), "")</f>
        <v/>
      </c>
      <c r="C517" s="23" t="str">
        <f>IFERROR(IF(ISNUMBER('Debt to GDP Ratio'!E521),TEXT('Debt to GDP Ratio'!E521,"0.00"), ""), "")</f>
        <v/>
      </c>
    </row>
    <row r="518" spans="1:3">
      <c r="A518" s="23" t="str">
        <f>TEXT(IF('Debt to GDP Ratio'!B522&lt;&gt;0,'Debt to GDP Ratio'!B522-364, ""), "mm/dd/yyyy")</f>
        <v/>
      </c>
      <c r="B518" s="23" t="str">
        <f>IFERROR(IF(ISNUMBER('Debt to GDP Ratio'!D522),TEXT('Debt to GDP Ratio'!D522,"0.00"), ""), "")</f>
        <v/>
      </c>
      <c r="C518" s="23" t="str">
        <f>IFERROR(IF(ISNUMBER('Debt to GDP Ratio'!E522),TEXT('Debt to GDP Ratio'!E522,"0.00"), ""), "")</f>
        <v/>
      </c>
    </row>
    <row r="519" spans="1:3">
      <c r="A519" s="23" t="str">
        <f>TEXT(IF('Debt to GDP Ratio'!B523&lt;&gt;0,'Debt to GDP Ratio'!B523-364, ""), "mm/dd/yyyy")</f>
        <v/>
      </c>
      <c r="B519" s="23" t="str">
        <f>IFERROR(IF(ISNUMBER('Debt to GDP Ratio'!D523),TEXT('Debt to GDP Ratio'!D523,"0.00"), ""), "")</f>
        <v/>
      </c>
      <c r="C519" s="23" t="str">
        <f>IFERROR(IF(ISNUMBER('Debt to GDP Ratio'!E523),TEXT('Debt to GDP Ratio'!E523,"0.00"), ""), "")</f>
        <v/>
      </c>
    </row>
    <row r="520" spans="1:3">
      <c r="A520" s="23" t="str">
        <f>TEXT(IF('Debt to GDP Ratio'!B524&lt;&gt;0,'Debt to GDP Ratio'!B524-364, ""), "mm/dd/yyyy")</f>
        <v/>
      </c>
      <c r="B520" s="23" t="str">
        <f>IFERROR(IF(ISNUMBER('Debt to GDP Ratio'!D524),TEXT('Debt to GDP Ratio'!D524,"0.00"), ""), "")</f>
        <v/>
      </c>
      <c r="C520" s="23" t="str">
        <f>IFERROR(IF(ISNUMBER('Debt to GDP Ratio'!E524),TEXT('Debt to GDP Ratio'!E524,"0.00"), ""), "")</f>
        <v/>
      </c>
    </row>
    <row r="521" spans="1:3">
      <c r="A521" s="23" t="str">
        <f>TEXT(IF('Debt to GDP Ratio'!B525&lt;&gt;0,'Debt to GDP Ratio'!B525-364, ""), "mm/dd/yyyy")</f>
        <v/>
      </c>
      <c r="B521" s="23" t="str">
        <f>IFERROR(IF(ISNUMBER('Debt to GDP Ratio'!D525),TEXT('Debt to GDP Ratio'!D525,"0.00"), ""), "")</f>
        <v/>
      </c>
      <c r="C521" s="23" t="str">
        <f>IFERROR(IF(ISNUMBER('Debt to GDP Ratio'!E525),TEXT('Debt to GDP Ratio'!E525,"0.00"), ""), "")</f>
        <v/>
      </c>
    </row>
    <row r="522" spans="1:3">
      <c r="A522" s="23" t="str">
        <f>TEXT(IF('Debt to GDP Ratio'!B526&lt;&gt;0,'Debt to GDP Ratio'!B526-364, ""), "mm/dd/yyyy")</f>
        <v/>
      </c>
      <c r="B522" s="23" t="str">
        <f>IFERROR(IF(ISNUMBER('Debt to GDP Ratio'!D526),TEXT('Debt to GDP Ratio'!D526,"0.00"), ""), "")</f>
        <v/>
      </c>
      <c r="C522" s="23" t="str">
        <f>IFERROR(IF(ISNUMBER('Debt to GDP Ratio'!E526),TEXT('Debt to GDP Ratio'!E526,"0.00"), ""), "")</f>
        <v/>
      </c>
    </row>
    <row r="523" spans="1:3">
      <c r="A523" s="23" t="str">
        <f>TEXT(IF('Debt to GDP Ratio'!B527&lt;&gt;0,'Debt to GDP Ratio'!B527-364, ""), "mm/dd/yyyy")</f>
        <v/>
      </c>
      <c r="B523" s="23" t="str">
        <f>IFERROR(IF(ISNUMBER('Debt to GDP Ratio'!D527),TEXT('Debt to GDP Ratio'!D527,"0.00"), ""), "")</f>
        <v/>
      </c>
      <c r="C523" s="23" t="str">
        <f>IFERROR(IF(ISNUMBER('Debt to GDP Ratio'!E527),TEXT('Debt to GDP Ratio'!E527,"0.00"), ""), "")</f>
        <v/>
      </c>
    </row>
    <row r="524" spans="1:3">
      <c r="A524" s="23" t="str">
        <f>TEXT(IF('Debt to GDP Ratio'!B528&lt;&gt;0,'Debt to GDP Ratio'!B528-364, ""), "mm/dd/yyyy")</f>
        <v/>
      </c>
      <c r="B524" s="23" t="str">
        <f>IFERROR(IF(ISNUMBER('Debt to GDP Ratio'!D528),TEXT('Debt to GDP Ratio'!D528,"0.00"), ""), "")</f>
        <v/>
      </c>
      <c r="C524" s="23" t="str">
        <f>IFERROR(IF(ISNUMBER('Debt to GDP Ratio'!E528),TEXT('Debt to GDP Ratio'!E528,"0.00"), ""), "")</f>
        <v/>
      </c>
    </row>
    <row r="525" spans="1:3">
      <c r="A525" s="23" t="str">
        <f>TEXT(IF('Debt to GDP Ratio'!B529&lt;&gt;0,'Debt to GDP Ratio'!B529-364, ""), "mm/dd/yyyy")</f>
        <v/>
      </c>
      <c r="B525" s="23" t="str">
        <f>IFERROR(IF(ISNUMBER('Debt to GDP Ratio'!D529),TEXT('Debt to GDP Ratio'!D529,"0.00"), ""), "")</f>
        <v/>
      </c>
      <c r="C525" s="23" t="str">
        <f>IFERROR(IF(ISNUMBER('Debt to GDP Ratio'!E529),TEXT('Debt to GDP Ratio'!E529,"0.00"), ""), "")</f>
        <v/>
      </c>
    </row>
    <row r="526" spans="1:3">
      <c r="A526" s="23" t="str">
        <f>TEXT(IF('Debt to GDP Ratio'!B530&lt;&gt;0,'Debt to GDP Ratio'!B530-364, ""), "mm/dd/yyyy")</f>
        <v/>
      </c>
      <c r="B526" s="23" t="str">
        <f>IFERROR(IF(ISNUMBER('Debt to GDP Ratio'!D530),TEXT('Debt to GDP Ratio'!D530,"0.00"), ""), "")</f>
        <v/>
      </c>
      <c r="C526" s="23" t="str">
        <f>IFERROR(IF(ISNUMBER('Debt to GDP Ratio'!E530),TEXT('Debt to GDP Ratio'!E530,"0.00"), ""), "")</f>
        <v/>
      </c>
    </row>
    <row r="527" spans="1:3">
      <c r="A527" s="23" t="str">
        <f>TEXT(IF('Debt to GDP Ratio'!B531&lt;&gt;0,'Debt to GDP Ratio'!B531-364, ""), "mm/dd/yyyy")</f>
        <v/>
      </c>
      <c r="B527" s="23" t="str">
        <f>IFERROR(IF(ISNUMBER('Debt to GDP Ratio'!D531),TEXT('Debt to GDP Ratio'!D531,"0.00"), ""), "")</f>
        <v/>
      </c>
      <c r="C527" s="23" t="str">
        <f>IFERROR(IF(ISNUMBER('Debt to GDP Ratio'!E531),TEXT('Debt to GDP Ratio'!E531,"0.00"), ""), "")</f>
        <v/>
      </c>
    </row>
    <row r="528" spans="1:3">
      <c r="A528" s="23" t="str">
        <f>TEXT(IF('Debt to GDP Ratio'!B532&lt;&gt;0,'Debt to GDP Ratio'!B532-364, ""), "mm/dd/yyyy")</f>
        <v/>
      </c>
      <c r="B528" s="23" t="str">
        <f>IFERROR(IF(ISNUMBER('Debt to GDP Ratio'!D532),TEXT('Debt to GDP Ratio'!D532,"0.00"), ""), "")</f>
        <v/>
      </c>
      <c r="C528" s="23" t="str">
        <f>IFERROR(IF(ISNUMBER('Debt to GDP Ratio'!E532),TEXT('Debt to GDP Ratio'!E532,"0.00"), ""), "")</f>
        <v/>
      </c>
    </row>
    <row r="529" spans="1:3">
      <c r="A529" s="23" t="str">
        <f>TEXT(IF('Debt to GDP Ratio'!B533&lt;&gt;0,'Debt to GDP Ratio'!B533-364, ""), "mm/dd/yyyy")</f>
        <v/>
      </c>
      <c r="B529" s="23" t="str">
        <f>IFERROR(IF(ISNUMBER('Debt to GDP Ratio'!D533),TEXT('Debt to GDP Ratio'!D533,"0.00"), ""), "")</f>
        <v/>
      </c>
      <c r="C529" s="23" t="str">
        <f>IFERROR(IF(ISNUMBER('Debt to GDP Ratio'!E533),TEXT('Debt to GDP Ratio'!E533,"0.00"), ""), "")</f>
        <v/>
      </c>
    </row>
    <row r="530" spans="1:3">
      <c r="A530" s="23" t="str">
        <f>TEXT(IF('Debt to GDP Ratio'!B534&lt;&gt;0,'Debt to GDP Ratio'!B534-364, ""), "mm/dd/yyyy")</f>
        <v/>
      </c>
      <c r="B530" s="23" t="str">
        <f>IFERROR(IF(ISNUMBER('Debt to GDP Ratio'!D534),TEXT('Debt to GDP Ratio'!D534,"0.00"), ""), "")</f>
        <v/>
      </c>
      <c r="C530" s="23" t="str">
        <f>IFERROR(IF(ISNUMBER('Debt to GDP Ratio'!E534),TEXT('Debt to GDP Ratio'!E534,"0.00"), ""), "")</f>
        <v/>
      </c>
    </row>
    <row r="531" spans="1:3">
      <c r="A531" s="23" t="str">
        <f>TEXT(IF('Debt to GDP Ratio'!B535&lt;&gt;0,'Debt to GDP Ratio'!B535-364, ""), "mm/dd/yyyy")</f>
        <v/>
      </c>
      <c r="B531" s="23" t="str">
        <f>IFERROR(IF(ISNUMBER('Debt to GDP Ratio'!D535),TEXT('Debt to GDP Ratio'!D535,"0.00"), ""), "")</f>
        <v/>
      </c>
      <c r="C531" s="23" t="str">
        <f>IFERROR(IF(ISNUMBER('Debt to GDP Ratio'!E535),TEXT('Debt to GDP Ratio'!E535,"0.00"), ""), "")</f>
        <v/>
      </c>
    </row>
    <row r="532" spans="1:3">
      <c r="A532" s="23" t="str">
        <f>TEXT(IF('Debt to GDP Ratio'!B536&lt;&gt;0,'Debt to GDP Ratio'!B536-364, ""), "mm/dd/yyyy")</f>
        <v/>
      </c>
      <c r="B532" s="23" t="str">
        <f>IFERROR(IF(ISNUMBER('Debt to GDP Ratio'!D536),TEXT('Debt to GDP Ratio'!D536,"0.00"), ""), "")</f>
        <v/>
      </c>
      <c r="C532" s="23" t="str">
        <f>IFERROR(IF(ISNUMBER('Debt to GDP Ratio'!E536),TEXT('Debt to GDP Ratio'!E536,"0.00"), ""), "")</f>
        <v/>
      </c>
    </row>
    <row r="533" spans="1:3">
      <c r="A533" s="23" t="str">
        <f>TEXT(IF('Debt to GDP Ratio'!B537&lt;&gt;0,'Debt to GDP Ratio'!B537-364, ""), "mm/dd/yyyy")</f>
        <v/>
      </c>
      <c r="B533" s="23" t="str">
        <f>IFERROR(IF(ISNUMBER('Debt to GDP Ratio'!D537),TEXT('Debt to GDP Ratio'!D537,"0.00"), ""), "")</f>
        <v/>
      </c>
      <c r="C533" s="23" t="str">
        <f>IFERROR(IF(ISNUMBER('Debt to GDP Ratio'!E537),TEXT('Debt to GDP Ratio'!E537,"0.00"), ""), "")</f>
        <v/>
      </c>
    </row>
    <row r="534" spans="1:3">
      <c r="A534" s="23" t="str">
        <f>TEXT(IF('Debt to GDP Ratio'!B538&lt;&gt;0,'Debt to GDP Ratio'!B538-364, ""), "mm/dd/yyyy")</f>
        <v/>
      </c>
      <c r="B534" s="23" t="str">
        <f>IFERROR(IF(ISNUMBER('Debt to GDP Ratio'!D538),TEXT('Debt to GDP Ratio'!D538,"0.00"), ""), "")</f>
        <v/>
      </c>
      <c r="C534" s="23" t="str">
        <f>IFERROR(IF(ISNUMBER('Debt to GDP Ratio'!E538),TEXT('Debt to GDP Ratio'!E538,"0.00"), ""), "")</f>
        <v/>
      </c>
    </row>
    <row r="535" spans="1:3">
      <c r="A535" s="23" t="str">
        <f>TEXT(IF('Debt to GDP Ratio'!B539&lt;&gt;0,'Debt to GDP Ratio'!B539-364, ""), "mm/dd/yyyy")</f>
        <v/>
      </c>
      <c r="B535" s="23" t="str">
        <f>IFERROR(IF(ISNUMBER('Debt to GDP Ratio'!D539),TEXT('Debt to GDP Ratio'!D539,"0.00"), ""), "")</f>
        <v/>
      </c>
      <c r="C535" s="23" t="str">
        <f>IFERROR(IF(ISNUMBER('Debt to GDP Ratio'!E539),TEXT('Debt to GDP Ratio'!E539,"0.00"), ""), "")</f>
        <v/>
      </c>
    </row>
    <row r="536" spans="1:3">
      <c r="A536" s="23" t="str">
        <f>TEXT(IF('Debt to GDP Ratio'!B540&lt;&gt;0,'Debt to GDP Ratio'!B540-364, ""), "mm/dd/yyyy")</f>
        <v/>
      </c>
      <c r="B536" s="23" t="str">
        <f>IFERROR(IF(ISNUMBER('Debt to GDP Ratio'!D540),TEXT('Debt to GDP Ratio'!D540,"0.00"), ""), "")</f>
        <v/>
      </c>
      <c r="C536" s="23" t="str">
        <f>IFERROR(IF(ISNUMBER('Debt to GDP Ratio'!E540),TEXT('Debt to GDP Ratio'!E540,"0.00"), ""), "")</f>
        <v/>
      </c>
    </row>
    <row r="537" spans="1:3">
      <c r="A537" s="23" t="str">
        <f>TEXT(IF('Debt to GDP Ratio'!B541&lt;&gt;0,'Debt to GDP Ratio'!B541-364, ""), "mm/dd/yyyy")</f>
        <v/>
      </c>
      <c r="B537" s="23" t="str">
        <f>IFERROR(IF(ISNUMBER('Debt to GDP Ratio'!D541),TEXT('Debt to GDP Ratio'!D541,"0.00"), ""), "")</f>
        <v/>
      </c>
      <c r="C537" s="23" t="str">
        <f>IFERROR(IF(ISNUMBER('Debt to GDP Ratio'!E541),TEXT('Debt to GDP Ratio'!E541,"0.00"), ""), "")</f>
        <v/>
      </c>
    </row>
    <row r="538" spans="1:3">
      <c r="A538" s="23" t="str">
        <f>TEXT(IF('Debt to GDP Ratio'!B542&lt;&gt;0,'Debt to GDP Ratio'!B542-364, ""), "mm/dd/yyyy")</f>
        <v/>
      </c>
      <c r="B538" s="23" t="str">
        <f>IFERROR(IF(ISNUMBER('Debt to GDP Ratio'!D542),TEXT('Debt to GDP Ratio'!D542,"0.00"), ""), "")</f>
        <v/>
      </c>
      <c r="C538" s="23" t="str">
        <f>IFERROR(IF(ISNUMBER('Debt to GDP Ratio'!E542),TEXT('Debt to GDP Ratio'!E542,"0.00"), ""), "")</f>
        <v/>
      </c>
    </row>
    <row r="539" spans="1:3">
      <c r="A539" s="23" t="str">
        <f>TEXT(IF('Debt to GDP Ratio'!B543&lt;&gt;0,'Debt to GDP Ratio'!B543-364, ""), "mm/dd/yyyy")</f>
        <v/>
      </c>
      <c r="B539" s="23" t="str">
        <f>IFERROR(IF(ISNUMBER('Debt to GDP Ratio'!D543),TEXT('Debt to GDP Ratio'!D543,"0.00"), ""), "")</f>
        <v/>
      </c>
      <c r="C539" s="23" t="str">
        <f>IFERROR(IF(ISNUMBER('Debt to GDP Ratio'!E543),TEXT('Debt to GDP Ratio'!E543,"0.00"), ""), "")</f>
        <v/>
      </c>
    </row>
    <row r="540" spans="1:3">
      <c r="A540" s="23" t="str">
        <f>TEXT(IF('Debt to GDP Ratio'!B544&lt;&gt;0,'Debt to GDP Ratio'!B544-364, ""), "mm/dd/yyyy")</f>
        <v/>
      </c>
      <c r="B540" s="23" t="str">
        <f>IFERROR(IF(ISNUMBER('Debt to GDP Ratio'!D544),TEXT('Debt to GDP Ratio'!D544,"0.00"), ""), "")</f>
        <v/>
      </c>
      <c r="C540" s="23" t="str">
        <f>IFERROR(IF(ISNUMBER('Debt to GDP Ratio'!E544),TEXT('Debt to GDP Ratio'!E544,"0.00"), ""), "")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I394"/>
  <sheetViews>
    <sheetView workbookViewId="0">
      <selection activeCell="K33" sqref="K33"/>
    </sheetView>
  </sheetViews>
  <sheetFormatPr defaultRowHeight="15"/>
  <cols>
    <col min="1" max="1" width="10.42578125" bestFit="1" customWidth="1"/>
    <col min="2" max="2" width="12.7109375" bestFit="1" customWidth="1"/>
  </cols>
  <sheetData>
    <row r="1" spans="1:9">
      <c r="A1" s="23" t="s">
        <v>143</v>
      </c>
      <c r="B1" s="23" t="s">
        <v>184</v>
      </c>
      <c r="C1" s="23" t="s">
        <v>188</v>
      </c>
      <c r="D1" s="23" t="s">
        <v>192</v>
      </c>
      <c r="E1" s="23" t="s">
        <v>186</v>
      </c>
      <c r="F1" s="23" t="s">
        <v>193</v>
      </c>
      <c r="G1" s="23" t="s">
        <v>187</v>
      </c>
      <c r="H1" s="23" t="s">
        <v>194</v>
      </c>
      <c r="I1" s="23" t="s">
        <v>185</v>
      </c>
    </row>
    <row r="2" spans="1:9">
      <c r="A2" t="str">
        <f>TEXT(IF('Spending by Category'!B8&lt;&gt;0,'Spending by Category'!B8-364, ""), "mm/dd/yyyy")</f>
        <v>01/01/1975</v>
      </c>
      <c r="B2" s="23" t="str">
        <f>IFERROR(IF(ISNUMBER('Spending by Category'!C8),TEXT('Spending by Category'!C8,"0.00"), ""), "")</f>
        <v/>
      </c>
      <c r="C2" s="23" t="str">
        <f>IFERROR(IF(ISNUMBER('Spending by Category'!D8),TEXT('Spending by Category'!D8,"0.00"), ""), "")</f>
        <v/>
      </c>
      <c r="D2" s="23" t="str">
        <f>IFERROR(IF(ISNUMBER('Spending by Category'!E8),TEXT('Spending by Category'!E8,"0.00"), ""), "")</f>
        <v/>
      </c>
      <c r="E2" s="23" t="str">
        <f>IFERROR(IF(ISNUMBER('Spending by Category'!F8),TEXT('Spending by Category'!F8,"0.00"), ""), "")</f>
        <v/>
      </c>
      <c r="F2" s="23" t="str">
        <f>IFERROR(IF(ISNUMBER('Spending by Category'!G8),TEXT('Spending by Category'!G8,"0.00"), ""), "")</f>
        <v>1.18</v>
      </c>
      <c r="G2" s="23" t="str">
        <f>IFERROR(IF(ISNUMBER('Spending by Category'!H8),TEXT('Spending by Category'!H8,"0.00"), ""), "")</f>
        <v>3.95</v>
      </c>
      <c r="H2" s="23" t="str">
        <f>IFERROR(IF(ISNUMBER('Spending by Category'!I8),TEXT('Spending by Category'!I8,"0.00"), ""), "")</f>
        <v>1.44</v>
      </c>
      <c r="I2" s="23" t="str">
        <f>IFERROR(IF(ISNUMBER('Spending by Category'!J8),TEXT('Spending by Category'!J8,"0.00"), ""), "")</f>
        <v>14.06</v>
      </c>
    </row>
    <row r="3" spans="1:9">
      <c r="A3" s="23" t="str">
        <f>TEXT(IF('Spending by Category'!B9&lt;&gt;0,'Spending by Category'!B9-364, ""), "mm/dd/yyyy")</f>
        <v>01/02/1976</v>
      </c>
      <c r="B3" s="23" t="str">
        <f>IFERROR(IF(ISNUMBER('Spending by Category'!C9),TEXT('Spending by Category'!C9,"0.00"), ""), "")</f>
        <v/>
      </c>
      <c r="C3" s="23" t="str">
        <f>IFERROR(IF(ISNUMBER('Spending by Category'!D9),TEXT('Spending by Category'!D9,"0.00"), ""), "")</f>
        <v/>
      </c>
      <c r="D3" s="23" t="str">
        <f>IFERROR(IF(ISNUMBER('Spending by Category'!E9),TEXT('Spending by Category'!E9,"0.00"), ""), "")</f>
        <v/>
      </c>
      <c r="E3" s="23" t="str">
        <f>IFERROR(IF(ISNUMBER('Spending by Category'!F9),TEXT('Spending by Category'!F9,"0.00"), ""), "")</f>
        <v/>
      </c>
      <c r="F3" s="23" t="str">
        <f>IFERROR(IF(ISNUMBER('Spending by Category'!G9),TEXT('Spending by Category'!G9,"0.00"), ""), "")</f>
        <v>1.32</v>
      </c>
      <c r="G3" s="23" t="str">
        <f>IFERROR(IF(ISNUMBER('Spending by Category'!H9),TEXT('Spending by Category'!H9,"0.00"), ""), "")</f>
        <v>4.06</v>
      </c>
      <c r="H3" s="23" t="str">
        <f>IFERROR(IF(ISNUMBER('Spending by Category'!I9),TEXT('Spending by Category'!I9,"0.00"), ""), "")</f>
        <v>1.49</v>
      </c>
      <c r="I3" s="23" t="str">
        <f>IFERROR(IF(ISNUMBER('Spending by Category'!J9),TEXT('Spending by Category'!J9,"0.00"), ""), "")</f>
        <v>13.90</v>
      </c>
    </row>
    <row r="4" spans="1:9">
      <c r="A4" s="23" t="str">
        <f>TEXT(IF('Spending by Category'!B10&lt;&gt;0,'Spending by Category'!B10-364, ""), "mm/dd/yyyy")</f>
        <v>01/01/1977</v>
      </c>
      <c r="B4" s="23" t="str">
        <f>IFERROR(IF(ISNUMBER('Spending by Category'!C10),TEXT('Spending by Category'!C10,"0.00"), ""), "")</f>
        <v/>
      </c>
      <c r="C4" s="23" t="str">
        <f>IFERROR(IF(ISNUMBER('Spending by Category'!D10),TEXT('Spending by Category'!D10,"0.00"), ""), "")</f>
        <v/>
      </c>
      <c r="D4" s="23" t="str">
        <f>IFERROR(IF(ISNUMBER('Spending by Category'!E10),TEXT('Spending by Category'!E10,"0.00"), ""), "")</f>
        <v/>
      </c>
      <c r="E4" s="23" t="str">
        <f>IFERROR(IF(ISNUMBER('Spending by Category'!F10),TEXT('Spending by Category'!F10,"0.00"), ""), "")</f>
        <v/>
      </c>
      <c r="F4" s="23" t="str">
        <f>IFERROR(IF(ISNUMBER('Spending by Category'!G10),TEXT('Spending by Category'!G10,"0.00"), ""), "")</f>
        <v>1.40</v>
      </c>
      <c r="G4" s="23" t="str">
        <f>IFERROR(IF(ISNUMBER('Spending by Category'!H10),TEXT('Spending by Category'!H10,"0.00"), ""), "")</f>
        <v>4.13</v>
      </c>
      <c r="H4" s="23" t="str">
        <f>IFERROR(IF(ISNUMBER('Spending by Category'!I10),TEXT('Spending by Category'!I10,"0.00"), ""), "")</f>
        <v>1.47</v>
      </c>
      <c r="I4" s="23" t="str">
        <f>IFERROR(IF(ISNUMBER('Spending by Category'!J10),TEXT('Spending by Category'!J10,"0.00"), ""), "")</f>
        <v>13.17</v>
      </c>
    </row>
    <row r="5" spans="1:9">
      <c r="A5" s="23" t="str">
        <f>TEXT(IF('Spending by Category'!B11&lt;&gt;0,'Spending by Category'!B11-364, ""), "mm/dd/yyyy")</f>
        <v>01/01/1978</v>
      </c>
      <c r="B5" s="23" t="str">
        <f>IFERROR(IF(ISNUMBER('Spending by Category'!C11),TEXT('Spending by Category'!C11,"0.00"), ""), "")</f>
        <v/>
      </c>
      <c r="C5" s="23" t="str">
        <f>IFERROR(IF(ISNUMBER('Spending by Category'!D11),TEXT('Spending by Category'!D11,"0.00"), ""), "")</f>
        <v/>
      </c>
      <c r="D5" s="23" t="str">
        <f>IFERROR(IF(ISNUMBER('Spending by Category'!E11),TEXT('Spending by Category'!E11,"0.00"), ""), "")</f>
        <v/>
      </c>
      <c r="E5" s="23" t="str">
        <f>IFERROR(IF(ISNUMBER('Spending by Category'!F11),TEXT('Spending by Category'!F11,"0.00"), ""), "")</f>
        <v/>
      </c>
      <c r="F5" s="23" t="str">
        <f>IFERROR(IF(ISNUMBER('Spending by Category'!G11),TEXT('Spending by Category'!G11,"0.00"), ""), "")</f>
        <v>1.43</v>
      </c>
      <c r="G5" s="23" t="str">
        <f>IFERROR(IF(ISNUMBER('Spending by Category'!H11),TEXT('Spending by Category'!H11,"0.00"), ""), "")</f>
        <v>4.06</v>
      </c>
      <c r="H5" s="23" t="str">
        <f>IFERROR(IF(ISNUMBER('Spending by Category'!I11),TEXT('Spending by Category'!I11,"0.00"), ""), "")</f>
        <v>1.56</v>
      </c>
      <c r="I5" s="23" t="str">
        <f>IFERROR(IF(ISNUMBER('Spending by Category'!J11),TEXT('Spending by Category'!J11,"0.00"), ""), "")</f>
        <v>13.09</v>
      </c>
    </row>
    <row r="6" spans="1:9">
      <c r="A6" s="23" t="str">
        <f>TEXT(IF('Spending by Category'!B12&lt;&gt;0,'Spending by Category'!B12-364, ""), "mm/dd/yyyy")</f>
        <v>01/01/1979</v>
      </c>
      <c r="B6" s="23" t="str">
        <f>IFERROR(IF(ISNUMBER('Spending by Category'!C12),TEXT('Spending by Category'!C12,"0.00"), ""), "")</f>
        <v/>
      </c>
      <c r="C6" s="23" t="str">
        <f>IFERROR(IF(ISNUMBER('Spending by Category'!D12),TEXT('Spending by Category'!D12,"0.00"), ""), "")</f>
        <v/>
      </c>
      <c r="D6" s="23" t="str">
        <f>IFERROR(IF(ISNUMBER('Spending by Category'!E12),TEXT('Spending by Category'!E12,"0.00"), ""), "")</f>
        <v/>
      </c>
      <c r="E6" s="23" t="str">
        <f>IFERROR(IF(ISNUMBER('Spending by Category'!F12),TEXT('Spending by Category'!F12,"0.00"), ""), "")</f>
        <v/>
      </c>
      <c r="F6" s="23" t="str">
        <f>IFERROR(IF(ISNUMBER('Spending by Category'!G12),TEXT('Spending by Category'!G12,"0.00"), ""), "")</f>
        <v>1.48</v>
      </c>
      <c r="G6" s="23" t="str">
        <f>IFERROR(IF(ISNUMBER('Spending by Category'!H12),TEXT('Spending by Category'!H12,"0.00"), ""), "")</f>
        <v>3.99</v>
      </c>
      <c r="H6" s="23" t="str">
        <f>IFERROR(IF(ISNUMBER('Spending by Category'!I12),TEXT('Spending by Category'!I12,"0.00"), ""), "")</f>
        <v>1.66</v>
      </c>
      <c r="I6" s="23" t="str">
        <f>IFERROR(IF(ISNUMBER('Spending by Category'!J12),TEXT('Spending by Category'!J12,"0.00"), ""), "")</f>
        <v>12.49</v>
      </c>
    </row>
    <row r="7" spans="1:9">
      <c r="A7" s="23" t="str">
        <f>TEXT(IF('Spending by Category'!B13&lt;&gt;0,'Spending by Category'!B13-364, ""), "mm/dd/yyyy")</f>
        <v>01/02/1980</v>
      </c>
      <c r="B7" s="23" t="str">
        <f>IFERROR(IF(ISNUMBER('Spending by Category'!C13),TEXT('Spending by Category'!C13,"0.00"), ""), "")</f>
        <v/>
      </c>
      <c r="C7" s="23" t="str">
        <f>IFERROR(IF(ISNUMBER('Spending by Category'!D13),TEXT('Spending by Category'!D13,"0.00"), ""), "")</f>
        <v/>
      </c>
      <c r="D7" s="23" t="str">
        <f>IFERROR(IF(ISNUMBER('Spending by Category'!E13),TEXT('Spending by Category'!E13,"0.00"), ""), "")</f>
        <v/>
      </c>
      <c r="E7" s="23" t="str">
        <f>IFERROR(IF(ISNUMBER('Spending by Category'!F13),TEXT('Spending by Category'!F13,"0.00"), ""), "")</f>
        <v/>
      </c>
      <c r="F7" s="23" t="str">
        <f>IFERROR(IF(ISNUMBER('Spending by Category'!G13),TEXT('Spending by Category'!G13,"0.00"), ""), "")</f>
        <v>1.61</v>
      </c>
      <c r="G7" s="23" t="str">
        <f>IFERROR(IF(ISNUMBER('Spending by Category'!H13),TEXT('Spending by Category'!H13,"0.00"), ""), "")</f>
        <v>4.19</v>
      </c>
      <c r="H7" s="23" t="str">
        <f>IFERROR(IF(ISNUMBER('Spending by Category'!I13),TEXT('Spending by Category'!I13,"0.00"), ""), "")</f>
        <v>1.88</v>
      </c>
      <c r="I7" s="23" t="str">
        <f>IFERROR(IF(ISNUMBER('Spending by Category'!J13),TEXT('Spending by Category'!J13,"0.00"), ""), "")</f>
        <v>13.46</v>
      </c>
    </row>
    <row r="8" spans="1:9">
      <c r="A8" s="23" t="str">
        <f>TEXT(IF('Spending by Category'!B14&lt;&gt;0,'Spending by Category'!B14-364, ""), "mm/dd/yyyy")</f>
        <v>01/01/1981</v>
      </c>
      <c r="B8" s="23" t="str">
        <f>IFERROR(IF(ISNUMBER('Spending by Category'!C14),TEXT('Spending by Category'!C14,"0.00"), ""), "")</f>
        <v/>
      </c>
      <c r="C8" s="23" t="str">
        <f>IFERROR(IF(ISNUMBER('Spending by Category'!D14),TEXT('Spending by Category'!D14,"0.00"), ""), "")</f>
        <v/>
      </c>
      <c r="D8" s="23" t="str">
        <f>IFERROR(IF(ISNUMBER('Spending by Category'!E14),TEXT('Spending by Category'!E14,"0.00"), ""), "")</f>
        <v/>
      </c>
      <c r="E8" s="23" t="str">
        <f>IFERROR(IF(ISNUMBER('Spending by Category'!F14),TEXT('Spending by Category'!F14,"0.00"), ""), "")</f>
        <v/>
      </c>
      <c r="F8" s="23" t="str">
        <f>IFERROR(IF(ISNUMBER('Spending by Category'!G14),TEXT('Spending by Category'!G14,"0.00"), ""), "")</f>
        <v>1.74</v>
      </c>
      <c r="G8" s="23" t="str">
        <f>IFERROR(IF(ISNUMBER('Spending by Category'!H14),TEXT('Spending by Category'!H14,"0.00"), ""), "")</f>
        <v>4.39</v>
      </c>
      <c r="H8" s="23" t="str">
        <f>IFERROR(IF(ISNUMBER('Spending by Category'!I14),TEXT('Spending by Category'!I14,"0.00"), ""), "")</f>
        <v>2.19</v>
      </c>
      <c r="I8" s="23" t="str">
        <f>IFERROR(IF(ISNUMBER('Spending by Category'!J14),TEXT('Spending by Category'!J14,"0.00"), ""), "")</f>
        <v>13.28</v>
      </c>
    </row>
    <row r="9" spans="1:9">
      <c r="A9" s="23" t="str">
        <f>TEXT(IF('Spending by Category'!B15&lt;&gt;0,'Spending by Category'!B15-364, ""), "mm/dd/yyyy")</f>
        <v>01/01/1982</v>
      </c>
      <c r="B9" s="23" t="str">
        <f>IFERROR(IF(ISNUMBER('Spending by Category'!C15),TEXT('Spending by Category'!C15,"0.00"), ""), "")</f>
        <v/>
      </c>
      <c r="C9" s="23" t="str">
        <f>IFERROR(IF(ISNUMBER('Spending by Category'!D15),TEXT('Spending by Category'!D15,"0.00"), ""), "")</f>
        <v/>
      </c>
      <c r="D9" s="23" t="str">
        <f>IFERROR(IF(ISNUMBER('Spending by Category'!E15),TEXT('Spending by Category'!E15,"0.00"), ""), "")</f>
        <v/>
      </c>
      <c r="E9" s="23" t="str">
        <f>IFERROR(IF(ISNUMBER('Spending by Category'!F15),TEXT('Spending by Category'!F15,"0.00"), ""), "")</f>
        <v/>
      </c>
      <c r="F9" s="23" t="str">
        <f>IFERROR(IF(ISNUMBER('Spending by Category'!G15),TEXT('Spending by Category'!G15,"0.00"), ""), "")</f>
        <v>1.89</v>
      </c>
      <c r="G9" s="23" t="str">
        <f>IFERROR(IF(ISNUMBER('Spending by Category'!H15),TEXT('Spending by Category'!H15,"0.00"), ""), "")</f>
        <v>4.65</v>
      </c>
      <c r="H9" s="23" t="str">
        <f>IFERROR(IF(ISNUMBER('Spending by Category'!I15),TEXT('Spending by Category'!I15,"0.00"), ""), "")</f>
        <v>2.57</v>
      </c>
      <c r="I9" s="23" t="str">
        <f>IFERROR(IF(ISNUMBER('Spending by Category'!J15),TEXT('Spending by Category'!J15,"0.00"), ""), "")</f>
        <v>13.40</v>
      </c>
    </row>
    <row r="10" spans="1:9">
      <c r="A10" s="23" t="str">
        <f>TEXT(IF('Spending by Category'!B16&lt;&gt;0,'Spending by Category'!B16-364, ""), "mm/dd/yyyy")</f>
        <v>01/01/1983</v>
      </c>
      <c r="B10" s="23" t="str">
        <f>IFERROR(IF(ISNUMBER('Spending by Category'!C16),TEXT('Spending by Category'!C16,"0.00"), ""), "")</f>
        <v/>
      </c>
      <c r="C10" s="23" t="str">
        <f>IFERROR(IF(ISNUMBER('Spending by Category'!D16),TEXT('Spending by Category'!D16,"0.00"), ""), "")</f>
        <v/>
      </c>
      <c r="D10" s="23" t="str">
        <f>IFERROR(IF(ISNUMBER('Spending by Category'!E16),TEXT('Spending by Category'!E16,"0.00"), ""), "")</f>
        <v/>
      </c>
      <c r="E10" s="23" t="str">
        <f>IFERROR(IF(ISNUMBER('Spending by Category'!F16),TEXT('Spending by Category'!F16,"0.00"), ""), "")</f>
        <v/>
      </c>
      <c r="F10" s="23" t="str">
        <f>IFERROR(IF(ISNUMBER('Spending by Category'!G16),TEXT('Spending by Category'!G16,"0.00"), ""), "")</f>
        <v>1.98</v>
      </c>
      <c r="G10" s="23" t="str">
        <f>IFERROR(IF(ISNUMBER('Spending by Category'!H16),TEXT('Spending by Category'!H16,"0.00"), ""), "")</f>
        <v>4.76</v>
      </c>
      <c r="H10" s="23" t="str">
        <f>IFERROR(IF(ISNUMBER('Spending by Category'!I16),TEXT('Spending by Category'!I16,"0.00"), ""), "")</f>
        <v>2.54</v>
      </c>
      <c r="I10" s="23" t="str">
        <f>IFERROR(IF(ISNUMBER('Spending by Category'!J16),TEXT('Spending by Category'!J16,"0.00"), ""), "")</f>
        <v>13.55</v>
      </c>
    </row>
    <row r="11" spans="1:9">
      <c r="A11" s="23" t="str">
        <f>TEXT(IF('Spending by Category'!B17&lt;&gt;0,'Spending by Category'!B17-364, ""), "mm/dd/yyyy")</f>
        <v>01/02/1984</v>
      </c>
      <c r="B11" s="23" t="str">
        <f>IFERROR(IF(ISNUMBER('Spending by Category'!C17),TEXT('Spending by Category'!C17,"0.00"), ""), "")</f>
        <v/>
      </c>
      <c r="C11" s="23" t="str">
        <f>IFERROR(IF(ISNUMBER('Spending by Category'!D17),TEXT('Spending by Category'!D17,"0.00"), ""), "")</f>
        <v/>
      </c>
      <c r="D11" s="23" t="str">
        <f>IFERROR(IF(ISNUMBER('Spending by Category'!E17),TEXT('Spending by Category'!E17,"0.00"), ""), "")</f>
        <v/>
      </c>
      <c r="E11" s="23" t="str">
        <f>IFERROR(IF(ISNUMBER('Spending by Category'!F17),TEXT('Spending by Category'!F17,"0.00"), ""), "")</f>
        <v/>
      </c>
      <c r="F11" s="23" t="str">
        <f>IFERROR(IF(ISNUMBER('Spending by Category'!G17),TEXT('Spending by Category'!G17,"0.00"), ""), "")</f>
        <v>1.92</v>
      </c>
      <c r="G11" s="23" t="str">
        <f>IFERROR(IF(ISNUMBER('Spending by Category'!H17),TEXT('Spending by Category'!H17,"0.00"), ""), "")</f>
        <v>4.45</v>
      </c>
      <c r="H11" s="23" t="str">
        <f>IFERROR(IF(ISNUMBER('Spending by Category'!I17),TEXT('Spending by Category'!I17,"0.00"), ""), "")</f>
        <v>2.81</v>
      </c>
      <c r="I11" s="23" t="str">
        <f>IFERROR(IF(ISNUMBER('Spending by Category'!J17),TEXT('Spending by Category'!J17,"0.00"), ""), "")</f>
        <v>12.36</v>
      </c>
    </row>
    <row r="12" spans="1:9">
      <c r="A12" s="23" t="str">
        <f>TEXT(IF('Spending by Category'!B18&lt;&gt;0,'Spending by Category'!B18-364, ""), "mm/dd/yyyy")</f>
        <v>01/01/1985</v>
      </c>
      <c r="B12" s="23" t="str">
        <f>IFERROR(IF(ISNUMBER('Spending by Category'!C18),TEXT('Spending by Category'!C18,"0.00"), ""), "")</f>
        <v/>
      </c>
      <c r="C12" s="23" t="str">
        <f>IFERROR(IF(ISNUMBER('Spending by Category'!D18),TEXT('Spending by Category'!D18,"0.00"), ""), "")</f>
        <v/>
      </c>
      <c r="D12" s="23" t="str">
        <f>IFERROR(IF(ISNUMBER('Spending by Category'!E18),TEXT('Spending by Category'!E18,"0.00"), ""), "")</f>
        <v/>
      </c>
      <c r="E12" s="23" t="str">
        <f>IFERROR(IF(ISNUMBER('Spending by Category'!F18),TEXT('Spending by Category'!F18,"0.00"), ""), "")</f>
        <v/>
      </c>
      <c r="F12" s="23" t="str">
        <f>IFERROR(IF(ISNUMBER('Spending by Category'!G18),TEXT('Spending by Category'!G18,"0.00"), ""), "")</f>
        <v>2.03</v>
      </c>
      <c r="G12" s="23" t="str">
        <f>IFERROR(IF(ISNUMBER('Spending by Category'!H18),TEXT('Spending by Category'!H18,"0.00"), ""), "")</f>
        <v>4.37</v>
      </c>
      <c r="H12" s="23" t="str">
        <f>IFERROR(IF(ISNUMBER('Spending by Category'!I18),TEXT('Spending by Category'!I18,"0.00"), ""), "")</f>
        <v>3.03</v>
      </c>
      <c r="I12" s="23" t="str">
        <f>IFERROR(IF(ISNUMBER('Spending by Category'!J18),TEXT('Spending by Category'!J18,"0.00"), ""), "")</f>
        <v>12.73</v>
      </c>
    </row>
    <row r="13" spans="1:9">
      <c r="A13" s="23" t="str">
        <f>TEXT(IF('Spending by Category'!B19&lt;&gt;0,'Spending by Category'!B19-364, ""), "mm/dd/yyyy")</f>
        <v>01/01/1986</v>
      </c>
      <c r="B13" s="23" t="str">
        <f>IFERROR(IF(ISNUMBER('Spending by Category'!C19),TEXT('Spending by Category'!C19,"0.00"), ""), "")</f>
        <v/>
      </c>
      <c r="C13" s="23" t="str">
        <f>IFERROR(IF(ISNUMBER('Spending by Category'!D19),TEXT('Spending by Category'!D19,"0.00"), ""), "")</f>
        <v/>
      </c>
      <c r="D13" s="23" t="str">
        <f>IFERROR(IF(ISNUMBER('Spending by Category'!E19),TEXT('Spending by Category'!E19,"0.00"), ""), "")</f>
        <v/>
      </c>
      <c r="E13" s="23" t="str">
        <f>IFERROR(IF(ISNUMBER('Spending by Category'!F19),TEXT('Spending by Category'!F19,"0.00"), ""), "")</f>
        <v/>
      </c>
      <c r="F13" s="23" t="str">
        <f>IFERROR(IF(ISNUMBER('Spending by Category'!G19),TEXT('Spending by Category'!G19,"0.00"), ""), "")</f>
        <v>2.06</v>
      </c>
      <c r="G13" s="23" t="str">
        <f>IFERROR(IF(ISNUMBER('Spending by Category'!H19),TEXT('Spending by Category'!H19,"0.00"), ""), "")</f>
        <v>4.33</v>
      </c>
      <c r="H13" s="23" t="str">
        <f>IFERROR(IF(ISNUMBER('Spending by Category'!I19),TEXT('Spending by Category'!I19,"0.00"), ""), "")</f>
        <v>3.00</v>
      </c>
      <c r="I13" s="23" t="str">
        <f>IFERROR(IF(ISNUMBER('Spending by Category'!J19),TEXT('Spending by Category'!J19,"0.00"), ""), "")</f>
        <v>12.44</v>
      </c>
    </row>
    <row r="14" spans="1:9">
      <c r="A14" s="23" t="str">
        <f>TEXT(IF('Spending by Category'!B20&lt;&gt;0,'Spending by Category'!B20-364, ""), "mm/dd/yyyy")</f>
        <v>01/01/1987</v>
      </c>
      <c r="B14" s="23" t="str">
        <f>IFERROR(IF(ISNUMBER('Spending by Category'!C20),TEXT('Spending by Category'!C20,"0.00"), ""), "")</f>
        <v/>
      </c>
      <c r="C14" s="23" t="str">
        <f>IFERROR(IF(ISNUMBER('Spending by Category'!D20),TEXT('Spending by Category'!D20,"0.00"), ""), "")</f>
        <v/>
      </c>
      <c r="D14" s="23" t="str">
        <f>IFERROR(IF(ISNUMBER('Spending by Category'!E20),TEXT('Spending by Category'!E20,"0.00"), ""), "")</f>
        <v/>
      </c>
      <c r="E14" s="23" t="str">
        <f>IFERROR(IF(ISNUMBER('Spending by Category'!F20),TEXT('Spending by Category'!F20,"0.00"), ""), "")</f>
        <v/>
      </c>
      <c r="F14" s="23" t="str">
        <f>IFERROR(IF(ISNUMBER('Spending by Category'!G20),TEXT('Spending by Category'!G20,"0.00"), ""), "")</f>
        <v>2.11</v>
      </c>
      <c r="G14" s="23" t="str">
        <f>IFERROR(IF(ISNUMBER('Spending by Category'!H20),TEXT('Spending by Category'!H20,"0.00"), ""), "")</f>
        <v>4.29</v>
      </c>
      <c r="H14" s="23" t="str">
        <f>IFERROR(IF(ISNUMBER('Spending by Category'!I20),TEXT('Spending by Category'!I20,"0.00"), ""), "")</f>
        <v>2.90</v>
      </c>
      <c r="I14" s="23" t="str">
        <f>IFERROR(IF(ISNUMBER('Spending by Category'!J20),TEXT('Spending by Category'!J20,"0.00"), ""), "")</f>
        <v>11.70</v>
      </c>
    </row>
    <row r="15" spans="1:9">
      <c r="A15" s="23" t="str">
        <f>TEXT(IF('Spending by Category'!B21&lt;&gt;0,'Spending by Category'!B21-364, ""), "mm/dd/yyyy")</f>
        <v>01/02/1988</v>
      </c>
      <c r="B15" s="23" t="str">
        <f>IFERROR(IF(ISNUMBER('Spending by Category'!C21),TEXT('Spending by Category'!C21,"0.00"), ""), "")</f>
        <v/>
      </c>
      <c r="C15" s="23" t="str">
        <f>IFERROR(IF(ISNUMBER('Spending by Category'!D21),TEXT('Spending by Category'!D21,"0.00"), ""), "")</f>
        <v/>
      </c>
      <c r="D15" s="23" t="str">
        <f>IFERROR(IF(ISNUMBER('Spending by Category'!E21),TEXT('Spending by Category'!E21,"0.00"), ""), "")</f>
        <v/>
      </c>
      <c r="E15" s="23" t="str">
        <f>IFERROR(IF(ISNUMBER('Spending by Category'!F21),TEXT('Spending by Category'!F21,"0.00"), ""), "")</f>
        <v/>
      </c>
      <c r="F15" s="23" t="str">
        <f>IFERROR(IF(ISNUMBER('Spending by Category'!G21),TEXT('Spending by Category'!G21,"0.00"), ""), "")</f>
        <v>2.08</v>
      </c>
      <c r="G15" s="23" t="str">
        <f>IFERROR(IF(ISNUMBER('Spending by Category'!H21),TEXT('Spending by Category'!H21,"0.00"), ""), "")</f>
        <v>4.21</v>
      </c>
      <c r="H15" s="23" t="str">
        <f>IFERROR(IF(ISNUMBER('Spending by Category'!I21),TEXT('Spending by Category'!I21,"0.00"), ""), "")</f>
        <v>2.95</v>
      </c>
      <c r="I15" s="23" t="str">
        <f>IFERROR(IF(ISNUMBER('Spending by Category'!J21),TEXT('Spending by Category'!J21,"0.00"), ""), "")</f>
        <v>11.41</v>
      </c>
    </row>
    <row r="16" spans="1:9">
      <c r="A16" s="23" t="str">
        <f>TEXT(IF('Spending by Category'!B22&lt;&gt;0,'Spending by Category'!B22-364, ""), "mm/dd/yyyy")</f>
        <v>01/01/1989</v>
      </c>
      <c r="B16" s="23" t="str">
        <f>IFERROR(IF(ISNUMBER('Spending by Category'!C22),TEXT('Spending by Category'!C22,"0.00"), ""), "")</f>
        <v/>
      </c>
      <c r="C16" s="23" t="str">
        <f>IFERROR(IF(ISNUMBER('Spending by Category'!D22),TEXT('Spending by Category'!D22,"0.00"), ""), "")</f>
        <v/>
      </c>
      <c r="D16" s="23" t="str">
        <f>IFERROR(IF(ISNUMBER('Spending by Category'!E22),TEXT('Spending by Category'!E22,"0.00"), ""), "")</f>
        <v/>
      </c>
      <c r="E16" s="23" t="str">
        <f>IFERROR(IF(ISNUMBER('Spending by Category'!F22),TEXT('Spending by Category'!F22,"0.00"), ""), "")</f>
        <v/>
      </c>
      <c r="F16" s="23" t="str">
        <f>IFERROR(IF(ISNUMBER('Spending by Category'!G22),TEXT('Spending by Category'!G22,"0.00"), ""), "")</f>
        <v>2.11</v>
      </c>
      <c r="G16" s="23" t="str">
        <f>IFERROR(IF(ISNUMBER('Spending by Category'!H22),TEXT('Spending by Category'!H22,"0.00"), ""), "")</f>
        <v>4.14</v>
      </c>
      <c r="H16" s="23" t="str">
        <f>IFERROR(IF(ISNUMBER('Spending by Category'!I22),TEXT('Spending by Category'!I22,"0.00"), ""), "")</f>
        <v>3.03</v>
      </c>
      <c r="I16" s="23" t="str">
        <f>IFERROR(IF(ISNUMBER('Spending by Category'!J22),TEXT('Spending by Category'!J22,"0.00"), ""), "")</f>
        <v>11.26</v>
      </c>
    </row>
    <row r="17" spans="1:9">
      <c r="A17" s="23" t="str">
        <f>TEXT(IF('Spending by Category'!B23&lt;&gt;0,'Spending by Category'!B23-364, ""), "mm/dd/yyyy")</f>
        <v>01/01/1990</v>
      </c>
      <c r="B17" s="23" t="str">
        <f>IFERROR(IF(ISNUMBER('Spending by Category'!C23),TEXT('Spending by Category'!C23,"0.00"), ""), "")</f>
        <v/>
      </c>
      <c r="C17" s="23" t="str">
        <f>IFERROR(IF(ISNUMBER('Spending by Category'!D23),TEXT('Spending by Category'!D23,"0.00"), ""), "")</f>
        <v/>
      </c>
      <c r="D17" s="23" t="str">
        <f>IFERROR(IF(ISNUMBER('Spending by Category'!E23),TEXT('Spending by Category'!E23,"0.00"), ""), "")</f>
        <v/>
      </c>
      <c r="E17" s="23" t="str">
        <f>IFERROR(IF(ISNUMBER('Spending by Category'!F23),TEXT('Spending by Category'!F23,"0.00"), ""), "")</f>
        <v/>
      </c>
      <c r="F17" s="23" t="str">
        <f>IFERROR(IF(ISNUMBER('Spending by Category'!G23),TEXT('Spending by Category'!G23,"0.00"), ""), "")</f>
        <v>2.30</v>
      </c>
      <c r="G17" s="23" t="str">
        <f>IFERROR(IF(ISNUMBER('Spending by Category'!H23),TEXT('Spending by Category'!H23,"0.00"), ""), "")</f>
        <v>4.17</v>
      </c>
      <c r="H17" s="23" t="str">
        <f>IFERROR(IF(ISNUMBER('Spending by Category'!I23),TEXT('Spending by Category'!I23,"0.00"), ""), "")</f>
        <v>3.12</v>
      </c>
      <c r="I17" s="23" t="str">
        <f>IFERROR(IF(ISNUMBER('Spending by Category'!J23),TEXT('Spending by Category'!J23,"0.00"), ""), "")</f>
        <v>11.59</v>
      </c>
    </row>
    <row r="18" spans="1:9">
      <c r="A18" s="23" t="str">
        <f>TEXT(IF('Spending by Category'!B24&lt;&gt;0,'Spending by Category'!B24-364, ""), "mm/dd/yyyy")</f>
        <v>01/01/1991</v>
      </c>
      <c r="B18" s="23" t="str">
        <f>IFERROR(IF(ISNUMBER('Spending by Category'!C24),TEXT('Spending by Category'!C24,"0.00"), ""), "")</f>
        <v/>
      </c>
      <c r="C18" s="23" t="str">
        <f>IFERROR(IF(ISNUMBER('Spending by Category'!D24),TEXT('Spending by Category'!D24,"0.00"), ""), "")</f>
        <v/>
      </c>
      <c r="D18" s="23" t="str">
        <f>IFERROR(IF(ISNUMBER('Spending by Category'!E24),TEXT('Spending by Category'!E24,"0.00"), ""), "")</f>
        <v/>
      </c>
      <c r="E18" s="23" t="str">
        <f>IFERROR(IF(ISNUMBER('Spending by Category'!F24),TEXT('Spending by Category'!F24,"0.00"), ""), "")</f>
        <v/>
      </c>
      <c r="F18" s="23" t="str">
        <f>IFERROR(IF(ISNUMBER('Spending by Category'!G24),TEXT('Spending by Category'!G24,"0.00"), ""), "")</f>
        <v>2.53</v>
      </c>
      <c r="G18" s="23" t="str">
        <f>IFERROR(IF(ISNUMBER('Spending by Category'!H24),TEXT('Spending by Category'!H24,"0.00"), ""), "")</f>
        <v>4.37</v>
      </c>
      <c r="H18" s="23" t="str">
        <f>IFERROR(IF(ISNUMBER('Spending by Category'!I24),TEXT('Spending by Category'!I24,"0.00"), ""), "")</f>
        <v>3.18</v>
      </c>
      <c r="I18" s="23" t="str">
        <f>IFERROR(IF(ISNUMBER('Spending by Category'!J24),TEXT('Spending by Category'!J24,"0.00"), ""), "")</f>
        <v>11.60</v>
      </c>
    </row>
    <row r="19" spans="1:9">
      <c r="A19" s="23" t="str">
        <f>TEXT(IF('Spending by Category'!B25&lt;&gt;0,'Spending by Category'!B25-364, ""), "mm/dd/yyyy")</f>
        <v>01/02/1992</v>
      </c>
      <c r="B19" s="23" t="str">
        <f>IFERROR(IF(ISNUMBER('Spending by Category'!C25),TEXT('Spending by Category'!C25,"0.00"), ""), "")</f>
        <v/>
      </c>
      <c r="C19" s="23" t="str">
        <f>IFERROR(IF(ISNUMBER('Spending by Category'!D25),TEXT('Spending by Category'!D25,"0.00"), ""), "")</f>
        <v/>
      </c>
      <c r="D19" s="23" t="str">
        <f>IFERROR(IF(ISNUMBER('Spending by Category'!E25),TEXT('Spending by Category'!E25,"0.00"), ""), "")</f>
        <v/>
      </c>
      <c r="E19" s="23" t="str">
        <f>IFERROR(IF(ISNUMBER('Spending by Category'!F25),TEXT('Spending by Category'!F25,"0.00"), ""), "")</f>
        <v/>
      </c>
      <c r="F19" s="23" t="str">
        <f>IFERROR(IF(ISNUMBER('Spending by Category'!G25),TEXT('Spending by Category'!G25,"0.00"), ""), "")</f>
        <v>2.86</v>
      </c>
      <c r="G19" s="23" t="str">
        <f>IFERROR(IF(ISNUMBER('Spending by Category'!H25),TEXT('Spending by Category'!H25,"0.00"), ""), "")</f>
        <v>4.43</v>
      </c>
      <c r="H19" s="23" t="str">
        <f>IFERROR(IF(ISNUMBER('Spending by Category'!I25),TEXT('Spending by Category'!I25,"0.00"), ""), "")</f>
        <v>3.10</v>
      </c>
      <c r="I19" s="23" t="str">
        <f>IFERROR(IF(ISNUMBER('Spending by Category'!J25),TEXT('Spending by Category'!J25,"0.00"), ""), "")</f>
        <v>11.08</v>
      </c>
    </row>
    <row r="20" spans="1:9">
      <c r="A20" s="23" t="str">
        <f>TEXT(IF('Spending by Category'!B26&lt;&gt;0,'Spending by Category'!B26-364, ""), "mm/dd/yyyy")</f>
        <v>01/01/1993</v>
      </c>
      <c r="B20" s="23" t="str">
        <f>IFERROR(IF(ISNUMBER('Spending by Category'!C26),TEXT('Spending by Category'!C26,"0.00"), ""), "")</f>
        <v/>
      </c>
      <c r="C20" s="23" t="str">
        <f>IFERROR(IF(ISNUMBER('Spending by Category'!D26),TEXT('Spending by Category'!D26,"0.00"), ""), "")</f>
        <v/>
      </c>
      <c r="D20" s="23" t="str">
        <f>IFERROR(IF(ISNUMBER('Spending by Category'!E26),TEXT('Spending by Category'!E26,"0.00"), ""), "")</f>
        <v/>
      </c>
      <c r="E20" s="23" t="str">
        <f>IFERROR(IF(ISNUMBER('Spending by Category'!F26),TEXT('Spending by Category'!F26,"0.00"), ""), "")</f>
        <v/>
      </c>
      <c r="F20" s="23" t="str">
        <f>IFERROR(IF(ISNUMBER('Spending by Category'!G26),TEXT('Spending by Category'!G26,"0.00"), ""), "")</f>
        <v>3.00</v>
      </c>
      <c r="G20" s="23" t="str">
        <f>IFERROR(IF(ISNUMBER('Spending by Category'!H26),TEXT('Spending by Category'!H26,"0.00"), ""), "")</f>
        <v>4.44</v>
      </c>
      <c r="H20" s="23" t="str">
        <f>IFERROR(IF(ISNUMBER('Spending by Category'!I26),TEXT('Spending by Category'!I26,"0.00"), ""), "")</f>
        <v>2.92</v>
      </c>
      <c r="I20" s="23" t="str">
        <f>IFERROR(IF(ISNUMBER('Spending by Category'!J26),TEXT('Spending by Category'!J26,"0.00"), ""), "")</f>
        <v>10.38</v>
      </c>
    </row>
    <row r="21" spans="1:9">
      <c r="A21" s="23" t="str">
        <f>TEXT(IF('Spending by Category'!B27&lt;&gt;0,'Spending by Category'!B27-364, ""), "mm/dd/yyyy")</f>
        <v>01/01/1994</v>
      </c>
      <c r="B21" s="23" t="str">
        <f>IFERROR(IF(ISNUMBER('Spending by Category'!C27),TEXT('Spending by Category'!C27,"0.00"), ""), "")</f>
        <v/>
      </c>
      <c r="C21" s="23" t="str">
        <f>IFERROR(IF(ISNUMBER('Spending by Category'!D27),TEXT('Spending by Category'!D27,"0.00"), ""), "")</f>
        <v/>
      </c>
      <c r="D21" s="23" t="str">
        <f>IFERROR(IF(ISNUMBER('Spending by Category'!E27),TEXT('Spending by Category'!E27,"0.00"), ""), "")</f>
        <v/>
      </c>
      <c r="E21" s="23" t="str">
        <f>IFERROR(IF(ISNUMBER('Spending by Category'!F27),TEXT('Spending by Category'!F27,"0.00"), ""), "")</f>
        <v/>
      </c>
      <c r="F21" s="23" t="str">
        <f>IFERROR(IF(ISNUMBER('Spending by Category'!G27),TEXT('Spending by Category'!G27,"0.00"), ""), "")</f>
        <v>3.11</v>
      </c>
      <c r="G21" s="23" t="str">
        <f>IFERROR(IF(ISNUMBER('Spending by Category'!H27),TEXT('Spending by Category'!H27,"0.00"), ""), "")</f>
        <v>4.40</v>
      </c>
      <c r="H21" s="23" t="str">
        <f>IFERROR(IF(ISNUMBER('Spending by Category'!I27),TEXT('Spending by Category'!I27,"0.00"), ""), "")</f>
        <v>2.82</v>
      </c>
      <c r="I21" s="23" t="str">
        <f>IFERROR(IF(ISNUMBER('Spending by Category'!J27),TEXT('Spending by Category'!J27,"0.00"), ""), "")</f>
        <v>9.98</v>
      </c>
    </row>
    <row r="22" spans="1:9">
      <c r="A22" s="23" t="str">
        <f>TEXT(IF('Spending by Category'!B28&lt;&gt;0,'Spending by Category'!B28-364, ""), "mm/dd/yyyy")</f>
        <v>01/01/1995</v>
      </c>
      <c r="B22" s="23" t="str">
        <f>IFERROR(IF(ISNUMBER('Spending by Category'!C28),TEXT('Spending by Category'!C28,"0.00"), ""), "")</f>
        <v/>
      </c>
      <c r="C22" s="23" t="str">
        <f>IFERROR(IF(ISNUMBER('Spending by Category'!D28),TEXT('Spending by Category'!D28,"0.00"), ""), "")</f>
        <v/>
      </c>
      <c r="D22" s="23" t="str">
        <f>IFERROR(IF(ISNUMBER('Spending by Category'!E28),TEXT('Spending by Category'!E28,"0.00"), ""), "")</f>
        <v/>
      </c>
      <c r="E22" s="23" t="str">
        <f>IFERROR(IF(ISNUMBER('Spending by Category'!F28),TEXT('Spending by Category'!F28,"0.00"), ""), "")</f>
        <v/>
      </c>
      <c r="F22" s="23" t="str">
        <f>IFERROR(IF(ISNUMBER('Spending by Category'!G28),TEXT('Spending by Category'!G28,"0.00"), ""), "")</f>
        <v>3.24</v>
      </c>
      <c r="G22" s="23" t="str">
        <f>IFERROR(IF(ISNUMBER('Spending by Category'!H28),TEXT('Spending by Category'!H28,"0.00"), ""), "")</f>
        <v>4.40</v>
      </c>
      <c r="H22" s="23" t="str">
        <f>IFERROR(IF(ISNUMBER('Spending by Category'!I28),TEXT('Spending by Category'!I28,"0.00"), ""), "")</f>
        <v>3.06</v>
      </c>
      <c r="I22" s="23" t="str">
        <f>IFERROR(IF(ISNUMBER('Spending by Category'!J28),TEXT('Spending by Category'!J28,"0.00"), ""), "")</f>
        <v>9.29</v>
      </c>
    </row>
    <row r="23" spans="1:9">
      <c r="A23" s="23" t="str">
        <f>TEXT(IF('Spending by Category'!B29&lt;&gt;0,'Spending by Category'!B29-364, ""), "mm/dd/yyyy")</f>
        <v>01/02/1996</v>
      </c>
      <c r="B23" s="23" t="str">
        <f>IFERROR(IF(ISNUMBER('Spending by Category'!C29),TEXT('Spending by Category'!C29,"0.00"), ""), "")</f>
        <v/>
      </c>
      <c r="C23" s="23" t="str">
        <f>IFERROR(IF(ISNUMBER('Spending by Category'!D29),TEXT('Spending by Category'!D29,"0.00"), ""), "")</f>
        <v/>
      </c>
      <c r="D23" s="23" t="str">
        <f>IFERROR(IF(ISNUMBER('Spending by Category'!E29),TEXT('Spending by Category'!E29,"0.00"), ""), "")</f>
        <v/>
      </c>
      <c r="E23" s="23" t="str">
        <f>IFERROR(IF(ISNUMBER('Spending by Category'!F29),TEXT('Spending by Category'!F29,"0.00"), ""), "")</f>
        <v/>
      </c>
      <c r="F23" s="23" t="str">
        <f>IFERROR(IF(ISNUMBER('Spending by Category'!G29),TEXT('Spending by Category'!G29,"0.00"), ""), "")</f>
        <v>3.30</v>
      </c>
      <c r="G23" s="23" t="str">
        <f>IFERROR(IF(ISNUMBER('Spending by Category'!H29),TEXT('Spending by Category'!H29,"0.00"), ""), "")</f>
        <v>4.35</v>
      </c>
      <c r="H23" s="23" t="str">
        <f>IFERROR(IF(ISNUMBER('Spending by Category'!I29),TEXT('Spending by Category'!I29,"0.00"), ""), "")</f>
        <v>3.02</v>
      </c>
      <c r="I23" s="23" t="str">
        <f>IFERROR(IF(ISNUMBER('Spending by Category'!J29),TEXT('Spending by Category'!J29,"0.00"), ""), "")</f>
        <v>8.89</v>
      </c>
    </row>
    <row r="24" spans="1:9">
      <c r="A24" s="23" t="str">
        <f>TEXT(IF('Spending by Category'!B30&lt;&gt;0,'Spending by Category'!B30-364, ""), "mm/dd/yyyy")</f>
        <v>01/01/1997</v>
      </c>
      <c r="B24" s="23" t="str">
        <f>IFERROR(IF(ISNUMBER('Spending by Category'!C30),TEXT('Spending by Category'!C30,"0.00"), ""), "")</f>
        <v/>
      </c>
      <c r="C24" s="23" t="str">
        <f>IFERROR(IF(ISNUMBER('Spending by Category'!D30),TEXT('Spending by Category'!D30,"0.00"), ""), "")</f>
        <v/>
      </c>
      <c r="D24" s="23" t="str">
        <f>IFERROR(IF(ISNUMBER('Spending by Category'!E30),TEXT('Spending by Category'!E30,"0.00"), ""), "")</f>
        <v/>
      </c>
      <c r="E24" s="23" t="str">
        <f>IFERROR(IF(ISNUMBER('Spending by Category'!F30),TEXT('Spending by Category'!F30,"0.00"), ""), "")</f>
        <v/>
      </c>
      <c r="F24" s="23" t="str">
        <f>IFERROR(IF(ISNUMBER('Spending by Category'!G30),TEXT('Spending by Category'!G30,"0.00"), ""), "")</f>
        <v>3.34</v>
      </c>
      <c r="G24" s="23" t="str">
        <f>IFERROR(IF(ISNUMBER('Spending by Category'!H30),TEXT('Spending by Category'!H30,"0.00"), ""), "")</f>
        <v>4.27</v>
      </c>
      <c r="H24" s="23" t="str">
        <f>IFERROR(IF(ISNUMBER('Spending by Category'!I30),TEXT('Spending by Category'!I30,"0.00"), ""), "")</f>
        <v>2.88</v>
      </c>
      <c r="I24" s="23" t="str">
        <f>IFERROR(IF(ISNUMBER('Spending by Category'!J30),TEXT('Spending by Category'!J30,"0.00"), ""), "")</f>
        <v>8.39</v>
      </c>
    </row>
    <row r="25" spans="1:9">
      <c r="A25" s="23" t="str">
        <f>TEXT(IF('Spending by Category'!B31&lt;&gt;0,'Spending by Category'!B31-364, ""), "mm/dd/yyyy")</f>
        <v>01/01/1998</v>
      </c>
      <c r="B25" s="23" t="str">
        <f>IFERROR(IF(ISNUMBER('Spending by Category'!C31),TEXT('Spending by Category'!C31,"0.00"), ""), "")</f>
        <v/>
      </c>
      <c r="C25" s="23" t="str">
        <f>IFERROR(IF(ISNUMBER('Spending by Category'!D31),TEXT('Spending by Category'!D31,"0.00"), ""), "")</f>
        <v/>
      </c>
      <c r="D25" s="23" t="str">
        <f>IFERROR(IF(ISNUMBER('Spending by Category'!E31),TEXT('Spending by Category'!E31,"0.00"), ""), "")</f>
        <v/>
      </c>
      <c r="E25" s="23" t="str">
        <f>IFERROR(IF(ISNUMBER('Spending by Category'!F31),TEXT('Spending by Category'!F31,"0.00"), ""), "")</f>
        <v/>
      </c>
      <c r="F25" s="23" t="str">
        <f>IFERROR(IF(ISNUMBER('Spending by Category'!G31),TEXT('Spending by Category'!G31,"0.00"), ""), "")</f>
        <v>3.25</v>
      </c>
      <c r="G25" s="23" t="str">
        <f>IFERROR(IF(ISNUMBER('Spending by Category'!H31),TEXT('Spending by Category'!H31,"0.00"), ""), "")</f>
        <v>4.20</v>
      </c>
      <c r="H25" s="23" t="str">
        <f>IFERROR(IF(ISNUMBER('Spending by Category'!I31),TEXT('Spending by Category'!I31,"0.00"), ""), "")</f>
        <v>2.69</v>
      </c>
      <c r="I25" s="23" t="str">
        <f>IFERROR(IF(ISNUMBER('Spending by Category'!J31),TEXT('Spending by Category'!J31,"0.00"), ""), "")</f>
        <v>8.31</v>
      </c>
    </row>
    <row r="26" spans="1:9">
      <c r="A26" s="23" t="str">
        <f>TEXT(IF('Spending by Category'!B32&lt;&gt;0,'Spending by Category'!B32-364, ""), "mm/dd/yyyy")</f>
        <v>01/01/1999</v>
      </c>
      <c r="B26" s="23" t="str">
        <f>IFERROR(IF(ISNUMBER('Spending by Category'!C32),TEXT('Spending by Category'!C32,"0.00"), ""), "")</f>
        <v/>
      </c>
      <c r="C26" s="23" t="str">
        <f>IFERROR(IF(ISNUMBER('Spending by Category'!D32),TEXT('Spending by Category'!D32,"0.00"), ""), "")</f>
        <v/>
      </c>
      <c r="D26" s="23" t="str">
        <f>IFERROR(IF(ISNUMBER('Spending by Category'!E32),TEXT('Spending by Category'!E32,"0.00"), ""), "")</f>
        <v/>
      </c>
      <c r="E26" s="23" t="str">
        <f>IFERROR(IF(ISNUMBER('Spending by Category'!F32),TEXT('Spending by Category'!F32,"0.00"), ""), "")</f>
        <v/>
      </c>
      <c r="F26" s="23" t="str">
        <f>IFERROR(IF(ISNUMBER('Spending by Category'!G32),TEXT('Spending by Category'!G32,"0.00"), ""), "")</f>
        <v>3.11</v>
      </c>
      <c r="G26" s="23" t="str">
        <f>IFERROR(IF(ISNUMBER('Spending by Category'!H32),TEXT('Spending by Category'!H32,"0.00"), ""), "")</f>
        <v>4.07</v>
      </c>
      <c r="H26" s="23" t="str">
        <f>IFERROR(IF(ISNUMBER('Spending by Category'!I32),TEXT('Spending by Category'!I32,"0.00"), ""), "")</f>
        <v>2.42</v>
      </c>
      <c r="I26" s="23" t="str">
        <f>IFERROR(IF(ISNUMBER('Spending by Category'!J32),TEXT('Spending by Category'!J32,"0.00"), ""), "")</f>
        <v>8.29</v>
      </c>
    </row>
    <row r="27" spans="1:9">
      <c r="A27" s="23" t="str">
        <f>TEXT(IF('Spending by Category'!B33&lt;&gt;0,'Spending by Category'!B33-364, ""), "mm/dd/yyyy")</f>
        <v>01/02/2000</v>
      </c>
      <c r="B27" s="23" t="str">
        <f>IFERROR(IF(ISNUMBER('Spending by Category'!C33),TEXT('Spending by Category'!C33,"0.00"), ""), "")</f>
        <v/>
      </c>
      <c r="C27" s="23" t="str">
        <f>IFERROR(IF(ISNUMBER('Spending by Category'!D33),TEXT('Spending by Category'!D33,"0.00"), ""), "")</f>
        <v/>
      </c>
      <c r="D27" s="23" t="str">
        <f>IFERROR(IF(ISNUMBER('Spending by Category'!E33),TEXT('Spending by Category'!E33,"0.00"), ""), "")</f>
        <v/>
      </c>
      <c r="E27" s="23" t="str">
        <f>IFERROR(IF(ISNUMBER('Spending by Category'!F33),TEXT('Spending by Category'!F33,"0.00"), ""), "")</f>
        <v/>
      </c>
      <c r="F27" s="23" t="str">
        <f>IFERROR(IF(ISNUMBER('Spending by Category'!G33),TEXT('Spending by Category'!G33,"0.00"), ""), "")</f>
        <v>3.09</v>
      </c>
      <c r="G27" s="23" t="str">
        <f>IFERROR(IF(ISNUMBER('Spending by Category'!H33),TEXT('Spending by Category'!H33,"0.00"), ""), "")</f>
        <v>4.00</v>
      </c>
      <c r="H27" s="23" t="str">
        <f>IFERROR(IF(ISNUMBER('Spending by Category'!I33),TEXT('Spending by Category'!I33,"0.00"), ""), "")</f>
        <v>2.20</v>
      </c>
      <c r="I27" s="23" t="str">
        <f>IFERROR(IF(ISNUMBER('Spending by Category'!J33),TEXT('Spending by Category'!J33,"0.00"), ""), "")</f>
        <v>8.34</v>
      </c>
    </row>
    <row r="28" spans="1:9">
      <c r="A28" s="23" t="str">
        <f>TEXT(IF('Spending by Category'!B34&lt;&gt;0,'Spending by Category'!B34-364, ""), "mm/dd/yyyy")</f>
        <v>01/01/2001</v>
      </c>
      <c r="B28" s="23" t="str">
        <f>IFERROR(IF(ISNUMBER('Spending by Category'!C34),TEXT('Spending by Category'!C34,"0.00"), ""), "")</f>
        <v/>
      </c>
      <c r="C28" s="23" t="str">
        <f>IFERROR(IF(ISNUMBER('Spending by Category'!D34),TEXT('Spending by Category'!D34,"0.00"), ""), "")</f>
        <v/>
      </c>
      <c r="D28" s="23" t="str">
        <f>IFERROR(IF(ISNUMBER('Spending by Category'!E34),TEXT('Spending by Category'!E34,"0.00"), ""), "")</f>
        <v/>
      </c>
      <c r="E28" s="23" t="str">
        <f>IFERROR(IF(ISNUMBER('Spending by Category'!F34),TEXT('Spending by Category'!F34,"0.00"), ""), "")</f>
        <v/>
      </c>
      <c r="F28" s="23" t="str">
        <f>IFERROR(IF(ISNUMBER('Spending by Category'!G34),TEXT('Spending by Category'!G34,"0.00"), ""), "")</f>
        <v>3.28</v>
      </c>
      <c r="G28" s="23" t="str">
        <f>IFERROR(IF(ISNUMBER('Spending by Category'!H34),TEXT('Spending by Category'!H34,"0.00"), ""), "")</f>
        <v>4.06</v>
      </c>
      <c r="H28" s="23" t="str">
        <f>IFERROR(IF(ISNUMBER('Spending by Category'!I34),TEXT('Spending by Category'!I34,"0.00"), ""), "")</f>
        <v>1.95</v>
      </c>
      <c r="I28" s="23" t="str">
        <f>IFERROR(IF(ISNUMBER('Spending by Category'!J34),TEXT('Spending by Category'!J34,"0.00"), ""), "")</f>
        <v>8.33</v>
      </c>
    </row>
    <row r="29" spans="1:9">
      <c r="A29" s="23" t="str">
        <f>TEXT(IF('Spending by Category'!B35&lt;&gt;0,'Spending by Category'!B35-364, ""), "mm/dd/yyyy")</f>
        <v>01/01/2002</v>
      </c>
      <c r="B29" s="23" t="str">
        <f>IFERROR(IF(ISNUMBER('Spending by Category'!C35),TEXT('Spending by Category'!C35,"0.00"), ""), "")</f>
        <v/>
      </c>
      <c r="C29" s="23" t="str">
        <f>IFERROR(IF(ISNUMBER('Spending by Category'!D35),TEXT('Spending by Category'!D35,"0.00"), ""), "")</f>
        <v/>
      </c>
      <c r="D29" s="23" t="str">
        <f>IFERROR(IF(ISNUMBER('Spending by Category'!E35),TEXT('Spending by Category'!E35,"0.00"), ""), "")</f>
        <v/>
      </c>
      <c r="E29" s="23" t="str">
        <f>IFERROR(IF(ISNUMBER('Spending by Category'!F35),TEXT('Spending by Category'!F35,"0.00"), ""), "")</f>
        <v/>
      </c>
      <c r="F29" s="23" t="str">
        <f>IFERROR(IF(ISNUMBER('Spending by Category'!G35),TEXT('Spending by Category'!G35,"0.00"), ""), "")</f>
        <v>3.48</v>
      </c>
      <c r="G29" s="23" t="str">
        <f>IFERROR(IF(ISNUMBER('Spending by Category'!H35),TEXT('Spending by Category'!H35,"0.00"), ""), "")</f>
        <v>4.16</v>
      </c>
      <c r="H29" s="23" t="str">
        <f>IFERROR(IF(ISNUMBER('Spending by Category'!I35),TEXT('Spending by Category'!I35,"0.00"), ""), "")</f>
        <v>1.57</v>
      </c>
      <c r="I29" s="23" t="str">
        <f>IFERROR(IF(ISNUMBER('Spending by Category'!J35),TEXT('Spending by Category'!J35,"0.00"), ""), "")</f>
        <v>9.27</v>
      </c>
    </row>
    <row r="30" spans="1:9">
      <c r="A30" s="23" t="str">
        <f>TEXT(IF('Spending by Category'!B36&lt;&gt;0,'Spending by Category'!B36-364, ""), "mm/dd/yyyy")</f>
        <v>01/01/2003</v>
      </c>
      <c r="B30" s="23" t="str">
        <f>IFERROR(IF(ISNUMBER('Spending by Category'!C36),TEXT('Spending by Category'!C36,"0.00"), ""), "")</f>
        <v/>
      </c>
      <c r="C30" s="23" t="str">
        <f>IFERROR(IF(ISNUMBER('Spending by Category'!D36),TEXT('Spending by Category'!D36,"0.00"), ""), "")</f>
        <v/>
      </c>
      <c r="D30" s="23" t="str">
        <f>IFERROR(IF(ISNUMBER('Spending by Category'!E36),TEXT('Spending by Category'!E36,"0.00"), ""), "")</f>
        <v/>
      </c>
      <c r="E30" s="23" t="str">
        <f>IFERROR(IF(ISNUMBER('Spending by Category'!F36),TEXT('Spending by Category'!F36,"0.00"), ""), "")</f>
        <v/>
      </c>
      <c r="F30" s="23" t="str">
        <f>IFERROR(IF(ISNUMBER('Spending by Category'!G36),TEXT('Spending by Category'!G36,"0.00"), ""), "")</f>
        <v>3.62</v>
      </c>
      <c r="G30" s="23" t="str">
        <f>IFERROR(IF(ISNUMBER('Spending by Category'!H36),TEXT('Spending by Category'!H36,"0.00"), ""), "")</f>
        <v>4.15</v>
      </c>
      <c r="H30" s="23" t="str">
        <f>IFERROR(IF(ISNUMBER('Spending by Category'!I36),TEXT('Spending by Category'!I36,"0.00"), ""), "")</f>
        <v>1.35</v>
      </c>
      <c r="I30" s="23" t="str">
        <f>IFERROR(IF(ISNUMBER('Spending by Category'!J36),TEXT('Spending by Category'!J36,"0.00"), ""), "")</f>
        <v>9.93</v>
      </c>
    </row>
    <row r="31" spans="1:9">
      <c r="A31" s="23" t="str">
        <f>TEXT(IF('Spending by Category'!B37&lt;&gt;0,'Spending by Category'!B37-364, ""), "mm/dd/yyyy")</f>
        <v>01/02/2004</v>
      </c>
      <c r="B31" s="23" t="str">
        <f>IFERROR(IF(ISNUMBER('Spending by Category'!C37),TEXT('Spending by Category'!C37,"0.00"), ""), "")</f>
        <v/>
      </c>
      <c r="C31" s="23" t="str">
        <f>IFERROR(IF(ISNUMBER('Spending by Category'!D37),TEXT('Spending by Category'!D37,"0.00"), ""), "")</f>
        <v/>
      </c>
      <c r="D31" s="23" t="str">
        <f>IFERROR(IF(ISNUMBER('Spending by Category'!E37),TEXT('Spending by Category'!E37,"0.00"), ""), "")</f>
        <v/>
      </c>
      <c r="E31" s="23" t="str">
        <f>IFERROR(IF(ISNUMBER('Spending by Category'!F37),TEXT('Spending by Category'!F37,"0.00"), ""), "")</f>
        <v/>
      </c>
      <c r="F31" s="23" t="str">
        <f>IFERROR(IF(ISNUMBER('Spending by Category'!G37),TEXT('Spending by Category'!G37,"0.00"), ""), "")</f>
        <v>3.69</v>
      </c>
      <c r="G31" s="23" t="str">
        <f>IFERROR(IF(ISNUMBER('Spending by Category'!H37),TEXT('Spending by Category'!H37,"0.00"), ""), "")</f>
        <v>4.07</v>
      </c>
      <c r="H31" s="23" t="str">
        <f>IFERROR(IF(ISNUMBER('Spending by Category'!I37),TEXT('Spending by Category'!I37,"0.00"), ""), "")</f>
        <v>1.33</v>
      </c>
      <c r="I31" s="23" t="str">
        <f>IFERROR(IF(ISNUMBER('Spending by Category'!J37),TEXT('Spending by Category'!J37,"0.00"), ""), "")</f>
        <v>9.89</v>
      </c>
    </row>
    <row r="32" spans="1:9">
      <c r="A32" s="23" t="str">
        <f>TEXT(IF('Spending by Category'!B38&lt;&gt;0,'Spending by Category'!B38-364, ""), "mm/dd/yyyy")</f>
        <v>01/01/2005</v>
      </c>
      <c r="B32" s="23" t="str">
        <f>IFERROR(IF(ISNUMBER('Spending by Category'!C38),TEXT('Spending by Category'!C38,"0.00"), ""), "")</f>
        <v/>
      </c>
      <c r="C32" s="23" t="str">
        <f>IFERROR(IF(ISNUMBER('Spending by Category'!D38),TEXT('Spending by Category'!D38,"0.00"), ""), "")</f>
        <v/>
      </c>
      <c r="D32" s="23" t="str">
        <f>IFERROR(IF(ISNUMBER('Spending by Category'!E38),TEXT('Spending by Category'!E38,"0.00"), ""), "")</f>
        <v/>
      </c>
      <c r="E32" s="23" t="str">
        <f>IFERROR(IF(ISNUMBER('Spending by Category'!F38),TEXT('Spending by Category'!F38,"0.00"), ""), "")</f>
        <v/>
      </c>
      <c r="F32" s="23" t="str">
        <f>IFERROR(IF(ISNUMBER('Spending by Category'!G38),TEXT('Spending by Category'!G38,"0.00"), ""), "")</f>
        <v>3.73</v>
      </c>
      <c r="G32" s="23" t="str">
        <f>IFERROR(IF(ISNUMBER('Spending by Category'!H38),TEXT('Spending by Category'!H38,"0.00"), ""), "")</f>
        <v>4.02</v>
      </c>
      <c r="H32" s="23" t="str">
        <f>IFERROR(IF(ISNUMBER('Spending by Category'!I38),TEXT('Spending by Category'!I38,"0.00"), ""), "")</f>
        <v>1.43</v>
      </c>
      <c r="I32" s="23" t="str">
        <f>IFERROR(IF(ISNUMBER('Spending by Category'!J38),TEXT('Spending by Category'!J38,"0.00"), ""), "")</f>
        <v>9.99</v>
      </c>
    </row>
    <row r="33" spans="1:9">
      <c r="A33" s="23" t="str">
        <f>TEXT(IF('Spending by Category'!B39&lt;&gt;0,'Spending by Category'!B39-364, ""), "mm/dd/yyyy")</f>
        <v>01/01/2006</v>
      </c>
      <c r="B33" s="23" t="str">
        <f>IFERROR(IF(ISNUMBER('Spending by Category'!C39),TEXT('Spending by Category'!C39,"0.00"), ""), "")</f>
        <v/>
      </c>
      <c r="C33" s="23" t="str">
        <f>IFERROR(IF(ISNUMBER('Spending by Category'!D39),TEXT('Spending by Category'!D39,"0.00"), ""), "")</f>
        <v/>
      </c>
      <c r="D33" s="23" t="str">
        <f>IFERROR(IF(ISNUMBER('Spending by Category'!E39),TEXT('Spending by Category'!E39,"0.00"), ""), "")</f>
        <v/>
      </c>
      <c r="E33" s="23" t="str">
        <f>IFERROR(IF(ISNUMBER('Spending by Category'!F39),TEXT('Spending by Category'!F39,"0.00"), ""), "")</f>
        <v/>
      </c>
      <c r="F33" s="23" t="str">
        <f>IFERROR(IF(ISNUMBER('Spending by Category'!G39),TEXT('Spending by Category'!G39,"0.00"), ""), "")</f>
        <v>3.73</v>
      </c>
      <c r="G33" s="23" t="str">
        <f>IFERROR(IF(ISNUMBER('Spending by Category'!H39),TEXT('Spending by Category'!H39,"0.00"), ""), "")</f>
        <v>3.97</v>
      </c>
      <c r="H33" s="23" t="str">
        <f>IFERROR(IF(ISNUMBER('Spending by Category'!I39),TEXT('Spending by Category'!I39,"0.00"), ""), "")</f>
        <v>1.66</v>
      </c>
      <c r="I33" s="23" t="str">
        <f>IFERROR(IF(ISNUMBER('Spending by Category'!J39),TEXT('Spending by Category'!J39,"0.00"), ""), "")</f>
        <v>10.04</v>
      </c>
    </row>
    <row r="34" spans="1:9">
      <c r="A34" s="23" t="str">
        <f>TEXT(IF('Spending by Category'!B40&lt;&gt;0,'Spending by Category'!B40-364, ""), "mm/dd/yyyy")</f>
        <v>01/01/2007</v>
      </c>
      <c r="B34" s="23" t="str">
        <f>IFERROR(IF(ISNUMBER('Spending by Category'!C40),TEXT('Spending by Category'!C40,"0.00"), ""), "")</f>
        <v/>
      </c>
      <c r="C34" s="23" t="str">
        <f>IFERROR(IF(ISNUMBER('Spending by Category'!D40),TEXT('Spending by Category'!D40,"0.00"), ""), "")</f>
        <v/>
      </c>
      <c r="D34" s="23" t="str">
        <f>IFERROR(IF(ISNUMBER('Spending by Category'!E40),TEXT('Spending by Category'!E40,"0.00"), ""), "")</f>
        <v/>
      </c>
      <c r="E34" s="23" t="str">
        <f>IFERROR(IF(ISNUMBER('Spending by Category'!F40),TEXT('Spending by Category'!F40,"0.00"), ""), "")</f>
        <v/>
      </c>
      <c r="F34" s="23" t="str">
        <f>IFERROR(IF(ISNUMBER('Spending by Category'!G40),TEXT('Spending by Category'!G40,"0.00"), ""), "")</f>
        <v>3.96</v>
      </c>
      <c r="G34" s="23" t="str">
        <f>IFERROR(IF(ISNUMBER('Spending by Category'!H40),TEXT('Spending by Category'!H40,"0.00"), ""), "")</f>
        <v>4.06</v>
      </c>
      <c r="H34" s="23" t="str">
        <f>IFERROR(IF(ISNUMBER('Spending by Category'!I40),TEXT('Spending by Category'!I40,"0.00"), ""), "")</f>
        <v>1.66</v>
      </c>
      <c r="I34" s="23" t="str">
        <f>IFERROR(IF(ISNUMBER('Spending by Category'!J40),TEXT('Spending by Category'!J40,"0.00"), ""), "")</f>
        <v>9.37</v>
      </c>
    </row>
    <row r="35" spans="1:9">
      <c r="A35" s="23" t="str">
        <f>TEXT(IF('Spending by Category'!B41&lt;&gt;0,'Spending by Category'!B41-364, ""), "mm/dd/yyyy")</f>
        <v>01/02/2008</v>
      </c>
      <c r="B35" s="23" t="str">
        <f>IFERROR(IF(ISNUMBER('Spending by Category'!C41),TEXT('Spending by Category'!C41,"0.00"), ""), "")</f>
        <v/>
      </c>
      <c r="C35" s="23" t="str">
        <f>IFERROR(IF(ISNUMBER('Spending by Category'!D41),TEXT('Spending by Category'!D41,"0.00"), ""), "")</f>
        <v/>
      </c>
      <c r="D35" s="23" t="str">
        <f>IFERROR(IF(ISNUMBER('Spending by Category'!E41),TEXT('Spending by Category'!E41,"0.00"), ""), "")</f>
        <v/>
      </c>
      <c r="E35" s="23" t="str">
        <f>IFERROR(IF(ISNUMBER('Spending by Category'!F41),TEXT('Spending by Category'!F41,"0.00"), ""), "")</f>
        <v/>
      </c>
      <c r="F35" s="23" t="str">
        <f>IFERROR(IF(ISNUMBER('Spending by Category'!G41),TEXT('Spending by Category'!G41,"0.00"), ""), "")</f>
        <v>4.03</v>
      </c>
      <c r="G35" s="23" t="str">
        <f>IFERROR(IF(ISNUMBER('Spending by Category'!H41),TEXT('Spending by Category'!H41,"0.00"), ""), "")</f>
        <v>4.15</v>
      </c>
      <c r="H35" s="23" t="str">
        <f>IFERROR(IF(ISNUMBER('Spending by Category'!I41),TEXT('Spending by Category'!I41,"0.00"), ""), "")</f>
        <v>1.71</v>
      </c>
      <c r="I35" s="23" t="str">
        <f>IFERROR(IF(ISNUMBER('Spending by Category'!J41),TEXT('Spending by Category'!J41,"0.00"), ""), "")</f>
        <v>10.32</v>
      </c>
    </row>
    <row r="36" spans="1:9">
      <c r="A36" s="23" t="str">
        <f>TEXT(IF('Spending by Category'!B42&lt;&gt;0,'Spending by Category'!B42-364, ""), "mm/dd/yyyy")</f>
        <v>01/01/2009</v>
      </c>
      <c r="B36" s="23" t="str">
        <f>IFERROR(IF(ISNUMBER('Spending by Category'!C42),TEXT('Spending by Category'!C42,"0.00"), ""), "")</f>
        <v/>
      </c>
      <c r="C36" s="23" t="str">
        <f>IFERROR(IF(ISNUMBER('Spending by Category'!D42),TEXT('Spending by Category'!D42,"0.00"), ""), "")</f>
        <v/>
      </c>
      <c r="D36" s="23" t="str">
        <f>IFERROR(IF(ISNUMBER('Spending by Category'!E42),TEXT('Spending by Category'!E42,"0.00"), ""), "")</f>
        <v/>
      </c>
      <c r="E36" s="23" t="str">
        <f>IFERROR(IF(ISNUMBER('Spending by Category'!F42),TEXT('Spending by Category'!F42,"0.00"), ""), "")</f>
        <v/>
      </c>
      <c r="F36" s="23" t="str">
        <f>IFERROR(IF(ISNUMBER('Spending by Category'!G42),TEXT('Spending by Category'!G42,"0.00"), ""), "")</f>
        <v>4.74</v>
      </c>
      <c r="G36" s="23" t="str">
        <f>IFERROR(IF(ISNUMBER('Spending by Category'!H42),TEXT('Spending by Category'!H42,"0.00"), ""), "")</f>
        <v>4.70</v>
      </c>
      <c r="H36" s="23" t="str">
        <f>IFERROR(IF(ISNUMBER('Spending by Category'!I42),TEXT('Spending by Category'!I42,"0.00"), ""), "")</f>
        <v>1.30</v>
      </c>
      <c r="I36" s="23" t="str">
        <f>IFERROR(IF(ISNUMBER('Spending by Category'!J42),TEXT('Spending by Category'!J42,"0.00"), ""), "")</f>
        <v>13.66</v>
      </c>
    </row>
    <row r="37" spans="1:9">
      <c r="A37" s="23" t="str">
        <f>TEXT(IF('Spending by Category'!B43&lt;&gt;0,'Spending by Category'!B43-364, ""), "mm/dd/yyyy")</f>
        <v>01/01/2010</v>
      </c>
      <c r="B37" s="23" t="str">
        <f>IFERROR(IF(ISNUMBER('Spending by Category'!C43),TEXT('Spending by Category'!C43,"0.00"), ""), "")</f>
        <v/>
      </c>
      <c r="C37" s="23" t="str">
        <f>IFERROR(IF(ISNUMBER('Spending by Category'!D43),TEXT('Spending by Category'!D43,"0.00"), ""), "")</f>
        <v/>
      </c>
      <c r="D37" s="23" t="str">
        <f>IFERROR(IF(ISNUMBER('Spending by Category'!E43),TEXT('Spending by Category'!E43,"0.00"), ""), "")</f>
        <v/>
      </c>
      <c r="E37" s="23" t="str">
        <f>IFERROR(IF(ISNUMBER('Spending by Category'!F43),TEXT('Spending by Category'!F43,"0.00"), ""), "")</f>
        <v/>
      </c>
      <c r="F37" s="23" t="str">
        <f>IFERROR(IF(ISNUMBER('Spending by Category'!G43),TEXT('Spending by Category'!G43,"0.00"), ""), "")</f>
        <v>4.92</v>
      </c>
      <c r="G37" s="23" t="str">
        <f>IFERROR(IF(ISNUMBER('Spending by Category'!H43),TEXT('Spending by Category'!H43,"0.00"), ""), "")</f>
        <v>4.74</v>
      </c>
      <c r="H37" s="23" t="str">
        <f>IFERROR(IF(ISNUMBER('Spending by Category'!I43),TEXT('Spending by Category'!I43,"0.00"), ""), "")</f>
        <v>1.33</v>
      </c>
      <c r="I37" s="23" t="str">
        <f>IFERROR(IF(ISNUMBER('Spending by Category'!J43),TEXT('Spending by Category'!J43,"0.00"), ""), "")</f>
        <v>12.39</v>
      </c>
    </row>
    <row r="38" spans="1:9">
      <c r="A38" s="23" t="str">
        <f>TEXT(IF('Spending by Category'!B44&lt;&gt;0,'Spending by Category'!B44-364, ""), "mm/dd/yyyy")</f>
        <v>01/01/2011</v>
      </c>
      <c r="B38" s="23" t="str">
        <f>IFERROR(IF(ISNUMBER('Spending by Category'!C44),TEXT('Spending by Category'!C44,"0.00"), ""), "")</f>
        <v/>
      </c>
      <c r="C38" s="23" t="str">
        <f>IFERROR(IF(ISNUMBER('Spending by Category'!D44),TEXT('Spending by Category'!D44,"0.00"), ""), "")</f>
        <v/>
      </c>
      <c r="D38" s="23" t="str">
        <f>IFERROR(IF(ISNUMBER('Spending by Category'!E44),TEXT('Spending by Category'!E44,"0.00"), ""), "")</f>
        <v/>
      </c>
      <c r="E38" s="23" t="str">
        <f>IFERROR(IF(ISNUMBER('Spending by Category'!F44),TEXT('Spending by Category'!F44,"0.00"), ""), "")</f>
        <v/>
      </c>
      <c r="F38" s="23" t="str">
        <f>IFERROR(IF(ISNUMBER('Spending by Category'!G44),TEXT('Spending by Category'!G44,"0.00"), ""), "")</f>
        <v>4.96</v>
      </c>
      <c r="G38" s="23" t="str">
        <f>IFERROR(IF(ISNUMBER('Spending by Category'!H44),TEXT('Spending by Category'!H44,"0.00"), ""), "")</f>
        <v>4.71</v>
      </c>
      <c r="H38" s="23" t="str">
        <f>IFERROR(IF(ISNUMBER('Spending by Category'!I44),TEXT('Spending by Category'!I44,"0.00"), ""), "")</f>
        <v>1.50</v>
      </c>
      <c r="I38" s="23" t="str">
        <f>IFERROR(IF(ISNUMBER('Spending by Category'!J44),TEXT('Spending by Category'!J44,"0.00"), ""), "")</f>
        <v>12.25</v>
      </c>
    </row>
    <row r="39" spans="1:9">
      <c r="A39" s="23" t="str">
        <f>TEXT(IF('Spending by Category'!B45&lt;&gt;0,'Spending by Category'!B45-364, ""), "mm/dd/yyyy")</f>
        <v>01/02/2012</v>
      </c>
      <c r="B39" s="23" t="str">
        <f>IFERROR(IF(ISNUMBER('Spending by Category'!C45),TEXT('Spending by Category'!C45,"0.00"), ""), "")</f>
        <v/>
      </c>
      <c r="C39" s="23" t="str">
        <f>IFERROR(IF(ISNUMBER('Spending by Category'!D45),TEXT('Spending by Category'!D45,"0.00"), ""), "")</f>
        <v/>
      </c>
      <c r="D39" s="23" t="str">
        <f>IFERROR(IF(ISNUMBER('Spending by Category'!E45),TEXT('Spending by Category'!E45,"0.00"), ""), "")</f>
        <v/>
      </c>
      <c r="E39" s="23" t="str">
        <f>IFERROR(IF(ISNUMBER('Spending by Category'!F45),TEXT('Spending by Category'!F45,"0.00"), ""), "")</f>
        <v/>
      </c>
      <c r="F39" s="23" t="str">
        <f>IFERROR(IF(ISNUMBER('Spending by Category'!G45),TEXT('Spending by Category'!G45,"0.00"), ""), "")</f>
        <v>4.51</v>
      </c>
      <c r="G39" s="23" t="str">
        <f>IFERROR(IF(ISNUMBER('Spending by Category'!H45),TEXT('Spending by Category'!H45,"0.00"), ""), "")</f>
        <v>4.77</v>
      </c>
      <c r="H39" s="23" t="str">
        <f>IFERROR(IF(ISNUMBER('Spending by Category'!I45),TEXT('Spending by Category'!I45,"0.00"), ""), "")</f>
        <v>1.37</v>
      </c>
      <c r="I39" s="23" t="str">
        <f>IFERROR(IF(ISNUMBER('Spending by Category'!J45),TEXT('Spending by Category'!J45,"0.00"), ""), "")</f>
        <v>11.33</v>
      </c>
    </row>
    <row r="40" spans="1:9">
      <c r="A40" s="23" t="str">
        <f>TEXT(IF('Spending by Category'!B46&lt;&gt;0,'Spending by Category'!B46-364, ""), "mm/dd/yyyy")</f>
        <v>01/01/2013</v>
      </c>
      <c r="B40" s="23" t="str">
        <f>IFERROR(IF(ISNUMBER('Spending by Category'!C46),TEXT('Spending by Category'!C46,"0.00"), ""), "")</f>
        <v/>
      </c>
      <c r="C40" s="23" t="str">
        <f>IFERROR(IF(ISNUMBER('Spending by Category'!D46),TEXT('Spending by Category'!D46,"0.00"), ""), "")</f>
        <v/>
      </c>
      <c r="D40" s="23" t="str">
        <f>IFERROR(IF(ISNUMBER('Spending by Category'!E46),TEXT('Spending by Category'!E46,"0.00"), ""), "")</f>
        <v/>
      </c>
      <c r="E40" s="23" t="str">
        <f>IFERROR(IF(ISNUMBER('Spending by Category'!F46),TEXT('Spending by Category'!F46,"0.00"), ""), "")</f>
        <v/>
      </c>
      <c r="F40" s="23" t="str">
        <f>IFERROR(IF(ISNUMBER('Spending by Category'!G46),TEXT('Spending by Category'!G46,"0.00"), ""), "")</f>
        <v>4.62</v>
      </c>
      <c r="G40" s="23" t="str">
        <f>IFERROR(IF(ISNUMBER('Spending by Category'!H46),TEXT('Spending by Category'!H46,"0.00"), ""), "")</f>
        <v>4.86</v>
      </c>
      <c r="H40" s="23" t="str">
        <f>IFERROR(IF(ISNUMBER('Spending by Category'!I46),TEXT('Spending by Category'!I46,"0.00"), ""), "")</f>
        <v>1.33</v>
      </c>
      <c r="I40" s="23" t="str">
        <f>IFERROR(IF(ISNUMBER('Spending by Category'!J46),TEXT('Spending by Category'!J46,"0.00"), ""), "")</f>
        <v>9.97</v>
      </c>
    </row>
    <row r="41" spans="1:9">
      <c r="A41" s="23" t="str">
        <f>TEXT(IF('Spending by Category'!B47&lt;&gt;0,'Spending by Category'!B47-364, ""), "mm/dd/yyyy")</f>
        <v>01/01/2014</v>
      </c>
      <c r="B41" s="23" t="str">
        <f>IFERROR(IF(ISNUMBER('Spending by Category'!C47),TEXT('Spending by Category'!C47,"0.00"), ""), "")</f>
        <v>4.90</v>
      </c>
      <c r="C41" s="23" t="str">
        <f>IFERROR(IF(ISNUMBER('Spending by Category'!D47),TEXT('Spending by Category'!D47,"0.00"), ""), "")</f>
        <v>4.90</v>
      </c>
      <c r="D41" s="23" t="str">
        <f>IFERROR(IF(ISNUMBER('Spending by Category'!E47),TEXT('Spending by Category'!E47,"0.00"), ""), "")</f>
        <v>1.30</v>
      </c>
      <c r="E41" s="23" t="str">
        <f>IFERROR(IF(ISNUMBER('Spending by Category'!F47),TEXT('Spending by Category'!F47,"0.00"), ""), "")</f>
        <v>9.30</v>
      </c>
      <c r="F41" s="23" t="str">
        <f>IFERROR(IF(ISNUMBER('Spending by Category'!G47),TEXT('Spending by Category'!G47,"0.00"), ""), "")</f>
        <v>4.90</v>
      </c>
      <c r="G41" s="23" t="str">
        <f>IFERROR(IF(ISNUMBER('Spending by Category'!H47),TEXT('Spending by Category'!H47,"0.00"), ""), "")</f>
        <v>4.90</v>
      </c>
      <c r="H41" s="23" t="str">
        <f>IFERROR(IF(ISNUMBER('Spending by Category'!I47),TEXT('Spending by Category'!I47,"0.00"), ""), "")</f>
        <v>1.30</v>
      </c>
      <c r="I41" s="23" t="str">
        <f>IFERROR(IF(ISNUMBER('Spending by Category'!J47),TEXT('Spending by Category'!J47,"0.00"), ""), "")</f>
        <v>9.30</v>
      </c>
    </row>
    <row r="42" spans="1:9">
      <c r="A42" s="23" t="str">
        <f>TEXT(IF('Spending by Category'!B48&lt;&gt;0,'Spending by Category'!B48-364, ""), "mm/dd/yyyy")</f>
        <v>01/01/2015</v>
      </c>
      <c r="B42" s="23" t="str">
        <f>IFERROR(IF(ISNUMBER('Spending by Category'!C48),TEXT('Spending by Category'!C48,"0.00"), ""), "")</f>
        <v>5.10</v>
      </c>
      <c r="C42" s="23" t="str">
        <f>IFERROR(IF(ISNUMBER('Spending by Category'!D48),TEXT('Spending by Category'!D48,"0.00"), ""), "")</f>
        <v>4.90</v>
      </c>
      <c r="D42" s="23" t="str">
        <f>IFERROR(IF(ISNUMBER('Spending by Category'!E48),TEXT('Spending by Category'!E48,"0.00"), ""), "")</f>
        <v>1.50</v>
      </c>
      <c r="E42" s="23" t="str">
        <f>IFERROR(IF(ISNUMBER('Spending by Category'!F48),TEXT('Spending by Category'!F48,"0.00"), ""), "")</f>
        <v>9.40</v>
      </c>
      <c r="F42" s="23" t="str">
        <f>IFERROR(IF(ISNUMBER('Spending by Category'!G48),TEXT('Spending by Category'!G48,"0.00"), ""), "")</f>
        <v/>
      </c>
      <c r="G42" s="23" t="str">
        <f>IFERROR(IF(ISNUMBER('Spending by Category'!H48),TEXT('Spending by Category'!H48,"0.00"), ""), "")</f>
        <v/>
      </c>
      <c r="H42" s="23" t="str">
        <f>IFERROR(IF(ISNUMBER('Spending by Category'!I48),TEXT('Spending by Category'!I48,"0.00"), ""), "")</f>
        <v/>
      </c>
      <c r="I42" s="23" t="str">
        <f>IFERROR(IF(ISNUMBER('Spending by Category'!J48),TEXT('Spending by Category'!J48,"0.00"), ""), "")</f>
        <v/>
      </c>
    </row>
    <row r="43" spans="1:9">
      <c r="A43" s="23" t="str">
        <f>TEXT(IF('Spending by Category'!B49&lt;&gt;0,'Spending by Category'!B49-364, ""), "mm/dd/yyyy")</f>
        <v>01/02/2016</v>
      </c>
      <c r="B43" s="23" t="str">
        <f>IFERROR(IF(ISNUMBER('Spending by Category'!C49),TEXT('Spending by Category'!C49,"0.00"), ""), "")</f>
        <v>5.30</v>
      </c>
      <c r="C43" s="23" t="str">
        <f>IFERROR(IF(ISNUMBER('Spending by Category'!D49),TEXT('Spending by Category'!D49,"0.00"), ""), "")</f>
        <v>4.90</v>
      </c>
      <c r="D43" s="23" t="str">
        <f>IFERROR(IF(ISNUMBER('Spending by Category'!E49),TEXT('Spending by Category'!E49,"0.00"), ""), "")</f>
        <v>1.70</v>
      </c>
      <c r="E43" s="23" t="str">
        <f>IFERROR(IF(ISNUMBER('Spending by Category'!F49),TEXT('Spending by Category'!F49,"0.00"), ""), "")</f>
        <v>9.10</v>
      </c>
      <c r="F43" s="23" t="str">
        <f>IFERROR(IF(ISNUMBER('Spending by Category'!G49),TEXT('Spending by Category'!G49,"0.00"), ""), "")</f>
        <v/>
      </c>
      <c r="G43" s="23" t="str">
        <f>IFERROR(IF(ISNUMBER('Spending by Category'!H49),TEXT('Spending by Category'!H49,"0.00"), ""), "")</f>
        <v/>
      </c>
      <c r="H43" s="23" t="str">
        <f>IFERROR(IF(ISNUMBER('Spending by Category'!I49),TEXT('Spending by Category'!I49,"0.00"), ""), "")</f>
        <v/>
      </c>
      <c r="I43" s="23" t="str">
        <f>IFERROR(IF(ISNUMBER('Spending by Category'!J49),TEXT('Spending by Category'!J49,"0.00"), ""), "")</f>
        <v/>
      </c>
    </row>
    <row r="44" spans="1:9">
      <c r="A44" s="23" t="str">
        <f>TEXT(IF('Spending by Category'!B50&lt;&gt;0,'Spending by Category'!B50-364, ""), "mm/dd/yyyy")</f>
        <v>01/01/2017</v>
      </c>
      <c r="B44" s="23" t="str">
        <f>IFERROR(IF(ISNUMBER('Spending by Category'!C50),TEXT('Spending by Category'!C50,"0.00"), ""), "")</f>
        <v>5.30</v>
      </c>
      <c r="C44" s="23" t="str">
        <f>IFERROR(IF(ISNUMBER('Spending by Category'!D50),TEXT('Spending by Category'!D50,"0.00"), ""), "")</f>
        <v>4.90</v>
      </c>
      <c r="D44" s="23" t="str">
        <f>IFERROR(IF(ISNUMBER('Spending by Category'!E50),TEXT('Spending by Category'!E50,"0.00"), ""), "")</f>
        <v>2.00</v>
      </c>
      <c r="E44" s="23" t="str">
        <f>IFERROR(IF(ISNUMBER('Spending by Category'!F50),TEXT('Spending by Category'!F50,"0.00"), ""), "")</f>
        <v>8.70</v>
      </c>
      <c r="F44" s="23" t="str">
        <f>IFERROR(IF(ISNUMBER('Spending by Category'!G50),TEXT('Spending by Category'!G50,"0.00"), ""), "")</f>
        <v/>
      </c>
      <c r="G44" s="23" t="str">
        <f>IFERROR(IF(ISNUMBER('Spending by Category'!H50),TEXT('Spending by Category'!H50,"0.00"), ""), "")</f>
        <v/>
      </c>
      <c r="H44" s="23" t="str">
        <f>IFERROR(IF(ISNUMBER('Spending by Category'!I50),TEXT('Spending by Category'!I50,"0.00"), ""), "")</f>
        <v/>
      </c>
      <c r="I44" s="23" t="str">
        <f>IFERROR(IF(ISNUMBER('Spending by Category'!J50),TEXT('Spending by Category'!J50,"0.00"), ""), "")</f>
        <v/>
      </c>
    </row>
    <row r="45" spans="1:9">
      <c r="A45" s="23" t="str">
        <f>TEXT(IF('Spending by Category'!B51&lt;&gt;0,'Spending by Category'!B51-364, ""), "mm/dd/yyyy")</f>
        <v>01/01/2018</v>
      </c>
      <c r="B45" s="23" t="str">
        <f>IFERROR(IF(ISNUMBER('Spending by Category'!C51),TEXT('Spending by Category'!C51,"0.00"), ""), "")</f>
        <v>5.30</v>
      </c>
      <c r="C45" s="23" t="str">
        <f>IFERROR(IF(ISNUMBER('Spending by Category'!D51),TEXT('Spending by Category'!D51,"0.00"), ""), "")</f>
        <v>5.00</v>
      </c>
      <c r="D45" s="23" t="str">
        <f>IFERROR(IF(ISNUMBER('Spending by Category'!E51),TEXT('Spending by Category'!E51,"0.00"), ""), "")</f>
        <v>2.30</v>
      </c>
      <c r="E45" s="23" t="str">
        <f>IFERROR(IF(ISNUMBER('Spending by Category'!F51),TEXT('Spending by Category'!F51,"0.00"), ""), "")</f>
        <v>8.30</v>
      </c>
      <c r="F45" s="23" t="str">
        <f>IFERROR(IF(ISNUMBER('Spending by Category'!G51),TEXT('Spending by Category'!G51,"0.00"), ""), "")</f>
        <v/>
      </c>
      <c r="G45" s="23" t="str">
        <f>IFERROR(IF(ISNUMBER('Spending by Category'!H51),TEXT('Spending by Category'!H51,"0.00"), ""), "")</f>
        <v/>
      </c>
      <c r="H45" s="23" t="str">
        <f>IFERROR(IF(ISNUMBER('Spending by Category'!I51),TEXT('Spending by Category'!I51,"0.00"), ""), "")</f>
        <v/>
      </c>
      <c r="I45" s="23" t="str">
        <f>IFERROR(IF(ISNUMBER('Spending by Category'!J51),TEXT('Spending by Category'!J51,"0.00"), ""), "")</f>
        <v/>
      </c>
    </row>
    <row r="46" spans="1:9">
      <c r="A46" s="23" t="str">
        <f>TEXT(IF('Spending by Category'!B52&lt;&gt;0,'Spending by Category'!B52-364, ""), "mm/dd/yyyy")</f>
        <v>01/01/2019</v>
      </c>
      <c r="B46" s="23" t="str">
        <f>IFERROR(IF(ISNUMBER('Spending by Category'!C52),TEXT('Spending by Category'!C52,"0.00"), ""), "")</f>
        <v>5.40</v>
      </c>
      <c r="C46" s="23" t="str">
        <f>IFERROR(IF(ISNUMBER('Spending by Category'!D52),TEXT('Spending by Category'!D52,"0.00"), ""), "")</f>
        <v>5.10</v>
      </c>
      <c r="D46" s="23" t="str">
        <f>IFERROR(IF(ISNUMBER('Spending by Category'!E52),TEXT('Spending by Category'!E52,"0.00"), ""), "")</f>
        <v>2.60</v>
      </c>
      <c r="E46" s="23" t="str">
        <f>IFERROR(IF(ISNUMBER('Spending by Category'!F52),TEXT('Spending by Category'!F52,"0.00"), ""), "")</f>
        <v>8.10</v>
      </c>
      <c r="F46" s="23" t="str">
        <f>IFERROR(IF(ISNUMBER('Spending by Category'!G52),TEXT('Spending by Category'!G52,"0.00"), ""), "")</f>
        <v/>
      </c>
      <c r="G46" s="23" t="str">
        <f>IFERROR(IF(ISNUMBER('Spending by Category'!H52),TEXT('Spending by Category'!H52,"0.00"), ""), "")</f>
        <v/>
      </c>
      <c r="H46" s="23" t="str">
        <f>IFERROR(IF(ISNUMBER('Spending by Category'!I52),TEXT('Spending by Category'!I52,"0.00"), ""), "")</f>
        <v/>
      </c>
      <c r="I46" s="23" t="str">
        <f>IFERROR(IF(ISNUMBER('Spending by Category'!J52),TEXT('Spending by Category'!J52,"0.00"), ""), "")</f>
        <v/>
      </c>
    </row>
    <row r="47" spans="1:9">
      <c r="A47" s="23" t="str">
        <f>TEXT(IF('Spending by Category'!B53&lt;&gt;0,'Spending by Category'!B53-364, ""), "mm/dd/yyyy")</f>
        <v>01/02/2020</v>
      </c>
      <c r="B47" s="23" t="str">
        <f>IFERROR(IF(ISNUMBER('Spending by Category'!C53),TEXT('Spending by Category'!C53,"0.00"), ""), "")</f>
        <v>5.60</v>
      </c>
      <c r="C47" s="23" t="str">
        <f>IFERROR(IF(ISNUMBER('Spending by Category'!D53),TEXT('Spending by Category'!D53,"0.00"), ""), "")</f>
        <v>5.20</v>
      </c>
      <c r="D47" s="23" t="str">
        <f>IFERROR(IF(ISNUMBER('Spending by Category'!E53),TEXT('Spending by Category'!E53,"0.00"), ""), "")</f>
        <v>2.80</v>
      </c>
      <c r="E47" s="23" t="str">
        <f>IFERROR(IF(ISNUMBER('Spending by Category'!F53),TEXT('Spending by Category'!F53,"0.00"), ""), "")</f>
        <v>7.90</v>
      </c>
      <c r="F47" s="23" t="str">
        <f>IFERROR(IF(ISNUMBER('Spending by Category'!G53),TEXT('Spending by Category'!G53,"0.00"), ""), "")</f>
        <v/>
      </c>
      <c r="G47" s="23" t="str">
        <f>IFERROR(IF(ISNUMBER('Spending by Category'!H53),TEXT('Spending by Category'!H53,"0.00"), ""), "")</f>
        <v/>
      </c>
      <c r="H47" s="23" t="str">
        <f>IFERROR(IF(ISNUMBER('Spending by Category'!I53),TEXT('Spending by Category'!I53,"0.00"), ""), "")</f>
        <v/>
      </c>
      <c r="I47" s="23" t="str">
        <f>IFERROR(IF(ISNUMBER('Spending by Category'!J53),TEXT('Spending by Category'!J53,"0.00"), ""), "")</f>
        <v/>
      </c>
    </row>
    <row r="48" spans="1:9">
      <c r="A48" s="23" t="str">
        <f>TEXT(IF('Spending by Category'!B54&lt;&gt;0,'Spending by Category'!B54-364, ""), "mm/dd/yyyy")</f>
        <v>01/01/2021</v>
      </c>
      <c r="B48" s="23" t="str">
        <f>IFERROR(IF(ISNUMBER('Spending by Category'!C54),TEXT('Spending by Category'!C54,"0.00"), ""), "")</f>
        <v>5.70</v>
      </c>
      <c r="C48" s="23" t="str">
        <f>IFERROR(IF(ISNUMBER('Spending by Category'!D54),TEXT('Spending by Category'!D54,"0.00"), ""), "")</f>
        <v>5.30</v>
      </c>
      <c r="D48" s="23" t="str">
        <f>IFERROR(IF(ISNUMBER('Spending by Category'!E54),TEXT('Spending by Category'!E54,"0.00"), ""), "")</f>
        <v>2.90</v>
      </c>
      <c r="E48" s="23" t="str">
        <f>IFERROR(IF(ISNUMBER('Spending by Category'!F54),TEXT('Spending by Category'!F54,"0.00"), ""), "")</f>
        <v>7.80</v>
      </c>
      <c r="F48" s="23" t="str">
        <f>IFERROR(IF(ISNUMBER('Spending by Category'!G54),TEXT('Spending by Category'!G54,"0.00"), ""), "")</f>
        <v/>
      </c>
      <c r="G48" s="23" t="str">
        <f>IFERROR(IF(ISNUMBER('Spending by Category'!H54),TEXT('Spending by Category'!H54,"0.00"), ""), "")</f>
        <v/>
      </c>
      <c r="H48" s="23" t="str">
        <f>IFERROR(IF(ISNUMBER('Spending by Category'!I54),TEXT('Spending by Category'!I54,"0.00"), ""), "")</f>
        <v/>
      </c>
      <c r="I48" s="23" t="str">
        <f>IFERROR(IF(ISNUMBER('Spending by Category'!J54),TEXT('Spending by Category'!J54,"0.00"), ""), "")</f>
        <v/>
      </c>
    </row>
    <row r="49" spans="1:9">
      <c r="A49" s="23" t="str">
        <f>TEXT(IF('Spending by Category'!B55&lt;&gt;0,'Spending by Category'!B55-364, ""), "mm/dd/yyyy")</f>
        <v>01/01/2022</v>
      </c>
      <c r="B49" s="23" t="str">
        <f>IFERROR(IF(ISNUMBER('Spending by Category'!C55),TEXT('Spending by Category'!C55,"0.00"), ""), "")</f>
        <v>5.90</v>
      </c>
      <c r="C49" s="23" t="str">
        <f>IFERROR(IF(ISNUMBER('Spending by Category'!D55),TEXT('Spending by Category'!D55,"0.00"), ""), "")</f>
        <v>5.40</v>
      </c>
      <c r="D49" s="23" t="str">
        <f>IFERROR(IF(ISNUMBER('Spending by Category'!E55),TEXT('Spending by Category'!E55,"0.00"), ""), "")</f>
        <v>3.10</v>
      </c>
      <c r="E49" s="23" t="str">
        <f>IFERROR(IF(ISNUMBER('Spending by Category'!F55),TEXT('Spending by Category'!F55,"0.00"), ""), "")</f>
        <v>7.70</v>
      </c>
      <c r="F49" s="23" t="str">
        <f>IFERROR(IF(ISNUMBER('Spending by Category'!G55),TEXT('Spending by Category'!G55,"0.00"), ""), "")</f>
        <v/>
      </c>
      <c r="G49" s="23" t="str">
        <f>IFERROR(IF(ISNUMBER('Spending by Category'!H55),TEXT('Spending by Category'!H55,"0.00"), ""), "")</f>
        <v/>
      </c>
      <c r="H49" s="23" t="str">
        <f>IFERROR(IF(ISNUMBER('Spending by Category'!I55),TEXT('Spending by Category'!I55,"0.00"), ""), "")</f>
        <v/>
      </c>
      <c r="I49" s="23" t="str">
        <f>IFERROR(IF(ISNUMBER('Spending by Category'!J55),TEXT('Spending by Category'!J55,"0.00"), ""), "")</f>
        <v/>
      </c>
    </row>
    <row r="50" spans="1:9">
      <c r="A50" s="23" t="str">
        <f>TEXT(IF('Spending by Category'!B56&lt;&gt;0,'Spending by Category'!B56-364, ""), "mm/dd/yyyy")</f>
        <v>01/01/2023</v>
      </c>
      <c r="B50" s="23" t="str">
        <f>IFERROR(IF(ISNUMBER('Spending by Category'!C56),TEXT('Spending by Category'!C56,"0.00"), ""), "")</f>
        <v>6.00</v>
      </c>
      <c r="C50" s="23" t="str">
        <f>IFERROR(IF(ISNUMBER('Spending by Category'!D56),TEXT('Spending by Category'!D56,"0.00"), ""), "")</f>
        <v>5.50</v>
      </c>
      <c r="D50" s="23" t="str">
        <f>IFERROR(IF(ISNUMBER('Spending by Category'!E56),TEXT('Spending by Category'!E56,"0.00"), ""), "")</f>
        <v>3.20</v>
      </c>
      <c r="E50" s="23" t="str">
        <f>IFERROR(IF(ISNUMBER('Spending by Category'!F56),TEXT('Spending by Category'!F56,"0.00"), ""), "")</f>
        <v>7.50</v>
      </c>
      <c r="F50" s="23" t="str">
        <f>IFERROR(IF(ISNUMBER('Spending by Category'!G56),TEXT('Spending by Category'!G56,"0.00"), ""), "")</f>
        <v/>
      </c>
      <c r="G50" s="23" t="str">
        <f>IFERROR(IF(ISNUMBER('Spending by Category'!H56),TEXT('Spending by Category'!H56,"0.00"), ""), "")</f>
        <v/>
      </c>
      <c r="H50" s="23" t="str">
        <f>IFERROR(IF(ISNUMBER('Spending by Category'!I56),TEXT('Spending by Category'!I56,"0.00"), ""), "")</f>
        <v/>
      </c>
      <c r="I50" s="23" t="str">
        <f>IFERROR(IF(ISNUMBER('Spending by Category'!J56),TEXT('Spending by Category'!J56,"0.00"), ""), "")</f>
        <v/>
      </c>
    </row>
    <row r="51" spans="1:9">
      <c r="A51" s="23" t="str">
        <f>TEXT(IF('Spending by Category'!B57&lt;&gt;0,'Spending by Category'!B57-364, ""), "mm/dd/yyyy")</f>
        <v>01/02/2024</v>
      </c>
      <c r="B51" s="23" t="str">
        <f>IFERROR(IF(ISNUMBER('Spending by Category'!C57),TEXT('Spending by Category'!C57,"0.00"), ""), "")</f>
        <v>5.90</v>
      </c>
      <c r="C51" s="23" t="str">
        <f>IFERROR(IF(ISNUMBER('Spending by Category'!D57),TEXT('Spending by Category'!D57,"0.00"), ""), "")</f>
        <v>5.60</v>
      </c>
      <c r="D51" s="23" t="str">
        <f>IFERROR(IF(ISNUMBER('Spending by Category'!E57),TEXT('Spending by Category'!E57,"0.00"), ""), "")</f>
        <v>3.30</v>
      </c>
      <c r="E51" s="23" t="str">
        <f>IFERROR(IF(ISNUMBER('Spending by Category'!F57),TEXT('Spending by Category'!F57,"0.00"), ""), "")</f>
        <v>7.30</v>
      </c>
      <c r="F51" s="23" t="str">
        <f>IFERROR(IF(ISNUMBER('Spending by Category'!G57),TEXT('Spending by Category'!G57,"0.00"), ""), "")</f>
        <v/>
      </c>
      <c r="G51" s="23" t="str">
        <f>IFERROR(IF(ISNUMBER('Spending by Category'!H57),TEXT('Spending by Category'!H57,"0.00"), ""), "")</f>
        <v/>
      </c>
      <c r="H51" s="23" t="str">
        <f>IFERROR(IF(ISNUMBER('Spending by Category'!I57),TEXT('Spending by Category'!I57,"0.00"), ""), "")</f>
        <v/>
      </c>
      <c r="I51" s="23" t="str">
        <f>IFERROR(IF(ISNUMBER('Spending by Category'!J57),TEXT('Spending by Category'!J57,"0.00"), ""), "")</f>
        <v/>
      </c>
    </row>
    <row r="52" spans="1:9">
      <c r="A52" s="23" t="str">
        <f>TEXT(IF('Spending by Category'!B58&lt;&gt;0,'Spending by Category'!B58-364, ""), "mm/dd/yyyy")</f>
        <v>01/01/2025</v>
      </c>
      <c r="B52" s="23" t="str">
        <f>IFERROR(IF(ISNUMBER('Spending by Category'!C58),TEXT('Spending by Category'!C58,"0.00"), ""), "")</f>
        <v>6.10</v>
      </c>
      <c r="C52" s="23" t="str">
        <f>IFERROR(IF(ISNUMBER('Spending by Category'!D58),TEXT('Spending by Category'!D58,"0.00"), ""), "")</f>
        <v>5.70</v>
      </c>
      <c r="D52" s="23" t="str">
        <f>IFERROR(IF(ISNUMBER('Spending by Category'!E58),TEXT('Spending by Category'!E58,"0.00"), ""), "")</f>
        <v>3.40</v>
      </c>
      <c r="E52" s="23" t="str">
        <f>IFERROR(IF(ISNUMBER('Spending by Category'!F58),TEXT('Spending by Category'!F58,"0.00"), ""), "")</f>
        <v>7.30</v>
      </c>
      <c r="F52" s="23" t="str">
        <f>IFERROR(IF(ISNUMBER('Spending by Category'!G58),TEXT('Spending by Category'!G58,"0.00"), ""), "")</f>
        <v/>
      </c>
      <c r="G52" s="23" t="str">
        <f>IFERROR(IF(ISNUMBER('Spending by Category'!H58),TEXT('Spending by Category'!H58,"0.00"), ""), "")</f>
        <v/>
      </c>
      <c r="H52" s="23" t="str">
        <f>IFERROR(IF(ISNUMBER('Spending by Category'!I58),TEXT('Spending by Category'!I58,"0.00"), ""), "")</f>
        <v/>
      </c>
      <c r="I52" s="23" t="str">
        <f>IFERROR(IF(ISNUMBER('Spending by Category'!J58),TEXT('Spending by Category'!J58,"0.00"), ""), "")</f>
        <v/>
      </c>
    </row>
    <row r="53" spans="1:9">
      <c r="A53" s="23" t="str">
        <f>TEXT(IF('Spending by Category'!B59&lt;&gt;0,'Spending by Category'!B59-364, ""), "mm/dd/yyyy")</f>
        <v>01/01/2026</v>
      </c>
      <c r="B53" s="23" t="str">
        <f>IFERROR(IF(ISNUMBER('Spending by Category'!C59),TEXT('Spending by Category'!C59,"0.00"), ""), "")</f>
        <v>6.30</v>
      </c>
      <c r="C53" s="23" t="str">
        <f>IFERROR(IF(ISNUMBER('Spending by Category'!D59),TEXT('Spending by Category'!D59,"0.00"), ""), "")</f>
        <v>5.80</v>
      </c>
      <c r="D53" s="23" t="str">
        <f>IFERROR(IF(ISNUMBER('Spending by Category'!E59),TEXT('Spending by Category'!E59,"0.00"), ""), "")</f>
        <v>3.50</v>
      </c>
      <c r="E53" s="23" t="str">
        <f>IFERROR(IF(ISNUMBER('Spending by Category'!F59),TEXT('Spending by Category'!F59,"0.00"), ""), "")</f>
        <v>7.30</v>
      </c>
      <c r="F53" s="23" t="str">
        <f>IFERROR(IF(ISNUMBER('Spending by Category'!G59),TEXT('Spending by Category'!G59,"0.00"), ""), "")</f>
        <v/>
      </c>
      <c r="G53" s="23" t="str">
        <f>IFERROR(IF(ISNUMBER('Spending by Category'!H59),TEXT('Spending by Category'!H59,"0.00"), ""), "")</f>
        <v/>
      </c>
      <c r="H53" s="23" t="str">
        <f>IFERROR(IF(ISNUMBER('Spending by Category'!I59),TEXT('Spending by Category'!I59,"0.00"), ""), "")</f>
        <v/>
      </c>
      <c r="I53" s="23" t="str">
        <f>IFERROR(IF(ISNUMBER('Spending by Category'!J59),TEXT('Spending by Category'!J59,"0.00"), ""), "")</f>
        <v/>
      </c>
    </row>
    <row r="54" spans="1:9">
      <c r="A54" s="23" t="str">
        <f>TEXT(IF('Spending by Category'!B60&lt;&gt;0,'Spending by Category'!B60-364, ""), "mm/dd/yyyy")</f>
        <v>01/01/2027</v>
      </c>
      <c r="B54" s="23" t="str">
        <f>IFERROR(IF(ISNUMBER('Spending by Category'!C60),TEXT('Spending by Category'!C60,"0.00"), ""), "")</f>
        <v>6.30</v>
      </c>
      <c r="C54" s="23" t="str">
        <f>IFERROR(IF(ISNUMBER('Spending by Category'!D60),TEXT('Spending by Category'!D60,"0.00"), ""), "")</f>
        <v>5.90</v>
      </c>
      <c r="D54" s="23" t="str">
        <f>IFERROR(IF(ISNUMBER('Spending by Category'!E60),TEXT('Spending by Category'!E60,"0.00"), ""), "")</f>
        <v>3.60</v>
      </c>
      <c r="E54" s="23" t="str">
        <f>IFERROR(IF(ISNUMBER('Spending by Category'!F60),TEXT('Spending by Category'!F60,"0.00"), ""), "")</f>
        <v>7.30</v>
      </c>
      <c r="F54" s="23" t="str">
        <f>IFERROR(IF(ISNUMBER('Spending by Category'!G60),TEXT('Spending by Category'!G60,"0.00"), ""), "")</f>
        <v/>
      </c>
      <c r="G54" s="23" t="str">
        <f>IFERROR(IF(ISNUMBER('Spending by Category'!H60),TEXT('Spending by Category'!H60,"0.00"), ""), "")</f>
        <v/>
      </c>
      <c r="H54" s="23" t="str">
        <f>IFERROR(IF(ISNUMBER('Spending by Category'!I60),TEXT('Spending by Category'!I60,"0.00"), ""), "")</f>
        <v/>
      </c>
      <c r="I54" s="23" t="str">
        <f>IFERROR(IF(ISNUMBER('Spending by Category'!J60),TEXT('Spending by Category'!J60,"0.00"), ""), "")</f>
        <v/>
      </c>
    </row>
    <row r="55" spans="1:9">
      <c r="A55" s="23" t="str">
        <f>TEXT(IF('Spending by Category'!B61&lt;&gt;0,'Spending by Category'!B61-364, ""), "mm/dd/yyyy")</f>
        <v>01/02/2028</v>
      </c>
      <c r="B55" s="23" t="str">
        <f>IFERROR(IF(ISNUMBER('Spending by Category'!C61),TEXT('Spending by Category'!C61,"0.00"), ""), "")</f>
        <v>6.50</v>
      </c>
      <c r="C55" s="23" t="str">
        <f>IFERROR(IF(ISNUMBER('Spending by Category'!D61),TEXT('Spending by Category'!D61,"0.00"), ""), "")</f>
        <v>6.00</v>
      </c>
      <c r="D55" s="23" t="str">
        <f>IFERROR(IF(ISNUMBER('Spending by Category'!E61),TEXT('Spending by Category'!E61,"0.00"), ""), "")</f>
        <v>3.70</v>
      </c>
      <c r="E55" s="23" t="str">
        <f>IFERROR(IF(ISNUMBER('Spending by Category'!F61),TEXT('Spending by Category'!F61,"0.00"), ""), "")</f>
        <v>7.20</v>
      </c>
      <c r="F55" s="23" t="str">
        <f>IFERROR(IF(ISNUMBER('Spending by Category'!G61),TEXT('Spending by Category'!G61,"0.00"), ""), "")</f>
        <v/>
      </c>
      <c r="G55" s="23" t="str">
        <f>IFERROR(IF(ISNUMBER('Spending by Category'!H61),TEXT('Spending by Category'!H61,"0.00"), ""), "")</f>
        <v/>
      </c>
      <c r="H55" s="23" t="str">
        <f>IFERROR(IF(ISNUMBER('Spending by Category'!I61),TEXT('Spending by Category'!I61,"0.00"), ""), "")</f>
        <v/>
      </c>
      <c r="I55" s="23" t="str">
        <f>IFERROR(IF(ISNUMBER('Spending by Category'!J61),TEXT('Spending by Category'!J61,"0.00"), ""), "")</f>
        <v/>
      </c>
    </row>
    <row r="56" spans="1:9">
      <c r="A56" s="23" t="str">
        <f>TEXT(IF('Spending by Category'!B62&lt;&gt;0,'Spending by Category'!B62-364, ""), "mm/dd/yyyy")</f>
        <v>01/01/2029</v>
      </c>
      <c r="B56" s="23" t="str">
        <f>IFERROR(IF(ISNUMBER('Spending by Category'!C62),TEXT('Spending by Category'!C62,"0.00"), ""), "")</f>
        <v>6.60</v>
      </c>
      <c r="C56" s="23" t="str">
        <f>IFERROR(IF(ISNUMBER('Spending by Category'!D62),TEXT('Spending by Category'!D62,"0.00"), ""), "")</f>
        <v>6.10</v>
      </c>
      <c r="D56" s="23" t="str">
        <f>IFERROR(IF(ISNUMBER('Spending by Category'!E62),TEXT('Spending by Category'!E62,"0.00"), ""), "")</f>
        <v>3.80</v>
      </c>
      <c r="E56" s="23" t="str">
        <f>IFERROR(IF(ISNUMBER('Spending by Category'!F62),TEXT('Spending by Category'!F62,"0.00"), ""), "")</f>
        <v>7.20</v>
      </c>
      <c r="F56" s="23" t="str">
        <f>IFERROR(IF(ISNUMBER('Spending by Category'!G62),TEXT('Spending by Category'!G62,"0.00"), ""), "")</f>
        <v/>
      </c>
      <c r="G56" s="23" t="str">
        <f>IFERROR(IF(ISNUMBER('Spending by Category'!H62),TEXT('Spending by Category'!H62,"0.00"), ""), "")</f>
        <v/>
      </c>
      <c r="H56" s="23" t="str">
        <f>IFERROR(IF(ISNUMBER('Spending by Category'!I62),TEXT('Spending by Category'!I62,"0.00"), ""), "")</f>
        <v/>
      </c>
      <c r="I56" s="23" t="str">
        <f>IFERROR(IF(ISNUMBER('Spending by Category'!J62),TEXT('Spending by Category'!J62,"0.00"), ""), "")</f>
        <v/>
      </c>
    </row>
    <row r="57" spans="1:9">
      <c r="A57" s="23" t="str">
        <f>TEXT(IF('Spending by Category'!B63&lt;&gt;0,'Spending by Category'!B63-364, ""), "mm/dd/yyyy")</f>
        <v>01/01/2030</v>
      </c>
      <c r="B57" s="23" t="str">
        <f>IFERROR(IF(ISNUMBER('Spending by Category'!C63),TEXT('Spending by Category'!C63,"0.00"), ""), "")</f>
        <v>6.80</v>
      </c>
      <c r="C57" s="23" t="str">
        <f>IFERROR(IF(ISNUMBER('Spending by Category'!D63),TEXT('Spending by Category'!D63,"0.00"), ""), "")</f>
        <v>6.20</v>
      </c>
      <c r="D57" s="23" t="str">
        <f>IFERROR(IF(ISNUMBER('Spending by Category'!E63),TEXT('Spending by Category'!E63,"0.00"), ""), "")</f>
        <v>3.90</v>
      </c>
      <c r="E57" s="23" t="str">
        <f>IFERROR(IF(ISNUMBER('Spending by Category'!F63),TEXT('Spending by Category'!F63,"0.00"), ""), "")</f>
        <v>7.20</v>
      </c>
      <c r="F57" s="23" t="str">
        <f>IFERROR(IF(ISNUMBER('Spending by Category'!G63),TEXT('Spending by Category'!G63,"0.00"), ""), "")</f>
        <v/>
      </c>
      <c r="G57" s="23" t="str">
        <f>IFERROR(IF(ISNUMBER('Spending by Category'!H63),TEXT('Spending by Category'!H63,"0.00"), ""), "")</f>
        <v/>
      </c>
      <c r="H57" s="23" t="str">
        <f>IFERROR(IF(ISNUMBER('Spending by Category'!I63),TEXT('Spending by Category'!I63,"0.00"), ""), "")</f>
        <v/>
      </c>
      <c r="I57" s="23" t="str">
        <f>IFERROR(IF(ISNUMBER('Spending by Category'!J63),TEXT('Spending by Category'!J63,"0.00"), ""), "")</f>
        <v/>
      </c>
    </row>
    <row r="58" spans="1:9">
      <c r="A58" s="23" t="str">
        <f>TEXT(IF('Spending by Category'!B64&lt;&gt;0,'Spending by Category'!B64-364, ""), "mm/dd/yyyy")</f>
        <v>01/01/2031</v>
      </c>
      <c r="B58" s="23" t="str">
        <f>IFERROR(IF(ISNUMBER('Spending by Category'!C64),TEXT('Spending by Category'!C64,"0.00"), ""), "")</f>
        <v>6.90</v>
      </c>
      <c r="C58" s="23" t="str">
        <f>IFERROR(IF(ISNUMBER('Spending by Category'!D64),TEXT('Spending by Category'!D64,"0.00"), ""), "")</f>
        <v>6.20</v>
      </c>
      <c r="D58" s="23" t="str">
        <f>IFERROR(IF(ISNUMBER('Spending by Category'!E64),TEXT('Spending by Category'!E64,"0.00"), ""), "")</f>
        <v>4.00</v>
      </c>
      <c r="E58" s="23" t="str">
        <f>IFERROR(IF(ISNUMBER('Spending by Category'!F64),TEXT('Spending by Category'!F64,"0.00"), ""), "")</f>
        <v>7.10</v>
      </c>
      <c r="F58" s="23" t="str">
        <f>IFERROR(IF(ISNUMBER('Spending by Category'!G64),TEXT('Spending by Category'!G64,"0.00"), ""), "")</f>
        <v/>
      </c>
      <c r="G58" s="23" t="str">
        <f>IFERROR(IF(ISNUMBER('Spending by Category'!H64),TEXT('Spending by Category'!H64,"0.00"), ""), "")</f>
        <v/>
      </c>
      <c r="H58" s="23" t="str">
        <f>IFERROR(IF(ISNUMBER('Spending by Category'!I64),TEXT('Spending by Category'!I64,"0.00"), ""), "")</f>
        <v/>
      </c>
      <c r="I58" s="23" t="str">
        <f>IFERROR(IF(ISNUMBER('Spending by Category'!J64),TEXT('Spending by Category'!J64,"0.00"), ""), "")</f>
        <v/>
      </c>
    </row>
    <row r="59" spans="1:9">
      <c r="A59" s="23" t="str">
        <f>TEXT(IF('Spending by Category'!B65&lt;&gt;0,'Spending by Category'!B65-364, ""), "mm/dd/yyyy")</f>
        <v>01/02/2032</v>
      </c>
      <c r="B59" s="23" t="str">
        <f>IFERROR(IF(ISNUMBER('Spending by Category'!C65),TEXT('Spending by Category'!C65,"0.00"), ""), "")</f>
        <v>7.10</v>
      </c>
      <c r="C59" s="23" t="str">
        <f>IFERROR(IF(ISNUMBER('Spending by Category'!D65),TEXT('Spending by Category'!D65,"0.00"), ""), "")</f>
        <v>6.30</v>
      </c>
      <c r="D59" s="23" t="str">
        <f>IFERROR(IF(ISNUMBER('Spending by Category'!E65),TEXT('Spending by Category'!E65,"0.00"), ""), "")</f>
        <v>4.10</v>
      </c>
      <c r="E59" s="23" t="str">
        <f>IFERROR(IF(ISNUMBER('Spending by Category'!F65),TEXT('Spending by Category'!F65,"0.00"), ""), "")</f>
        <v>7.10</v>
      </c>
      <c r="F59" s="23" t="str">
        <f>IFERROR(IF(ISNUMBER('Spending by Category'!G65),TEXT('Spending by Category'!G65,"0.00"), ""), "")</f>
        <v/>
      </c>
      <c r="G59" s="23" t="str">
        <f>IFERROR(IF(ISNUMBER('Spending by Category'!H65),TEXT('Spending by Category'!H65,"0.00"), ""), "")</f>
        <v/>
      </c>
      <c r="H59" s="23" t="str">
        <f>IFERROR(IF(ISNUMBER('Spending by Category'!I65),TEXT('Spending by Category'!I65,"0.00"), ""), "")</f>
        <v/>
      </c>
      <c r="I59" s="23" t="str">
        <f>IFERROR(IF(ISNUMBER('Spending by Category'!J65),TEXT('Spending by Category'!J65,"0.00"), ""), "")</f>
        <v/>
      </c>
    </row>
    <row r="60" spans="1:9">
      <c r="A60" s="23" t="str">
        <f>TEXT(IF('Spending by Category'!B66&lt;&gt;0,'Spending by Category'!B66-364, ""), "mm/dd/yyyy")</f>
        <v>01/01/2033</v>
      </c>
      <c r="B60" s="23" t="str">
        <f>IFERROR(IF(ISNUMBER('Spending by Category'!C66),TEXT('Spending by Category'!C66,"0.00"), ""), "")</f>
        <v>7.20</v>
      </c>
      <c r="C60" s="23" t="str">
        <f>IFERROR(IF(ISNUMBER('Spending by Category'!D66),TEXT('Spending by Category'!D66,"0.00"), ""), "")</f>
        <v>6.30</v>
      </c>
      <c r="D60" s="23" t="str">
        <f>IFERROR(IF(ISNUMBER('Spending by Category'!E66),TEXT('Spending by Category'!E66,"0.00"), ""), "")</f>
        <v>4.10</v>
      </c>
      <c r="E60" s="23" t="str">
        <f>IFERROR(IF(ISNUMBER('Spending by Category'!F66),TEXT('Spending by Category'!F66,"0.00"), ""), "")</f>
        <v>7.10</v>
      </c>
      <c r="F60" s="23" t="str">
        <f>IFERROR(IF(ISNUMBER('Spending by Category'!G66),TEXT('Spending by Category'!G66,"0.00"), ""), "")</f>
        <v/>
      </c>
      <c r="G60" s="23" t="str">
        <f>IFERROR(IF(ISNUMBER('Spending by Category'!H66),TEXT('Spending by Category'!H66,"0.00"), ""), "")</f>
        <v/>
      </c>
      <c r="H60" s="23" t="str">
        <f>IFERROR(IF(ISNUMBER('Spending by Category'!I66),TEXT('Spending by Category'!I66,"0.00"), ""), "")</f>
        <v/>
      </c>
      <c r="I60" s="23" t="str">
        <f>IFERROR(IF(ISNUMBER('Spending by Category'!J66),TEXT('Spending by Category'!J66,"0.00"), ""), "")</f>
        <v/>
      </c>
    </row>
    <row r="61" spans="1:9">
      <c r="A61" s="23" t="str">
        <f>TEXT(IF('Spending by Category'!B67&lt;&gt;0,'Spending by Category'!B67-364, ""), "mm/dd/yyyy")</f>
        <v>01/01/2034</v>
      </c>
      <c r="B61" s="23" t="str">
        <f>IFERROR(IF(ISNUMBER('Spending by Category'!C67),TEXT('Spending by Category'!C67,"0.00"), ""), "")</f>
        <v>7.30</v>
      </c>
      <c r="C61" s="23" t="str">
        <f>IFERROR(IF(ISNUMBER('Spending by Category'!D67),TEXT('Spending by Category'!D67,"0.00"), ""), "")</f>
        <v>6.40</v>
      </c>
      <c r="D61" s="23" t="str">
        <f>IFERROR(IF(ISNUMBER('Spending by Category'!E67),TEXT('Spending by Category'!E67,"0.00"), ""), "")</f>
        <v>4.20</v>
      </c>
      <c r="E61" s="23" t="str">
        <f>IFERROR(IF(ISNUMBER('Spending by Category'!F67),TEXT('Spending by Category'!F67,"0.00"), ""), "")</f>
        <v>7.00</v>
      </c>
      <c r="F61" s="23" t="str">
        <f>IFERROR(IF(ISNUMBER('Spending by Category'!G67),TEXT('Spending by Category'!G67,"0.00"), ""), "")</f>
        <v/>
      </c>
      <c r="G61" s="23" t="str">
        <f>IFERROR(IF(ISNUMBER('Spending by Category'!H67),TEXT('Spending by Category'!H67,"0.00"), ""), "")</f>
        <v/>
      </c>
      <c r="H61" s="23" t="str">
        <f>IFERROR(IF(ISNUMBER('Spending by Category'!I67),TEXT('Spending by Category'!I67,"0.00"), ""), "")</f>
        <v/>
      </c>
      <c r="I61" s="23" t="str">
        <f>IFERROR(IF(ISNUMBER('Spending by Category'!J67),TEXT('Spending by Category'!J67,"0.00"), ""), "")</f>
        <v/>
      </c>
    </row>
    <row r="62" spans="1:9">
      <c r="A62" s="23" t="str">
        <f>TEXT(IF('Spending by Category'!B68&lt;&gt;0,'Spending by Category'!B68-364, ""), "mm/dd/yyyy")</f>
        <v>01/01/2035</v>
      </c>
      <c r="B62" s="23" t="str">
        <f>IFERROR(IF(ISNUMBER('Spending by Category'!C68),TEXT('Spending by Category'!C68,"0.00"), ""), "")</f>
        <v>7.50</v>
      </c>
      <c r="C62" s="23" t="str">
        <f>IFERROR(IF(ISNUMBER('Spending by Category'!D68),TEXT('Spending by Category'!D68,"0.00"), ""), "")</f>
        <v>6.40</v>
      </c>
      <c r="D62" s="23" t="str">
        <f>IFERROR(IF(ISNUMBER('Spending by Category'!E68),TEXT('Spending by Category'!E68,"0.00"), ""), "")</f>
        <v>4.30</v>
      </c>
      <c r="E62" s="23" t="str">
        <f>IFERROR(IF(ISNUMBER('Spending by Category'!F68),TEXT('Spending by Category'!F68,"0.00"), ""), "")</f>
        <v>7.00</v>
      </c>
      <c r="F62" s="23" t="str">
        <f>IFERROR(IF(ISNUMBER('Spending by Category'!G68),TEXT('Spending by Category'!G68,"0.00"), ""), "")</f>
        <v/>
      </c>
      <c r="G62" s="23" t="str">
        <f>IFERROR(IF(ISNUMBER('Spending by Category'!H68),TEXT('Spending by Category'!H68,"0.00"), ""), "")</f>
        <v/>
      </c>
      <c r="H62" s="23" t="str">
        <f>IFERROR(IF(ISNUMBER('Spending by Category'!I68),TEXT('Spending by Category'!I68,"0.00"), ""), "")</f>
        <v/>
      </c>
      <c r="I62" s="23" t="str">
        <f>IFERROR(IF(ISNUMBER('Spending by Category'!J68),TEXT('Spending by Category'!J68,"0.00"), ""), "")</f>
        <v/>
      </c>
    </row>
    <row r="63" spans="1:9">
      <c r="A63" s="23" t="str">
        <f>TEXT(IF('Spending by Category'!B69&lt;&gt;0,'Spending by Category'!B69-364, ""), "mm/dd/yyyy")</f>
        <v/>
      </c>
      <c r="B63" s="23" t="str">
        <f>IFERROR(IF(ISNUMBER('Spending by Category'!C69),TEXT('Spending by Category'!C69,"0.00"), ""), "")</f>
        <v/>
      </c>
      <c r="C63" s="23" t="str">
        <f>IFERROR(IF(ISNUMBER('Spending by Category'!D69),TEXT('Spending by Category'!D69,"0.00"), ""), "")</f>
        <v/>
      </c>
      <c r="D63" s="23" t="str">
        <f>IFERROR(IF(ISNUMBER('Spending by Category'!E69),TEXT('Spending by Category'!E69,"0.00"), ""), "")</f>
        <v/>
      </c>
      <c r="E63" s="23" t="str">
        <f>IFERROR(IF(ISNUMBER('Spending by Category'!F69),TEXT('Spending by Category'!F69,"0.00"), ""), "")</f>
        <v/>
      </c>
      <c r="F63" s="23" t="str">
        <f>IFERROR(IF(ISNUMBER('Spending by Category'!G69),TEXT('Spending by Category'!G69,"0.00"), ""), "")</f>
        <v/>
      </c>
      <c r="G63" s="23" t="str">
        <f>IFERROR(IF(ISNUMBER('Spending by Category'!H69),TEXT('Spending by Category'!H69,"0.00"), ""), "")</f>
        <v/>
      </c>
      <c r="H63" s="23" t="str">
        <f>IFERROR(IF(ISNUMBER('Spending by Category'!I69),TEXT('Spending by Category'!I69,"0.00"), ""), "")</f>
        <v/>
      </c>
      <c r="I63" s="23" t="str">
        <f>IFERROR(IF(ISNUMBER('Spending by Category'!J69),TEXT('Spending by Category'!J69,"0.00"), ""), "")</f>
        <v/>
      </c>
    </row>
    <row r="64" spans="1:9">
      <c r="A64" s="23" t="str">
        <f>TEXT(IF('Spending by Category'!B70&lt;&gt;0,'Spending by Category'!B70-364, ""), "mm/dd/yyyy")</f>
        <v/>
      </c>
      <c r="B64" s="23" t="str">
        <f>IFERROR(IF(ISNUMBER('Spending by Category'!C70),TEXT('Spending by Category'!C70,"0.00"), ""), "")</f>
        <v/>
      </c>
      <c r="C64" s="23" t="str">
        <f>IFERROR(IF(ISNUMBER('Spending by Category'!D70),TEXT('Spending by Category'!D70,"0.00"), ""), "")</f>
        <v/>
      </c>
      <c r="D64" s="23" t="str">
        <f>IFERROR(IF(ISNUMBER('Spending by Category'!E70),TEXT('Spending by Category'!E70,"0.00"), ""), "")</f>
        <v/>
      </c>
      <c r="E64" s="23" t="str">
        <f>IFERROR(IF(ISNUMBER('Spending by Category'!F70),TEXT('Spending by Category'!F70,"0.00"), ""), "")</f>
        <v/>
      </c>
      <c r="F64" s="23" t="str">
        <f>IFERROR(IF(ISNUMBER('Spending by Category'!G70),TEXT('Spending by Category'!G70,"0.00"), ""), "")</f>
        <v/>
      </c>
      <c r="G64" s="23" t="str">
        <f>IFERROR(IF(ISNUMBER('Spending by Category'!H70),TEXT('Spending by Category'!H70,"0.00"), ""), "")</f>
        <v/>
      </c>
      <c r="H64" s="23" t="str">
        <f>IFERROR(IF(ISNUMBER('Spending by Category'!I70),TEXT('Spending by Category'!I70,"0.00"), ""), "")</f>
        <v/>
      </c>
      <c r="I64" s="23" t="str">
        <f>IFERROR(IF(ISNUMBER('Spending by Category'!J70),TEXT('Spending by Category'!J70,"0.00"), ""), "")</f>
        <v/>
      </c>
    </row>
    <row r="65" spans="1:9">
      <c r="A65" s="23" t="str">
        <f>TEXT(IF('Spending by Category'!B71&lt;&gt;0,'Spending by Category'!B71-364, ""), "mm/dd/yyyy")</f>
        <v/>
      </c>
      <c r="B65" s="23" t="str">
        <f>IFERROR(IF(ISNUMBER('Spending by Category'!C71),TEXT('Spending by Category'!C71,"0.00"), ""), "")</f>
        <v/>
      </c>
      <c r="C65" s="23" t="str">
        <f>IFERROR(IF(ISNUMBER('Spending by Category'!D71),TEXT('Spending by Category'!D71,"0.00"), ""), "")</f>
        <v/>
      </c>
      <c r="D65" s="23" t="str">
        <f>IFERROR(IF(ISNUMBER('Spending by Category'!E71),TEXT('Spending by Category'!E71,"0.00"), ""), "")</f>
        <v/>
      </c>
      <c r="E65" s="23" t="str">
        <f>IFERROR(IF(ISNUMBER('Spending by Category'!F71),TEXT('Spending by Category'!F71,"0.00"), ""), "")</f>
        <v/>
      </c>
      <c r="F65" s="23" t="str">
        <f>IFERROR(IF(ISNUMBER('Spending by Category'!G71),TEXT('Spending by Category'!G71,"0.00"), ""), "")</f>
        <v/>
      </c>
      <c r="G65" s="23" t="str">
        <f>IFERROR(IF(ISNUMBER('Spending by Category'!H71),TEXT('Spending by Category'!H71,"0.00"), ""), "")</f>
        <v/>
      </c>
      <c r="H65" s="23" t="str">
        <f>IFERROR(IF(ISNUMBER('Spending by Category'!I71),TEXT('Spending by Category'!I71,"0.00"), ""), "")</f>
        <v/>
      </c>
      <c r="I65" s="23" t="str">
        <f>IFERROR(IF(ISNUMBER('Spending by Category'!J71),TEXT('Spending by Category'!J71,"0.00"), ""), "")</f>
        <v/>
      </c>
    </row>
    <row r="66" spans="1:9">
      <c r="A66" s="23" t="str">
        <f>TEXT(IF('Spending by Category'!B72&lt;&gt;0,'Spending by Category'!B72-364, ""), "mm/dd/yyyy")</f>
        <v/>
      </c>
      <c r="B66" s="23" t="str">
        <f>IFERROR(IF(ISNUMBER('Spending by Category'!C72),TEXT('Spending by Category'!C72,"0.00"), ""), "")</f>
        <v/>
      </c>
      <c r="C66" s="23" t="str">
        <f>IFERROR(IF(ISNUMBER('Spending by Category'!D72),TEXT('Spending by Category'!D72,"0.00"), ""), "")</f>
        <v/>
      </c>
      <c r="D66" s="23" t="str">
        <f>IFERROR(IF(ISNUMBER('Spending by Category'!E72),TEXT('Spending by Category'!E72,"0.00"), ""), "")</f>
        <v/>
      </c>
      <c r="E66" s="23" t="str">
        <f>IFERROR(IF(ISNUMBER('Spending by Category'!F72),TEXT('Spending by Category'!F72,"0.00"), ""), "")</f>
        <v/>
      </c>
      <c r="F66" s="23" t="str">
        <f>IFERROR(IF(ISNUMBER('Spending by Category'!G72),TEXT('Spending by Category'!G72,"0.00"), ""), "")</f>
        <v/>
      </c>
      <c r="G66" s="23" t="str">
        <f>IFERROR(IF(ISNUMBER('Spending by Category'!H72),TEXT('Spending by Category'!H72,"0.00"), ""), "")</f>
        <v/>
      </c>
      <c r="H66" s="23" t="str">
        <f>IFERROR(IF(ISNUMBER('Spending by Category'!I72),TEXT('Spending by Category'!I72,"0.00"), ""), "")</f>
        <v/>
      </c>
      <c r="I66" s="23" t="str">
        <f>IFERROR(IF(ISNUMBER('Spending by Category'!J72),TEXT('Spending by Category'!J72,"0.00"), ""), "")</f>
        <v/>
      </c>
    </row>
    <row r="67" spans="1:9">
      <c r="A67" s="23" t="str">
        <f>TEXT(IF('Spending by Category'!B73&lt;&gt;0,'Spending by Category'!B73-364, ""), "mm/dd/yyyy")</f>
        <v/>
      </c>
      <c r="B67" s="23" t="str">
        <f>IFERROR(IF(ISNUMBER('Spending by Category'!C73),TEXT('Spending by Category'!C73,"0.00"), ""), "")</f>
        <v/>
      </c>
      <c r="C67" s="23" t="str">
        <f>IFERROR(IF(ISNUMBER('Spending by Category'!D73),TEXT('Spending by Category'!D73,"0.00"), ""), "")</f>
        <v/>
      </c>
      <c r="D67" s="23" t="str">
        <f>IFERROR(IF(ISNUMBER('Spending by Category'!E73),TEXT('Spending by Category'!E73,"0.00"), ""), "")</f>
        <v/>
      </c>
      <c r="E67" s="23" t="str">
        <f>IFERROR(IF(ISNUMBER('Spending by Category'!F73),TEXT('Spending by Category'!F73,"0.00"), ""), "")</f>
        <v/>
      </c>
      <c r="F67" s="23" t="str">
        <f>IFERROR(IF(ISNUMBER('Spending by Category'!G73),TEXT('Spending by Category'!G73,"0.00"), ""), "")</f>
        <v/>
      </c>
      <c r="G67" s="23" t="str">
        <f>IFERROR(IF(ISNUMBER('Spending by Category'!H73),TEXT('Spending by Category'!H73,"0.00"), ""), "")</f>
        <v/>
      </c>
      <c r="H67" s="23" t="str">
        <f>IFERROR(IF(ISNUMBER('Spending by Category'!I73),TEXT('Spending by Category'!I73,"0.00"), ""), "")</f>
        <v/>
      </c>
      <c r="I67" s="23" t="str">
        <f>IFERROR(IF(ISNUMBER('Spending by Category'!J73),TEXT('Spending by Category'!J73,"0.00"), ""), "")</f>
        <v/>
      </c>
    </row>
    <row r="68" spans="1:9">
      <c r="A68" s="23" t="str">
        <f>TEXT(IF('Spending by Category'!B74&lt;&gt;0,'Spending by Category'!B74-364, ""), "mm/dd/yyyy")</f>
        <v/>
      </c>
      <c r="B68" s="23" t="str">
        <f>IFERROR(IF(ISNUMBER('Spending by Category'!C74),TEXT('Spending by Category'!C74,"0.00"), ""), "")</f>
        <v/>
      </c>
      <c r="C68" s="23" t="str">
        <f>IFERROR(IF(ISNUMBER('Spending by Category'!D74),TEXT('Spending by Category'!D74,"0.00"), ""), "")</f>
        <v/>
      </c>
      <c r="D68" s="23" t="str">
        <f>IFERROR(IF(ISNUMBER('Spending by Category'!E74),TEXT('Spending by Category'!E74,"0.00"), ""), "")</f>
        <v/>
      </c>
      <c r="E68" s="23" t="str">
        <f>IFERROR(IF(ISNUMBER('Spending by Category'!F74),TEXT('Spending by Category'!F74,"0.00"), ""), "")</f>
        <v/>
      </c>
      <c r="F68" s="23" t="str">
        <f>IFERROR(IF(ISNUMBER('Spending by Category'!G74),TEXT('Spending by Category'!G74,"0.00"), ""), "")</f>
        <v/>
      </c>
      <c r="G68" s="23" t="str">
        <f>IFERROR(IF(ISNUMBER('Spending by Category'!H74),TEXT('Spending by Category'!H74,"0.00"), ""), "")</f>
        <v/>
      </c>
      <c r="H68" s="23" t="str">
        <f>IFERROR(IF(ISNUMBER('Spending by Category'!I74),TEXT('Spending by Category'!I74,"0.00"), ""), "")</f>
        <v/>
      </c>
      <c r="I68" s="23" t="str">
        <f>IFERROR(IF(ISNUMBER('Spending by Category'!J74),TEXT('Spending by Category'!J74,"0.00"), ""), "")</f>
        <v/>
      </c>
    </row>
    <row r="69" spans="1:9">
      <c r="A69" s="23" t="str">
        <f>TEXT(IF('Spending by Category'!B75&lt;&gt;0,'Spending by Category'!B75-364, ""), "mm/dd/yyyy")</f>
        <v/>
      </c>
      <c r="B69" s="23" t="str">
        <f>IFERROR(IF(ISNUMBER('Spending by Category'!C75),TEXT('Spending by Category'!C75,"0.00"), ""), "")</f>
        <v/>
      </c>
      <c r="C69" s="23" t="str">
        <f>IFERROR(IF(ISNUMBER('Spending by Category'!D75),TEXT('Spending by Category'!D75,"0.00"), ""), "")</f>
        <v/>
      </c>
      <c r="D69" s="23" t="str">
        <f>IFERROR(IF(ISNUMBER('Spending by Category'!E75),TEXT('Spending by Category'!E75,"0.00"), ""), "")</f>
        <v/>
      </c>
      <c r="E69" s="23" t="str">
        <f>IFERROR(IF(ISNUMBER('Spending by Category'!F75),TEXT('Spending by Category'!F75,"0.00"), ""), "")</f>
        <v/>
      </c>
      <c r="F69" s="23" t="str">
        <f>IFERROR(IF(ISNUMBER('Spending by Category'!G75),TEXT('Spending by Category'!G75,"0.00"), ""), "")</f>
        <v/>
      </c>
      <c r="G69" s="23" t="str">
        <f>IFERROR(IF(ISNUMBER('Spending by Category'!H75),TEXT('Spending by Category'!H75,"0.00"), ""), "")</f>
        <v/>
      </c>
      <c r="H69" s="23" t="str">
        <f>IFERROR(IF(ISNUMBER('Spending by Category'!I75),TEXT('Spending by Category'!I75,"0.00"), ""), "")</f>
        <v/>
      </c>
      <c r="I69" s="23" t="str">
        <f>IFERROR(IF(ISNUMBER('Spending by Category'!J75),TEXT('Spending by Category'!J75,"0.00"), ""), "")</f>
        <v/>
      </c>
    </row>
    <row r="70" spans="1:9">
      <c r="A70" s="23" t="str">
        <f>TEXT(IF('Spending by Category'!B76&lt;&gt;0,'Spending by Category'!B76-364, ""), "mm/dd/yyyy")</f>
        <v/>
      </c>
      <c r="B70" s="23" t="str">
        <f>IFERROR(IF(ISNUMBER('Spending by Category'!C76),TEXT('Spending by Category'!C76,"0.00"), ""), "")</f>
        <v/>
      </c>
      <c r="C70" s="23" t="str">
        <f>IFERROR(IF(ISNUMBER('Spending by Category'!D76),TEXT('Spending by Category'!D76,"0.00"), ""), "")</f>
        <v/>
      </c>
      <c r="D70" s="23" t="str">
        <f>IFERROR(IF(ISNUMBER('Spending by Category'!E76),TEXT('Spending by Category'!E76,"0.00"), ""), "")</f>
        <v/>
      </c>
      <c r="E70" s="23" t="str">
        <f>IFERROR(IF(ISNUMBER('Spending by Category'!F76),TEXT('Spending by Category'!F76,"0.00"), ""), "")</f>
        <v/>
      </c>
      <c r="F70" s="23" t="str">
        <f>IFERROR(IF(ISNUMBER('Spending by Category'!G76),TEXT('Spending by Category'!G76,"0.00"), ""), "")</f>
        <v/>
      </c>
      <c r="G70" s="23" t="str">
        <f>IFERROR(IF(ISNUMBER('Spending by Category'!H76),TEXT('Spending by Category'!H76,"0.00"), ""), "")</f>
        <v/>
      </c>
      <c r="H70" s="23" t="str">
        <f>IFERROR(IF(ISNUMBER('Spending by Category'!I76),TEXT('Spending by Category'!I76,"0.00"), ""), "")</f>
        <v/>
      </c>
      <c r="I70" s="23" t="str">
        <f>IFERROR(IF(ISNUMBER('Spending by Category'!J76),TEXT('Spending by Category'!J76,"0.00"), ""), "")</f>
        <v/>
      </c>
    </row>
    <row r="71" spans="1:9">
      <c r="A71" s="23" t="str">
        <f>TEXT(IF('Spending by Category'!B77&lt;&gt;0,'Spending by Category'!B77-364, ""), "mm/dd/yyyy")</f>
        <v/>
      </c>
      <c r="B71" s="23" t="str">
        <f>IFERROR(IF(ISNUMBER('Spending by Category'!C77),TEXT('Spending by Category'!C77,"0.00"), ""), "")</f>
        <v/>
      </c>
      <c r="C71" s="23" t="str">
        <f>IFERROR(IF(ISNUMBER('Spending by Category'!D77),TEXT('Spending by Category'!D77,"0.00"), ""), "")</f>
        <v/>
      </c>
      <c r="D71" s="23" t="str">
        <f>IFERROR(IF(ISNUMBER('Spending by Category'!E77),TEXT('Spending by Category'!E77,"0.00"), ""), "")</f>
        <v/>
      </c>
      <c r="E71" s="23" t="str">
        <f>IFERROR(IF(ISNUMBER('Spending by Category'!F77),TEXT('Spending by Category'!F77,"0.00"), ""), "")</f>
        <v/>
      </c>
      <c r="F71" s="23" t="str">
        <f>IFERROR(IF(ISNUMBER('Spending by Category'!G77),TEXT('Spending by Category'!G77,"0.00"), ""), "")</f>
        <v/>
      </c>
      <c r="G71" s="23" t="str">
        <f>IFERROR(IF(ISNUMBER('Spending by Category'!H77),TEXT('Spending by Category'!H77,"0.00"), ""), "")</f>
        <v/>
      </c>
      <c r="H71" s="23" t="str">
        <f>IFERROR(IF(ISNUMBER('Spending by Category'!I77),TEXT('Spending by Category'!I77,"0.00"), ""), "")</f>
        <v/>
      </c>
      <c r="I71" s="23" t="str">
        <f>IFERROR(IF(ISNUMBER('Spending by Category'!J77),TEXT('Spending by Category'!J77,"0.00"), ""), "")</f>
        <v/>
      </c>
    </row>
    <row r="72" spans="1:9">
      <c r="A72" s="23" t="str">
        <f>TEXT(IF('Spending by Category'!B78&lt;&gt;0,'Spending by Category'!B78-364, ""), "mm/dd/yyyy")</f>
        <v/>
      </c>
      <c r="B72" s="23" t="str">
        <f>IFERROR(IF(ISNUMBER('Spending by Category'!C78),TEXT('Spending by Category'!C78,"0.00"), ""), "")</f>
        <v/>
      </c>
      <c r="C72" s="23" t="str">
        <f>IFERROR(IF(ISNUMBER('Spending by Category'!D78),TEXT('Spending by Category'!D78,"0.00"), ""), "")</f>
        <v/>
      </c>
      <c r="D72" s="23" t="str">
        <f>IFERROR(IF(ISNUMBER('Spending by Category'!E78),TEXT('Spending by Category'!E78,"0.00"), ""), "")</f>
        <v/>
      </c>
      <c r="E72" s="23" t="str">
        <f>IFERROR(IF(ISNUMBER('Spending by Category'!F78),TEXT('Spending by Category'!F78,"0.00"), ""), "")</f>
        <v/>
      </c>
      <c r="F72" s="23" t="str">
        <f>IFERROR(IF(ISNUMBER('Spending by Category'!G78),TEXT('Spending by Category'!G78,"0.00"), ""), "")</f>
        <v/>
      </c>
      <c r="G72" s="23" t="str">
        <f>IFERROR(IF(ISNUMBER('Spending by Category'!H78),TEXT('Spending by Category'!H78,"0.00"), ""), "")</f>
        <v/>
      </c>
      <c r="H72" s="23" t="str">
        <f>IFERROR(IF(ISNUMBER('Spending by Category'!I78),TEXT('Spending by Category'!I78,"0.00"), ""), "")</f>
        <v/>
      </c>
      <c r="I72" s="23" t="str">
        <f>IFERROR(IF(ISNUMBER('Spending by Category'!J78),TEXT('Spending by Category'!J78,"0.00"), ""), "")</f>
        <v/>
      </c>
    </row>
    <row r="73" spans="1:9">
      <c r="A73" s="23" t="str">
        <f>TEXT(IF('Spending by Category'!B79&lt;&gt;0,'Spending by Category'!B79-364, ""), "mm/dd/yyyy")</f>
        <v/>
      </c>
      <c r="B73" s="23" t="str">
        <f>IFERROR(IF(ISNUMBER('Spending by Category'!C79),TEXT('Spending by Category'!C79,"0.00"), ""), "")</f>
        <v/>
      </c>
      <c r="C73" s="23" t="str">
        <f>IFERROR(IF(ISNUMBER('Spending by Category'!D79),TEXT('Spending by Category'!D79,"0.00"), ""), "")</f>
        <v/>
      </c>
      <c r="D73" s="23" t="str">
        <f>IFERROR(IF(ISNUMBER('Spending by Category'!E79),TEXT('Spending by Category'!E79,"0.00"), ""), "")</f>
        <v/>
      </c>
      <c r="E73" s="23" t="str">
        <f>IFERROR(IF(ISNUMBER('Spending by Category'!F79),TEXT('Spending by Category'!F79,"0.00"), ""), "")</f>
        <v/>
      </c>
      <c r="F73" s="23" t="str">
        <f>IFERROR(IF(ISNUMBER('Spending by Category'!G79),TEXT('Spending by Category'!G79,"0.00"), ""), "")</f>
        <v/>
      </c>
      <c r="G73" s="23" t="str">
        <f>IFERROR(IF(ISNUMBER('Spending by Category'!H79),TEXT('Spending by Category'!H79,"0.00"), ""), "")</f>
        <v/>
      </c>
      <c r="H73" s="23" t="str">
        <f>IFERROR(IF(ISNUMBER('Spending by Category'!I79),TEXT('Spending by Category'!I79,"0.00"), ""), "")</f>
        <v/>
      </c>
      <c r="I73" s="23" t="str">
        <f>IFERROR(IF(ISNUMBER('Spending by Category'!J79),TEXT('Spending by Category'!J79,"0.00"), ""), "")</f>
        <v/>
      </c>
    </row>
    <row r="74" spans="1:9">
      <c r="A74" s="23" t="str">
        <f>TEXT(IF('Spending by Category'!B80&lt;&gt;0,'Spending by Category'!B80-364, ""), "mm/dd/yyyy")</f>
        <v/>
      </c>
      <c r="B74" s="23" t="str">
        <f>IFERROR(IF(ISNUMBER('Spending by Category'!C80),TEXT('Spending by Category'!C80,"0.00"), ""), "")</f>
        <v/>
      </c>
      <c r="C74" s="23" t="str">
        <f>IFERROR(IF(ISNUMBER('Spending by Category'!D80),TEXT('Spending by Category'!D80,"0.00"), ""), "")</f>
        <v/>
      </c>
      <c r="D74" s="23" t="str">
        <f>IFERROR(IF(ISNUMBER('Spending by Category'!E80),TEXT('Spending by Category'!E80,"0.00"), ""), "")</f>
        <v/>
      </c>
      <c r="E74" s="23" t="str">
        <f>IFERROR(IF(ISNUMBER('Spending by Category'!F80),TEXT('Spending by Category'!F80,"0.00"), ""), "")</f>
        <v/>
      </c>
      <c r="F74" s="23" t="str">
        <f>IFERROR(IF(ISNUMBER('Spending by Category'!G80),TEXT('Spending by Category'!G80,"0.00"), ""), "")</f>
        <v/>
      </c>
      <c r="G74" s="23" t="str">
        <f>IFERROR(IF(ISNUMBER('Spending by Category'!H80),TEXT('Spending by Category'!H80,"0.00"), ""), "")</f>
        <v/>
      </c>
      <c r="H74" s="23" t="str">
        <f>IFERROR(IF(ISNUMBER('Spending by Category'!I80),TEXT('Spending by Category'!I80,"0.00"), ""), "")</f>
        <v/>
      </c>
      <c r="I74" s="23" t="str">
        <f>IFERROR(IF(ISNUMBER('Spending by Category'!J80),TEXT('Spending by Category'!J80,"0.00"), ""), "")</f>
        <v/>
      </c>
    </row>
    <row r="75" spans="1:9">
      <c r="A75" s="23" t="str">
        <f>TEXT(IF('Spending by Category'!B81&lt;&gt;0,'Spending by Category'!B81-364, ""), "mm/dd/yyyy")</f>
        <v/>
      </c>
      <c r="B75" s="23" t="str">
        <f>IFERROR(IF(ISNUMBER('Spending by Category'!C81),TEXT('Spending by Category'!C81,"0.00"), ""), "")</f>
        <v/>
      </c>
      <c r="C75" s="23" t="str">
        <f>IFERROR(IF(ISNUMBER('Spending by Category'!D81),TEXT('Spending by Category'!D81,"0.00"), ""), "")</f>
        <v/>
      </c>
      <c r="D75" s="23" t="str">
        <f>IFERROR(IF(ISNUMBER('Spending by Category'!E81),TEXT('Spending by Category'!E81,"0.00"), ""), "")</f>
        <v/>
      </c>
      <c r="E75" s="23" t="str">
        <f>IFERROR(IF(ISNUMBER('Spending by Category'!F81),TEXT('Spending by Category'!F81,"0.00"), ""), "")</f>
        <v/>
      </c>
      <c r="F75" s="23" t="str">
        <f>IFERROR(IF(ISNUMBER('Spending by Category'!G81),TEXT('Spending by Category'!G81,"0.00"), ""), "")</f>
        <v/>
      </c>
      <c r="G75" s="23" t="str">
        <f>IFERROR(IF(ISNUMBER('Spending by Category'!H81),TEXT('Spending by Category'!H81,"0.00"), ""), "")</f>
        <v/>
      </c>
      <c r="H75" s="23" t="str">
        <f>IFERROR(IF(ISNUMBER('Spending by Category'!I81),TEXT('Spending by Category'!I81,"0.00"), ""), "")</f>
        <v/>
      </c>
      <c r="I75" s="23" t="str">
        <f>IFERROR(IF(ISNUMBER('Spending by Category'!J81),TEXT('Spending by Category'!J81,"0.00"), ""), "")</f>
        <v/>
      </c>
    </row>
    <row r="76" spans="1:9">
      <c r="A76" s="23" t="str">
        <f>TEXT(IF('Spending by Category'!B82&lt;&gt;0,'Spending by Category'!B82-364, ""), "mm/dd/yyyy")</f>
        <v/>
      </c>
      <c r="B76" s="23" t="str">
        <f>IFERROR(IF(ISNUMBER('Spending by Category'!C82),TEXT('Spending by Category'!C82,"0.00"), ""), "")</f>
        <v/>
      </c>
      <c r="C76" s="23" t="str">
        <f>IFERROR(IF(ISNUMBER('Spending by Category'!D82),TEXT('Spending by Category'!D82,"0.00"), ""), "")</f>
        <v/>
      </c>
      <c r="D76" s="23" t="str">
        <f>IFERROR(IF(ISNUMBER('Spending by Category'!E82),TEXT('Spending by Category'!E82,"0.00"), ""), "")</f>
        <v/>
      </c>
      <c r="E76" s="23" t="str">
        <f>IFERROR(IF(ISNUMBER('Spending by Category'!F82),TEXT('Spending by Category'!F82,"0.00"), ""), "")</f>
        <v/>
      </c>
      <c r="F76" s="23" t="str">
        <f>IFERROR(IF(ISNUMBER('Spending by Category'!G82),TEXT('Spending by Category'!G82,"0.00"), ""), "")</f>
        <v/>
      </c>
      <c r="G76" s="23" t="str">
        <f>IFERROR(IF(ISNUMBER('Spending by Category'!H82),TEXT('Spending by Category'!H82,"0.00"), ""), "")</f>
        <v/>
      </c>
      <c r="H76" s="23" t="str">
        <f>IFERROR(IF(ISNUMBER('Spending by Category'!I82),TEXT('Spending by Category'!I82,"0.00"), ""), "")</f>
        <v/>
      </c>
      <c r="I76" s="23" t="str">
        <f>IFERROR(IF(ISNUMBER('Spending by Category'!J82),TEXT('Spending by Category'!J82,"0.00"), ""), "")</f>
        <v/>
      </c>
    </row>
    <row r="77" spans="1:9">
      <c r="A77" s="23" t="str">
        <f>TEXT(IF('Spending by Category'!B83&lt;&gt;0,'Spending by Category'!B83-364, ""), "mm/dd/yyyy")</f>
        <v/>
      </c>
      <c r="B77" s="23" t="str">
        <f>IFERROR(IF(ISNUMBER('Spending by Category'!C83),TEXT('Spending by Category'!C83,"0.00"), ""), "")</f>
        <v/>
      </c>
      <c r="C77" s="23" t="str">
        <f>IFERROR(IF(ISNUMBER('Spending by Category'!D83),TEXT('Spending by Category'!D83,"0.00"), ""), "")</f>
        <v/>
      </c>
      <c r="D77" s="23" t="str">
        <f>IFERROR(IF(ISNUMBER('Spending by Category'!E83),TEXT('Spending by Category'!E83,"0.00"), ""), "")</f>
        <v/>
      </c>
      <c r="E77" s="23" t="str">
        <f>IFERROR(IF(ISNUMBER('Spending by Category'!F83),TEXT('Spending by Category'!F83,"0.00"), ""), "")</f>
        <v/>
      </c>
      <c r="F77" s="23" t="str">
        <f>IFERROR(IF(ISNUMBER('Spending by Category'!G83),TEXT('Spending by Category'!G83,"0.00"), ""), "")</f>
        <v/>
      </c>
      <c r="G77" s="23" t="str">
        <f>IFERROR(IF(ISNUMBER('Spending by Category'!H83),TEXT('Spending by Category'!H83,"0.00"), ""), "")</f>
        <v/>
      </c>
      <c r="H77" s="23" t="str">
        <f>IFERROR(IF(ISNUMBER('Spending by Category'!I83),TEXT('Spending by Category'!I83,"0.00"), ""), "")</f>
        <v/>
      </c>
      <c r="I77" s="23" t="str">
        <f>IFERROR(IF(ISNUMBER('Spending by Category'!J83),TEXT('Spending by Category'!J83,"0.00"), ""), "")</f>
        <v/>
      </c>
    </row>
    <row r="78" spans="1:9">
      <c r="A78" s="23" t="str">
        <f>TEXT(IF('Spending by Category'!B84&lt;&gt;0,'Spending by Category'!B84-364, ""), "mm/dd/yyyy")</f>
        <v/>
      </c>
      <c r="B78" s="23" t="str">
        <f>IFERROR(IF(ISNUMBER('Spending by Category'!C84),TEXT('Spending by Category'!C84,"0.00"), ""), "")</f>
        <v/>
      </c>
      <c r="C78" s="23" t="str">
        <f>IFERROR(IF(ISNUMBER('Spending by Category'!D84),TEXT('Spending by Category'!D84,"0.00"), ""), "")</f>
        <v/>
      </c>
      <c r="D78" s="23" t="str">
        <f>IFERROR(IF(ISNUMBER('Spending by Category'!E84),TEXT('Spending by Category'!E84,"0.00"), ""), "")</f>
        <v/>
      </c>
      <c r="E78" s="23" t="str">
        <f>IFERROR(IF(ISNUMBER('Spending by Category'!F84),TEXT('Spending by Category'!F84,"0.00"), ""), "")</f>
        <v/>
      </c>
      <c r="F78" s="23" t="str">
        <f>IFERROR(IF(ISNUMBER('Spending by Category'!G84),TEXT('Spending by Category'!G84,"0.00"), ""), "")</f>
        <v/>
      </c>
      <c r="G78" s="23" t="str">
        <f>IFERROR(IF(ISNUMBER('Spending by Category'!H84),TEXT('Spending by Category'!H84,"0.00"), ""), "")</f>
        <v/>
      </c>
      <c r="H78" s="23" t="str">
        <f>IFERROR(IF(ISNUMBER('Spending by Category'!I84),TEXT('Spending by Category'!I84,"0.00"), ""), "")</f>
        <v/>
      </c>
      <c r="I78" s="23" t="str">
        <f>IFERROR(IF(ISNUMBER('Spending by Category'!J84),TEXT('Spending by Category'!J84,"0.00"), ""), "")</f>
        <v/>
      </c>
    </row>
    <row r="79" spans="1:9">
      <c r="A79" s="23" t="str">
        <f>TEXT(IF('Spending by Category'!B85&lt;&gt;0,'Spending by Category'!B85-364, ""), "mm/dd/yyyy")</f>
        <v/>
      </c>
      <c r="B79" s="23" t="str">
        <f>IFERROR(IF(ISNUMBER('Spending by Category'!C85),TEXT('Spending by Category'!C85,"0.00"), ""), "")</f>
        <v/>
      </c>
      <c r="C79" s="23" t="str">
        <f>IFERROR(IF(ISNUMBER('Spending by Category'!D85),TEXT('Spending by Category'!D85,"0.00"), ""), "")</f>
        <v/>
      </c>
      <c r="D79" s="23" t="str">
        <f>IFERROR(IF(ISNUMBER('Spending by Category'!E85),TEXT('Spending by Category'!E85,"0.00"), ""), "")</f>
        <v/>
      </c>
      <c r="E79" s="23" t="str">
        <f>IFERROR(IF(ISNUMBER('Spending by Category'!F85),TEXT('Spending by Category'!F85,"0.00"), ""), "")</f>
        <v/>
      </c>
      <c r="F79" s="23" t="str">
        <f>IFERROR(IF(ISNUMBER('Spending by Category'!G85),TEXT('Spending by Category'!G85,"0.00"), ""), "")</f>
        <v/>
      </c>
      <c r="G79" s="23" t="str">
        <f>IFERROR(IF(ISNUMBER('Spending by Category'!H85),TEXT('Spending by Category'!H85,"0.00"), ""), "")</f>
        <v/>
      </c>
      <c r="H79" s="23" t="str">
        <f>IFERROR(IF(ISNUMBER('Spending by Category'!I85),TEXT('Spending by Category'!I85,"0.00"), ""), "")</f>
        <v/>
      </c>
      <c r="I79" s="23" t="str">
        <f>IFERROR(IF(ISNUMBER('Spending by Category'!J85),TEXT('Spending by Category'!J85,"0.00"), ""), "")</f>
        <v/>
      </c>
    </row>
    <row r="80" spans="1:9">
      <c r="A80" s="23" t="str">
        <f>TEXT(IF('Spending by Category'!B86&lt;&gt;0,'Spending by Category'!B86-364, ""), "mm/dd/yyyy")</f>
        <v/>
      </c>
      <c r="B80" s="23" t="str">
        <f>IFERROR(IF(ISNUMBER('Spending by Category'!C86),TEXT('Spending by Category'!C86,"0.00"), ""), "")</f>
        <v/>
      </c>
      <c r="C80" s="23" t="str">
        <f>IFERROR(IF(ISNUMBER('Spending by Category'!D86),TEXT('Spending by Category'!D86,"0.00"), ""), "")</f>
        <v/>
      </c>
      <c r="D80" s="23" t="str">
        <f>IFERROR(IF(ISNUMBER('Spending by Category'!E86),TEXT('Spending by Category'!E86,"0.00"), ""), "")</f>
        <v/>
      </c>
      <c r="E80" s="23" t="str">
        <f>IFERROR(IF(ISNUMBER('Spending by Category'!F86),TEXT('Spending by Category'!F86,"0.00"), ""), "")</f>
        <v/>
      </c>
      <c r="F80" s="23" t="str">
        <f>IFERROR(IF(ISNUMBER('Spending by Category'!G86),TEXT('Spending by Category'!G86,"0.00"), ""), "")</f>
        <v/>
      </c>
      <c r="G80" s="23" t="str">
        <f>IFERROR(IF(ISNUMBER('Spending by Category'!H86),TEXT('Spending by Category'!H86,"0.00"), ""), "")</f>
        <v/>
      </c>
      <c r="H80" s="23" t="str">
        <f>IFERROR(IF(ISNUMBER('Spending by Category'!I86),TEXT('Spending by Category'!I86,"0.00"), ""), "")</f>
        <v/>
      </c>
      <c r="I80" s="23" t="str">
        <f>IFERROR(IF(ISNUMBER('Spending by Category'!J86),TEXT('Spending by Category'!J86,"0.00"), ""), "")</f>
        <v/>
      </c>
    </row>
    <row r="81" spans="1:9">
      <c r="A81" s="23" t="str">
        <f>TEXT(IF('Spending by Category'!B87&lt;&gt;0,'Spending by Category'!B87-364, ""), "mm/dd/yyyy")</f>
        <v/>
      </c>
      <c r="B81" s="23" t="str">
        <f>IFERROR(IF(ISNUMBER('Spending by Category'!C87),TEXT('Spending by Category'!C87,"0.00"), ""), "")</f>
        <v/>
      </c>
      <c r="C81" s="23" t="str">
        <f>IFERROR(IF(ISNUMBER('Spending by Category'!D87),TEXT('Spending by Category'!D87,"0.00"), ""), "")</f>
        <v/>
      </c>
      <c r="D81" s="23" t="str">
        <f>IFERROR(IF(ISNUMBER('Spending by Category'!E87),TEXT('Spending by Category'!E87,"0.00"), ""), "")</f>
        <v/>
      </c>
      <c r="E81" s="23" t="str">
        <f>IFERROR(IF(ISNUMBER('Spending by Category'!F87),TEXT('Spending by Category'!F87,"0.00"), ""), "")</f>
        <v/>
      </c>
      <c r="F81" s="23" t="str">
        <f>IFERROR(IF(ISNUMBER('Spending by Category'!G87),TEXT('Spending by Category'!G87,"0.00"), ""), "")</f>
        <v/>
      </c>
      <c r="G81" s="23" t="str">
        <f>IFERROR(IF(ISNUMBER('Spending by Category'!H87),TEXT('Spending by Category'!H87,"0.00"), ""), "")</f>
        <v/>
      </c>
      <c r="H81" s="23" t="str">
        <f>IFERROR(IF(ISNUMBER('Spending by Category'!I87),TEXT('Spending by Category'!I87,"0.00"), ""), "")</f>
        <v/>
      </c>
      <c r="I81" s="23" t="str">
        <f>IFERROR(IF(ISNUMBER('Spending by Category'!J87),TEXT('Spending by Category'!J87,"0.00"), ""), "")</f>
        <v/>
      </c>
    </row>
    <row r="82" spans="1:9">
      <c r="A82" s="23" t="str">
        <f>TEXT(IF('Spending by Category'!B88&lt;&gt;0,'Spending by Category'!B88-364, ""), "mm/dd/yyyy")</f>
        <v/>
      </c>
      <c r="B82" s="23" t="str">
        <f>IFERROR(IF(ISNUMBER('Spending by Category'!C88),TEXT('Spending by Category'!C88,"0.00"), ""), "")</f>
        <v/>
      </c>
      <c r="C82" s="23" t="str">
        <f>IFERROR(IF(ISNUMBER('Spending by Category'!D88),TEXT('Spending by Category'!D88,"0.00"), ""), "")</f>
        <v/>
      </c>
      <c r="D82" s="23" t="str">
        <f>IFERROR(IF(ISNUMBER('Spending by Category'!E88),TEXT('Spending by Category'!E88,"0.00"), ""), "")</f>
        <v/>
      </c>
      <c r="E82" s="23" t="str">
        <f>IFERROR(IF(ISNUMBER('Spending by Category'!F88),TEXT('Spending by Category'!F88,"0.00"), ""), "")</f>
        <v/>
      </c>
      <c r="F82" s="23" t="str">
        <f>IFERROR(IF(ISNUMBER('Spending by Category'!G88),TEXT('Spending by Category'!G88,"0.00"), ""), "")</f>
        <v/>
      </c>
      <c r="G82" s="23" t="str">
        <f>IFERROR(IF(ISNUMBER('Spending by Category'!H88),TEXT('Spending by Category'!H88,"0.00"), ""), "")</f>
        <v/>
      </c>
      <c r="H82" s="23" t="str">
        <f>IFERROR(IF(ISNUMBER('Spending by Category'!I88),TEXT('Spending by Category'!I88,"0.00"), ""), "")</f>
        <v/>
      </c>
      <c r="I82" s="23" t="str">
        <f>IFERROR(IF(ISNUMBER('Spending by Category'!J88),TEXT('Spending by Category'!J88,"0.00"), ""), "")</f>
        <v/>
      </c>
    </row>
    <row r="83" spans="1:9">
      <c r="A83" s="23" t="str">
        <f>TEXT(IF('Spending by Category'!B89&lt;&gt;0,'Spending by Category'!B89-364, ""), "mm/dd/yyyy")</f>
        <v/>
      </c>
      <c r="B83" s="23" t="str">
        <f>IFERROR(IF(ISNUMBER('Spending by Category'!C89),TEXT('Spending by Category'!C89,"0.00"), ""), "")</f>
        <v/>
      </c>
      <c r="C83" s="23" t="str">
        <f>IFERROR(IF(ISNUMBER('Spending by Category'!D89),TEXT('Spending by Category'!D89,"0.00"), ""), "")</f>
        <v/>
      </c>
      <c r="D83" s="23" t="str">
        <f>IFERROR(IF(ISNUMBER('Spending by Category'!E89),TEXT('Spending by Category'!E89,"0.00"), ""), "")</f>
        <v/>
      </c>
      <c r="E83" s="23" t="str">
        <f>IFERROR(IF(ISNUMBER('Spending by Category'!F89),TEXT('Spending by Category'!F89,"0.00"), ""), "")</f>
        <v/>
      </c>
      <c r="F83" s="23" t="str">
        <f>IFERROR(IF(ISNUMBER('Spending by Category'!G89),TEXT('Spending by Category'!G89,"0.00"), ""), "")</f>
        <v/>
      </c>
      <c r="G83" s="23" t="str">
        <f>IFERROR(IF(ISNUMBER('Spending by Category'!H89),TEXT('Spending by Category'!H89,"0.00"), ""), "")</f>
        <v/>
      </c>
      <c r="H83" s="23" t="str">
        <f>IFERROR(IF(ISNUMBER('Spending by Category'!I89),TEXT('Spending by Category'!I89,"0.00"), ""), "")</f>
        <v/>
      </c>
      <c r="I83" s="23" t="str">
        <f>IFERROR(IF(ISNUMBER('Spending by Category'!J89),TEXT('Spending by Category'!J89,"0.00"), ""), "")</f>
        <v/>
      </c>
    </row>
    <row r="84" spans="1:9">
      <c r="A84" s="23" t="str">
        <f>TEXT(IF('Spending by Category'!B90&lt;&gt;0,'Spending by Category'!B90-364, ""), "mm/dd/yyyy")</f>
        <v/>
      </c>
      <c r="B84" s="23" t="str">
        <f>IFERROR(IF(ISNUMBER('Spending by Category'!C90),TEXT('Spending by Category'!C90,"0.00"), ""), "")</f>
        <v/>
      </c>
      <c r="C84" s="23" t="str">
        <f>IFERROR(IF(ISNUMBER('Spending by Category'!D90),TEXT('Spending by Category'!D90,"0.00"), ""), "")</f>
        <v/>
      </c>
      <c r="D84" s="23" t="str">
        <f>IFERROR(IF(ISNUMBER('Spending by Category'!E90),TEXT('Spending by Category'!E90,"0.00"), ""), "")</f>
        <v/>
      </c>
      <c r="E84" s="23" t="str">
        <f>IFERROR(IF(ISNUMBER('Spending by Category'!F90),TEXT('Spending by Category'!F90,"0.00"), ""), "")</f>
        <v/>
      </c>
      <c r="F84" s="23" t="str">
        <f>IFERROR(IF(ISNUMBER('Spending by Category'!G90),TEXT('Spending by Category'!G90,"0.00"), ""), "")</f>
        <v/>
      </c>
      <c r="G84" s="23" t="str">
        <f>IFERROR(IF(ISNUMBER('Spending by Category'!H90),TEXT('Spending by Category'!H90,"0.00"), ""), "")</f>
        <v/>
      </c>
      <c r="H84" s="23" t="str">
        <f>IFERROR(IF(ISNUMBER('Spending by Category'!I90),TEXT('Spending by Category'!I90,"0.00"), ""), "")</f>
        <v/>
      </c>
      <c r="I84" s="23" t="str">
        <f>IFERROR(IF(ISNUMBER('Spending by Category'!J90),TEXT('Spending by Category'!J90,"0.00"), ""), "")</f>
        <v/>
      </c>
    </row>
    <row r="85" spans="1:9">
      <c r="A85" s="23" t="str">
        <f>TEXT(IF('Spending by Category'!B91&lt;&gt;0,'Spending by Category'!B91-364, ""), "mm/dd/yyyy")</f>
        <v/>
      </c>
      <c r="B85" s="23" t="str">
        <f>IFERROR(IF(ISNUMBER('Spending by Category'!C91),TEXT('Spending by Category'!C91,"0.00"), ""), "")</f>
        <v/>
      </c>
      <c r="C85" s="23" t="str">
        <f>IFERROR(IF(ISNUMBER('Spending by Category'!D91),TEXT('Spending by Category'!D91,"0.00"), ""), "")</f>
        <v/>
      </c>
      <c r="D85" s="23" t="str">
        <f>IFERROR(IF(ISNUMBER('Spending by Category'!E91),TEXT('Spending by Category'!E91,"0.00"), ""), "")</f>
        <v/>
      </c>
      <c r="E85" s="23" t="str">
        <f>IFERROR(IF(ISNUMBER('Spending by Category'!F91),TEXT('Spending by Category'!F91,"0.00"), ""), "")</f>
        <v/>
      </c>
      <c r="F85" s="23" t="str">
        <f>IFERROR(IF(ISNUMBER('Spending by Category'!G91),TEXT('Spending by Category'!G91,"0.00"), ""), "")</f>
        <v/>
      </c>
      <c r="G85" s="23" t="str">
        <f>IFERROR(IF(ISNUMBER('Spending by Category'!H91),TEXT('Spending by Category'!H91,"0.00"), ""), "")</f>
        <v/>
      </c>
      <c r="H85" s="23" t="str">
        <f>IFERROR(IF(ISNUMBER('Spending by Category'!I91),TEXT('Spending by Category'!I91,"0.00"), ""), "")</f>
        <v/>
      </c>
      <c r="I85" s="23" t="str">
        <f>IFERROR(IF(ISNUMBER('Spending by Category'!J91),TEXT('Spending by Category'!J91,"0.00"), ""), "")</f>
        <v/>
      </c>
    </row>
    <row r="86" spans="1:9">
      <c r="A86" s="23" t="str">
        <f>TEXT(IF('Spending by Category'!B92&lt;&gt;0,'Spending by Category'!B92-364, ""), "mm/dd/yyyy")</f>
        <v/>
      </c>
      <c r="B86" s="23" t="str">
        <f>IFERROR(IF(ISNUMBER('Spending by Category'!C92),TEXT('Spending by Category'!C92,"0.00"), ""), "")</f>
        <v/>
      </c>
      <c r="C86" s="23" t="str">
        <f>IFERROR(IF(ISNUMBER('Spending by Category'!D92),TEXT('Spending by Category'!D92,"0.00"), ""), "")</f>
        <v/>
      </c>
      <c r="D86" s="23" t="str">
        <f>IFERROR(IF(ISNUMBER('Spending by Category'!E92),TEXT('Spending by Category'!E92,"0.00"), ""), "")</f>
        <v/>
      </c>
      <c r="E86" s="23" t="str">
        <f>IFERROR(IF(ISNUMBER('Spending by Category'!F92),TEXT('Spending by Category'!F92,"0.00"), ""), "")</f>
        <v/>
      </c>
      <c r="F86" s="23" t="str">
        <f>IFERROR(IF(ISNUMBER('Spending by Category'!G92),TEXT('Spending by Category'!G92,"0.00"), ""), "")</f>
        <v/>
      </c>
      <c r="G86" s="23" t="str">
        <f>IFERROR(IF(ISNUMBER('Spending by Category'!H92),TEXT('Spending by Category'!H92,"0.00"), ""), "")</f>
        <v/>
      </c>
      <c r="H86" s="23" t="str">
        <f>IFERROR(IF(ISNUMBER('Spending by Category'!I92),TEXT('Spending by Category'!I92,"0.00"), ""), "")</f>
        <v/>
      </c>
      <c r="I86" s="23" t="str">
        <f>IFERROR(IF(ISNUMBER('Spending by Category'!J92),TEXT('Spending by Category'!J92,"0.00"), ""), "")</f>
        <v/>
      </c>
    </row>
    <row r="87" spans="1:9">
      <c r="A87" s="23" t="str">
        <f>TEXT(IF('Spending by Category'!B93&lt;&gt;0,'Spending by Category'!B93-364, ""), "mm/dd/yyyy")</f>
        <v/>
      </c>
      <c r="B87" s="23" t="str">
        <f>IFERROR(IF(ISNUMBER('Spending by Category'!C93),TEXT('Spending by Category'!C93,"0.00"), ""), "")</f>
        <v/>
      </c>
      <c r="C87" s="23" t="str">
        <f>IFERROR(IF(ISNUMBER('Spending by Category'!D93),TEXT('Spending by Category'!D93,"0.00"), ""), "")</f>
        <v/>
      </c>
      <c r="D87" s="23" t="str">
        <f>IFERROR(IF(ISNUMBER('Spending by Category'!E93),TEXT('Spending by Category'!E93,"0.00"), ""), "")</f>
        <v/>
      </c>
      <c r="E87" s="23" t="str">
        <f>IFERROR(IF(ISNUMBER('Spending by Category'!F93),TEXT('Spending by Category'!F93,"0.00"), ""), "")</f>
        <v/>
      </c>
      <c r="F87" s="23" t="str">
        <f>IFERROR(IF(ISNUMBER('Spending by Category'!G93),TEXT('Spending by Category'!G93,"0.00"), ""), "")</f>
        <v/>
      </c>
      <c r="G87" s="23" t="str">
        <f>IFERROR(IF(ISNUMBER('Spending by Category'!H93),TEXT('Spending by Category'!H93,"0.00"), ""), "")</f>
        <v/>
      </c>
      <c r="H87" s="23" t="str">
        <f>IFERROR(IF(ISNUMBER('Spending by Category'!I93),TEXT('Spending by Category'!I93,"0.00"), ""), "")</f>
        <v/>
      </c>
      <c r="I87" s="23" t="str">
        <f>IFERROR(IF(ISNUMBER('Spending by Category'!J93),TEXT('Spending by Category'!J93,"0.00"), ""), "")</f>
        <v/>
      </c>
    </row>
    <row r="88" spans="1:9">
      <c r="A88" s="23" t="str">
        <f>TEXT(IF('Spending by Category'!B94&lt;&gt;0,'Spending by Category'!B94-364, ""), "mm/dd/yyyy")</f>
        <v/>
      </c>
      <c r="B88" s="23" t="str">
        <f>IFERROR(IF(ISNUMBER('Spending by Category'!C94),TEXT('Spending by Category'!C94,"0.00"), ""), "")</f>
        <v/>
      </c>
      <c r="C88" s="23" t="str">
        <f>IFERROR(IF(ISNUMBER('Spending by Category'!D94),TEXT('Spending by Category'!D94,"0.00"), ""), "")</f>
        <v/>
      </c>
      <c r="D88" s="23" t="str">
        <f>IFERROR(IF(ISNUMBER('Spending by Category'!E94),TEXT('Spending by Category'!E94,"0.00"), ""), "")</f>
        <v/>
      </c>
      <c r="E88" s="23" t="str">
        <f>IFERROR(IF(ISNUMBER('Spending by Category'!F94),TEXT('Spending by Category'!F94,"0.00"), ""), "")</f>
        <v/>
      </c>
      <c r="F88" s="23" t="str">
        <f>IFERROR(IF(ISNUMBER('Spending by Category'!G94),TEXT('Spending by Category'!G94,"0.00"), ""), "")</f>
        <v/>
      </c>
      <c r="G88" s="23" t="str">
        <f>IFERROR(IF(ISNUMBER('Spending by Category'!H94),TEXT('Spending by Category'!H94,"0.00"), ""), "")</f>
        <v/>
      </c>
      <c r="H88" s="23" t="str">
        <f>IFERROR(IF(ISNUMBER('Spending by Category'!I94),TEXT('Spending by Category'!I94,"0.00"), ""), "")</f>
        <v/>
      </c>
      <c r="I88" s="23" t="str">
        <f>IFERROR(IF(ISNUMBER('Spending by Category'!J94),TEXT('Spending by Category'!J94,"0.00"), ""), "")</f>
        <v/>
      </c>
    </row>
    <row r="89" spans="1:9">
      <c r="A89" s="23" t="str">
        <f>TEXT(IF('Spending by Category'!B95&lt;&gt;0,'Spending by Category'!B95-364, ""), "mm/dd/yyyy")</f>
        <v/>
      </c>
      <c r="B89" s="23" t="str">
        <f>IFERROR(IF(ISNUMBER('Spending by Category'!C95),TEXT('Spending by Category'!C95,"0.00"), ""), "")</f>
        <v/>
      </c>
      <c r="C89" s="23" t="str">
        <f>IFERROR(IF(ISNUMBER('Spending by Category'!D95),TEXT('Spending by Category'!D95,"0.00"), ""), "")</f>
        <v/>
      </c>
      <c r="D89" s="23" t="str">
        <f>IFERROR(IF(ISNUMBER('Spending by Category'!E95),TEXT('Spending by Category'!E95,"0.00"), ""), "")</f>
        <v/>
      </c>
      <c r="E89" s="23" t="str">
        <f>IFERROR(IF(ISNUMBER('Spending by Category'!F95),TEXT('Spending by Category'!F95,"0.00"), ""), "")</f>
        <v/>
      </c>
      <c r="F89" s="23" t="str">
        <f>IFERROR(IF(ISNUMBER('Spending by Category'!G95),TEXT('Spending by Category'!G95,"0.00"), ""), "")</f>
        <v/>
      </c>
      <c r="G89" s="23" t="str">
        <f>IFERROR(IF(ISNUMBER('Spending by Category'!H95),TEXT('Spending by Category'!H95,"0.00"), ""), "")</f>
        <v/>
      </c>
      <c r="H89" s="23" t="str">
        <f>IFERROR(IF(ISNUMBER('Spending by Category'!I95),TEXT('Spending by Category'!I95,"0.00"), ""), "")</f>
        <v/>
      </c>
      <c r="I89" s="23" t="str">
        <f>IFERROR(IF(ISNUMBER('Spending by Category'!J95),TEXT('Spending by Category'!J95,"0.00"), ""), "")</f>
        <v/>
      </c>
    </row>
    <row r="90" spans="1:9">
      <c r="A90" s="23" t="str">
        <f>TEXT(IF('Spending by Category'!B96&lt;&gt;0,'Spending by Category'!B96-364, ""), "mm/dd/yyyy")</f>
        <v/>
      </c>
      <c r="B90" s="23" t="str">
        <f>IFERROR(IF(ISNUMBER('Spending by Category'!C96),TEXT('Spending by Category'!C96,"0.00"), ""), "")</f>
        <v/>
      </c>
      <c r="C90" s="23" t="str">
        <f>IFERROR(IF(ISNUMBER('Spending by Category'!D96),TEXT('Spending by Category'!D96,"0.00"), ""), "")</f>
        <v/>
      </c>
      <c r="D90" s="23" t="str">
        <f>IFERROR(IF(ISNUMBER('Spending by Category'!E96),TEXT('Spending by Category'!E96,"0.00"), ""), "")</f>
        <v/>
      </c>
      <c r="E90" s="23" t="str">
        <f>IFERROR(IF(ISNUMBER('Spending by Category'!F96),TEXT('Spending by Category'!F96,"0.00"), ""), "")</f>
        <v/>
      </c>
      <c r="F90" s="23" t="str">
        <f>IFERROR(IF(ISNUMBER('Spending by Category'!G96),TEXT('Spending by Category'!G96,"0.00"), ""), "")</f>
        <v/>
      </c>
      <c r="G90" s="23" t="str">
        <f>IFERROR(IF(ISNUMBER('Spending by Category'!H96),TEXT('Spending by Category'!H96,"0.00"), ""), "")</f>
        <v/>
      </c>
      <c r="H90" s="23" t="str">
        <f>IFERROR(IF(ISNUMBER('Spending by Category'!I96),TEXT('Spending by Category'!I96,"0.00"), ""), "")</f>
        <v/>
      </c>
      <c r="I90" s="23" t="str">
        <f>IFERROR(IF(ISNUMBER('Spending by Category'!J96),TEXT('Spending by Category'!J96,"0.00"), ""), "")</f>
        <v/>
      </c>
    </row>
    <row r="91" spans="1:9">
      <c r="A91" s="23" t="str">
        <f>TEXT(IF('Spending by Category'!B97&lt;&gt;0,'Spending by Category'!B97-364, ""), "mm/dd/yyyy")</f>
        <v/>
      </c>
      <c r="B91" s="23" t="str">
        <f>IFERROR(IF(ISNUMBER('Spending by Category'!C97),TEXT('Spending by Category'!C97,"0.00"), ""), "")</f>
        <v/>
      </c>
      <c r="C91" s="23" t="str">
        <f>IFERROR(IF(ISNUMBER('Spending by Category'!D97),TEXT('Spending by Category'!D97,"0.00"), ""), "")</f>
        <v/>
      </c>
      <c r="D91" s="23" t="str">
        <f>IFERROR(IF(ISNUMBER('Spending by Category'!E97),TEXT('Spending by Category'!E97,"0.00"), ""), "")</f>
        <v/>
      </c>
      <c r="E91" s="23" t="str">
        <f>IFERROR(IF(ISNUMBER('Spending by Category'!F97),TEXT('Spending by Category'!F97,"0.00"), ""), "")</f>
        <v/>
      </c>
      <c r="F91" s="23" t="str">
        <f>IFERROR(IF(ISNUMBER('Spending by Category'!G97),TEXT('Spending by Category'!G97,"0.00"), ""), "")</f>
        <v/>
      </c>
      <c r="G91" s="23" t="str">
        <f>IFERROR(IF(ISNUMBER('Spending by Category'!H97),TEXT('Spending by Category'!H97,"0.00"), ""), "")</f>
        <v/>
      </c>
      <c r="H91" s="23" t="str">
        <f>IFERROR(IF(ISNUMBER('Spending by Category'!I97),TEXT('Spending by Category'!I97,"0.00"), ""), "")</f>
        <v/>
      </c>
      <c r="I91" s="23" t="str">
        <f>IFERROR(IF(ISNUMBER('Spending by Category'!J97),TEXT('Spending by Category'!J97,"0.00"), ""), "")</f>
        <v/>
      </c>
    </row>
    <row r="92" spans="1:9">
      <c r="A92" s="23" t="str">
        <f>TEXT(IF('Spending by Category'!B98&lt;&gt;0,'Spending by Category'!B98-364, ""), "mm/dd/yyyy")</f>
        <v/>
      </c>
      <c r="B92" s="23" t="str">
        <f>IFERROR(IF(ISNUMBER('Spending by Category'!C98),TEXT('Spending by Category'!C98,"0.00"), ""), "")</f>
        <v/>
      </c>
      <c r="C92" s="23" t="str">
        <f>IFERROR(IF(ISNUMBER('Spending by Category'!D98),TEXT('Spending by Category'!D98,"0.00"), ""), "")</f>
        <v/>
      </c>
      <c r="D92" s="23" t="str">
        <f>IFERROR(IF(ISNUMBER('Spending by Category'!E98),TEXT('Spending by Category'!E98,"0.00"), ""), "")</f>
        <v/>
      </c>
      <c r="E92" s="23" t="str">
        <f>IFERROR(IF(ISNUMBER('Spending by Category'!F98),TEXT('Spending by Category'!F98,"0.00"), ""), "")</f>
        <v/>
      </c>
      <c r="F92" s="23" t="str">
        <f>IFERROR(IF(ISNUMBER('Spending by Category'!G98),TEXT('Spending by Category'!G98,"0.00"), ""), "")</f>
        <v/>
      </c>
      <c r="G92" s="23" t="str">
        <f>IFERROR(IF(ISNUMBER('Spending by Category'!H98),TEXT('Spending by Category'!H98,"0.00"), ""), "")</f>
        <v/>
      </c>
      <c r="H92" s="23" t="str">
        <f>IFERROR(IF(ISNUMBER('Spending by Category'!I98),TEXT('Spending by Category'!I98,"0.00"), ""), "")</f>
        <v/>
      </c>
      <c r="I92" s="23" t="str">
        <f>IFERROR(IF(ISNUMBER('Spending by Category'!J98),TEXT('Spending by Category'!J98,"0.00"), ""), "")</f>
        <v/>
      </c>
    </row>
    <row r="93" spans="1:9">
      <c r="A93" s="23" t="str">
        <f>TEXT(IF('Spending by Category'!B99&lt;&gt;0,'Spending by Category'!B99-364, ""), "mm/dd/yyyy")</f>
        <v/>
      </c>
      <c r="B93" s="23" t="str">
        <f>IFERROR(IF(ISNUMBER('Spending by Category'!C99),TEXT('Spending by Category'!C99,"0.00"), ""), "")</f>
        <v/>
      </c>
      <c r="C93" s="23" t="str">
        <f>IFERROR(IF(ISNUMBER('Spending by Category'!D99),TEXT('Spending by Category'!D99,"0.00"), ""), "")</f>
        <v/>
      </c>
      <c r="D93" s="23" t="str">
        <f>IFERROR(IF(ISNUMBER('Spending by Category'!E99),TEXT('Spending by Category'!E99,"0.00"), ""), "")</f>
        <v/>
      </c>
      <c r="E93" s="23" t="str">
        <f>IFERROR(IF(ISNUMBER('Spending by Category'!F99),TEXT('Spending by Category'!F99,"0.00"), ""), "")</f>
        <v/>
      </c>
      <c r="F93" s="23" t="str">
        <f>IFERROR(IF(ISNUMBER('Spending by Category'!G99),TEXT('Spending by Category'!G99,"0.00"), ""), "")</f>
        <v/>
      </c>
      <c r="G93" s="23" t="str">
        <f>IFERROR(IF(ISNUMBER('Spending by Category'!H99),TEXT('Spending by Category'!H99,"0.00"), ""), "")</f>
        <v/>
      </c>
      <c r="H93" s="23" t="str">
        <f>IFERROR(IF(ISNUMBER('Spending by Category'!I99),TEXT('Spending by Category'!I99,"0.00"), ""), "")</f>
        <v/>
      </c>
      <c r="I93" s="23" t="str">
        <f>IFERROR(IF(ISNUMBER('Spending by Category'!J99),TEXT('Spending by Category'!J99,"0.00"), ""), "")</f>
        <v/>
      </c>
    </row>
    <row r="94" spans="1:9">
      <c r="A94" s="23" t="str">
        <f>TEXT(IF('Spending by Category'!B100&lt;&gt;0,'Spending by Category'!B100-364, ""), "mm/dd/yyyy")</f>
        <v/>
      </c>
      <c r="B94" s="23" t="str">
        <f>IFERROR(IF(ISNUMBER('Spending by Category'!C100),TEXT('Spending by Category'!C100,"0.00"), ""), "")</f>
        <v/>
      </c>
      <c r="C94" s="23" t="str">
        <f>IFERROR(IF(ISNUMBER('Spending by Category'!D100),TEXT('Spending by Category'!D100,"0.00"), ""), "")</f>
        <v/>
      </c>
      <c r="D94" s="23" t="str">
        <f>IFERROR(IF(ISNUMBER('Spending by Category'!E100),TEXT('Spending by Category'!E100,"0.00"), ""), "")</f>
        <v/>
      </c>
      <c r="E94" s="23" t="str">
        <f>IFERROR(IF(ISNUMBER('Spending by Category'!F100),TEXT('Spending by Category'!F100,"0.00"), ""), "")</f>
        <v/>
      </c>
      <c r="F94" s="23" t="str">
        <f>IFERROR(IF(ISNUMBER('Spending by Category'!G100),TEXT('Spending by Category'!G100,"0.00"), ""), "")</f>
        <v/>
      </c>
      <c r="G94" s="23" t="str">
        <f>IFERROR(IF(ISNUMBER('Spending by Category'!H100),TEXT('Spending by Category'!H100,"0.00"), ""), "")</f>
        <v/>
      </c>
      <c r="H94" s="23" t="str">
        <f>IFERROR(IF(ISNUMBER('Spending by Category'!I100),TEXT('Spending by Category'!I100,"0.00"), ""), "")</f>
        <v/>
      </c>
      <c r="I94" s="23" t="str">
        <f>IFERROR(IF(ISNUMBER('Spending by Category'!J100),TEXT('Spending by Category'!J100,"0.00"), ""), "")</f>
        <v/>
      </c>
    </row>
    <row r="95" spans="1:9">
      <c r="A95" s="23" t="str">
        <f>TEXT(IF('Spending by Category'!B101&lt;&gt;0,'Spending by Category'!B101-364, ""), "mm/dd/yyyy")</f>
        <v/>
      </c>
      <c r="B95" s="23" t="str">
        <f>IFERROR(IF(ISNUMBER('Spending by Category'!C101),TEXT('Spending by Category'!C101,"0.00"), ""), "")</f>
        <v/>
      </c>
      <c r="C95" s="23" t="str">
        <f>IFERROR(IF(ISNUMBER('Spending by Category'!D101),TEXT('Spending by Category'!D101,"0.00"), ""), "")</f>
        <v/>
      </c>
      <c r="D95" s="23" t="str">
        <f>IFERROR(IF(ISNUMBER('Spending by Category'!E101),TEXT('Spending by Category'!E101,"0.00"), ""), "")</f>
        <v/>
      </c>
      <c r="E95" s="23" t="str">
        <f>IFERROR(IF(ISNUMBER('Spending by Category'!F101),TEXT('Spending by Category'!F101,"0.00"), ""), "")</f>
        <v/>
      </c>
      <c r="F95" s="23" t="str">
        <f>IFERROR(IF(ISNUMBER('Spending by Category'!G101),TEXT('Spending by Category'!G101,"0.00"), ""), "")</f>
        <v/>
      </c>
      <c r="G95" s="23" t="str">
        <f>IFERROR(IF(ISNUMBER('Spending by Category'!H101),TEXT('Spending by Category'!H101,"0.00"), ""), "")</f>
        <v/>
      </c>
      <c r="H95" s="23" t="str">
        <f>IFERROR(IF(ISNUMBER('Spending by Category'!I101),TEXT('Spending by Category'!I101,"0.00"), ""), "")</f>
        <v/>
      </c>
      <c r="I95" s="23" t="str">
        <f>IFERROR(IF(ISNUMBER('Spending by Category'!J101),TEXT('Spending by Category'!J101,"0.00"), ""), "")</f>
        <v/>
      </c>
    </row>
    <row r="96" spans="1:9">
      <c r="A96" s="23" t="str">
        <f>TEXT(IF('Spending by Category'!B102&lt;&gt;0,'Spending by Category'!B102-364, ""), "mm/dd/yyyy")</f>
        <v/>
      </c>
      <c r="B96" s="23" t="str">
        <f>IFERROR(IF(ISNUMBER('Spending by Category'!C102),TEXT('Spending by Category'!C102,"0.00"), ""), "")</f>
        <v/>
      </c>
      <c r="C96" s="23" t="str">
        <f>IFERROR(IF(ISNUMBER('Spending by Category'!D102),TEXT('Spending by Category'!D102,"0.00"), ""), "")</f>
        <v/>
      </c>
      <c r="D96" s="23" t="str">
        <f>IFERROR(IF(ISNUMBER('Spending by Category'!E102),TEXT('Spending by Category'!E102,"0.00"), ""), "")</f>
        <v/>
      </c>
      <c r="E96" s="23" t="str">
        <f>IFERROR(IF(ISNUMBER('Spending by Category'!F102),TEXT('Spending by Category'!F102,"0.00"), ""), "")</f>
        <v/>
      </c>
      <c r="F96" s="23" t="str">
        <f>IFERROR(IF(ISNUMBER('Spending by Category'!G102),TEXT('Spending by Category'!G102,"0.00"), ""), "")</f>
        <v/>
      </c>
      <c r="G96" s="23" t="str">
        <f>IFERROR(IF(ISNUMBER('Spending by Category'!H102),TEXT('Spending by Category'!H102,"0.00"), ""), "")</f>
        <v/>
      </c>
      <c r="H96" s="23" t="str">
        <f>IFERROR(IF(ISNUMBER('Spending by Category'!I102),TEXT('Spending by Category'!I102,"0.00"), ""), "")</f>
        <v/>
      </c>
      <c r="I96" s="23" t="str">
        <f>IFERROR(IF(ISNUMBER('Spending by Category'!J102),TEXT('Spending by Category'!J102,"0.00"), ""), "")</f>
        <v/>
      </c>
    </row>
    <row r="97" spans="1:9">
      <c r="A97" s="23" t="str">
        <f>TEXT(IF('Spending by Category'!B103&lt;&gt;0,'Spending by Category'!B103-364, ""), "mm/dd/yyyy")</f>
        <v/>
      </c>
      <c r="B97" s="23" t="str">
        <f>IFERROR(IF(ISNUMBER('Spending by Category'!C103),TEXT('Spending by Category'!C103,"0.00"), ""), "")</f>
        <v/>
      </c>
      <c r="C97" s="23" t="str">
        <f>IFERROR(IF(ISNUMBER('Spending by Category'!D103),TEXT('Spending by Category'!D103,"0.00"), ""), "")</f>
        <v/>
      </c>
      <c r="D97" s="23" t="str">
        <f>IFERROR(IF(ISNUMBER('Spending by Category'!E103),TEXT('Spending by Category'!E103,"0.00"), ""), "")</f>
        <v/>
      </c>
      <c r="E97" s="23" t="str">
        <f>IFERROR(IF(ISNUMBER('Spending by Category'!F103),TEXT('Spending by Category'!F103,"0.00"), ""), "")</f>
        <v/>
      </c>
      <c r="F97" s="23" t="str">
        <f>IFERROR(IF(ISNUMBER('Spending by Category'!G103),TEXT('Spending by Category'!G103,"0.00"), ""), "")</f>
        <v/>
      </c>
      <c r="G97" s="23" t="str">
        <f>IFERROR(IF(ISNUMBER('Spending by Category'!H103),TEXT('Spending by Category'!H103,"0.00"), ""), "")</f>
        <v/>
      </c>
      <c r="H97" s="23" t="str">
        <f>IFERROR(IF(ISNUMBER('Spending by Category'!I103),TEXT('Spending by Category'!I103,"0.00"), ""), "")</f>
        <v/>
      </c>
      <c r="I97" s="23" t="str">
        <f>IFERROR(IF(ISNUMBER('Spending by Category'!J103),TEXT('Spending by Category'!J103,"0.00"), ""), "")</f>
        <v/>
      </c>
    </row>
    <row r="98" spans="1:9">
      <c r="A98" s="23" t="str">
        <f>TEXT(IF('Spending by Category'!B104&lt;&gt;0,'Spending by Category'!B104-364, ""), "mm/dd/yyyy")</f>
        <v/>
      </c>
      <c r="B98" s="23" t="str">
        <f>IFERROR(IF(ISNUMBER('Spending by Category'!C104),TEXT('Spending by Category'!C104,"0.00"), ""), "")</f>
        <v/>
      </c>
      <c r="C98" s="23" t="str">
        <f>IFERROR(IF(ISNUMBER('Spending by Category'!D104),TEXT('Spending by Category'!D104,"0.00"), ""), "")</f>
        <v/>
      </c>
      <c r="D98" s="23" t="str">
        <f>IFERROR(IF(ISNUMBER('Spending by Category'!E104),TEXT('Spending by Category'!E104,"0.00"), ""), "")</f>
        <v/>
      </c>
      <c r="E98" s="23" t="str">
        <f>IFERROR(IF(ISNUMBER('Spending by Category'!F104),TEXT('Spending by Category'!F104,"0.00"), ""), "")</f>
        <v/>
      </c>
      <c r="F98" s="23" t="str">
        <f>IFERROR(IF(ISNUMBER('Spending by Category'!G104),TEXT('Spending by Category'!G104,"0.00"), ""), "")</f>
        <v/>
      </c>
      <c r="G98" s="23" t="str">
        <f>IFERROR(IF(ISNUMBER('Spending by Category'!H104),TEXT('Spending by Category'!H104,"0.00"), ""), "")</f>
        <v/>
      </c>
      <c r="H98" s="23" t="str">
        <f>IFERROR(IF(ISNUMBER('Spending by Category'!I104),TEXT('Spending by Category'!I104,"0.00"), ""), "")</f>
        <v/>
      </c>
      <c r="I98" s="23" t="str">
        <f>IFERROR(IF(ISNUMBER('Spending by Category'!J104),TEXT('Spending by Category'!J104,"0.00"), ""), "")</f>
        <v/>
      </c>
    </row>
    <row r="99" spans="1:9">
      <c r="A99" s="23" t="str">
        <f>TEXT(IF('Spending by Category'!B105&lt;&gt;0,'Spending by Category'!B105-364, ""), "mm/dd/yyyy")</f>
        <v/>
      </c>
      <c r="B99" s="23" t="str">
        <f>IFERROR(IF(ISNUMBER('Spending by Category'!C105),TEXT('Spending by Category'!C105,"0.00"), ""), "")</f>
        <v/>
      </c>
      <c r="C99" s="23" t="str">
        <f>IFERROR(IF(ISNUMBER('Spending by Category'!D105),TEXT('Spending by Category'!D105,"0.00"), ""), "")</f>
        <v/>
      </c>
      <c r="D99" s="23" t="str">
        <f>IFERROR(IF(ISNUMBER('Spending by Category'!E105),TEXT('Spending by Category'!E105,"0.00"), ""), "")</f>
        <v/>
      </c>
      <c r="E99" s="23" t="str">
        <f>IFERROR(IF(ISNUMBER('Spending by Category'!F105),TEXT('Spending by Category'!F105,"0.00"), ""), "")</f>
        <v/>
      </c>
      <c r="F99" s="23" t="str">
        <f>IFERROR(IF(ISNUMBER('Spending by Category'!G105),TEXT('Spending by Category'!G105,"0.00"), ""), "")</f>
        <v/>
      </c>
      <c r="G99" s="23" t="str">
        <f>IFERROR(IF(ISNUMBER('Spending by Category'!H105),TEXT('Spending by Category'!H105,"0.00"), ""), "")</f>
        <v/>
      </c>
      <c r="H99" s="23" t="str">
        <f>IFERROR(IF(ISNUMBER('Spending by Category'!I105),TEXT('Spending by Category'!I105,"0.00"), ""), "")</f>
        <v/>
      </c>
      <c r="I99" s="23" t="str">
        <f>IFERROR(IF(ISNUMBER('Spending by Category'!J105),TEXT('Spending by Category'!J105,"0.00"), ""), "")</f>
        <v/>
      </c>
    </row>
    <row r="100" spans="1:9">
      <c r="A100" s="23" t="str">
        <f>TEXT(IF('Spending by Category'!B106&lt;&gt;0,'Spending by Category'!B106-364, ""), "mm/dd/yyyy")</f>
        <v/>
      </c>
      <c r="B100" s="23" t="str">
        <f>IFERROR(IF(ISNUMBER('Spending by Category'!C106),TEXT('Spending by Category'!C106,"0.00"), ""), "")</f>
        <v/>
      </c>
      <c r="C100" s="23" t="str">
        <f>IFERROR(IF(ISNUMBER('Spending by Category'!D106),TEXT('Spending by Category'!D106,"0.00"), ""), "")</f>
        <v/>
      </c>
      <c r="D100" s="23" t="str">
        <f>IFERROR(IF(ISNUMBER('Spending by Category'!E106),TEXT('Spending by Category'!E106,"0.00"), ""), "")</f>
        <v/>
      </c>
      <c r="E100" s="23" t="str">
        <f>IFERROR(IF(ISNUMBER('Spending by Category'!F106),TEXT('Spending by Category'!F106,"0.00"), ""), "")</f>
        <v/>
      </c>
      <c r="F100" s="23" t="str">
        <f>IFERROR(IF(ISNUMBER('Spending by Category'!G106),TEXT('Spending by Category'!G106,"0.00"), ""), "")</f>
        <v/>
      </c>
      <c r="G100" s="23" t="str">
        <f>IFERROR(IF(ISNUMBER('Spending by Category'!H106),TEXT('Spending by Category'!H106,"0.00"), ""), "")</f>
        <v/>
      </c>
      <c r="H100" s="23" t="str">
        <f>IFERROR(IF(ISNUMBER('Spending by Category'!I106),TEXT('Spending by Category'!I106,"0.00"), ""), "")</f>
        <v/>
      </c>
      <c r="I100" s="23" t="str">
        <f>IFERROR(IF(ISNUMBER('Spending by Category'!J106),TEXT('Spending by Category'!J106,"0.00"), ""), "")</f>
        <v/>
      </c>
    </row>
    <row r="101" spans="1:9">
      <c r="A101" s="23" t="str">
        <f>TEXT(IF('Spending by Category'!B107&lt;&gt;0,'Spending by Category'!B107-364, ""), "mm/dd/yyyy")</f>
        <v/>
      </c>
      <c r="B101" s="23" t="str">
        <f>IFERROR(IF(ISNUMBER('Spending by Category'!C107),TEXT('Spending by Category'!C107,"0.00"), ""), "")</f>
        <v/>
      </c>
      <c r="C101" s="23" t="str">
        <f>IFERROR(IF(ISNUMBER('Spending by Category'!D107),TEXT('Spending by Category'!D107,"0.00"), ""), "")</f>
        <v/>
      </c>
      <c r="D101" s="23" t="str">
        <f>IFERROR(IF(ISNUMBER('Spending by Category'!E107),TEXT('Spending by Category'!E107,"0.00"), ""), "")</f>
        <v/>
      </c>
      <c r="E101" s="23" t="str">
        <f>IFERROR(IF(ISNUMBER('Spending by Category'!F107),TEXT('Spending by Category'!F107,"0.00"), ""), "")</f>
        <v/>
      </c>
      <c r="F101" s="23" t="str">
        <f>IFERROR(IF(ISNUMBER('Spending by Category'!G107),TEXT('Spending by Category'!G107,"0.00"), ""), "")</f>
        <v/>
      </c>
      <c r="G101" s="23" t="str">
        <f>IFERROR(IF(ISNUMBER('Spending by Category'!H107),TEXT('Spending by Category'!H107,"0.00"), ""), "")</f>
        <v/>
      </c>
      <c r="H101" s="23" t="str">
        <f>IFERROR(IF(ISNUMBER('Spending by Category'!I107),TEXT('Spending by Category'!I107,"0.00"), ""), "")</f>
        <v/>
      </c>
      <c r="I101" s="23" t="str">
        <f>IFERROR(IF(ISNUMBER('Spending by Category'!J107),TEXT('Spending by Category'!J107,"0.00"), ""), "")</f>
        <v/>
      </c>
    </row>
    <row r="102" spans="1:9">
      <c r="A102" s="23" t="str">
        <f>TEXT(IF('Spending by Category'!B108&lt;&gt;0,'Spending by Category'!B108-364, ""), "mm/dd/yyyy")</f>
        <v/>
      </c>
      <c r="B102" s="23" t="str">
        <f>IFERROR(IF(ISNUMBER('Spending by Category'!C108),TEXT('Spending by Category'!C108,"0.00"), ""), "")</f>
        <v/>
      </c>
      <c r="C102" s="23" t="str">
        <f>IFERROR(IF(ISNUMBER('Spending by Category'!D108),TEXT('Spending by Category'!D108,"0.00"), ""), "")</f>
        <v/>
      </c>
      <c r="D102" s="23" t="str">
        <f>IFERROR(IF(ISNUMBER('Spending by Category'!E108),TEXT('Spending by Category'!E108,"0.00"), ""), "")</f>
        <v/>
      </c>
      <c r="E102" s="23" t="str">
        <f>IFERROR(IF(ISNUMBER('Spending by Category'!F108),TEXT('Spending by Category'!F108,"0.00"), ""), "")</f>
        <v/>
      </c>
      <c r="F102" s="23" t="str">
        <f>IFERROR(IF(ISNUMBER('Spending by Category'!G108),TEXT('Spending by Category'!G108,"0.00"), ""), "")</f>
        <v/>
      </c>
      <c r="G102" s="23" t="str">
        <f>IFERROR(IF(ISNUMBER('Spending by Category'!H108),TEXT('Spending by Category'!H108,"0.00"), ""), "")</f>
        <v/>
      </c>
      <c r="H102" s="23" t="str">
        <f>IFERROR(IF(ISNUMBER('Spending by Category'!I108),TEXT('Spending by Category'!I108,"0.00"), ""), "")</f>
        <v/>
      </c>
      <c r="I102" s="23" t="str">
        <f>IFERROR(IF(ISNUMBER('Spending by Category'!J108),TEXT('Spending by Category'!J108,"0.00"), ""), "")</f>
        <v/>
      </c>
    </row>
    <row r="103" spans="1:9">
      <c r="A103" s="23" t="str">
        <f>TEXT(IF('Spending by Category'!B109&lt;&gt;0,'Spending by Category'!B109-364, ""), "mm/dd/yyyy")</f>
        <v/>
      </c>
      <c r="B103" s="23" t="str">
        <f>IFERROR(IF(ISNUMBER('Spending by Category'!C109),TEXT('Spending by Category'!C109,"0.00"), ""), "")</f>
        <v/>
      </c>
      <c r="C103" s="23" t="str">
        <f>IFERROR(IF(ISNUMBER('Spending by Category'!D109),TEXT('Spending by Category'!D109,"0.00"), ""), "")</f>
        <v/>
      </c>
      <c r="D103" s="23" t="str">
        <f>IFERROR(IF(ISNUMBER('Spending by Category'!E109),TEXT('Spending by Category'!E109,"0.00"), ""), "")</f>
        <v/>
      </c>
      <c r="E103" s="23" t="str">
        <f>IFERROR(IF(ISNUMBER('Spending by Category'!F109),TEXT('Spending by Category'!F109,"0.00"), ""), "")</f>
        <v/>
      </c>
      <c r="F103" s="23" t="str">
        <f>IFERROR(IF(ISNUMBER('Spending by Category'!G109),TEXT('Spending by Category'!G109,"0.00"), ""), "")</f>
        <v/>
      </c>
      <c r="G103" s="23" t="str">
        <f>IFERROR(IF(ISNUMBER('Spending by Category'!H109),TEXT('Spending by Category'!H109,"0.00"), ""), "")</f>
        <v/>
      </c>
      <c r="H103" s="23" t="str">
        <f>IFERROR(IF(ISNUMBER('Spending by Category'!I109),TEXT('Spending by Category'!I109,"0.00"), ""), "")</f>
        <v/>
      </c>
      <c r="I103" s="23" t="str">
        <f>IFERROR(IF(ISNUMBER('Spending by Category'!J109),TEXT('Spending by Category'!J109,"0.00"), ""), "")</f>
        <v/>
      </c>
    </row>
    <row r="104" spans="1:9">
      <c r="A104" s="23" t="str">
        <f>TEXT(IF('Spending by Category'!B110&lt;&gt;0,'Spending by Category'!B110-364, ""), "mm/dd/yyyy")</f>
        <v/>
      </c>
      <c r="B104" s="23" t="str">
        <f>IFERROR(IF(ISNUMBER('Spending by Category'!C110),TEXT('Spending by Category'!C110,"0.00"), ""), "")</f>
        <v/>
      </c>
      <c r="C104" s="23" t="str">
        <f>IFERROR(IF(ISNUMBER('Spending by Category'!D110),TEXT('Spending by Category'!D110,"0.00"), ""), "")</f>
        <v/>
      </c>
      <c r="D104" s="23" t="str">
        <f>IFERROR(IF(ISNUMBER('Spending by Category'!E110),TEXT('Spending by Category'!E110,"0.00"), ""), "")</f>
        <v/>
      </c>
      <c r="E104" s="23" t="str">
        <f>IFERROR(IF(ISNUMBER('Spending by Category'!F110),TEXT('Spending by Category'!F110,"0.00"), ""), "")</f>
        <v/>
      </c>
      <c r="F104" s="23" t="str">
        <f>IFERROR(IF(ISNUMBER('Spending by Category'!G110),TEXT('Spending by Category'!G110,"0.00"), ""), "")</f>
        <v/>
      </c>
      <c r="G104" s="23" t="str">
        <f>IFERROR(IF(ISNUMBER('Spending by Category'!H110),TEXT('Spending by Category'!H110,"0.00"), ""), "")</f>
        <v/>
      </c>
      <c r="H104" s="23" t="str">
        <f>IFERROR(IF(ISNUMBER('Spending by Category'!I110),TEXT('Spending by Category'!I110,"0.00"), ""), "")</f>
        <v/>
      </c>
      <c r="I104" s="23" t="str">
        <f>IFERROR(IF(ISNUMBER('Spending by Category'!J110),TEXT('Spending by Category'!J110,"0.00"), ""), "")</f>
        <v/>
      </c>
    </row>
    <row r="105" spans="1:9">
      <c r="A105" s="23" t="str">
        <f>TEXT(IF('Spending by Category'!B111&lt;&gt;0,'Spending by Category'!B111-364, ""), "mm/dd/yyyy")</f>
        <v/>
      </c>
      <c r="B105" s="23" t="str">
        <f>IFERROR(IF(ISNUMBER('Spending by Category'!C111),TEXT('Spending by Category'!C111,"0.00"), ""), "")</f>
        <v/>
      </c>
      <c r="C105" s="23" t="str">
        <f>IFERROR(IF(ISNUMBER('Spending by Category'!D111),TEXT('Spending by Category'!D111,"0.00"), ""), "")</f>
        <v/>
      </c>
      <c r="D105" s="23" t="str">
        <f>IFERROR(IF(ISNUMBER('Spending by Category'!E111),TEXT('Spending by Category'!E111,"0.00"), ""), "")</f>
        <v/>
      </c>
      <c r="E105" s="23" t="str">
        <f>IFERROR(IF(ISNUMBER('Spending by Category'!F111),TEXT('Spending by Category'!F111,"0.00"), ""), "")</f>
        <v/>
      </c>
      <c r="F105" s="23" t="str">
        <f>IFERROR(IF(ISNUMBER('Spending by Category'!G111),TEXT('Spending by Category'!G111,"0.00"), ""), "")</f>
        <v/>
      </c>
      <c r="G105" s="23" t="str">
        <f>IFERROR(IF(ISNUMBER('Spending by Category'!H111),TEXT('Spending by Category'!H111,"0.00"), ""), "")</f>
        <v/>
      </c>
      <c r="H105" s="23" t="str">
        <f>IFERROR(IF(ISNUMBER('Spending by Category'!I111),TEXT('Spending by Category'!I111,"0.00"), ""), "")</f>
        <v/>
      </c>
      <c r="I105" s="23" t="str">
        <f>IFERROR(IF(ISNUMBER('Spending by Category'!J111),TEXT('Spending by Category'!J111,"0.00"), ""), "")</f>
        <v/>
      </c>
    </row>
    <row r="106" spans="1:9">
      <c r="A106" s="23" t="str">
        <f>TEXT(IF('Spending by Category'!B112&lt;&gt;0,'Spending by Category'!B112-364, ""), "mm/dd/yyyy")</f>
        <v/>
      </c>
      <c r="B106" s="23" t="str">
        <f>IFERROR(IF(ISNUMBER('Spending by Category'!C112),TEXT('Spending by Category'!C112,"0.00"), ""), "")</f>
        <v/>
      </c>
      <c r="C106" s="23" t="str">
        <f>IFERROR(IF(ISNUMBER('Spending by Category'!D112),TEXT('Spending by Category'!D112,"0.00"), ""), "")</f>
        <v/>
      </c>
      <c r="D106" s="23" t="str">
        <f>IFERROR(IF(ISNUMBER('Spending by Category'!E112),TEXT('Spending by Category'!E112,"0.00"), ""), "")</f>
        <v/>
      </c>
      <c r="E106" s="23" t="str">
        <f>IFERROR(IF(ISNUMBER('Spending by Category'!F112),TEXT('Spending by Category'!F112,"0.00"), ""), "")</f>
        <v/>
      </c>
      <c r="F106" s="23" t="str">
        <f>IFERROR(IF(ISNUMBER('Spending by Category'!G112),TEXT('Spending by Category'!G112,"0.00"), ""), "")</f>
        <v/>
      </c>
      <c r="G106" s="23" t="str">
        <f>IFERROR(IF(ISNUMBER('Spending by Category'!H112),TEXT('Spending by Category'!H112,"0.00"), ""), "")</f>
        <v/>
      </c>
      <c r="H106" s="23" t="str">
        <f>IFERROR(IF(ISNUMBER('Spending by Category'!I112),TEXT('Spending by Category'!I112,"0.00"), ""), "")</f>
        <v/>
      </c>
      <c r="I106" s="23" t="str">
        <f>IFERROR(IF(ISNUMBER('Spending by Category'!J112),TEXT('Spending by Category'!J112,"0.00"), ""), "")</f>
        <v/>
      </c>
    </row>
    <row r="107" spans="1:9">
      <c r="A107" s="23" t="str">
        <f>TEXT(IF('Spending by Category'!B113&lt;&gt;0,'Spending by Category'!B113-364, ""), "mm/dd/yyyy")</f>
        <v/>
      </c>
      <c r="B107" s="23" t="str">
        <f>IFERROR(IF(ISNUMBER('Spending by Category'!C113),TEXT('Spending by Category'!C113,"0.00"), ""), "")</f>
        <v/>
      </c>
      <c r="C107" s="23" t="str">
        <f>IFERROR(IF(ISNUMBER('Spending by Category'!D113),TEXT('Spending by Category'!D113,"0.00"), ""), "")</f>
        <v/>
      </c>
      <c r="D107" s="23" t="str">
        <f>IFERROR(IF(ISNUMBER('Spending by Category'!E113),TEXT('Spending by Category'!E113,"0.00"), ""), "")</f>
        <v/>
      </c>
      <c r="E107" s="23" t="str">
        <f>IFERROR(IF(ISNUMBER('Spending by Category'!F113),TEXT('Spending by Category'!F113,"0.00"), ""), "")</f>
        <v/>
      </c>
      <c r="F107" s="23" t="str">
        <f>IFERROR(IF(ISNUMBER('Spending by Category'!G113),TEXT('Spending by Category'!G113,"0.00"), ""), "")</f>
        <v/>
      </c>
      <c r="G107" s="23" t="str">
        <f>IFERROR(IF(ISNUMBER('Spending by Category'!H113),TEXT('Spending by Category'!H113,"0.00"), ""), "")</f>
        <v/>
      </c>
      <c r="H107" s="23" t="str">
        <f>IFERROR(IF(ISNUMBER('Spending by Category'!I113),TEXT('Spending by Category'!I113,"0.00"), ""), "")</f>
        <v/>
      </c>
      <c r="I107" s="23" t="str">
        <f>IFERROR(IF(ISNUMBER('Spending by Category'!J113),TEXT('Spending by Category'!J113,"0.00"), ""), "")</f>
        <v/>
      </c>
    </row>
    <row r="108" spans="1:9">
      <c r="A108" s="23" t="str">
        <f>TEXT(IF('Spending by Category'!B114&lt;&gt;0,'Spending by Category'!B114-364, ""), "mm/dd/yyyy")</f>
        <v/>
      </c>
      <c r="B108" s="23" t="str">
        <f>IFERROR(IF(ISNUMBER('Spending by Category'!C114),TEXT('Spending by Category'!C114,"0.00"), ""), "")</f>
        <v/>
      </c>
      <c r="C108" s="23" t="str">
        <f>IFERROR(IF(ISNUMBER('Spending by Category'!D114),TEXT('Spending by Category'!D114,"0.00"), ""), "")</f>
        <v/>
      </c>
      <c r="D108" s="23" t="str">
        <f>IFERROR(IF(ISNUMBER('Spending by Category'!E114),TEXT('Spending by Category'!E114,"0.00"), ""), "")</f>
        <v/>
      </c>
      <c r="E108" s="23" t="str">
        <f>IFERROR(IF(ISNUMBER('Spending by Category'!F114),TEXT('Spending by Category'!F114,"0.00"), ""), "")</f>
        <v/>
      </c>
      <c r="F108" s="23" t="str">
        <f>IFERROR(IF(ISNUMBER('Spending by Category'!G114),TEXT('Spending by Category'!G114,"0.00"), ""), "")</f>
        <v/>
      </c>
      <c r="G108" s="23" t="str">
        <f>IFERROR(IF(ISNUMBER('Spending by Category'!H114),TEXT('Spending by Category'!H114,"0.00"), ""), "")</f>
        <v/>
      </c>
      <c r="H108" s="23" t="str">
        <f>IFERROR(IF(ISNUMBER('Spending by Category'!I114),TEXT('Spending by Category'!I114,"0.00"), ""), "")</f>
        <v/>
      </c>
      <c r="I108" s="23" t="str">
        <f>IFERROR(IF(ISNUMBER('Spending by Category'!J114),TEXT('Spending by Category'!J114,"0.00"), ""), "")</f>
        <v/>
      </c>
    </row>
    <row r="109" spans="1:9">
      <c r="A109" s="23" t="str">
        <f>TEXT(IF('Spending by Category'!B115&lt;&gt;0,'Spending by Category'!B115-364, ""), "mm/dd/yyyy")</f>
        <v/>
      </c>
      <c r="B109" s="23" t="str">
        <f>IFERROR(IF(ISNUMBER('Spending by Category'!C115),TEXT('Spending by Category'!C115,"0.00"), ""), "")</f>
        <v/>
      </c>
      <c r="C109" s="23" t="str">
        <f>IFERROR(IF(ISNUMBER('Spending by Category'!D115),TEXT('Spending by Category'!D115,"0.00"), ""), "")</f>
        <v/>
      </c>
      <c r="D109" s="23" t="str">
        <f>IFERROR(IF(ISNUMBER('Spending by Category'!E115),TEXT('Spending by Category'!E115,"0.00"), ""), "")</f>
        <v/>
      </c>
      <c r="E109" s="23" t="str">
        <f>IFERROR(IF(ISNUMBER('Spending by Category'!F115),TEXT('Spending by Category'!F115,"0.00"), ""), "")</f>
        <v/>
      </c>
      <c r="F109" s="23" t="str">
        <f>IFERROR(IF(ISNUMBER('Spending by Category'!G115),TEXT('Spending by Category'!G115,"0.00"), ""), "")</f>
        <v/>
      </c>
      <c r="G109" s="23" t="str">
        <f>IFERROR(IF(ISNUMBER('Spending by Category'!H115),TEXT('Spending by Category'!H115,"0.00"), ""), "")</f>
        <v/>
      </c>
      <c r="H109" s="23" t="str">
        <f>IFERROR(IF(ISNUMBER('Spending by Category'!I115),TEXT('Spending by Category'!I115,"0.00"), ""), "")</f>
        <v/>
      </c>
      <c r="I109" s="23" t="str">
        <f>IFERROR(IF(ISNUMBER('Spending by Category'!J115),TEXT('Spending by Category'!J115,"0.00"), ""), "")</f>
        <v/>
      </c>
    </row>
    <row r="110" spans="1:9">
      <c r="A110" s="23" t="str">
        <f>TEXT(IF('Spending by Category'!B116&lt;&gt;0,'Spending by Category'!B116-364, ""), "mm/dd/yyyy")</f>
        <v/>
      </c>
      <c r="B110" s="23" t="str">
        <f>IFERROR(IF(ISNUMBER('Spending by Category'!C116),TEXT('Spending by Category'!C116,"0.00"), ""), "")</f>
        <v/>
      </c>
      <c r="C110" s="23" t="str">
        <f>IFERROR(IF(ISNUMBER('Spending by Category'!D116),TEXT('Spending by Category'!D116,"0.00"), ""), "")</f>
        <v/>
      </c>
      <c r="D110" s="23" t="str">
        <f>IFERROR(IF(ISNUMBER('Spending by Category'!E116),TEXT('Spending by Category'!E116,"0.00"), ""), "")</f>
        <v/>
      </c>
      <c r="E110" s="23" t="str">
        <f>IFERROR(IF(ISNUMBER('Spending by Category'!F116),TEXT('Spending by Category'!F116,"0.00"), ""), "")</f>
        <v/>
      </c>
      <c r="F110" s="23" t="str">
        <f>IFERROR(IF(ISNUMBER('Spending by Category'!G116),TEXT('Spending by Category'!G116,"0.00"), ""), "")</f>
        <v/>
      </c>
      <c r="G110" s="23" t="str">
        <f>IFERROR(IF(ISNUMBER('Spending by Category'!H116),TEXT('Spending by Category'!H116,"0.00"), ""), "")</f>
        <v/>
      </c>
      <c r="H110" s="23" t="str">
        <f>IFERROR(IF(ISNUMBER('Spending by Category'!I116),TEXT('Spending by Category'!I116,"0.00"), ""), "")</f>
        <v/>
      </c>
      <c r="I110" s="23" t="str">
        <f>IFERROR(IF(ISNUMBER('Spending by Category'!J116),TEXT('Spending by Category'!J116,"0.00"), ""), "")</f>
        <v/>
      </c>
    </row>
    <row r="111" spans="1:9">
      <c r="A111" s="23" t="str">
        <f>TEXT(IF('Spending by Category'!B117&lt;&gt;0,'Spending by Category'!B117-364, ""), "mm/dd/yyyy")</f>
        <v/>
      </c>
      <c r="B111" s="23" t="str">
        <f>IFERROR(IF(ISNUMBER('Spending by Category'!C117),TEXT('Spending by Category'!C117,"0.00"), ""), "")</f>
        <v/>
      </c>
      <c r="C111" s="23" t="str">
        <f>IFERROR(IF(ISNUMBER('Spending by Category'!D117),TEXT('Spending by Category'!D117,"0.00"), ""), "")</f>
        <v/>
      </c>
      <c r="D111" s="23" t="str">
        <f>IFERROR(IF(ISNUMBER('Spending by Category'!E117),TEXT('Spending by Category'!E117,"0.00"), ""), "")</f>
        <v/>
      </c>
      <c r="E111" s="23" t="str">
        <f>IFERROR(IF(ISNUMBER('Spending by Category'!F117),TEXT('Spending by Category'!F117,"0.00"), ""), "")</f>
        <v/>
      </c>
      <c r="F111" s="23" t="str">
        <f>IFERROR(IF(ISNUMBER('Spending by Category'!G117),TEXT('Spending by Category'!G117,"0.00"), ""), "")</f>
        <v/>
      </c>
      <c r="G111" s="23" t="str">
        <f>IFERROR(IF(ISNUMBER('Spending by Category'!H117),TEXT('Spending by Category'!H117,"0.00"), ""), "")</f>
        <v/>
      </c>
      <c r="H111" s="23" t="str">
        <f>IFERROR(IF(ISNUMBER('Spending by Category'!I117),TEXT('Spending by Category'!I117,"0.00"), ""), "")</f>
        <v/>
      </c>
      <c r="I111" s="23" t="str">
        <f>IFERROR(IF(ISNUMBER('Spending by Category'!J117),TEXT('Spending by Category'!J117,"0.00"), ""), "")</f>
        <v/>
      </c>
    </row>
    <row r="112" spans="1:9">
      <c r="A112" s="23" t="str">
        <f>TEXT(IF('Spending by Category'!B118&lt;&gt;0,'Spending by Category'!B118-364, ""), "mm/dd/yyyy")</f>
        <v/>
      </c>
      <c r="B112" s="23" t="str">
        <f>IFERROR(IF(ISNUMBER('Spending by Category'!C118),TEXT('Spending by Category'!C118,"0.00"), ""), "")</f>
        <v/>
      </c>
      <c r="C112" s="23" t="str">
        <f>IFERROR(IF(ISNUMBER('Spending by Category'!D118),TEXT('Spending by Category'!D118,"0.00"), ""), "")</f>
        <v/>
      </c>
      <c r="D112" s="23" t="str">
        <f>IFERROR(IF(ISNUMBER('Spending by Category'!E118),TEXT('Spending by Category'!E118,"0.00"), ""), "")</f>
        <v/>
      </c>
      <c r="E112" s="23" t="str">
        <f>IFERROR(IF(ISNUMBER('Spending by Category'!F118),TEXT('Spending by Category'!F118,"0.00"), ""), "")</f>
        <v/>
      </c>
      <c r="F112" s="23" t="str">
        <f>IFERROR(IF(ISNUMBER('Spending by Category'!G118),TEXT('Spending by Category'!G118,"0.00"), ""), "")</f>
        <v/>
      </c>
      <c r="G112" s="23" t="str">
        <f>IFERROR(IF(ISNUMBER('Spending by Category'!H118),TEXT('Spending by Category'!H118,"0.00"), ""), "")</f>
        <v/>
      </c>
      <c r="H112" s="23" t="str">
        <f>IFERROR(IF(ISNUMBER('Spending by Category'!I118),TEXT('Spending by Category'!I118,"0.00"), ""), "")</f>
        <v/>
      </c>
      <c r="I112" s="23" t="str">
        <f>IFERROR(IF(ISNUMBER('Spending by Category'!J118),TEXT('Spending by Category'!J118,"0.00"), ""), "")</f>
        <v/>
      </c>
    </row>
    <row r="113" spans="1:9">
      <c r="A113" s="23" t="str">
        <f>TEXT(IF('Spending by Category'!B119&lt;&gt;0,'Spending by Category'!B119-364, ""), "mm/dd/yyyy")</f>
        <v/>
      </c>
      <c r="B113" s="23" t="str">
        <f>IFERROR(IF(ISNUMBER('Spending by Category'!C119),TEXT('Spending by Category'!C119,"0.00"), ""), "")</f>
        <v/>
      </c>
      <c r="C113" s="23" t="str">
        <f>IFERROR(IF(ISNUMBER('Spending by Category'!D119),TEXT('Spending by Category'!D119,"0.00"), ""), "")</f>
        <v/>
      </c>
      <c r="D113" s="23" t="str">
        <f>IFERROR(IF(ISNUMBER('Spending by Category'!E119),TEXT('Spending by Category'!E119,"0.00"), ""), "")</f>
        <v/>
      </c>
      <c r="E113" s="23" t="str">
        <f>IFERROR(IF(ISNUMBER('Spending by Category'!F119),TEXT('Spending by Category'!F119,"0.00"), ""), "")</f>
        <v/>
      </c>
      <c r="F113" s="23" t="str">
        <f>IFERROR(IF(ISNUMBER('Spending by Category'!G119),TEXT('Spending by Category'!G119,"0.00"), ""), "")</f>
        <v/>
      </c>
      <c r="G113" s="23" t="str">
        <f>IFERROR(IF(ISNUMBER('Spending by Category'!H119),TEXT('Spending by Category'!H119,"0.00"), ""), "")</f>
        <v/>
      </c>
      <c r="H113" s="23" t="str">
        <f>IFERROR(IF(ISNUMBER('Spending by Category'!I119),TEXT('Spending by Category'!I119,"0.00"), ""), "")</f>
        <v/>
      </c>
      <c r="I113" s="23" t="str">
        <f>IFERROR(IF(ISNUMBER('Spending by Category'!J119),TEXT('Spending by Category'!J119,"0.00"), ""), "")</f>
        <v/>
      </c>
    </row>
    <row r="114" spans="1:9">
      <c r="A114" s="23" t="str">
        <f>TEXT(IF('Spending by Category'!B120&lt;&gt;0,'Spending by Category'!B120-364, ""), "mm/dd/yyyy")</f>
        <v/>
      </c>
      <c r="B114" s="23" t="str">
        <f>IFERROR(IF(ISNUMBER('Spending by Category'!C120),TEXT('Spending by Category'!C120,"0.00"), ""), "")</f>
        <v/>
      </c>
      <c r="C114" s="23" t="str">
        <f>IFERROR(IF(ISNUMBER('Spending by Category'!D120),TEXT('Spending by Category'!D120,"0.00"), ""), "")</f>
        <v/>
      </c>
      <c r="D114" s="23" t="str">
        <f>IFERROR(IF(ISNUMBER('Spending by Category'!E120),TEXT('Spending by Category'!E120,"0.00"), ""), "")</f>
        <v/>
      </c>
      <c r="E114" s="23" t="str">
        <f>IFERROR(IF(ISNUMBER('Spending by Category'!F120),TEXT('Spending by Category'!F120,"0.00"), ""), "")</f>
        <v/>
      </c>
      <c r="F114" s="23" t="str">
        <f>IFERROR(IF(ISNUMBER('Spending by Category'!G120),TEXT('Spending by Category'!G120,"0.00"), ""), "")</f>
        <v/>
      </c>
      <c r="G114" s="23" t="str">
        <f>IFERROR(IF(ISNUMBER('Spending by Category'!H120),TEXT('Spending by Category'!H120,"0.00"), ""), "")</f>
        <v/>
      </c>
      <c r="H114" s="23" t="str">
        <f>IFERROR(IF(ISNUMBER('Spending by Category'!I120),TEXT('Spending by Category'!I120,"0.00"), ""), "")</f>
        <v/>
      </c>
      <c r="I114" s="23" t="str">
        <f>IFERROR(IF(ISNUMBER('Spending by Category'!J120),TEXT('Spending by Category'!J120,"0.00"), ""), "")</f>
        <v/>
      </c>
    </row>
    <row r="115" spans="1:9">
      <c r="A115" s="23" t="str">
        <f>TEXT(IF('Spending by Category'!B121&lt;&gt;0,'Spending by Category'!B121-364, ""), "mm/dd/yyyy")</f>
        <v/>
      </c>
      <c r="B115" s="23" t="str">
        <f>IFERROR(IF(ISNUMBER('Spending by Category'!C121),TEXT('Spending by Category'!C121,"0.00"), ""), "")</f>
        <v/>
      </c>
      <c r="C115" s="23" t="str">
        <f>IFERROR(IF(ISNUMBER('Spending by Category'!D121),TEXT('Spending by Category'!D121,"0.00"), ""), "")</f>
        <v/>
      </c>
      <c r="D115" s="23" t="str">
        <f>IFERROR(IF(ISNUMBER('Spending by Category'!E121),TEXT('Spending by Category'!E121,"0.00"), ""), "")</f>
        <v/>
      </c>
      <c r="E115" s="23" t="str">
        <f>IFERROR(IF(ISNUMBER('Spending by Category'!F121),TEXT('Spending by Category'!F121,"0.00"), ""), "")</f>
        <v/>
      </c>
      <c r="F115" s="23" t="str">
        <f>IFERROR(IF(ISNUMBER('Spending by Category'!G121),TEXT('Spending by Category'!G121,"0.00"), ""), "")</f>
        <v/>
      </c>
      <c r="G115" s="23" t="str">
        <f>IFERROR(IF(ISNUMBER('Spending by Category'!H121),TEXT('Spending by Category'!H121,"0.00"), ""), "")</f>
        <v/>
      </c>
      <c r="H115" s="23" t="str">
        <f>IFERROR(IF(ISNUMBER('Spending by Category'!I121),TEXT('Spending by Category'!I121,"0.00"), ""), "")</f>
        <v/>
      </c>
      <c r="I115" s="23" t="str">
        <f>IFERROR(IF(ISNUMBER('Spending by Category'!J121),TEXT('Spending by Category'!J121,"0.00"), ""), "")</f>
        <v/>
      </c>
    </row>
    <row r="116" spans="1:9">
      <c r="A116" s="23" t="str">
        <f>TEXT(IF('Spending by Category'!B122&lt;&gt;0,'Spending by Category'!B122-364, ""), "mm/dd/yyyy")</f>
        <v/>
      </c>
      <c r="B116" s="23" t="str">
        <f>IFERROR(IF(ISNUMBER('Spending by Category'!C122),TEXT('Spending by Category'!C122,"0.00"), ""), "")</f>
        <v/>
      </c>
      <c r="C116" s="23" t="str">
        <f>IFERROR(IF(ISNUMBER('Spending by Category'!D122),TEXT('Spending by Category'!D122,"0.00"), ""), "")</f>
        <v/>
      </c>
      <c r="D116" s="23" t="str">
        <f>IFERROR(IF(ISNUMBER('Spending by Category'!E122),TEXT('Spending by Category'!E122,"0.00"), ""), "")</f>
        <v/>
      </c>
      <c r="E116" s="23" t="str">
        <f>IFERROR(IF(ISNUMBER('Spending by Category'!F122),TEXT('Spending by Category'!F122,"0.00"), ""), "")</f>
        <v/>
      </c>
      <c r="F116" s="23" t="str">
        <f>IFERROR(IF(ISNUMBER('Spending by Category'!G122),TEXT('Spending by Category'!G122,"0.00"), ""), "")</f>
        <v/>
      </c>
      <c r="G116" s="23" t="str">
        <f>IFERROR(IF(ISNUMBER('Spending by Category'!H122),TEXT('Spending by Category'!H122,"0.00"), ""), "")</f>
        <v/>
      </c>
      <c r="H116" s="23" t="str">
        <f>IFERROR(IF(ISNUMBER('Spending by Category'!I122),TEXT('Spending by Category'!I122,"0.00"), ""), "")</f>
        <v/>
      </c>
      <c r="I116" s="23" t="str">
        <f>IFERROR(IF(ISNUMBER('Spending by Category'!J122),TEXT('Spending by Category'!J122,"0.00"), ""), "")</f>
        <v/>
      </c>
    </row>
    <row r="117" spans="1:9">
      <c r="A117" s="23" t="e">
        <f>TEXT(IF('Spending by Category'!B123&lt;&gt;0,'Spending by Category'!B123-364, ""), "mm/dd/yyyy")</f>
        <v>#VALUE!</v>
      </c>
      <c r="B117" s="23" t="str">
        <f>IFERROR(IF(ISNUMBER('Spending by Category'!C123),TEXT('Spending by Category'!C123,"0.00"), ""), "")</f>
        <v/>
      </c>
      <c r="C117" s="23" t="str">
        <f>IFERROR(IF(ISNUMBER('Spending by Category'!D123),TEXT('Spending by Category'!D123,"0.00"), ""), "")</f>
        <v/>
      </c>
      <c r="D117" s="23" t="str">
        <f>IFERROR(IF(ISNUMBER('Spending by Category'!E123),TEXT('Spending by Category'!E123,"0.00"), ""), "")</f>
        <v/>
      </c>
      <c r="E117" s="23" t="str">
        <f>IFERROR(IF(ISNUMBER('Spending by Category'!F123),TEXT('Spending by Category'!F123,"0.00"), ""), "")</f>
        <v/>
      </c>
      <c r="F117" s="23" t="str">
        <f>IFERROR(IF(ISNUMBER('Spending by Category'!G123),TEXT('Spending by Category'!G123,"0.00"), ""), "")</f>
        <v/>
      </c>
      <c r="G117" s="23" t="str">
        <f>IFERROR(IF(ISNUMBER('Spending by Category'!H123),TEXT('Spending by Category'!H123,"0.00"), ""), "")</f>
        <v/>
      </c>
      <c r="H117" s="23" t="str">
        <f>IFERROR(IF(ISNUMBER('Spending by Category'!I123),TEXT('Spending by Category'!I123,"0.00"), ""), "")</f>
        <v/>
      </c>
      <c r="I117" s="23" t="str">
        <f>IFERROR(IF(ISNUMBER('Spending by Category'!J123),TEXT('Spending by Category'!J123,"0.00"), ""), "")</f>
        <v/>
      </c>
    </row>
    <row r="118" spans="1:9">
      <c r="A118" s="23" t="e">
        <f>TEXT(IF('Spending by Category'!B124&lt;&gt;0,'Spending by Category'!B124-364, ""), "mm/dd/yyyy")</f>
        <v>#VALUE!</v>
      </c>
      <c r="B118" s="23" t="str">
        <f>IFERROR(IF(ISNUMBER('Spending by Category'!C124),TEXT('Spending by Category'!C124,"0.00"), ""), "")</f>
        <v/>
      </c>
      <c r="C118" s="23" t="str">
        <f>IFERROR(IF(ISNUMBER('Spending by Category'!D124),TEXT('Spending by Category'!D124,"0.00"), ""), "")</f>
        <v/>
      </c>
      <c r="D118" s="23" t="str">
        <f>IFERROR(IF(ISNUMBER('Spending by Category'!E124),TEXT('Spending by Category'!E124,"0.00"), ""), "")</f>
        <v/>
      </c>
      <c r="E118" s="23" t="str">
        <f>IFERROR(IF(ISNUMBER('Spending by Category'!F124),TEXT('Spending by Category'!F124,"0.00"), ""), "")</f>
        <v/>
      </c>
      <c r="F118" s="23" t="str">
        <f>IFERROR(IF(ISNUMBER('Spending by Category'!G124),TEXT('Spending by Category'!G124,"0.00"), ""), "")</f>
        <v/>
      </c>
      <c r="G118" s="23" t="str">
        <f>IFERROR(IF(ISNUMBER('Spending by Category'!H124),TEXT('Spending by Category'!H124,"0.00"), ""), "")</f>
        <v/>
      </c>
      <c r="H118" s="23" t="str">
        <f>IFERROR(IF(ISNUMBER('Spending by Category'!I124),TEXT('Spending by Category'!I124,"0.00"), ""), "")</f>
        <v/>
      </c>
      <c r="I118" s="23" t="str">
        <f>IFERROR(IF(ISNUMBER('Spending by Category'!J124),TEXT('Spending by Category'!J124,"0.00"), ""), "")</f>
        <v/>
      </c>
    </row>
    <row r="119" spans="1:9">
      <c r="A119" s="23" t="e">
        <f>TEXT(IF('Spending by Category'!B125&lt;&gt;0,'Spending by Category'!B125-364, ""), "mm/dd/yyyy")</f>
        <v>#VALUE!</v>
      </c>
      <c r="B119" s="23" t="str">
        <f>IFERROR(IF(ISNUMBER('Spending by Category'!C125),TEXT('Spending by Category'!C125,"0.00"), ""), "")</f>
        <v/>
      </c>
      <c r="C119" s="23" t="str">
        <f>IFERROR(IF(ISNUMBER('Spending by Category'!D125),TEXT('Spending by Category'!D125,"0.00"), ""), "")</f>
        <v/>
      </c>
      <c r="D119" s="23" t="str">
        <f>IFERROR(IF(ISNUMBER('Spending by Category'!E125),TEXT('Spending by Category'!E125,"0.00"), ""), "")</f>
        <v/>
      </c>
      <c r="E119" s="23" t="str">
        <f>IFERROR(IF(ISNUMBER('Spending by Category'!F125),TEXT('Spending by Category'!F125,"0.00"), ""), "")</f>
        <v/>
      </c>
      <c r="F119" s="23" t="str">
        <f>IFERROR(IF(ISNUMBER('Spending by Category'!G125),TEXT('Spending by Category'!G125,"0.00"), ""), "")</f>
        <v/>
      </c>
      <c r="G119" s="23" t="str">
        <f>IFERROR(IF(ISNUMBER('Spending by Category'!H125),TEXT('Spending by Category'!H125,"0.00"), ""), "")</f>
        <v/>
      </c>
      <c r="H119" s="23" t="str">
        <f>IFERROR(IF(ISNUMBER('Spending by Category'!I125),TEXT('Spending by Category'!I125,"0.00"), ""), "")</f>
        <v/>
      </c>
      <c r="I119" s="23" t="str">
        <f>IFERROR(IF(ISNUMBER('Spending by Category'!J125),TEXT('Spending by Category'!J125,"0.00"), ""), "")</f>
        <v/>
      </c>
    </row>
    <row r="120" spans="1:9">
      <c r="A120" s="23" t="e">
        <f>TEXT(IF('Spending by Category'!B126&lt;&gt;0,'Spending by Category'!B126-364, ""), "mm/dd/yyyy")</f>
        <v>#VALUE!</v>
      </c>
      <c r="B120" s="23" t="str">
        <f>IFERROR(IF(ISNUMBER('Spending by Category'!C126),TEXT('Spending by Category'!C126,"0.00"), ""), "")</f>
        <v/>
      </c>
      <c r="C120" s="23" t="str">
        <f>IFERROR(IF(ISNUMBER('Spending by Category'!D126),TEXT('Spending by Category'!D126,"0.00"), ""), "")</f>
        <v/>
      </c>
      <c r="D120" s="23" t="str">
        <f>IFERROR(IF(ISNUMBER('Spending by Category'!E126),TEXT('Spending by Category'!E126,"0.00"), ""), "")</f>
        <v/>
      </c>
      <c r="E120" s="23" t="str">
        <f>IFERROR(IF(ISNUMBER('Spending by Category'!F126),TEXT('Spending by Category'!F126,"0.00"), ""), "")</f>
        <v/>
      </c>
      <c r="F120" s="23" t="str">
        <f>IFERROR(IF(ISNUMBER('Spending by Category'!G126),TEXT('Spending by Category'!G126,"0.00"), ""), "")</f>
        <v/>
      </c>
      <c r="G120" s="23" t="str">
        <f>IFERROR(IF(ISNUMBER('Spending by Category'!H126),TEXT('Spending by Category'!H126,"0.00"), ""), "")</f>
        <v/>
      </c>
      <c r="H120" s="23" t="str">
        <f>IFERROR(IF(ISNUMBER('Spending by Category'!I126),TEXT('Spending by Category'!I126,"0.00"), ""), "")</f>
        <v/>
      </c>
      <c r="I120" s="23" t="str">
        <f>IFERROR(IF(ISNUMBER('Spending by Category'!J126),TEXT('Spending by Category'!J126,"0.00"), ""), "")</f>
        <v/>
      </c>
    </row>
    <row r="121" spans="1:9">
      <c r="A121" s="23" t="e">
        <f>TEXT(IF('Spending by Category'!B127&lt;&gt;0,'Spending by Category'!B127-364, ""), "mm/dd/yyyy")</f>
        <v>#VALUE!</v>
      </c>
      <c r="B121" s="23" t="str">
        <f>IFERROR(IF(ISNUMBER('Spending by Category'!C127),TEXT('Spending by Category'!C127,"0.00"), ""), "")</f>
        <v/>
      </c>
      <c r="C121" s="23" t="str">
        <f>IFERROR(IF(ISNUMBER('Spending by Category'!D127),TEXT('Spending by Category'!D127,"0.00"), ""), "")</f>
        <v/>
      </c>
      <c r="D121" s="23" t="str">
        <f>IFERROR(IF(ISNUMBER('Spending by Category'!E127),TEXT('Spending by Category'!E127,"0.00"), ""), "")</f>
        <v/>
      </c>
      <c r="E121" s="23" t="str">
        <f>IFERROR(IF(ISNUMBER('Spending by Category'!F127),TEXT('Spending by Category'!F127,"0.00"), ""), "")</f>
        <v/>
      </c>
      <c r="F121" s="23" t="str">
        <f>IFERROR(IF(ISNUMBER('Spending by Category'!G127),TEXT('Spending by Category'!G127,"0.00"), ""), "")</f>
        <v/>
      </c>
      <c r="G121" s="23" t="str">
        <f>IFERROR(IF(ISNUMBER('Spending by Category'!H127),TEXT('Spending by Category'!H127,"0.00"), ""), "")</f>
        <v/>
      </c>
      <c r="H121" s="23" t="str">
        <f>IFERROR(IF(ISNUMBER('Spending by Category'!I127),TEXT('Spending by Category'!I127,"0.00"), ""), "")</f>
        <v/>
      </c>
      <c r="I121" s="23" t="str">
        <f>IFERROR(IF(ISNUMBER('Spending by Category'!J127),TEXT('Spending by Category'!J127,"0.00"), ""), "")</f>
        <v/>
      </c>
    </row>
    <row r="122" spans="1:9">
      <c r="A122" s="23" t="e">
        <f>TEXT(IF('Spending by Category'!B128&lt;&gt;0,'Spending by Category'!B128-364, ""), "mm/dd/yyyy")</f>
        <v>#VALUE!</v>
      </c>
      <c r="B122" s="23" t="str">
        <f>IFERROR(IF(ISNUMBER('Spending by Category'!C128),TEXT('Spending by Category'!C128,"0.00"), ""), "")</f>
        <v/>
      </c>
      <c r="C122" s="23" t="str">
        <f>IFERROR(IF(ISNUMBER('Spending by Category'!D128),TEXT('Spending by Category'!D128,"0.00"), ""), "")</f>
        <v/>
      </c>
      <c r="D122" s="23" t="str">
        <f>IFERROR(IF(ISNUMBER('Spending by Category'!E128),TEXT('Spending by Category'!E128,"0.00"), ""), "")</f>
        <v/>
      </c>
      <c r="E122" s="23" t="str">
        <f>IFERROR(IF(ISNUMBER('Spending by Category'!F128),TEXT('Spending by Category'!F128,"0.00"), ""), "")</f>
        <v/>
      </c>
      <c r="F122" s="23" t="str">
        <f>IFERROR(IF(ISNUMBER('Spending by Category'!G128),TEXT('Spending by Category'!G128,"0.00"), ""), "")</f>
        <v/>
      </c>
      <c r="G122" s="23" t="str">
        <f>IFERROR(IF(ISNUMBER('Spending by Category'!H128),TEXT('Spending by Category'!H128,"0.00"), ""), "")</f>
        <v/>
      </c>
      <c r="H122" s="23" t="str">
        <f>IFERROR(IF(ISNUMBER('Spending by Category'!I128),TEXT('Spending by Category'!I128,"0.00"), ""), "")</f>
        <v/>
      </c>
      <c r="I122" s="23" t="str">
        <f>IFERROR(IF(ISNUMBER('Spending by Category'!J128),TEXT('Spending by Category'!J128,"0.00"), ""), "")</f>
        <v/>
      </c>
    </row>
    <row r="123" spans="1:9">
      <c r="A123" s="23" t="str">
        <f>TEXT(IF('Spending by Category'!B129&lt;&gt;0,'Spending by Category'!B129-364, ""), "mm/dd/yyyy")</f>
        <v/>
      </c>
      <c r="B123" s="23" t="str">
        <f>IFERROR(IF(ISNUMBER('Spending by Category'!C129),TEXT('Spending by Category'!C129,"0.00"), ""), "")</f>
        <v/>
      </c>
      <c r="C123" s="23" t="str">
        <f>IFERROR(IF(ISNUMBER('Spending by Category'!D129),TEXT('Spending by Category'!D129,"0.00"), ""), "")</f>
        <v/>
      </c>
      <c r="D123" s="23" t="str">
        <f>IFERROR(IF(ISNUMBER('Spending by Category'!E129),TEXT('Spending by Category'!E129,"0.00"), ""), "")</f>
        <v/>
      </c>
      <c r="E123" s="23" t="str">
        <f>IFERROR(IF(ISNUMBER('Spending by Category'!F129),TEXT('Spending by Category'!F129,"0.00"), ""), "")</f>
        <v/>
      </c>
      <c r="F123" s="23" t="str">
        <f>IFERROR(IF(ISNUMBER('Spending by Category'!G129),TEXT('Spending by Category'!G129,"0.00"), ""), "")</f>
        <v/>
      </c>
      <c r="G123" s="23" t="str">
        <f>IFERROR(IF(ISNUMBER('Spending by Category'!H129),TEXT('Spending by Category'!H129,"0.00"), ""), "")</f>
        <v/>
      </c>
      <c r="H123" s="23" t="str">
        <f>IFERROR(IF(ISNUMBER('Spending by Category'!I129),TEXT('Spending by Category'!I129,"0.00"), ""), "")</f>
        <v/>
      </c>
      <c r="I123" s="23" t="str">
        <f>IFERROR(IF(ISNUMBER('Spending by Category'!J129),TEXT('Spending by Category'!J129,"0.00"), ""), "")</f>
        <v/>
      </c>
    </row>
    <row r="124" spans="1:9">
      <c r="A124" s="23" t="str">
        <f>TEXT(IF('Spending by Category'!B130&lt;&gt;0,'Spending by Category'!B130-364, ""), "mm/dd/yyyy")</f>
        <v/>
      </c>
      <c r="B124" s="23" t="str">
        <f>IFERROR(IF(ISNUMBER('Spending by Category'!C130),TEXT('Spending by Category'!C130,"0.00"), ""), "")</f>
        <v/>
      </c>
      <c r="C124" s="23" t="str">
        <f>IFERROR(IF(ISNUMBER('Spending by Category'!D130),TEXT('Spending by Category'!D130,"0.00"), ""), "")</f>
        <v/>
      </c>
      <c r="D124" s="23" t="str">
        <f>IFERROR(IF(ISNUMBER('Spending by Category'!E130),TEXT('Spending by Category'!E130,"0.00"), ""), "")</f>
        <v/>
      </c>
      <c r="E124" s="23" t="str">
        <f>IFERROR(IF(ISNUMBER('Spending by Category'!F130),TEXT('Spending by Category'!F130,"0.00"), ""), "")</f>
        <v/>
      </c>
      <c r="F124" s="23" t="str">
        <f>IFERROR(IF(ISNUMBER('Spending by Category'!G130),TEXT('Spending by Category'!G130,"0.00"), ""), "")</f>
        <v/>
      </c>
      <c r="G124" s="23" t="str">
        <f>IFERROR(IF(ISNUMBER('Spending by Category'!H130),TEXT('Spending by Category'!H130,"0.00"), ""), "")</f>
        <v/>
      </c>
      <c r="H124" s="23" t="str">
        <f>IFERROR(IF(ISNUMBER('Spending by Category'!I130),TEXT('Spending by Category'!I130,"0.00"), ""), "")</f>
        <v/>
      </c>
      <c r="I124" s="23" t="str">
        <f>IFERROR(IF(ISNUMBER('Spending by Category'!J130),TEXT('Spending by Category'!J130,"0.00"), ""), "")</f>
        <v/>
      </c>
    </row>
    <row r="125" spans="1:9">
      <c r="A125" s="23" t="str">
        <f>TEXT(IF('Spending by Category'!B131&lt;&gt;0,'Spending by Category'!B131-364, ""), "mm/dd/yyyy")</f>
        <v/>
      </c>
      <c r="B125" s="23" t="str">
        <f>IFERROR(IF(ISNUMBER('Spending by Category'!C131),TEXT('Spending by Category'!C131,"0.00"), ""), "")</f>
        <v/>
      </c>
      <c r="C125" s="23" t="str">
        <f>IFERROR(IF(ISNUMBER('Spending by Category'!D131),TEXT('Spending by Category'!D131,"0.00"), ""), "")</f>
        <v/>
      </c>
      <c r="D125" s="23" t="str">
        <f>IFERROR(IF(ISNUMBER('Spending by Category'!E131),TEXT('Spending by Category'!E131,"0.00"), ""), "")</f>
        <v/>
      </c>
      <c r="E125" s="23" t="str">
        <f>IFERROR(IF(ISNUMBER('Spending by Category'!F131),TEXT('Spending by Category'!F131,"0.00"), ""), "")</f>
        <v/>
      </c>
      <c r="F125" s="23" t="str">
        <f>IFERROR(IF(ISNUMBER('Spending by Category'!G131),TEXT('Spending by Category'!G131,"0.00"), ""), "")</f>
        <v/>
      </c>
      <c r="G125" s="23" t="str">
        <f>IFERROR(IF(ISNUMBER('Spending by Category'!H131),TEXT('Spending by Category'!H131,"0.00"), ""), "")</f>
        <v/>
      </c>
      <c r="H125" s="23" t="str">
        <f>IFERROR(IF(ISNUMBER('Spending by Category'!I131),TEXT('Spending by Category'!I131,"0.00"), ""), "")</f>
        <v/>
      </c>
      <c r="I125" s="23" t="str">
        <f>IFERROR(IF(ISNUMBER('Spending by Category'!J131),TEXT('Spending by Category'!J131,"0.00"), ""), "")</f>
        <v/>
      </c>
    </row>
    <row r="126" spans="1:9">
      <c r="A126" s="23" t="str">
        <f>TEXT(IF('Spending by Category'!B132&lt;&gt;0,'Spending by Category'!B132-364, ""), "mm/dd/yyyy")</f>
        <v/>
      </c>
      <c r="B126" s="23" t="str">
        <f>IFERROR(IF(ISNUMBER('Spending by Category'!C132),TEXT('Spending by Category'!C132,"0.00"), ""), "")</f>
        <v/>
      </c>
      <c r="C126" s="23" t="str">
        <f>IFERROR(IF(ISNUMBER('Spending by Category'!D132),TEXT('Spending by Category'!D132,"0.00"), ""), "")</f>
        <v/>
      </c>
      <c r="D126" s="23" t="str">
        <f>IFERROR(IF(ISNUMBER('Spending by Category'!E132),TEXT('Spending by Category'!E132,"0.00"), ""), "")</f>
        <v/>
      </c>
      <c r="E126" s="23" t="str">
        <f>IFERROR(IF(ISNUMBER('Spending by Category'!F132),TEXT('Spending by Category'!F132,"0.00"), ""), "")</f>
        <v/>
      </c>
      <c r="F126" s="23" t="str">
        <f>IFERROR(IF(ISNUMBER('Spending by Category'!G132),TEXT('Spending by Category'!G132,"0.00"), ""), "")</f>
        <v/>
      </c>
      <c r="G126" s="23" t="str">
        <f>IFERROR(IF(ISNUMBER('Spending by Category'!H132),TEXT('Spending by Category'!H132,"0.00"), ""), "")</f>
        <v/>
      </c>
      <c r="H126" s="23" t="str">
        <f>IFERROR(IF(ISNUMBER('Spending by Category'!I132),TEXT('Spending by Category'!I132,"0.00"), ""), "")</f>
        <v/>
      </c>
      <c r="I126" s="23" t="str">
        <f>IFERROR(IF(ISNUMBER('Spending by Category'!J132),TEXT('Spending by Category'!J132,"0.00"), ""), "")</f>
        <v/>
      </c>
    </row>
    <row r="127" spans="1:9">
      <c r="A127" s="23" t="str">
        <f>TEXT(IF('Spending by Category'!B133&lt;&gt;0,'Spending by Category'!B133-364, ""), "mm/dd/yyyy")</f>
        <v/>
      </c>
      <c r="B127" s="23" t="str">
        <f>IFERROR(IF(ISNUMBER('Spending by Category'!C133),TEXT('Spending by Category'!C133,"0.00"), ""), "")</f>
        <v/>
      </c>
      <c r="C127" s="23" t="str">
        <f>IFERROR(IF(ISNUMBER('Spending by Category'!D133),TEXT('Spending by Category'!D133,"0.00"), ""), "")</f>
        <v/>
      </c>
      <c r="D127" s="23" t="str">
        <f>IFERROR(IF(ISNUMBER('Spending by Category'!E133),TEXT('Spending by Category'!E133,"0.00"), ""), "")</f>
        <v/>
      </c>
      <c r="E127" s="23" t="str">
        <f>IFERROR(IF(ISNUMBER('Spending by Category'!F133),TEXT('Spending by Category'!F133,"0.00"), ""), "")</f>
        <v/>
      </c>
      <c r="F127" s="23" t="str">
        <f>IFERROR(IF(ISNUMBER('Spending by Category'!G133),TEXT('Spending by Category'!G133,"0.00"), ""), "")</f>
        <v/>
      </c>
      <c r="G127" s="23" t="str">
        <f>IFERROR(IF(ISNUMBER('Spending by Category'!H133),TEXT('Spending by Category'!H133,"0.00"), ""), "")</f>
        <v/>
      </c>
      <c r="H127" s="23" t="str">
        <f>IFERROR(IF(ISNUMBER('Spending by Category'!I133),TEXT('Spending by Category'!I133,"0.00"), ""), "")</f>
        <v/>
      </c>
      <c r="I127" s="23" t="str">
        <f>IFERROR(IF(ISNUMBER('Spending by Category'!J133),TEXT('Spending by Category'!J133,"0.00"), ""), "")</f>
        <v/>
      </c>
    </row>
    <row r="128" spans="1:9">
      <c r="A128" s="23" t="str">
        <f>TEXT(IF('Spending by Category'!B134&lt;&gt;0,'Spending by Category'!B134-364, ""), "mm/dd/yyyy")</f>
        <v/>
      </c>
      <c r="B128" s="23" t="str">
        <f>IFERROR(IF(ISNUMBER('Spending by Category'!C134),TEXT('Spending by Category'!C134,"0.00"), ""), "")</f>
        <v/>
      </c>
      <c r="C128" s="23" t="str">
        <f>IFERROR(IF(ISNUMBER('Spending by Category'!D134),TEXT('Spending by Category'!D134,"0.00"), ""), "")</f>
        <v/>
      </c>
      <c r="D128" s="23" t="str">
        <f>IFERROR(IF(ISNUMBER('Spending by Category'!E134),TEXT('Spending by Category'!E134,"0.00"), ""), "")</f>
        <v/>
      </c>
      <c r="E128" s="23" t="str">
        <f>IFERROR(IF(ISNUMBER('Spending by Category'!F134),TEXT('Spending by Category'!F134,"0.00"), ""), "")</f>
        <v/>
      </c>
      <c r="F128" s="23" t="str">
        <f>IFERROR(IF(ISNUMBER('Spending by Category'!G134),TEXT('Spending by Category'!G134,"0.00"), ""), "")</f>
        <v/>
      </c>
      <c r="G128" s="23" t="str">
        <f>IFERROR(IF(ISNUMBER('Spending by Category'!H134),TEXT('Spending by Category'!H134,"0.00"), ""), "")</f>
        <v/>
      </c>
      <c r="H128" s="23" t="str">
        <f>IFERROR(IF(ISNUMBER('Spending by Category'!I134),TEXT('Spending by Category'!I134,"0.00"), ""), "")</f>
        <v/>
      </c>
      <c r="I128" s="23" t="str">
        <f>IFERROR(IF(ISNUMBER('Spending by Category'!J134),TEXT('Spending by Category'!J134,"0.00"), ""), "")</f>
        <v/>
      </c>
    </row>
    <row r="129" spans="1:9">
      <c r="A129" s="23" t="str">
        <f>TEXT(IF('Spending by Category'!B135&lt;&gt;0,'Spending by Category'!B135-364, ""), "mm/dd/yyyy")</f>
        <v/>
      </c>
      <c r="B129" s="23" t="str">
        <f>IFERROR(IF(ISNUMBER('Spending by Category'!C135),TEXT('Spending by Category'!C135,"0.00"), ""), "")</f>
        <v/>
      </c>
      <c r="C129" s="23" t="str">
        <f>IFERROR(IF(ISNUMBER('Spending by Category'!D135),TEXT('Spending by Category'!D135,"0.00"), ""), "")</f>
        <v/>
      </c>
      <c r="D129" s="23" t="str">
        <f>IFERROR(IF(ISNUMBER('Spending by Category'!E135),TEXT('Spending by Category'!E135,"0.00"), ""), "")</f>
        <v/>
      </c>
      <c r="E129" s="23" t="str">
        <f>IFERROR(IF(ISNUMBER('Spending by Category'!F135),TEXT('Spending by Category'!F135,"0.00"), ""), "")</f>
        <v/>
      </c>
      <c r="F129" s="23" t="str">
        <f>IFERROR(IF(ISNUMBER('Spending by Category'!G135),TEXT('Spending by Category'!G135,"0.00"), ""), "")</f>
        <v/>
      </c>
      <c r="G129" s="23" t="str">
        <f>IFERROR(IF(ISNUMBER('Spending by Category'!H135),TEXT('Spending by Category'!H135,"0.00"), ""), "")</f>
        <v/>
      </c>
      <c r="H129" s="23" t="str">
        <f>IFERROR(IF(ISNUMBER('Spending by Category'!I135),TEXT('Spending by Category'!I135,"0.00"), ""), "")</f>
        <v/>
      </c>
      <c r="I129" s="23" t="str">
        <f>IFERROR(IF(ISNUMBER('Spending by Category'!J135),TEXT('Spending by Category'!J135,"0.00"), ""), "")</f>
        <v/>
      </c>
    </row>
    <row r="130" spans="1:9">
      <c r="A130" s="23" t="str">
        <f>TEXT(IF('Spending by Category'!B136&lt;&gt;0,'Spending by Category'!B136-364, ""), "mm/dd/yyyy")</f>
        <v/>
      </c>
      <c r="B130" s="23" t="str">
        <f>IFERROR(IF(ISNUMBER('Spending by Category'!C136),TEXT('Spending by Category'!C136,"0.00"), ""), "")</f>
        <v/>
      </c>
      <c r="C130" s="23" t="str">
        <f>IFERROR(IF(ISNUMBER('Spending by Category'!D136),TEXT('Spending by Category'!D136,"0.00"), ""), "")</f>
        <v/>
      </c>
      <c r="D130" s="23" t="str">
        <f>IFERROR(IF(ISNUMBER('Spending by Category'!E136),TEXT('Spending by Category'!E136,"0.00"), ""), "")</f>
        <v/>
      </c>
      <c r="E130" s="23" t="str">
        <f>IFERROR(IF(ISNUMBER('Spending by Category'!F136),TEXT('Spending by Category'!F136,"0.00"), ""), "")</f>
        <v/>
      </c>
      <c r="F130" s="23" t="str">
        <f>IFERROR(IF(ISNUMBER('Spending by Category'!G136),TEXT('Spending by Category'!G136,"0.00"), ""), "")</f>
        <v/>
      </c>
      <c r="G130" s="23" t="str">
        <f>IFERROR(IF(ISNUMBER('Spending by Category'!H136),TEXT('Spending by Category'!H136,"0.00"), ""), "")</f>
        <v/>
      </c>
      <c r="H130" s="23" t="str">
        <f>IFERROR(IF(ISNUMBER('Spending by Category'!I136),TEXT('Spending by Category'!I136,"0.00"), ""), "")</f>
        <v/>
      </c>
      <c r="I130" s="23" t="str">
        <f>IFERROR(IF(ISNUMBER('Spending by Category'!J136),TEXT('Spending by Category'!J136,"0.00"), ""), "")</f>
        <v/>
      </c>
    </row>
    <row r="131" spans="1:9">
      <c r="A131" s="23" t="str">
        <f>TEXT(IF('Spending by Category'!B137&lt;&gt;0,'Spending by Category'!B137-364, ""), "mm/dd/yyyy")</f>
        <v/>
      </c>
      <c r="B131" s="23" t="str">
        <f>IFERROR(IF(ISNUMBER('Spending by Category'!C137),TEXT('Spending by Category'!C137,"0.00"), ""), "")</f>
        <v/>
      </c>
      <c r="C131" s="23" t="str">
        <f>IFERROR(IF(ISNUMBER('Spending by Category'!D137),TEXT('Spending by Category'!D137,"0.00"), ""), "")</f>
        <v/>
      </c>
      <c r="D131" s="23" t="str">
        <f>IFERROR(IF(ISNUMBER('Spending by Category'!E137),TEXT('Spending by Category'!E137,"0.00"), ""), "")</f>
        <v/>
      </c>
      <c r="E131" s="23" t="str">
        <f>IFERROR(IF(ISNUMBER('Spending by Category'!F137),TEXT('Spending by Category'!F137,"0.00"), ""), "")</f>
        <v/>
      </c>
      <c r="F131" s="23" t="str">
        <f>IFERROR(IF(ISNUMBER('Spending by Category'!G137),TEXT('Spending by Category'!G137,"0.00"), ""), "")</f>
        <v/>
      </c>
      <c r="G131" s="23" t="str">
        <f>IFERROR(IF(ISNUMBER('Spending by Category'!H137),TEXT('Spending by Category'!H137,"0.00"), ""), "")</f>
        <v/>
      </c>
      <c r="H131" s="23" t="str">
        <f>IFERROR(IF(ISNUMBER('Spending by Category'!I137),TEXT('Spending by Category'!I137,"0.00"), ""), "")</f>
        <v/>
      </c>
      <c r="I131" s="23" t="str">
        <f>IFERROR(IF(ISNUMBER('Spending by Category'!J137),TEXT('Spending by Category'!J137,"0.00"), ""), "")</f>
        <v/>
      </c>
    </row>
    <row r="132" spans="1:9">
      <c r="A132" s="23" t="str">
        <f>TEXT(IF('Spending by Category'!B138&lt;&gt;0,'Spending by Category'!B138-364, ""), "mm/dd/yyyy")</f>
        <v/>
      </c>
      <c r="B132" s="23" t="str">
        <f>IFERROR(IF(ISNUMBER('Spending by Category'!C138),TEXT('Spending by Category'!C138,"0.00"), ""), "")</f>
        <v/>
      </c>
      <c r="C132" s="23" t="str">
        <f>IFERROR(IF(ISNUMBER('Spending by Category'!D138),TEXT('Spending by Category'!D138,"0.00"), ""), "")</f>
        <v/>
      </c>
      <c r="D132" s="23" t="str">
        <f>IFERROR(IF(ISNUMBER('Spending by Category'!E138),TEXT('Spending by Category'!E138,"0.00"), ""), "")</f>
        <v/>
      </c>
      <c r="E132" s="23" t="str">
        <f>IFERROR(IF(ISNUMBER('Spending by Category'!F138),TEXT('Spending by Category'!F138,"0.00"), ""), "")</f>
        <v/>
      </c>
      <c r="F132" s="23" t="str">
        <f>IFERROR(IF(ISNUMBER('Spending by Category'!G138),TEXT('Spending by Category'!G138,"0.00"), ""), "")</f>
        <v/>
      </c>
      <c r="G132" s="23" t="str">
        <f>IFERROR(IF(ISNUMBER('Spending by Category'!H138),TEXT('Spending by Category'!H138,"0.00"), ""), "")</f>
        <v/>
      </c>
      <c r="H132" s="23" t="str">
        <f>IFERROR(IF(ISNUMBER('Spending by Category'!I138),TEXT('Spending by Category'!I138,"0.00"), ""), "")</f>
        <v/>
      </c>
      <c r="I132" s="23" t="str">
        <f>IFERROR(IF(ISNUMBER('Spending by Category'!J138),TEXT('Spending by Category'!J138,"0.00"), ""), "")</f>
        <v/>
      </c>
    </row>
    <row r="133" spans="1:9">
      <c r="A133" s="23" t="str">
        <f>TEXT(IF('Spending by Category'!B139&lt;&gt;0,'Spending by Category'!B139-364, ""), "mm/dd/yyyy")</f>
        <v/>
      </c>
      <c r="B133" s="23" t="str">
        <f>IFERROR(IF(ISNUMBER('Spending by Category'!C139),TEXT('Spending by Category'!C139,"0.00"), ""), "")</f>
        <v/>
      </c>
      <c r="C133" s="23" t="str">
        <f>IFERROR(IF(ISNUMBER('Spending by Category'!D139),TEXT('Spending by Category'!D139,"0.00"), ""), "")</f>
        <v/>
      </c>
      <c r="D133" s="23" t="str">
        <f>IFERROR(IF(ISNUMBER('Spending by Category'!E139),TEXT('Spending by Category'!E139,"0.00"), ""), "")</f>
        <v/>
      </c>
      <c r="E133" s="23" t="str">
        <f>IFERROR(IF(ISNUMBER('Spending by Category'!F139),TEXT('Spending by Category'!F139,"0.00"), ""), "")</f>
        <v/>
      </c>
      <c r="F133" s="23" t="str">
        <f>IFERROR(IF(ISNUMBER('Spending by Category'!G139),TEXT('Spending by Category'!G139,"0.00"), ""), "")</f>
        <v/>
      </c>
      <c r="G133" s="23" t="str">
        <f>IFERROR(IF(ISNUMBER('Spending by Category'!H139),TEXT('Spending by Category'!H139,"0.00"), ""), "")</f>
        <v/>
      </c>
      <c r="H133" s="23" t="str">
        <f>IFERROR(IF(ISNUMBER('Spending by Category'!I139),TEXT('Spending by Category'!I139,"0.00"), ""), "")</f>
        <v/>
      </c>
      <c r="I133" s="23" t="str">
        <f>IFERROR(IF(ISNUMBER('Spending by Category'!J139),TEXT('Spending by Category'!J139,"0.00"), ""), "")</f>
        <v/>
      </c>
    </row>
    <row r="134" spans="1:9">
      <c r="A134" s="23" t="str">
        <f>TEXT(IF('Spending by Category'!B140&lt;&gt;0,'Spending by Category'!B140-364, ""), "mm/dd/yyyy")</f>
        <v/>
      </c>
      <c r="B134" s="23" t="str">
        <f>IFERROR(IF(ISNUMBER('Spending by Category'!C140),TEXT('Spending by Category'!C140,"0.00"), ""), "")</f>
        <v/>
      </c>
      <c r="C134" s="23" t="str">
        <f>IFERROR(IF(ISNUMBER('Spending by Category'!D140),TEXT('Spending by Category'!D140,"0.00"), ""), "")</f>
        <v/>
      </c>
      <c r="D134" s="23" t="str">
        <f>IFERROR(IF(ISNUMBER('Spending by Category'!E140),TEXT('Spending by Category'!E140,"0.00"), ""), "")</f>
        <v/>
      </c>
      <c r="E134" s="23" t="str">
        <f>IFERROR(IF(ISNUMBER('Spending by Category'!F140),TEXT('Spending by Category'!F140,"0.00"), ""), "")</f>
        <v/>
      </c>
      <c r="F134" s="23" t="str">
        <f>IFERROR(IF(ISNUMBER('Spending by Category'!G140),TEXT('Spending by Category'!G140,"0.00"), ""), "")</f>
        <v/>
      </c>
      <c r="G134" s="23" t="str">
        <f>IFERROR(IF(ISNUMBER('Spending by Category'!H140),TEXT('Spending by Category'!H140,"0.00"), ""), "")</f>
        <v/>
      </c>
      <c r="H134" s="23" t="str">
        <f>IFERROR(IF(ISNUMBER('Spending by Category'!I140),TEXT('Spending by Category'!I140,"0.00"), ""), "")</f>
        <v/>
      </c>
      <c r="I134" s="23" t="str">
        <f>IFERROR(IF(ISNUMBER('Spending by Category'!J140),TEXT('Spending by Category'!J140,"0.00"), ""), "")</f>
        <v/>
      </c>
    </row>
    <row r="135" spans="1:9">
      <c r="A135" s="23" t="str">
        <f>TEXT(IF('Spending by Category'!B141&lt;&gt;0,'Spending by Category'!B141-364, ""), "mm/dd/yyyy")</f>
        <v/>
      </c>
      <c r="B135" s="23" t="str">
        <f>IFERROR(IF(ISNUMBER('Spending by Category'!C141),TEXT('Spending by Category'!C141,"0.00"), ""), "")</f>
        <v/>
      </c>
      <c r="C135" s="23" t="str">
        <f>IFERROR(IF(ISNUMBER('Spending by Category'!D141),TEXT('Spending by Category'!D141,"0.00"), ""), "")</f>
        <v/>
      </c>
      <c r="D135" s="23" t="str">
        <f>IFERROR(IF(ISNUMBER('Spending by Category'!E141),TEXT('Spending by Category'!E141,"0.00"), ""), "")</f>
        <v/>
      </c>
      <c r="E135" s="23" t="str">
        <f>IFERROR(IF(ISNUMBER('Spending by Category'!F141),TEXT('Spending by Category'!F141,"0.00"), ""), "")</f>
        <v/>
      </c>
      <c r="F135" s="23" t="str">
        <f>IFERROR(IF(ISNUMBER('Spending by Category'!G141),TEXT('Spending by Category'!G141,"0.00"), ""), "")</f>
        <v/>
      </c>
      <c r="G135" s="23" t="str">
        <f>IFERROR(IF(ISNUMBER('Spending by Category'!H141),TEXT('Spending by Category'!H141,"0.00"), ""), "")</f>
        <v/>
      </c>
      <c r="H135" s="23" t="str">
        <f>IFERROR(IF(ISNUMBER('Spending by Category'!I141),TEXT('Spending by Category'!I141,"0.00"), ""), "")</f>
        <v/>
      </c>
      <c r="I135" s="23" t="str">
        <f>IFERROR(IF(ISNUMBER('Spending by Category'!J141),TEXT('Spending by Category'!J141,"0.00"), ""), "")</f>
        <v/>
      </c>
    </row>
    <row r="136" spans="1:9">
      <c r="A136" s="23" t="str">
        <f>TEXT(IF('Spending by Category'!B142&lt;&gt;0,'Spending by Category'!B142-364, ""), "mm/dd/yyyy")</f>
        <v/>
      </c>
      <c r="B136" s="23" t="str">
        <f>IFERROR(IF(ISNUMBER('Spending by Category'!C142),TEXT('Spending by Category'!C142,"0.00"), ""), "")</f>
        <v/>
      </c>
      <c r="C136" s="23" t="str">
        <f>IFERROR(IF(ISNUMBER('Spending by Category'!D142),TEXT('Spending by Category'!D142,"0.00"), ""), "")</f>
        <v/>
      </c>
      <c r="D136" s="23" t="str">
        <f>IFERROR(IF(ISNUMBER('Spending by Category'!E142),TEXT('Spending by Category'!E142,"0.00"), ""), "")</f>
        <v/>
      </c>
      <c r="E136" s="23" t="str">
        <f>IFERROR(IF(ISNUMBER('Spending by Category'!F142),TEXT('Spending by Category'!F142,"0.00"), ""), "")</f>
        <v/>
      </c>
      <c r="F136" s="23" t="str">
        <f>IFERROR(IF(ISNUMBER('Spending by Category'!G142),TEXT('Spending by Category'!G142,"0.00"), ""), "")</f>
        <v/>
      </c>
      <c r="G136" s="23" t="str">
        <f>IFERROR(IF(ISNUMBER('Spending by Category'!H142),TEXT('Spending by Category'!H142,"0.00"), ""), "")</f>
        <v/>
      </c>
      <c r="H136" s="23" t="str">
        <f>IFERROR(IF(ISNUMBER('Spending by Category'!I142),TEXT('Spending by Category'!I142,"0.00"), ""), "")</f>
        <v/>
      </c>
      <c r="I136" s="23" t="str">
        <f>IFERROR(IF(ISNUMBER('Spending by Category'!J142),TEXT('Spending by Category'!J142,"0.00"), ""), "")</f>
        <v/>
      </c>
    </row>
    <row r="137" spans="1:9">
      <c r="A137" s="23" t="str">
        <f>TEXT(IF('Spending by Category'!B143&lt;&gt;0,'Spending by Category'!B143-364, ""), "mm/dd/yyyy")</f>
        <v/>
      </c>
      <c r="B137" s="23" t="str">
        <f>IFERROR(IF(ISNUMBER('Spending by Category'!C143),TEXT('Spending by Category'!C143,"0.00"), ""), "")</f>
        <v/>
      </c>
      <c r="C137" s="23" t="str">
        <f>IFERROR(IF(ISNUMBER('Spending by Category'!D143),TEXT('Spending by Category'!D143,"0.00"), ""), "")</f>
        <v/>
      </c>
      <c r="D137" s="23" t="str">
        <f>IFERROR(IF(ISNUMBER('Spending by Category'!E143),TEXT('Spending by Category'!E143,"0.00"), ""), "")</f>
        <v/>
      </c>
      <c r="E137" s="23" t="str">
        <f>IFERROR(IF(ISNUMBER('Spending by Category'!F143),TEXT('Spending by Category'!F143,"0.00"), ""), "")</f>
        <v/>
      </c>
      <c r="F137" s="23" t="str">
        <f>IFERROR(IF(ISNUMBER('Spending by Category'!G143),TEXT('Spending by Category'!G143,"0.00"), ""), "")</f>
        <v/>
      </c>
      <c r="G137" s="23" t="str">
        <f>IFERROR(IF(ISNUMBER('Spending by Category'!H143),TEXT('Spending by Category'!H143,"0.00"), ""), "")</f>
        <v/>
      </c>
      <c r="H137" s="23" t="str">
        <f>IFERROR(IF(ISNUMBER('Spending by Category'!I143),TEXT('Spending by Category'!I143,"0.00"), ""), "")</f>
        <v/>
      </c>
      <c r="I137" s="23" t="str">
        <f>IFERROR(IF(ISNUMBER('Spending by Category'!J143),TEXT('Spending by Category'!J143,"0.00"), ""), "")</f>
        <v/>
      </c>
    </row>
    <row r="138" spans="1:9">
      <c r="A138" s="23" t="str">
        <f>TEXT(IF('Spending by Category'!B144&lt;&gt;0,'Spending by Category'!B144-364, ""), "mm/dd/yyyy")</f>
        <v/>
      </c>
      <c r="B138" s="23" t="str">
        <f>IFERROR(IF(ISNUMBER('Spending by Category'!C144),TEXT('Spending by Category'!C144,"0.00"), ""), "")</f>
        <v/>
      </c>
      <c r="C138" s="23" t="str">
        <f>IFERROR(IF(ISNUMBER('Spending by Category'!D144),TEXT('Spending by Category'!D144,"0.00"), ""), "")</f>
        <v/>
      </c>
      <c r="D138" s="23" t="str">
        <f>IFERROR(IF(ISNUMBER('Spending by Category'!E144),TEXT('Spending by Category'!E144,"0.00"), ""), "")</f>
        <v/>
      </c>
      <c r="E138" s="23" t="str">
        <f>IFERROR(IF(ISNUMBER('Spending by Category'!F144),TEXT('Spending by Category'!F144,"0.00"), ""), "")</f>
        <v/>
      </c>
      <c r="F138" s="23" t="str">
        <f>IFERROR(IF(ISNUMBER('Spending by Category'!G144),TEXT('Spending by Category'!G144,"0.00"), ""), "")</f>
        <v/>
      </c>
      <c r="G138" s="23" t="str">
        <f>IFERROR(IF(ISNUMBER('Spending by Category'!H144),TEXT('Spending by Category'!H144,"0.00"), ""), "")</f>
        <v/>
      </c>
      <c r="H138" s="23" t="str">
        <f>IFERROR(IF(ISNUMBER('Spending by Category'!I144),TEXT('Spending by Category'!I144,"0.00"), ""), "")</f>
        <v/>
      </c>
      <c r="I138" s="23" t="str">
        <f>IFERROR(IF(ISNUMBER('Spending by Category'!J144),TEXT('Spending by Category'!J144,"0.00"), ""), "")</f>
        <v/>
      </c>
    </row>
    <row r="139" spans="1:9">
      <c r="A139" s="23" t="str">
        <f>TEXT(IF('Spending by Category'!B145&lt;&gt;0,'Spending by Category'!B145-364, ""), "mm/dd/yyyy")</f>
        <v/>
      </c>
      <c r="B139" s="23" t="str">
        <f>IFERROR(IF(ISNUMBER('Spending by Category'!C145),TEXT('Spending by Category'!C145,"0.00"), ""), "")</f>
        <v/>
      </c>
      <c r="C139" s="23" t="str">
        <f>IFERROR(IF(ISNUMBER('Spending by Category'!D145),TEXT('Spending by Category'!D145,"0.00"), ""), "")</f>
        <v/>
      </c>
      <c r="D139" s="23" t="str">
        <f>IFERROR(IF(ISNUMBER('Spending by Category'!E145),TEXT('Spending by Category'!E145,"0.00"), ""), "")</f>
        <v/>
      </c>
      <c r="E139" s="23" t="str">
        <f>IFERROR(IF(ISNUMBER('Spending by Category'!F145),TEXT('Spending by Category'!F145,"0.00"), ""), "")</f>
        <v/>
      </c>
      <c r="F139" s="23" t="str">
        <f>IFERROR(IF(ISNUMBER('Spending by Category'!G145),TEXT('Spending by Category'!G145,"0.00"), ""), "")</f>
        <v/>
      </c>
      <c r="G139" s="23" t="str">
        <f>IFERROR(IF(ISNUMBER('Spending by Category'!H145),TEXT('Spending by Category'!H145,"0.00"), ""), "")</f>
        <v/>
      </c>
      <c r="H139" s="23" t="str">
        <f>IFERROR(IF(ISNUMBER('Spending by Category'!I145),TEXT('Spending by Category'!I145,"0.00"), ""), "")</f>
        <v/>
      </c>
      <c r="I139" s="23" t="str">
        <f>IFERROR(IF(ISNUMBER('Spending by Category'!J145),TEXT('Spending by Category'!J145,"0.00"), ""), "")</f>
        <v/>
      </c>
    </row>
    <row r="140" spans="1:9">
      <c r="A140" s="23" t="str">
        <f>TEXT(IF('Spending by Category'!B146&lt;&gt;0,'Spending by Category'!B146-364, ""), "mm/dd/yyyy")</f>
        <v/>
      </c>
      <c r="B140" s="23" t="str">
        <f>IFERROR(IF(ISNUMBER('Spending by Category'!C146),TEXT('Spending by Category'!C146,"0.00"), ""), "")</f>
        <v/>
      </c>
      <c r="C140" s="23" t="str">
        <f>IFERROR(IF(ISNUMBER('Spending by Category'!D146),TEXT('Spending by Category'!D146,"0.00"), ""), "")</f>
        <v/>
      </c>
      <c r="D140" s="23" t="str">
        <f>IFERROR(IF(ISNUMBER('Spending by Category'!E146),TEXT('Spending by Category'!E146,"0.00"), ""), "")</f>
        <v/>
      </c>
      <c r="E140" s="23" t="str">
        <f>IFERROR(IF(ISNUMBER('Spending by Category'!F146),TEXT('Spending by Category'!F146,"0.00"), ""), "")</f>
        <v/>
      </c>
      <c r="F140" s="23" t="str">
        <f>IFERROR(IF(ISNUMBER('Spending by Category'!G146),TEXT('Spending by Category'!G146,"0.00"), ""), "")</f>
        <v/>
      </c>
      <c r="G140" s="23" t="str">
        <f>IFERROR(IF(ISNUMBER('Spending by Category'!H146),TEXT('Spending by Category'!H146,"0.00"), ""), "")</f>
        <v/>
      </c>
      <c r="H140" s="23" t="str">
        <f>IFERROR(IF(ISNUMBER('Spending by Category'!I146),TEXT('Spending by Category'!I146,"0.00"), ""), "")</f>
        <v/>
      </c>
      <c r="I140" s="23" t="str">
        <f>IFERROR(IF(ISNUMBER('Spending by Category'!J146),TEXT('Spending by Category'!J146,"0.00"), ""), "")</f>
        <v/>
      </c>
    </row>
    <row r="141" spans="1:9">
      <c r="A141" s="23" t="str">
        <f>TEXT(IF('Spending by Category'!B147&lt;&gt;0,'Spending by Category'!B147-364, ""), "mm/dd/yyyy")</f>
        <v/>
      </c>
      <c r="B141" s="23" t="str">
        <f>IFERROR(IF(ISNUMBER('Spending by Category'!C147),TEXT('Spending by Category'!C147,"0.00"), ""), "")</f>
        <v/>
      </c>
      <c r="C141" s="23" t="str">
        <f>IFERROR(IF(ISNUMBER('Spending by Category'!D147),TEXT('Spending by Category'!D147,"0.00"), ""), "")</f>
        <v/>
      </c>
      <c r="D141" s="23" t="str">
        <f>IFERROR(IF(ISNUMBER('Spending by Category'!E147),TEXT('Spending by Category'!E147,"0.00"), ""), "")</f>
        <v/>
      </c>
      <c r="E141" s="23" t="str">
        <f>IFERROR(IF(ISNUMBER('Spending by Category'!F147),TEXT('Spending by Category'!F147,"0.00"), ""), "")</f>
        <v/>
      </c>
      <c r="F141" s="23" t="str">
        <f>IFERROR(IF(ISNUMBER('Spending by Category'!G147),TEXT('Spending by Category'!G147,"0.00"), ""), "")</f>
        <v/>
      </c>
      <c r="G141" s="23" t="str">
        <f>IFERROR(IF(ISNUMBER('Spending by Category'!H147),TEXT('Spending by Category'!H147,"0.00"), ""), "")</f>
        <v/>
      </c>
      <c r="H141" s="23" t="str">
        <f>IFERROR(IF(ISNUMBER('Spending by Category'!I147),TEXT('Spending by Category'!I147,"0.00"), ""), "")</f>
        <v/>
      </c>
      <c r="I141" s="23" t="str">
        <f>IFERROR(IF(ISNUMBER('Spending by Category'!J147),TEXT('Spending by Category'!J147,"0.00"), ""), "")</f>
        <v/>
      </c>
    </row>
    <row r="142" spans="1:9">
      <c r="A142" s="23" t="str">
        <f>TEXT(IF('Spending by Category'!B148&lt;&gt;0,'Spending by Category'!B148-364, ""), "mm/dd/yyyy")</f>
        <v/>
      </c>
      <c r="B142" s="23" t="str">
        <f>IFERROR(IF(ISNUMBER('Spending by Category'!C148),TEXT('Spending by Category'!C148,"0.00"), ""), "")</f>
        <v/>
      </c>
      <c r="C142" s="23" t="str">
        <f>IFERROR(IF(ISNUMBER('Spending by Category'!D148),TEXT('Spending by Category'!D148,"0.00"), ""), "")</f>
        <v/>
      </c>
      <c r="D142" s="23" t="str">
        <f>IFERROR(IF(ISNUMBER('Spending by Category'!E148),TEXT('Spending by Category'!E148,"0.00"), ""), "")</f>
        <v/>
      </c>
      <c r="E142" s="23" t="str">
        <f>IFERROR(IF(ISNUMBER('Spending by Category'!F148),TEXT('Spending by Category'!F148,"0.00"), ""), "")</f>
        <v/>
      </c>
      <c r="F142" s="23" t="str">
        <f>IFERROR(IF(ISNUMBER('Spending by Category'!G148),TEXT('Spending by Category'!G148,"0.00"), ""), "")</f>
        <v/>
      </c>
      <c r="G142" s="23" t="str">
        <f>IFERROR(IF(ISNUMBER('Spending by Category'!H148),TEXT('Spending by Category'!H148,"0.00"), ""), "")</f>
        <v/>
      </c>
      <c r="H142" s="23" t="str">
        <f>IFERROR(IF(ISNUMBER('Spending by Category'!I148),TEXT('Spending by Category'!I148,"0.00"), ""), "")</f>
        <v/>
      </c>
      <c r="I142" s="23" t="str">
        <f>IFERROR(IF(ISNUMBER('Spending by Category'!J148),TEXT('Spending by Category'!J148,"0.00"), ""), "")</f>
        <v/>
      </c>
    </row>
    <row r="143" spans="1:9">
      <c r="A143" s="23" t="str">
        <f>TEXT(IF('Spending by Category'!B149&lt;&gt;0,'Spending by Category'!B149-364, ""), "mm/dd/yyyy")</f>
        <v/>
      </c>
      <c r="B143" s="23" t="str">
        <f>IFERROR(IF(ISNUMBER('Spending by Category'!C149),TEXT('Spending by Category'!C149,"0.00"), ""), "")</f>
        <v/>
      </c>
      <c r="C143" s="23" t="str">
        <f>IFERROR(IF(ISNUMBER('Spending by Category'!D149),TEXT('Spending by Category'!D149,"0.00"), ""), "")</f>
        <v/>
      </c>
      <c r="D143" s="23" t="str">
        <f>IFERROR(IF(ISNUMBER('Spending by Category'!E149),TEXT('Spending by Category'!E149,"0.00"), ""), "")</f>
        <v/>
      </c>
      <c r="E143" s="23" t="str">
        <f>IFERROR(IF(ISNUMBER('Spending by Category'!F149),TEXT('Spending by Category'!F149,"0.00"), ""), "")</f>
        <v/>
      </c>
      <c r="F143" s="23" t="str">
        <f>IFERROR(IF(ISNUMBER('Spending by Category'!G149),TEXT('Spending by Category'!G149,"0.00"), ""), "")</f>
        <v/>
      </c>
      <c r="G143" s="23" t="str">
        <f>IFERROR(IF(ISNUMBER('Spending by Category'!H149),TEXT('Spending by Category'!H149,"0.00"), ""), "")</f>
        <v/>
      </c>
      <c r="H143" s="23" t="str">
        <f>IFERROR(IF(ISNUMBER('Spending by Category'!I149),TEXT('Spending by Category'!I149,"0.00"), ""), "")</f>
        <v/>
      </c>
      <c r="I143" s="23" t="str">
        <f>IFERROR(IF(ISNUMBER('Spending by Category'!J149),TEXT('Spending by Category'!J149,"0.00"), ""), "")</f>
        <v/>
      </c>
    </row>
    <row r="144" spans="1:9">
      <c r="A144" s="23" t="str">
        <f>TEXT(IF('Spending by Category'!B150&lt;&gt;0,'Spending by Category'!B150-364, ""), "mm/dd/yyyy")</f>
        <v/>
      </c>
      <c r="B144" s="23" t="str">
        <f>IFERROR(IF(ISNUMBER('Spending by Category'!C150),TEXT('Spending by Category'!C150,"0.00"), ""), "")</f>
        <v/>
      </c>
      <c r="C144" s="23" t="str">
        <f>IFERROR(IF(ISNUMBER('Spending by Category'!D150),TEXT('Spending by Category'!D150,"0.00"), ""), "")</f>
        <v/>
      </c>
      <c r="D144" s="23" t="str">
        <f>IFERROR(IF(ISNUMBER('Spending by Category'!E150),TEXT('Spending by Category'!E150,"0.00"), ""), "")</f>
        <v/>
      </c>
      <c r="E144" s="23" t="str">
        <f>IFERROR(IF(ISNUMBER('Spending by Category'!F150),TEXT('Spending by Category'!F150,"0.00"), ""), "")</f>
        <v/>
      </c>
      <c r="F144" s="23" t="str">
        <f>IFERROR(IF(ISNUMBER('Spending by Category'!G150),TEXT('Spending by Category'!G150,"0.00"), ""), "")</f>
        <v/>
      </c>
      <c r="G144" s="23" t="str">
        <f>IFERROR(IF(ISNUMBER('Spending by Category'!H150),TEXT('Spending by Category'!H150,"0.00"), ""), "")</f>
        <v/>
      </c>
      <c r="H144" s="23" t="str">
        <f>IFERROR(IF(ISNUMBER('Spending by Category'!I150),TEXT('Spending by Category'!I150,"0.00"), ""), "")</f>
        <v/>
      </c>
      <c r="I144" s="23" t="str">
        <f>IFERROR(IF(ISNUMBER('Spending by Category'!J150),TEXT('Spending by Category'!J150,"0.00"), ""), "")</f>
        <v/>
      </c>
    </row>
    <row r="145" spans="1:9">
      <c r="A145" s="23" t="str">
        <f>TEXT(IF('Spending by Category'!B151&lt;&gt;0,'Spending by Category'!B151-364, ""), "mm/dd/yyyy")</f>
        <v/>
      </c>
      <c r="B145" s="23" t="str">
        <f>IFERROR(IF(ISNUMBER('Spending by Category'!C151),TEXT('Spending by Category'!C151,"0.00"), ""), "")</f>
        <v/>
      </c>
      <c r="C145" s="23" t="str">
        <f>IFERROR(IF(ISNUMBER('Spending by Category'!D151),TEXT('Spending by Category'!D151,"0.00"), ""), "")</f>
        <v/>
      </c>
      <c r="D145" s="23" t="str">
        <f>IFERROR(IF(ISNUMBER('Spending by Category'!E151),TEXT('Spending by Category'!E151,"0.00"), ""), "")</f>
        <v/>
      </c>
      <c r="E145" s="23" t="str">
        <f>IFERROR(IF(ISNUMBER('Spending by Category'!F151),TEXT('Spending by Category'!F151,"0.00"), ""), "")</f>
        <v/>
      </c>
      <c r="F145" s="23" t="str">
        <f>IFERROR(IF(ISNUMBER('Spending by Category'!G151),TEXT('Spending by Category'!G151,"0.00"), ""), "")</f>
        <v/>
      </c>
      <c r="G145" s="23" t="str">
        <f>IFERROR(IF(ISNUMBER('Spending by Category'!H151),TEXT('Spending by Category'!H151,"0.00"), ""), "")</f>
        <v/>
      </c>
      <c r="H145" s="23" t="str">
        <f>IFERROR(IF(ISNUMBER('Spending by Category'!I151),TEXT('Spending by Category'!I151,"0.00"), ""), "")</f>
        <v/>
      </c>
      <c r="I145" s="23" t="str">
        <f>IFERROR(IF(ISNUMBER('Spending by Category'!J151),TEXT('Spending by Category'!J151,"0.00"), ""), "")</f>
        <v/>
      </c>
    </row>
    <row r="146" spans="1:9">
      <c r="A146" s="23" t="str">
        <f>TEXT(IF('Spending by Category'!B152&lt;&gt;0,'Spending by Category'!B152-364, ""), "mm/dd/yyyy")</f>
        <v/>
      </c>
      <c r="B146" s="23" t="str">
        <f>IFERROR(IF(ISNUMBER('Spending by Category'!C152),TEXT('Spending by Category'!C152,"0.00"), ""), "")</f>
        <v/>
      </c>
      <c r="C146" s="23" t="str">
        <f>IFERROR(IF(ISNUMBER('Spending by Category'!D152),TEXT('Spending by Category'!D152,"0.00"), ""), "")</f>
        <v/>
      </c>
      <c r="D146" s="23" t="str">
        <f>IFERROR(IF(ISNUMBER('Spending by Category'!E152),TEXT('Spending by Category'!E152,"0.00"), ""), "")</f>
        <v/>
      </c>
      <c r="E146" s="23" t="str">
        <f>IFERROR(IF(ISNUMBER('Spending by Category'!F152),TEXT('Spending by Category'!F152,"0.00"), ""), "")</f>
        <v/>
      </c>
      <c r="F146" s="23" t="str">
        <f>IFERROR(IF(ISNUMBER('Spending by Category'!G152),TEXT('Spending by Category'!G152,"0.00"), ""), "")</f>
        <v/>
      </c>
      <c r="G146" s="23" t="str">
        <f>IFERROR(IF(ISNUMBER('Spending by Category'!H152),TEXT('Spending by Category'!H152,"0.00"), ""), "")</f>
        <v/>
      </c>
      <c r="H146" s="23" t="str">
        <f>IFERROR(IF(ISNUMBER('Spending by Category'!I152),TEXT('Spending by Category'!I152,"0.00"), ""), "")</f>
        <v/>
      </c>
      <c r="I146" s="23" t="str">
        <f>IFERROR(IF(ISNUMBER('Spending by Category'!J152),TEXT('Spending by Category'!J152,"0.00"), ""), "")</f>
        <v/>
      </c>
    </row>
    <row r="147" spans="1:9">
      <c r="A147" s="23" t="str">
        <f>TEXT(IF('Spending by Category'!B153&lt;&gt;0,'Spending by Category'!B153-364, ""), "mm/dd/yyyy")</f>
        <v/>
      </c>
      <c r="B147" s="23" t="str">
        <f>IFERROR(IF(ISNUMBER('Spending by Category'!C153),TEXT('Spending by Category'!C153,"0.00"), ""), "")</f>
        <v/>
      </c>
      <c r="C147" s="23" t="str">
        <f>IFERROR(IF(ISNUMBER('Spending by Category'!D153),TEXT('Spending by Category'!D153,"0.00"), ""), "")</f>
        <v/>
      </c>
      <c r="D147" s="23" t="str">
        <f>IFERROR(IF(ISNUMBER('Spending by Category'!E153),TEXT('Spending by Category'!E153,"0.00"), ""), "")</f>
        <v/>
      </c>
      <c r="E147" s="23" t="str">
        <f>IFERROR(IF(ISNUMBER('Spending by Category'!F153),TEXT('Spending by Category'!F153,"0.00"), ""), "")</f>
        <v/>
      </c>
      <c r="F147" s="23" t="str">
        <f>IFERROR(IF(ISNUMBER('Spending by Category'!G153),TEXT('Spending by Category'!G153,"0.00"), ""), "")</f>
        <v/>
      </c>
      <c r="G147" s="23" t="str">
        <f>IFERROR(IF(ISNUMBER('Spending by Category'!H153),TEXT('Spending by Category'!H153,"0.00"), ""), "")</f>
        <v/>
      </c>
      <c r="H147" s="23" t="str">
        <f>IFERROR(IF(ISNUMBER('Spending by Category'!I153),TEXT('Spending by Category'!I153,"0.00"), ""), "")</f>
        <v/>
      </c>
      <c r="I147" s="23" t="str">
        <f>IFERROR(IF(ISNUMBER('Spending by Category'!J153),TEXT('Spending by Category'!J153,"0.00"), ""), "")</f>
        <v/>
      </c>
    </row>
    <row r="148" spans="1:9">
      <c r="A148" s="23" t="str">
        <f>TEXT(IF('Spending by Category'!B154&lt;&gt;0,'Spending by Category'!B154-364, ""), "mm/dd/yyyy")</f>
        <v/>
      </c>
      <c r="B148" s="23" t="str">
        <f>IFERROR(IF(ISNUMBER('Spending by Category'!C154),TEXT('Spending by Category'!C154,"0.00"), ""), "")</f>
        <v/>
      </c>
      <c r="C148" s="23" t="str">
        <f>IFERROR(IF(ISNUMBER('Spending by Category'!D154),TEXT('Spending by Category'!D154,"0.00"), ""), "")</f>
        <v/>
      </c>
      <c r="D148" s="23" t="str">
        <f>IFERROR(IF(ISNUMBER('Spending by Category'!E154),TEXT('Spending by Category'!E154,"0.00"), ""), "")</f>
        <v/>
      </c>
      <c r="E148" s="23" t="str">
        <f>IFERROR(IF(ISNUMBER('Spending by Category'!F154),TEXT('Spending by Category'!F154,"0.00"), ""), "")</f>
        <v/>
      </c>
      <c r="F148" s="23" t="str">
        <f>IFERROR(IF(ISNUMBER('Spending by Category'!G154),TEXT('Spending by Category'!G154,"0.00"), ""), "")</f>
        <v/>
      </c>
      <c r="G148" s="23" t="str">
        <f>IFERROR(IF(ISNUMBER('Spending by Category'!H154),TEXT('Spending by Category'!H154,"0.00"), ""), "")</f>
        <v/>
      </c>
      <c r="H148" s="23" t="str">
        <f>IFERROR(IF(ISNUMBER('Spending by Category'!I154),TEXT('Spending by Category'!I154,"0.00"), ""), "")</f>
        <v/>
      </c>
      <c r="I148" s="23" t="str">
        <f>IFERROR(IF(ISNUMBER('Spending by Category'!J154),TEXT('Spending by Category'!J154,"0.00"), ""), "")</f>
        <v/>
      </c>
    </row>
    <row r="149" spans="1:9">
      <c r="A149" s="23" t="str">
        <f>TEXT(IF('Spending by Category'!B155&lt;&gt;0,'Spending by Category'!B155-364, ""), "mm/dd/yyyy")</f>
        <v/>
      </c>
      <c r="B149" s="23" t="str">
        <f>IFERROR(IF(ISNUMBER('Spending by Category'!C155),TEXT('Spending by Category'!C155,"0.00"), ""), "")</f>
        <v/>
      </c>
      <c r="C149" s="23" t="str">
        <f>IFERROR(IF(ISNUMBER('Spending by Category'!D155),TEXT('Spending by Category'!D155,"0.00"), ""), "")</f>
        <v/>
      </c>
      <c r="D149" s="23" t="str">
        <f>IFERROR(IF(ISNUMBER('Spending by Category'!E155),TEXT('Spending by Category'!E155,"0.00"), ""), "")</f>
        <v/>
      </c>
      <c r="E149" s="23" t="str">
        <f>IFERROR(IF(ISNUMBER('Spending by Category'!F155),TEXT('Spending by Category'!F155,"0.00"), ""), "")</f>
        <v/>
      </c>
      <c r="F149" s="23" t="str">
        <f>IFERROR(IF(ISNUMBER('Spending by Category'!G155),TEXT('Spending by Category'!G155,"0.00"), ""), "")</f>
        <v/>
      </c>
      <c r="G149" s="23" t="str">
        <f>IFERROR(IF(ISNUMBER('Spending by Category'!H155),TEXT('Spending by Category'!H155,"0.00"), ""), "")</f>
        <v/>
      </c>
      <c r="H149" s="23" t="str">
        <f>IFERROR(IF(ISNUMBER('Spending by Category'!I155),TEXT('Spending by Category'!I155,"0.00"), ""), "")</f>
        <v/>
      </c>
      <c r="I149" s="23" t="str">
        <f>IFERROR(IF(ISNUMBER('Spending by Category'!J155),TEXT('Spending by Category'!J155,"0.00"), ""), "")</f>
        <v/>
      </c>
    </row>
    <row r="150" spans="1:9">
      <c r="A150" s="23" t="str">
        <f>TEXT(IF('Spending by Category'!B156&lt;&gt;0,'Spending by Category'!B156-364, ""), "mm/dd/yyyy")</f>
        <v/>
      </c>
      <c r="B150" s="23" t="str">
        <f>IFERROR(IF(ISNUMBER('Spending by Category'!C156),TEXT('Spending by Category'!C156,"0.00"), ""), "")</f>
        <v/>
      </c>
      <c r="C150" s="23" t="str">
        <f>IFERROR(IF(ISNUMBER('Spending by Category'!D156),TEXT('Spending by Category'!D156,"0.00"), ""), "")</f>
        <v/>
      </c>
      <c r="D150" s="23" t="str">
        <f>IFERROR(IF(ISNUMBER('Spending by Category'!E156),TEXT('Spending by Category'!E156,"0.00"), ""), "")</f>
        <v/>
      </c>
      <c r="E150" s="23" t="str">
        <f>IFERROR(IF(ISNUMBER('Spending by Category'!F156),TEXT('Spending by Category'!F156,"0.00"), ""), "")</f>
        <v/>
      </c>
      <c r="F150" s="23" t="str">
        <f>IFERROR(IF(ISNUMBER('Spending by Category'!G156),TEXT('Spending by Category'!G156,"0.00"), ""), "")</f>
        <v/>
      </c>
      <c r="G150" s="23" t="str">
        <f>IFERROR(IF(ISNUMBER('Spending by Category'!H156),TEXT('Spending by Category'!H156,"0.00"), ""), "")</f>
        <v/>
      </c>
      <c r="H150" s="23" t="str">
        <f>IFERROR(IF(ISNUMBER('Spending by Category'!I156),TEXT('Spending by Category'!I156,"0.00"), ""), "")</f>
        <v/>
      </c>
      <c r="I150" s="23" t="str">
        <f>IFERROR(IF(ISNUMBER('Spending by Category'!J156),TEXT('Spending by Category'!J156,"0.00"), ""), "")</f>
        <v/>
      </c>
    </row>
    <row r="151" spans="1:9">
      <c r="A151" s="23" t="str">
        <f>TEXT(IF('Spending by Category'!B157&lt;&gt;0,'Spending by Category'!B157-364, ""), "mm/dd/yyyy")</f>
        <v/>
      </c>
      <c r="B151" s="23" t="str">
        <f>IFERROR(IF(ISNUMBER('Spending by Category'!C157),TEXT('Spending by Category'!C157,"0.00"), ""), "")</f>
        <v/>
      </c>
      <c r="C151" s="23" t="str">
        <f>IFERROR(IF(ISNUMBER('Spending by Category'!D157),TEXT('Spending by Category'!D157,"0.00"), ""), "")</f>
        <v/>
      </c>
      <c r="D151" s="23" t="str">
        <f>IFERROR(IF(ISNUMBER('Spending by Category'!E157),TEXT('Spending by Category'!E157,"0.00"), ""), "")</f>
        <v/>
      </c>
      <c r="E151" s="23" t="str">
        <f>IFERROR(IF(ISNUMBER('Spending by Category'!F157),TEXT('Spending by Category'!F157,"0.00"), ""), "")</f>
        <v/>
      </c>
      <c r="F151" s="23" t="str">
        <f>IFERROR(IF(ISNUMBER('Spending by Category'!G157),TEXT('Spending by Category'!G157,"0.00"), ""), "")</f>
        <v/>
      </c>
      <c r="G151" s="23" t="str">
        <f>IFERROR(IF(ISNUMBER('Spending by Category'!H157),TEXT('Spending by Category'!H157,"0.00"), ""), "")</f>
        <v/>
      </c>
      <c r="H151" s="23" t="str">
        <f>IFERROR(IF(ISNUMBER('Spending by Category'!I157),TEXT('Spending by Category'!I157,"0.00"), ""), "")</f>
        <v/>
      </c>
      <c r="I151" s="23" t="str">
        <f>IFERROR(IF(ISNUMBER('Spending by Category'!J157),TEXT('Spending by Category'!J157,"0.00"), ""), "")</f>
        <v/>
      </c>
    </row>
    <row r="152" spans="1:9">
      <c r="A152" s="23" t="str">
        <f>TEXT(IF('Spending by Category'!B158&lt;&gt;0,'Spending by Category'!B158-364, ""), "mm/dd/yyyy")</f>
        <v/>
      </c>
      <c r="B152" s="23" t="str">
        <f>IFERROR(IF(ISNUMBER('Spending by Category'!C158),TEXT('Spending by Category'!C158,"0.00"), ""), "")</f>
        <v/>
      </c>
      <c r="C152" s="23" t="str">
        <f>IFERROR(IF(ISNUMBER('Spending by Category'!D158),TEXT('Spending by Category'!D158,"0.00"), ""), "")</f>
        <v/>
      </c>
      <c r="D152" s="23" t="str">
        <f>IFERROR(IF(ISNUMBER('Spending by Category'!E158),TEXT('Spending by Category'!E158,"0.00"), ""), "")</f>
        <v/>
      </c>
      <c r="E152" s="23" t="str">
        <f>IFERROR(IF(ISNUMBER('Spending by Category'!F158),TEXT('Spending by Category'!F158,"0.00"), ""), "")</f>
        <v/>
      </c>
      <c r="F152" s="23" t="str">
        <f>IFERROR(IF(ISNUMBER('Spending by Category'!G158),TEXT('Spending by Category'!G158,"0.00"), ""), "")</f>
        <v/>
      </c>
      <c r="G152" s="23" t="str">
        <f>IFERROR(IF(ISNUMBER('Spending by Category'!H158),TEXT('Spending by Category'!H158,"0.00"), ""), "")</f>
        <v/>
      </c>
      <c r="H152" s="23" t="str">
        <f>IFERROR(IF(ISNUMBER('Spending by Category'!I158),TEXT('Spending by Category'!I158,"0.00"), ""), "")</f>
        <v/>
      </c>
      <c r="I152" s="23" t="str">
        <f>IFERROR(IF(ISNUMBER('Spending by Category'!J158),TEXT('Spending by Category'!J158,"0.00"), ""), "")</f>
        <v/>
      </c>
    </row>
    <row r="153" spans="1:9">
      <c r="A153" s="23" t="str">
        <f>TEXT(IF('Spending by Category'!B159&lt;&gt;0,'Spending by Category'!B159-364, ""), "mm/dd/yyyy")</f>
        <v/>
      </c>
      <c r="B153" s="23" t="str">
        <f>IFERROR(IF(ISNUMBER('Spending by Category'!C159),TEXT('Spending by Category'!C159,"0.00"), ""), "")</f>
        <v/>
      </c>
      <c r="C153" s="23" t="str">
        <f>IFERROR(IF(ISNUMBER('Spending by Category'!D159),TEXT('Spending by Category'!D159,"0.00"), ""), "")</f>
        <v/>
      </c>
      <c r="D153" s="23" t="str">
        <f>IFERROR(IF(ISNUMBER('Spending by Category'!E159),TEXT('Spending by Category'!E159,"0.00"), ""), "")</f>
        <v/>
      </c>
      <c r="E153" s="23" t="str">
        <f>IFERROR(IF(ISNUMBER('Spending by Category'!F159),TEXT('Spending by Category'!F159,"0.00"), ""), "")</f>
        <v/>
      </c>
      <c r="F153" s="23" t="str">
        <f>IFERROR(IF(ISNUMBER('Spending by Category'!G159),TEXT('Spending by Category'!G159,"0.00"), ""), "")</f>
        <v/>
      </c>
      <c r="G153" s="23" t="str">
        <f>IFERROR(IF(ISNUMBER('Spending by Category'!H159),TEXT('Spending by Category'!H159,"0.00"), ""), "")</f>
        <v/>
      </c>
      <c r="H153" s="23" t="str">
        <f>IFERROR(IF(ISNUMBER('Spending by Category'!I159),TEXT('Spending by Category'!I159,"0.00"), ""), "")</f>
        <v/>
      </c>
      <c r="I153" s="23" t="str">
        <f>IFERROR(IF(ISNUMBER('Spending by Category'!J159),TEXT('Spending by Category'!J159,"0.00"), ""), "")</f>
        <v/>
      </c>
    </row>
    <row r="154" spans="1:9">
      <c r="A154" s="23" t="str">
        <f>TEXT(IF('Spending by Category'!B160&lt;&gt;0,'Spending by Category'!B160-364, ""), "mm/dd/yyyy")</f>
        <v/>
      </c>
      <c r="B154" s="23" t="str">
        <f>IFERROR(IF(ISNUMBER('Spending by Category'!C160),TEXT('Spending by Category'!C160,"0.00"), ""), "")</f>
        <v/>
      </c>
      <c r="C154" s="23" t="str">
        <f>IFERROR(IF(ISNUMBER('Spending by Category'!D160),TEXT('Spending by Category'!D160,"0.00"), ""), "")</f>
        <v/>
      </c>
      <c r="D154" s="23" t="str">
        <f>IFERROR(IF(ISNUMBER('Spending by Category'!E160),TEXT('Spending by Category'!E160,"0.00"), ""), "")</f>
        <v/>
      </c>
      <c r="E154" s="23" t="str">
        <f>IFERROR(IF(ISNUMBER('Spending by Category'!F160),TEXT('Spending by Category'!F160,"0.00"), ""), "")</f>
        <v/>
      </c>
      <c r="F154" s="23" t="str">
        <f>IFERROR(IF(ISNUMBER('Spending by Category'!G160),TEXT('Spending by Category'!G160,"0.00"), ""), "")</f>
        <v/>
      </c>
      <c r="G154" s="23" t="str">
        <f>IFERROR(IF(ISNUMBER('Spending by Category'!H160),TEXT('Spending by Category'!H160,"0.00"), ""), "")</f>
        <v/>
      </c>
      <c r="H154" s="23" t="str">
        <f>IFERROR(IF(ISNUMBER('Spending by Category'!I160),TEXT('Spending by Category'!I160,"0.00"), ""), "")</f>
        <v/>
      </c>
      <c r="I154" s="23" t="str">
        <f>IFERROR(IF(ISNUMBER('Spending by Category'!J160),TEXT('Spending by Category'!J160,"0.00"), ""), "")</f>
        <v/>
      </c>
    </row>
    <row r="155" spans="1:9">
      <c r="A155" s="23" t="str">
        <f>TEXT(IF('Spending by Category'!B161&lt;&gt;0,'Spending by Category'!B161-364, ""), "mm/dd/yyyy")</f>
        <v/>
      </c>
      <c r="B155" s="23" t="str">
        <f>IFERROR(IF(ISNUMBER('Spending by Category'!C161),TEXT('Spending by Category'!C161,"0.00"), ""), "")</f>
        <v/>
      </c>
      <c r="C155" s="23" t="str">
        <f>IFERROR(IF(ISNUMBER('Spending by Category'!D161),TEXT('Spending by Category'!D161,"0.00"), ""), "")</f>
        <v/>
      </c>
      <c r="D155" s="23" t="str">
        <f>IFERROR(IF(ISNUMBER('Spending by Category'!E161),TEXT('Spending by Category'!E161,"0.00"), ""), "")</f>
        <v/>
      </c>
      <c r="E155" s="23" t="str">
        <f>IFERROR(IF(ISNUMBER('Spending by Category'!F161),TEXT('Spending by Category'!F161,"0.00"), ""), "")</f>
        <v/>
      </c>
      <c r="F155" s="23" t="str">
        <f>IFERROR(IF(ISNUMBER('Spending by Category'!G161),TEXT('Spending by Category'!G161,"0.00"), ""), "")</f>
        <v/>
      </c>
      <c r="G155" s="23" t="str">
        <f>IFERROR(IF(ISNUMBER('Spending by Category'!H161),TEXT('Spending by Category'!H161,"0.00"), ""), "")</f>
        <v/>
      </c>
      <c r="H155" s="23" t="str">
        <f>IFERROR(IF(ISNUMBER('Spending by Category'!I161),TEXT('Spending by Category'!I161,"0.00"), ""), "")</f>
        <v/>
      </c>
      <c r="I155" s="23" t="str">
        <f>IFERROR(IF(ISNUMBER('Spending by Category'!J161),TEXT('Spending by Category'!J161,"0.00"), ""), "")</f>
        <v/>
      </c>
    </row>
    <row r="156" spans="1:9">
      <c r="A156" s="23" t="str">
        <f>TEXT(IF('Spending by Category'!B162&lt;&gt;0,'Spending by Category'!B162-364, ""), "mm/dd/yyyy")</f>
        <v/>
      </c>
      <c r="B156" s="23" t="str">
        <f>IFERROR(IF(ISNUMBER('Spending by Category'!C162),TEXT('Spending by Category'!C162,"0.00"), ""), "")</f>
        <v/>
      </c>
      <c r="C156" s="23" t="str">
        <f>IFERROR(IF(ISNUMBER('Spending by Category'!D162),TEXT('Spending by Category'!D162,"0.00"), ""), "")</f>
        <v/>
      </c>
      <c r="D156" s="23" t="str">
        <f>IFERROR(IF(ISNUMBER('Spending by Category'!E162),TEXT('Spending by Category'!E162,"0.00"), ""), "")</f>
        <v/>
      </c>
      <c r="E156" s="23" t="str">
        <f>IFERROR(IF(ISNUMBER('Spending by Category'!F162),TEXT('Spending by Category'!F162,"0.00"), ""), "")</f>
        <v/>
      </c>
      <c r="F156" s="23" t="str">
        <f>IFERROR(IF(ISNUMBER('Spending by Category'!G162),TEXT('Spending by Category'!G162,"0.00"), ""), "")</f>
        <v/>
      </c>
      <c r="G156" s="23" t="str">
        <f>IFERROR(IF(ISNUMBER('Spending by Category'!H162),TEXT('Spending by Category'!H162,"0.00"), ""), "")</f>
        <v/>
      </c>
      <c r="H156" s="23" t="str">
        <f>IFERROR(IF(ISNUMBER('Spending by Category'!I162),TEXT('Spending by Category'!I162,"0.00"), ""), "")</f>
        <v/>
      </c>
      <c r="I156" s="23" t="str">
        <f>IFERROR(IF(ISNUMBER('Spending by Category'!J162),TEXT('Spending by Category'!J162,"0.00"), ""), "")</f>
        <v/>
      </c>
    </row>
    <row r="157" spans="1:9">
      <c r="A157" s="23" t="str">
        <f>TEXT(IF('Spending by Category'!B163&lt;&gt;0,'Spending by Category'!B163-364, ""), "mm/dd/yyyy")</f>
        <v/>
      </c>
      <c r="B157" s="23" t="str">
        <f>IFERROR(IF(ISNUMBER('Spending by Category'!C163),TEXT('Spending by Category'!C163,"0.00"), ""), "")</f>
        <v/>
      </c>
      <c r="C157" s="23" t="str">
        <f>IFERROR(IF(ISNUMBER('Spending by Category'!D163),TEXT('Spending by Category'!D163,"0.00"), ""), "")</f>
        <v/>
      </c>
      <c r="D157" s="23" t="str">
        <f>IFERROR(IF(ISNUMBER('Spending by Category'!E163),TEXT('Spending by Category'!E163,"0.00"), ""), "")</f>
        <v/>
      </c>
      <c r="E157" s="23" t="str">
        <f>IFERROR(IF(ISNUMBER('Spending by Category'!F163),TEXT('Spending by Category'!F163,"0.00"), ""), "")</f>
        <v/>
      </c>
      <c r="F157" s="23" t="str">
        <f>IFERROR(IF(ISNUMBER('Spending by Category'!G163),TEXT('Spending by Category'!G163,"0.00"), ""), "")</f>
        <v/>
      </c>
      <c r="G157" s="23" t="str">
        <f>IFERROR(IF(ISNUMBER('Spending by Category'!H163),TEXT('Spending by Category'!H163,"0.00"), ""), "")</f>
        <v/>
      </c>
      <c r="H157" s="23" t="str">
        <f>IFERROR(IF(ISNUMBER('Spending by Category'!I163),TEXT('Spending by Category'!I163,"0.00"), ""), "")</f>
        <v/>
      </c>
      <c r="I157" s="23" t="str">
        <f>IFERROR(IF(ISNUMBER('Spending by Category'!J163),TEXT('Spending by Category'!J163,"0.00"), ""), "")</f>
        <v/>
      </c>
    </row>
    <row r="158" spans="1:9">
      <c r="A158" s="23" t="str">
        <f>TEXT(IF('Spending by Category'!B164&lt;&gt;0,'Spending by Category'!B164-364, ""), "mm/dd/yyyy")</f>
        <v/>
      </c>
      <c r="B158" s="23" t="str">
        <f>IFERROR(IF(ISNUMBER('Spending by Category'!C164),TEXT('Spending by Category'!C164,"0.00"), ""), "")</f>
        <v/>
      </c>
      <c r="C158" s="23" t="str">
        <f>IFERROR(IF(ISNUMBER('Spending by Category'!D164),TEXT('Spending by Category'!D164,"0.00"), ""), "")</f>
        <v/>
      </c>
      <c r="D158" s="23" t="str">
        <f>IFERROR(IF(ISNUMBER('Spending by Category'!E164),TEXT('Spending by Category'!E164,"0.00"), ""), "")</f>
        <v/>
      </c>
      <c r="E158" s="23" t="str">
        <f>IFERROR(IF(ISNUMBER('Spending by Category'!F164),TEXT('Spending by Category'!F164,"0.00"), ""), "")</f>
        <v/>
      </c>
      <c r="F158" s="23" t="str">
        <f>IFERROR(IF(ISNUMBER('Spending by Category'!G164),TEXT('Spending by Category'!G164,"0.00"), ""), "")</f>
        <v/>
      </c>
      <c r="G158" s="23" t="str">
        <f>IFERROR(IF(ISNUMBER('Spending by Category'!H164),TEXT('Spending by Category'!H164,"0.00"), ""), "")</f>
        <v/>
      </c>
      <c r="H158" s="23" t="str">
        <f>IFERROR(IF(ISNUMBER('Spending by Category'!I164),TEXT('Spending by Category'!I164,"0.00"), ""), "")</f>
        <v/>
      </c>
      <c r="I158" s="23" t="str">
        <f>IFERROR(IF(ISNUMBER('Spending by Category'!J164),TEXT('Spending by Category'!J164,"0.00"), ""), "")</f>
        <v/>
      </c>
    </row>
    <row r="159" spans="1:9">
      <c r="A159" s="23" t="str">
        <f>TEXT(IF('Spending by Category'!B165&lt;&gt;0,'Spending by Category'!B165-364, ""), "mm/dd/yyyy")</f>
        <v/>
      </c>
      <c r="B159" s="23" t="str">
        <f>IFERROR(IF(ISNUMBER('Spending by Category'!C165),TEXT('Spending by Category'!C165,"0.00"), ""), "")</f>
        <v/>
      </c>
      <c r="C159" s="23" t="str">
        <f>IFERROR(IF(ISNUMBER('Spending by Category'!D165),TEXT('Spending by Category'!D165,"0.00"), ""), "")</f>
        <v/>
      </c>
      <c r="D159" s="23" t="str">
        <f>IFERROR(IF(ISNUMBER('Spending by Category'!E165),TEXT('Spending by Category'!E165,"0.00"), ""), "")</f>
        <v/>
      </c>
      <c r="E159" s="23" t="str">
        <f>IFERROR(IF(ISNUMBER('Spending by Category'!F165),TEXT('Spending by Category'!F165,"0.00"), ""), "")</f>
        <v/>
      </c>
      <c r="F159" s="23" t="str">
        <f>IFERROR(IF(ISNUMBER('Spending by Category'!G165),TEXT('Spending by Category'!G165,"0.00"), ""), "")</f>
        <v/>
      </c>
      <c r="G159" s="23" t="str">
        <f>IFERROR(IF(ISNUMBER('Spending by Category'!H165),TEXT('Spending by Category'!H165,"0.00"), ""), "")</f>
        <v/>
      </c>
      <c r="H159" s="23" t="str">
        <f>IFERROR(IF(ISNUMBER('Spending by Category'!I165),TEXT('Spending by Category'!I165,"0.00"), ""), "")</f>
        <v/>
      </c>
      <c r="I159" s="23" t="str">
        <f>IFERROR(IF(ISNUMBER('Spending by Category'!J165),TEXT('Spending by Category'!J165,"0.00"), ""), "")</f>
        <v/>
      </c>
    </row>
    <row r="160" spans="1:9">
      <c r="A160" s="23" t="str">
        <f>TEXT(IF('Spending by Category'!B166&lt;&gt;0,'Spending by Category'!B166-364, ""), "mm/dd/yyyy")</f>
        <v/>
      </c>
      <c r="B160" s="23" t="str">
        <f>IFERROR(IF(ISNUMBER('Spending by Category'!C166),TEXT('Spending by Category'!C166,"0.00"), ""), "")</f>
        <v/>
      </c>
      <c r="C160" s="23" t="str">
        <f>IFERROR(IF(ISNUMBER('Spending by Category'!D166),TEXT('Spending by Category'!D166,"0.00"), ""), "")</f>
        <v/>
      </c>
      <c r="D160" s="23" t="str">
        <f>IFERROR(IF(ISNUMBER('Spending by Category'!E166),TEXT('Spending by Category'!E166,"0.00"), ""), "")</f>
        <v/>
      </c>
      <c r="E160" s="23" t="str">
        <f>IFERROR(IF(ISNUMBER('Spending by Category'!F166),TEXT('Spending by Category'!F166,"0.00"), ""), "")</f>
        <v/>
      </c>
      <c r="F160" s="23" t="str">
        <f>IFERROR(IF(ISNUMBER('Spending by Category'!G166),TEXT('Spending by Category'!G166,"0.00"), ""), "")</f>
        <v/>
      </c>
      <c r="G160" s="23" t="str">
        <f>IFERROR(IF(ISNUMBER('Spending by Category'!H166),TEXT('Spending by Category'!H166,"0.00"), ""), "")</f>
        <v/>
      </c>
      <c r="H160" s="23" t="str">
        <f>IFERROR(IF(ISNUMBER('Spending by Category'!I166),TEXT('Spending by Category'!I166,"0.00"), ""), "")</f>
        <v/>
      </c>
      <c r="I160" s="23" t="str">
        <f>IFERROR(IF(ISNUMBER('Spending by Category'!J166),TEXT('Spending by Category'!J166,"0.00"), ""), "")</f>
        <v/>
      </c>
    </row>
    <row r="161" spans="1:9">
      <c r="A161" s="23" t="str">
        <f>TEXT(IF('Spending by Category'!B167&lt;&gt;0,'Spending by Category'!B167-364, ""), "mm/dd/yyyy")</f>
        <v/>
      </c>
      <c r="B161" s="23" t="str">
        <f>IFERROR(IF(ISNUMBER('Spending by Category'!C167),TEXT('Spending by Category'!C167,"0.00"), ""), "")</f>
        <v/>
      </c>
      <c r="C161" s="23" t="str">
        <f>IFERROR(IF(ISNUMBER('Spending by Category'!D167),TEXT('Spending by Category'!D167,"0.00"), ""), "")</f>
        <v/>
      </c>
      <c r="D161" s="23" t="str">
        <f>IFERROR(IF(ISNUMBER('Spending by Category'!E167),TEXT('Spending by Category'!E167,"0.00"), ""), "")</f>
        <v/>
      </c>
      <c r="E161" s="23" t="str">
        <f>IFERROR(IF(ISNUMBER('Spending by Category'!F167),TEXT('Spending by Category'!F167,"0.00"), ""), "")</f>
        <v/>
      </c>
      <c r="F161" s="23" t="str">
        <f>IFERROR(IF(ISNUMBER('Spending by Category'!G167),TEXT('Spending by Category'!G167,"0.00"), ""), "")</f>
        <v/>
      </c>
      <c r="G161" s="23" t="str">
        <f>IFERROR(IF(ISNUMBER('Spending by Category'!H167),TEXT('Spending by Category'!H167,"0.00"), ""), "")</f>
        <v/>
      </c>
      <c r="H161" s="23" t="str">
        <f>IFERROR(IF(ISNUMBER('Spending by Category'!I167),TEXT('Spending by Category'!I167,"0.00"), ""), "")</f>
        <v/>
      </c>
      <c r="I161" s="23" t="str">
        <f>IFERROR(IF(ISNUMBER('Spending by Category'!J167),TEXT('Spending by Category'!J167,"0.00"), ""), "")</f>
        <v/>
      </c>
    </row>
    <row r="162" spans="1:9">
      <c r="A162" s="23" t="str">
        <f>TEXT(IF('Spending by Category'!B168&lt;&gt;0,'Spending by Category'!B168-364, ""), "mm/dd/yyyy")</f>
        <v/>
      </c>
      <c r="B162" s="23" t="str">
        <f>IFERROR(IF(ISNUMBER('Spending by Category'!C168),TEXT('Spending by Category'!C168,"0.00"), ""), "")</f>
        <v/>
      </c>
      <c r="C162" s="23" t="str">
        <f>IFERROR(IF(ISNUMBER('Spending by Category'!D168),TEXT('Spending by Category'!D168,"0.00"), ""), "")</f>
        <v/>
      </c>
      <c r="D162" s="23" t="str">
        <f>IFERROR(IF(ISNUMBER('Spending by Category'!E168),TEXT('Spending by Category'!E168,"0.00"), ""), "")</f>
        <v/>
      </c>
      <c r="E162" s="23" t="str">
        <f>IFERROR(IF(ISNUMBER('Spending by Category'!F168),TEXT('Spending by Category'!F168,"0.00"), ""), "")</f>
        <v/>
      </c>
      <c r="F162" s="23" t="str">
        <f>IFERROR(IF(ISNUMBER('Spending by Category'!G168),TEXT('Spending by Category'!G168,"0.00"), ""), "")</f>
        <v/>
      </c>
      <c r="G162" s="23" t="str">
        <f>IFERROR(IF(ISNUMBER('Spending by Category'!H168),TEXT('Spending by Category'!H168,"0.00"), ""), "")</f>
        <v/>
      </c>
      <c r="H162" s="23" t="str">
        <f>IFERROR(IF(ISNUMBER('Spending by Category'!I168),TEXT('Spending by Category'!I168,"0.00"), ""), "")</f>
        <v/>
      </c>
      <c r="I162" s="23" t="str">
        <f>IFERROR(IF(ISNUMBER('Spending by Category'!J168),TEXT('Spending by Category'!J168,"0.00"), ""), "")</f>
        <v/>
      </c>
    </row>
    <row r="163" spans="1:9">
      <c r="A163" s="23" t="str">
        <f>TEXT(IF('Spending by Category'!B169&lt;&gt;0,'Spending by Category'!B169-364, ""), "mm/dd/yyyy")</f>
        <v/>
      </c>
      <c r="B163" s="23" t="str">
        <f>IFERROR(IF(ISNUMBER('Spending by Category'!C169),TEXT('Spending by Category'!C169,"0.00"), ""), "")</f>
        <v/>
      </c>
      <c r="C163" s="23" t="str">
        <f>IFERROR(IF(ISNUMBER('Spending by Category'!D169),TEXT('Spending by Category'!D169,"0.00"), ""), "")</f>
        <v/>
      </c>
      <c r="D163" s="23" t="str">
        <f>IFERROR(IF(ISNUMBER('Spending by Category'!E169),TEXT('Spending by Category'!E169,"0.00"), ""), "")</f>
        <v/>
      </c>
      <c r="E163" s="23" t="str">
        <f>IFERROR(IF(ISNUMBER('Spending by Category'!F169),TEXT('Spending by Category'!F169,"0.00"), ""), "")</f>
        <v/>
      </c>
      <c r="F163" s="23" t="str">
        <f>IFERROR(IF(ISNUMBER('Spending by Category'!G169),TEXT('Spending by Category'!G169,"0.00"), ""), "")</f>
        <v/>
      </c>
      <c r="G163" s="23" t="str">
        <f>IFERROR(IF(ISNUMBER('Spending by Category'!H169),TEXT('Spending by Category'!H169,"0.00"), ""), "")</f>
        <v/>
      </c>
      <c r="H163" s="23" t="str">
        <f>IFERROR(IF(ISNUMBER('Spending by Category'!I169),TEXT('Spending by Category'!I169,"0.00"), ""), "")</f>
        <v/>
      </c>
      <c r="I163" s="23" t="str">
        <f>IFERROR(IF(ISNUMBER('Spending by Category'!J169),TEXT('Spending by Category'!J169,"0.00"), ""), "")</f>
        <v/>
      </c>
    </row>
    <row r="164" spans="1:9">
      <c r="A164" s="23" t="str">
        <f>TEXT(IF('Spending by Category'!B170&lt;&gt;0,'Spending by Category'!B170-364, ""), "mm/dd/yyyy")</f>
        <v/>
      </c>
      <c r="B164" s="23" t="str">
        <f>IFERROR(IF(ISNUMBER('Spending by Category'!C170),TEXT('Spending by Category'!C170,"0.00"), ""), "")</f>
        <v/>
      </c>
      <c r="C164" s="23" t="str">
        <f>IFERROR(IF(ISNUMBER('Spending by Category'!D170),TEXT('Spending by Category'!D170,"0.00"), ""), "")</f>
        <v/>
      </c>
      <c r="D164" s="23" t="str">
        <f>IFERROR(IF(ISNUMBER('Spending by Category'!E170),TEXT('Spending by Category'!E170,"0.00"), ""), "")</f>
        <v/>
      </c>
      <c r="E164" s="23" t="str">
        <f>IFERROR(IF(ISNUMBER('Spending by Category'!F170),TEXT('Spending by Category'!F170,"0.00"), ""), "")</f>
        <v/>
      </c>
      <c r="F164" s="23" t="str">
        <f>IFERROR(IF(ISNUMBER('Spending by Category'!G170),TEXT('Spending by Category'!G170,"0.00"), ""), "")</f>
        <v/>
      </c>
      <c r="G164" s="23" t="str">
        <f>IFERROR(IF(ISNUMBER('Spending by Category'!H170),TEXT('Spending by Category'!H170,"0.00"), ""), "")</f>
        <v/>
      </c>
      <c r="H164" s="23" t="str">
        <f>IFERROR(IF(ISNUMBER('Spending by Category'!I170),TEXT('Spending by Category'!I170,"0.00"), ""), "")</f>
        <v/>
      </c>
      <c r="I164" s="23" t="str">
        <f>IFERROR(IF(ISNUMBER('Spending by Category'!J170),TEXT('Spending by Category'!J170,"0.00"), ""), "")</f>
        <v/>
      </c>
    </row>
    <row r="165" spans="1:9">
      <c r="A165" s="23" t="str">
        <f>TEXT(IF('Spending by Category'!B171&lt;&gt;0,'Spending by Category'!B171-364, ""), "mm/dd/yyyy")</f>
        <v/>
      </c>
      <c r="B165" s="23" t="str">
        <f>IFERROR(IF(ISNUMBER('Spending by Category'!C171),TEXT('Spending by Category'!C171,"0.00"), ""), "")</f>
        <v/>
      </c>
      <c r="C165" s="23" t="str">
        <f>IFERROR(IF(ISNUMBER('Spending by Category'!D171),TEXT('Spending by Category'!D171,"0.00"), ""), "")</f>
        <v/>
      </c>
      <c r="D165" s="23" t="str">
        <f>IFERROR(IF(ISNUMBER('Spending by Category'!E171),TEXT('Spending by Category'!E171,"0.00"), ""), "")</f>
        <v/>
      </c>
      <c r="E165" s="23" t="str">
        <f>IFERROR(IF(ISNUMBER('Spending by Category'!F171),TEXT('Spending by Category'!F171,"0.00"), ""), "")</f>
        <v/>
      </c>
      <c r="F165" s="23" t="str">
        <f>IFERROR(IF(ISNUMBER('Spending by Category'!G171),TEXT('Spending by Category'!G171,"0.00"), ""), "")</f>
        <v/>
      </c>
      <c r="G165" s="23" t="str">
        <f>IFERROR(IF(ISNUMBER('Spending by Category'!H171),TEXT('Spending by Category'!H171,"0.00"), ""), "")</f>
        <v/>
      </c>
      <c r="H165" s="23" t="str">
        <f>IFERROR(IF(ISNUMBER('Spending by Category'!I171),TEXT('Spending by Category'!I171,"0.00"), ""), "")</f>
        <v/>
      </c>
      <c r="I165" s="23" t="str">
        <f>IFERROR(IF(ISNUMBER('Spending by Category'!J171),TEXT('Spending by Category'!J171,"0.00"), ""), "")</f>
        <v/>
      </c>
    </row>
    <row r="166" spans="1:9">
      <c r="A166" s="23" t="str">
        <f>TEXT(IF('Spending by Category'!B172&lt;&gt;0,'Spending by Category'!B172-364, ""), "mm/dd/yyyy")</f>
        <v/>
      </c>
      <c r="B166" s="23" t="str">
        <f>IFERROR(IF(ISNUMBER('Spending by Category'!C172),TEXT('Spending by Category'!C172,"0.00"), ""), "")</f>
        <v/>
      </c>
      <c r="C166" s="23" t="str">
        <f>IFERROR(IF(ISNUMBER('Spending by Category'!D172),TEXT('Spending by Category'!D172,"0.00"), ""), "")</f>
        <v/>
      </c>
      <c r="D166" s="23" t="str">
        <f>IFERROR(IF(ISNUMBER('Spending by Category'!E172),TEXT('Spending by Category'!E172,"0.00"), ""), "")</f>
        <v/>
      </c>
      <c r="E166" s="23" t="str">
        <f>IFERROR(IF(ISNUMBER('Spending by Category'!F172),TEXT('Spending by Category'!F172,"0.00"), ""), "")</f>
        <v/>
      </c>
      <c r="F166" s="23" t="str">
        <f>IFERROR(IF(ISNUMBER('Spending by Category'!G172),TEXT('Spending by Category'!G172,"0.00"), ""), "")</f>
        <v/>
      </c>
      <c r="G166" s="23" t="str">
        <f>IFERROR(IF(ISNUMBER('Spending by Category'!H172),TEXT('Spending by Category'!H172,"0.00"), ""), "")</f>
        <v/>
      </c>
      <c r="H166" s="23" t="str">
        <f>IFERROR(IF(ISNUMBER('Spending by Category'!I172),TEXT('Spending by Category'!I172,"0.00"), ""), "")</f>
        <v/>
      </c>
      <c r="I166" s="23" t="str">
        <f>IFERROR(IF(ISNUMBER('Spending by Category'!J172),TEXT('Spending by Category'!J172,"0.00"), ""), "")</f>
        <v/>
      </c>
    </row>
    <row r="167" spans="1:9">
      <c r="A167" s="23" t="str">
        <f>TEXT(IF('Spending by Category'!B173&lt;&gt;0,'Spending by Category'!B173-364, ""), "mm/dd/yyyy")</f>
        <v/>
      </c>
      <c r="B167" s="23" t="str">
        <f>IFERROR(IF(ISNUMBER('Spending by Category'!C173),TEXT('Spending by Category'!C173,"0.00"), ""), "")</f>
        <v/>
      </c>
      <c r="C167" s="23" t="str">
        <f>IFERROR(IF(ISNUMBER('Spending by Category'!D173),TEXT('Spending by Category'!D173,"0.00"), ""), "")</f>
        <v/>
      </c>
      <c r="D167" s="23" t="str">
        <f>IFERROR(IF(ISNUMBER('Spending by Category'!E173),TEXT('Spending by Category'!E173,"0.00"), ""), "")</f>
        <v/>
      </c>
      <c r="E167" s="23" t="str">
        <f>IFERROR(IF(ISNUMBER('Spending by Category'!F173),TEXT('Spending by Category'!F173,"0.00"), ""), "")</f>
        <v/>
      </c>
      <c r="F167" s="23" t="str">
        <f>IFERROR(IF(ISNUMBER('Spending by Category'!G173),TEXT('Spending by Category'!G173,"0.00"), ""), "")</f>
        <v/>
      </c>
      <c r="G167" s="23" t="str">
        <f>IFERROR(IF(ISNUMBER('Spending by Category'!H173),TEXT('Spending by Category'!H173,"0.00"), ""), "")</f>
        <v/>
      </c>
      <c r="H167" s="23" t="str">
        <f>IFERROR(IF(ISNUMBER('Spending by Category'!I173),TEXT('Spending by Category'!I173,"0.00"), ""), "")</f>
        <v/>
      </c>
      <c r="I167" s="23" t="str">
        <f>IFERROR(IF(ISNUMBER('Spending by Category'!J173),TEXT('Spending by Category'!J173,"0.00"), ""), "")</f>
        <v/>
      </c>
    </row>
    <row r="168" spans="1:9">
      <c r="A168" s="23" t="str">
        <f>TEXT(IF('Spending by Category'!B174&lt;&gt;0,'Spending by Category'!B174-364, ""), "mm/dd/yyyy")</f>
        <v/>
      </c>
      <c r="B168" s="23" t="str">
        <f>IFERROR(IF(ISNUMBER('Spending by Category'!C174),TEXT('Spending by Category'!C174,"0.00"), ""), "")</f>
        <v/>
      </c>
      <c r="C168" s="23" t="str">
        <f>IFERROR(IF(ISNUMBER('Spending by Category'!D174),TEXT('Spending by Category'!D174,"0.00"), ""), "")</f>
        <v/>
      </c>
      <c r="D168" s="23" t="str">
        <f>IFERROR(IF(ISNUMBER('Spending by Category'!E174),TEXT('Spending by Category'!E174,"0.00"), ""), "")</f>
        <v/>
      </c>
      <c r="E168" s="23" t="str">
        <f>IFERROR(IF(ISNUMBER('Spending by Category'!F174),TEXT('Spending by Category'!F174,"0.00"), ""), "")</f>
        <v/>
      </c>
      <c r="F168" s="23" t="str">
        <f>IFERROR(IF(ISNUMBER('Spending by Category'!G174),TEXT('Spending by Category'!G174,"0.00"), ""), "")</f>
        <v/>
      </c>
      <c r="G168" s="23" t="str">
        <f>IFERROR(IF(ISNUMBER('Spending by Category'!H174),TEXT('Spending by Category'!H174,"0.00"), ""), "")</f>
        <v/>
      </c>
      <c r="H168" s="23" t="str">
        <f>IFERROR(IF(ISNUMBER('Spending by Category'!I174),TEXT('Spending by Category'!I174,"0.00"), ""), "")</f>
        <v/>
      </c>
      <c r="I168" s="23" t="str">
        <f>IFERROR(IF(ISNUMBER('Spending by Category'!J174),TEXT('Spending by Category'!J174,"0.00"), ""), "")</f>
        <v/>
      </c>
    </row>
    <row r="169" spans="1:9">
      <c r="A169" s="23" t="str">
        <f>TEXT(IF('Spending by Category'!B175&lt;&gt;0,'Spending by Category'!B175-364, ""), "mm/dd/yyyy")</f>
        <v/>
      </c>
      <c r="B169" s="23" t="str">
        <f>IFERROR(IF(ISNUMBER('Spending by Category'!C175),TEXT('Spending by Category'!C175,"0.00"), ""), "")</f>
        <v/>
      </c>
      <c r="C169" s="23" t="str">
        <f>IFERROR(IF(ISNUMBER('Spending by Category'!D175),TEXT('Spending by Category'!D175,"0.00"), ""), "")</f>
        <v/>
      </c>
      <c r="D169" s="23" t="str">
        <f>IFERROR(IF(ISNUMBER('Spending by Category'!E175),TEXT('Spending by Category'!E175,"0.00"), ""), "")</f>
        <v/>
      </c>
      <c r="E169" s="23" t="str">
        <f>IFERROR(IF(ISNUMBER('Spending by Category'!F175),TEXT('Spending by Category'!F175,"0.00"), ""), "")</f>
        <v/>
      </c>
      <c r="F169" s="23" t="str">
        <f>IFERROR(IF(ISNUMBER('Spending by Category'!G175),TEXT('Spending by Category'!G175,"0.00"), ""), "")</f>
        <v/>
      </c>
      <c r="G169" s="23" t="str">
        <f>IFERROR(IF(ISNUMBER('Spending by Category'!H175),TEXT('Spending by Category'!H175,"0.00"), ""), "")</f>
        <v/>
      </c>
      <c r="H169" s="23" t="str">
        <f>IFERROR(IF(ISNUMBER('Spending by Category'!I175),TEXT('Spending by Category'!I175,"0.00"), ""), "")</f>
        <v/>
      </c>
      <c r="I169" s="23" t="str">
        <f>IFERROR(IF(ISNUMBER('Spending by Category'!J175),TEXT('Spending by Category'!J175,"0.00"), ""), "")</f>
        <v/>
      </c>
    </row>
    <row r="170" spans="1:9">
      <c r="A170" s="23" t="str">
        <f>TEXT(IF('Spending by Category'!B176&lt;&gt;0,'Spending by Category'!B176-364, ""), "mm/dd/yyyy")</f>
        <v/>
      </c>
      <c r="B170" s="23" t="str">
        <f>IFERROR(IF(ISNUMBER('Spending by Category'!C176),TEXT('Spending by Category'!C176,"0.00"), ""), "")</f>
        <v/>
      </c>
      <c r="C170" s="23" t="str">
        <f>IFERROR(IF(ISNUMBER('Spending by Category'!D176),TEXT('Spending by Category'!D176,"0.00"), ""), "")</f>
        <v/>
      </c>
      <c r="D170" s="23" t="str">
        <f>IFERROR(IF(ISNUMBER('Spending by Category'!E176),TEXT('Spending by Category'!E176,"0.00"), ""), "")</f>
        <v/>
      </c>
      <c r="E170" s="23" t="str">
        <f>IFERROR(IF(ISNUMBER('Spending by Category'!F176),TEXT('Spending by Category'!F176,"0.00"), ""), "")</f>
        <v/>
      </c>
      <c r="F170" s="23" t="str">
        <f>IFERROR(IF(ISNUMBER('Spending by Category'!G176),TEXT('Spending by Category'!G176,"0.00"), ""), "")</f>
        <v/>
      </c>
      <c r="G170" s="23" t="str">
        <f>IFERROR(IF(ISNUMBER('Spending by Category'!H176),TEXT('Spending by Category'!H176,"0.00"), ""), "")</f>
        <v/>
      </c>
      <c r="H170" s="23" t="str">
        <f>IFERROR(IF(ISNUMBER('Spending by Category'!I176),TEXT('Spending by Category'!I176,"0.00"), ""), "")</f>
        <v/>
      </c>
      <c r="I170" s="23" t="str">
        <f>IFERROR(IF(ISNUMBER('Spending by Category'!J176),TEXT('Spending by Category'!J176,"0.00"), ""), "")</f>
        <v/>
      </c>
    </row>
    <row r="171" spans="1:9">
      <c r="A171" s="23" t="str">
        <f>TEXT(IF('Spending by Category'!B177&lt;&gt;0,'Spending by Category'!B177-364, ""), "mm/dd/yyyy")</f>
        <v/>
      </c>
      <c r="B171" s="23" t="str">
        <f>IFERROR(IF(ISNUMBER('Spending by Category'!C177),TEXT('Spending by Category'!C177,"0.00"), ""), "")</f>
        <v/>
      </c>
      <c r="C171" s="23" t="str">
        <f>IFERROR(IF(ISNUMBER('Spending by Category'!D177),TEXT('Spending by Category'!D177,"0.00"), ""), "")</f>
        <v/>
      </c>
      <c r="D171" s="23" t="str">
        <f>IFERROR(IF(ISNUMBER('Spending by Category'!E177),TEXT('Spending by Category'!E177,"0.00"), ""), "")</f>
        <v/>
      </c>
      <c r="E171" s="23" t="str">
        <f>IFERROR(IF(ISNUMBER('Spending by Category'!F177),TEXT('Spending by Category'!F177,"0.00"), ""), "")</f>
        <v/>
      </c>
      <c r="F171" s="23" t="str">
        <f>IFERROR(IF(ISNUMBER('Spending by Category'!G177),TEXT('Spending by Category'!G177,"0.00"), ""), "")</f>
        <v/>
      </c>
      <c r="G171" s="23" t="str">
        <f>IFERROR(IF(ISNUMBER('Spending by Category'!H177),TEXT('Spending by Category'!H177,"0.00"), ""), "")</f>
        <v/>
      </c>
      <c r="H171" s="23" t="str">
        <f>IFERROR(IF(ISNUMBER('Spending by Category'!I177),TEXT('Spending by Category'!I177,"0.00"), ""), "")</f>
        <v/>
      </c>
      <c r="I171" s="23" t="str">
        <f>IFERROR(IF(ISNUMBER('Spending by Category'!J177),TEXT('Spending by Category'!J177,"0.00"), ""), "")</f>
        <v/>
      </c>
    </row>
    <row r="172" spans="1:9">
      <c r="A172" s="23" t="str">
        <f>TEXT(IF('Spending by Category'!B178&lt;&gt;0,'Spending by Category'!B178-364, ""), "mm/dd/yyyy")</f>
        <v/>
      </c>
      <c r="B172" s="23" t="str">
        <f>IFERROR(IF(ISNUMBER('Spending by Category'!C178),TEXT('Spending by Category'!C178,"0.00"), ""), "")</f>
        <v/>
      </c>
      <c r="C172" s="23" t="str">
        <f>IFERROR(IF(ISNUMBER('Spending by Category'!D178),TEXT('Spending by Category'!D178,"0.00"), ""), "")</f>
        <v/>
      </c>
      <c r="D172" s="23" t="str">
        <f>IFERROR(IF(ISNUMBER('Spending by Category'!E178),TEXT('Spending by Category'!E178,"0.00"), ""), "")</f>
        <v/>
      </c>
      <c r="E172" s="23" t="str">
        <f>IFERROR(IF(ISNUMBER('Spending by Category'!F178),TEXT('Spending by Category'!F178,"0.00"), ""), "")</f>
        <v/>
      </c>
      <c r="F172" s="23" t="str">
        <f>IFERROR(IF(ISNUMBER('Spending by Category'!G178),TEXT('Spending by Category'!G178,"0.00"), ""), "")</f>
        <v/>
      </c>
      <c r="G172" s="23" t="str">
        <f>IFERROR(IF(ISNUMBER('Spending by Category'!H178),TEXT('Spending by Category'!H178,"0.00"), ""), "")</f>
        <v/>
      </c>
      <c r="H172" s="23" t="str">
        <f>IFERROR(IF(ISNUMBER('Spending by Category'!I178),TEXT('Spending by Category'!I178,"0.00"), ""), "")</f>
        <v/>
      </c>
      <c r="I172" s="23" t="str">
        <f>IFERROR(IF(ISNUMBER('Spending by Category'!J178),TEXT('Spending by Category'!J178,"0.00"), ""), "")</f>
        <v/>
      </c>
    </row>
    <row r="173" spans="1:9">
      <c r="A173" s="23" t="str">
        <f>TEXT(IF('Spending by Category'!B179&lt;&gt;0,'Spending by Category'!B179-364, ""), "mm/dd/yyyy")</f>
        <v/>
      </c>
      <c r="B173" s="23" t="str">
        <f>IFERROR(IF(ISNUMBER('Spending by Category'!C179),TEXT('Spending by Category'!C179,"0.00"), ""), "")</f>
        <v/>
      </c>
      <c r="C173" s="23" t="str">
        <f>IFERROR(IF(ISNUMBER('Spending by Category'!D179),TEXT('Spending by Category'!D179,"0.00"), ""), "")</f>
        <v/>
      </c>
      <c r="D173" s="23" t="str">
        <f>IFERROR(IF(ISNUMBER('Spending by Category'!E179),TEXT('Spending by Category'!E179,"0.00"), ""), "")</f>
        <v/>
      </c>
      <c r="E173" s="23" t="str">
        <f>IFERROR(IF(ISNUMBER('Spending by Category'!F179),TEXT('Spending by Category'!F179,"0.00"), ""), "")</f>
        <v/>
      </c>
      <c r="F173" s="23" t="str">
        <f>IFERROR(IF(ISNUMBER('Spending by Category'!G179),TEXT('Spending by Category'!G179,"0.00"), ""), "")</f>
        <v/>
      </c>
      <c r="G173" s="23" t="str">
        <f>IFERROR(IF(ISNUMBER('Spending by Category'!H179),TEXT('Spending by Category'!H179,"0.00"), ""), "")</f>
        <v/>
      </c>
      <c r="H173" s="23" t="str">
        <f>IFERROR(IF(ISNUMBER('Spending by Category'!I179),TEXT('Spending by Category'!I179,"0.00"), ""), "")</f>
        <v/>
      </c>
      <c r="I173" s="23" t="str">
        <f>IFERROR(IF(ISNUMBER('Spending by Category'!J179),TEXT('Spending by Category'!J179,"0.00"), ""), "")</f>
        <v/>
      </c>
    </row>
    <row r="174" spans="1:9">
      <c r="A174" s="23" t="str">
        <f>TEXT(IF('Spending by Category'!B180&lt;&gt;0,'Spending by Category'!B180-364, ""), "mm/dd/yyyy")</f>
        <v/>
      </c>
      <c r="B174" s="23" t="str">
        <f>IFERROR(IF(ISNUMBER('Spending by Category'!C180),TEXT('Spending by Category'!C180,"0.00"), ""), "")</f>
        <v/>
      </c>
      <c r="C174" s="23" t="str">
        <f>IFERROR(IF(ISNUMBER('Spending by Category'!D180),TEXT('Spending by Category'!D180,"0.00"), ""), "")</f>
        <v/>
      </c>
      <c r="D174" s="23" t="str">
        <f>IFERROR(IF(ISNUMBER('Spending by Category'!E180),TEXT('Spending by Category'!E180,"0.00"), ""), "")</f>
        <v/>
      </c>
      <c r="E174" s="23" t="str">
        <f>IFERROR(IF(ISNUMBER('Spending by Category'!F180),TEXT('Spending by Category'!F180,"0.00"), ""), "")</f>
        <v/>
      </c>
      <c r="F174" s="23" t="str">
        <f>IFERROR(IF(ISNUMBER('Spending by Category'!G180),TEXT('Spending by Category'!G180,"0.00"), ""), "")</f>
        <v/>
      </c>
      <c r="G174" s="23" t="str">
        <f>IFERROR(IF(ISNUMBER('Spending by Category'!H180),TEXT('Spending by Category'!H180,"0.00"), ""), "")</f>
        <v/>
      </c>
      <c r="H174" s="23" t="str">
        <f>IFERROR(IF(ISNUMBER('Spending by Category'!I180),TEXT('Spending by Category'!I180,"0.00"), ""), "")</f>
        <v/>
      </c>
      <c r="I174" s="23" t="str">
        <f>IFERROR(IF(ISNUMBER('Spending by Category'!J180),TEXT('Spending by Category'!J180,"0.00"), ""), "")</f>
        <v/>
      </c>
    </row>
    <row r="175" spans="1:9">
      <c r="A175" s="23" t="str">
        <f>TEXT(IF('Spending by Category'!B181&lt;&gt;0,'Spending by Category'!B181-364, ""), "mm/dd/yyyy")</f>
        <v/>
      </c>
      <c r="B175" s="23" t="str">
        <f>IFERROR(IF(ISNUMBER('Spending by Category'!C181),TEXT('Spending by Category'!C181,"0.00"), ""), "")</f>
        <v/>
      </c>
      <c r="C175" s="23" t="str">
        <f>IFERROR(IF(ISNUMBER('Spending by Category'!D181),TEXT('Spending by Category'!D181,"0.00"), ""), "")</f>
        <v/>
      </c>
      <c r="D175" s="23" t="str">
        <f>IFERROR(IF(ISNUMBER('Spending by Category'!E181),TEXT('Spending by Category'!E181,"0.00"), ""), "")</f>
        <v/>
      </c>
      <c r="E175" s="23" t="str">
        <f>IFERROR(IF(ISNUMBER('Spending by Category'!F181),TEXT('Spending by Category'!F181,"0.00"), ""), "")</f>
        <v/>
      </c>
      <c r="F175" s="23" t="str">
        <f>IFERROR(IF(ISNUMBER('Spending by Category'!G181),TEXT('Spending by Category'!G181,"0.00"), ""), "")</f>
        <v/>
      </c>
      <c r="G175" s="23" t="str">
        <f>IFERROR(IF(ISNUMBER('Spending by Category'!H181),TEXT('Spending by Category'!H181,"0.00"), ""), "")</f>
        <v/>
      </c>
      <c r="H175" s="23" t="str">
        <f>IFERROR(IF(ISNUMBER('Spending by Category'!I181),TEXT('Spending by Category'!I181,"0.00"), ""), "")</f>
        <v/>
      </c>
      <c r="I175" s="23" t="str">
        <f>IFERROR(IF(ISNUMBER('Spending by Category'!J181),TEXT('Spending by Category'!J181,"0.00"), ""), "")</f>
        <v/>
      </c>
    </row>
    <row r="176" spans="1:9">
      <c r="A176" s="23" t="str">
        <f>TEXT(IF('Spending by Category'!B182&lt;&gt;0,'Spending by Category'!B182-364, ""), "mm/dd/yyyy")</f>
        <v/>
      </c>
      <c r="B176" s="23" t="str">
        <f>IFERROR(IF(ISNUMBER('Spending by Category'!C182),TEXT('Spending by Category'!C182,"0.00"), ""), "")</f>
        <v/>
      </c>
      <c r="C176" s="23" t="str">
        <f>IFERROR(IF(ISNUMBER('Spending by Category'!D182),TEXT('Spending by Category'!D182,"0.00"), ""), "")</f>
        <v/>
      </c>
      <c r="D176" s="23" t="str">
        <f>IFERROR(IF(ISNUMBER('Spending by Category'!E182),TEXT('Spending by Category'!E182,"0.00"), ""), "")</f>
        <v/>
      </c>
      <c r="E176" s="23" t="str">
        <f>IFERROR(IF(ISNUMBER('Spending by Category'!F182),TEXT('Spending by Category'!F182,"0.00"), ""), "")</f>
        <v/>
      </c>
      <c r="F176" s="23" t="str">
        <f>IFERROR(IF(ISNUMBER('Spending by Category'!G182),TEXT('Spending by Category'!G182,"0.00"), ""), "")</f>
        <v/>
      </c>
      <c r="G176" s="23" t="str">
        <f>IFERROR(IF(ISNUMBER('Spending by Category'!H182),TEXT('Spending by Category'!H182,"0.00"), ""), "")</f>
        <v/>
      </c>
      <c r="H176" s="23" t="str">
        <f>IFERROR(IF(ISNUMBER('Spending by Category'!I182),TEXT('Spending by Category'!I182,"0.00"), ""), "")</f>
        <v/>
      </c>
      <c r="I176" s="23" t="str">
        <f>IFERROR(IF(ISNUMBER('Spending by Category'!J182),TEXT('Spending by Category'!J182,"0.00"), ""), "")</f>
        <v/>
      </c>
    </row>
    <row r="177" spans="1:9">
      <c r="A177" s="23" t="str">
        <f>TEXT(IF('Spending by Category'!B183&lt;&gt;0,'Spending by Category'!B183-364, ""), "mm/dd/yyyy")</f>
        <v/>
      </c>
      <c r="B177" s="23" t="str">
        <f>IFERROR(IF(ISNUMBER('Spending by Category'!C183),TEXT('Spending by Category'!C183,"0.00"), ""), "")</f>
        <v/>
      </c>
      <c r="C177" s="23" t="str">
        <f>IFERROR(IF(ISNUMBER('Spending by Category'!D183),TEXT('Spending by Category'!D183,"0.00"), ""), "")</f>
        <v/>
      </c>
      <c r="D177" s="23" t="str">
        <f>IFERROR(IF(ISNUMBER('Spending by Category'!E183),TEXT('Spending by Category'!E183,"0.00"), ""), "")</f>
        <v/>
      </c>
      <c r="E177" s="23" t="str">
        <f>IFERROR(IF(ISNUMBER('Spending by Category'!F183),TEXT('Spending by Category'!F183,"0.00"), ""), "")</f>
        <v/>
      </c>
      <c r="F177" s="23" t="str">
        <f>IFERROR(IF(ISNUMBER('Spending by Category'!G183),TEXT('Spending by Category'!G183,"0.00"), ""), "")</f>
        <v/>
      </c>
      <c r="G177" s="23" t="str">
        <f>IFERROR(IF(ISNUMBER('Spending by Category'!H183),TEXT('Spending by Category'!H183,"0.00"), ""), "")</f>
        <v/>
      </c>
      <c r="H177" s="23" t="str">
        <f>IFERROR(IF(ISNUMBER('Spending by Category'!I183),TEXT('Spending by Category'!I183,"0.00"), ""), "")</f>
        <v/>
      </c>
      <c r="I177" s="23" t="str">
        <f>IFERROR(IF(ISNUMBER('Spending by Category'!J183),TEXT('Spending by Category'!J183,"0.00"), ""), "")</f>
        <v/>
      </c>
    </row>
    <row r="178" spans="1:9">
      <c r="A178" s="23" t="str">
        <f>TEXT(IF('Spending by Category'!B184&lt;&gt;0,'Spending by Category'!B184-364, ""), "mm/dd/yyyy")</f>
        <v/>
      </c>
      <c r="B178" s="23" t="str">
        <f>IFERROR(IF(ISNUMBER('Spending by Category'!C184),TEXT('Spending by Category'!C184,"0.00"), ""), "")</f>
        <v/>
      </c>
      <c r="C178" s="23" t="str">
        <f>IFERROR(IF(ISNUMBER('Spending by Category'!D184),TEXT('Spending by Category'!D184,"0.00"), ""), "")</f>
        <v/>
      </c>
      <c r="D178" s="23" t="str">
        <f>IFERROR(IF(ISNUMBER('Spending by Category'!E184),TEXT('Spending by Category'!E184,"0.00"), ""), "")</f>
        <v/>
      </c>
      <c r="E178" s="23" t="str">
        <f>IFERROR(IF(ISNUMBER('Spending by Category'!F184),TEXT('Spending by Category'!F184,"0.00"), ""), "")</f>
        <v/>
      </c>
      <c r="F178" s="23" t="str">
        <f>IFERROR(IF(ISNUMBER('Spending by Category'!G184),TEXT('Spending by Category'!G184,"0.00"), ""), "")</f>
        <v/>
      </c>
      <c r="G178" s="23" t="str">
        <f>IFERROR(IF(ISNUMBER('Spending by Category'!H184),TEXT('Spending by Category'!H184,"0.00"), ""), "")</f>
        <v/>
      </c>
      <c r="H178" s="23" t="str">
        <f>IFERROR(IF(ISNUMBER('Spending by Category'!I184),TEXT('Spending by Category'!I184,"0.00"), ""), "")</f>
        <v/>
      </c>
      <c r="I178" s="23" t="str">
        <f>IFERROR(IF(ISNUMBER('Spending by Category'!J184),TEXT('Spending by Category'!J184,"0.00"), ""), "")</f>
        <v/>
      </c>
    </row>
    <row r="179" spans="1:9">
      <c r="A179" s="23" t="str">
        <f>TEXT(IF('Spending by Category'!B185&lt;&gt;0,'Spending by Category'!B185-364, ""), "mm/dd/yyyy")</f>
        <v/>
      </c>
      <c r="B179" s="23" t="str">
        <f>IFERROR(IF(ISNUMBER('Spending by Category'!C185),TEXT('Spending by Category'!C185,"0.00"), ""), "")</f>
        <v/>
      </c>
      <c r="C179" s="23" t="str">
        <f>IFERROR(IF(ISNUMBER('Spending by Category'!D185),TEXT('Spending by Category'!D185,"0.00"), ""), "")</f>
        <v/>
      </c>
      <c r="D179" s="23" t="str">
        <f>IFERROR(IF(ISNUMBER('Spending by Category'!E185),TEXT('Spending by Category'!E185,"0.00"), ""), "")</f>
        <v/>
      </c>
      <c r="E179" s="23" t="str">
        <f>IFERROR(IF(ISNUMBER('Spending by Category'!F185),TEXT('Spending by Category'!F185,"0.00"), ""), "")</f>
        <v/>
      </c>
      <c r="F179" s="23" t="str">
        <f>IFERROR(IF(ISNUMBER('Spending by Category'!G185),TEXT('Spending by Category'!G185,"0.00"), ""), "")</f>
        <v/>
      </c>
      <c r="G179" s="23" t="str">
        <f>IFERROR(IF(ISNUMBER('Spending by Category'!H185),TEXT('Spending by Category'!H185,"0.00"), ""), "")</f>
        <v/>
      </c>
      <c r="H179" s="23" t="str">
        <f>IFERROR(IF(ISNUMBER('Spending by Category'!I185),TEXT('Spending by Category'!I185,"0.00"), ""), "")</f>
        <v/>
      </c>
      <c r="I179" s="23" t="str">
        <f>IFERROR(IF(ISNUMBER('Spending by Category'!J185),TEXT('Spending by Category'!J185,"0.00"), ""), "")</f>
        <v/>
      </c>
    </row>
    <row r="180" spans="1:9">
      <c r="A180" s="23" t="str">
        <f>TEXT(IF('Spending by Category'!B186&lt;&gt;0,'Spending by Category'!B186-364, ""), "mm/dd/yyyy")</f>
        <v/>
      </c>
      <c r="B180" s="23" t="str">
        <f>IFERROR(IF(ISNUMBER('Spending by Category'!C186),TEXT('Spending by Category'!C186,"0.00"), ""), "")</f>
        <v/>
      </c>
      <c r="C180" s="23" t="str">
        <f>IFERROR(IF(ISNUMBER('Spending by Category'!D186),TEXT('Spending by Category'!D186,"0.00"), ""), "")</f>
        <v/>
      </c>
      <c r="D180" s="23" t="str">
        <f>IFERROR(IF(ISNUMBER('Spending by Category'!E186),TEXT('Spending by Category'!E186,"0.00"), ""), "")</f>
        <v/>
      </c>
      <c r="E180" s="23" t="str">
        <f>IFERROR(IF(ISNUMBER('Spending by Category'!F186),TEXT('Spending by Category'!F186,"0.00"), ""), "")</f>
        <v/>
      </c>
      <c r="F180" s="23" t="str">
        <f>IFERROR(IF(ISNUMBER('Spending by Category'!G186),TEXT('Spending by Category'!G186,"0.00"), ""), "")</f>
        <v/>
      </c>
      <c r="G180" s="23" t="str">
        <f>IFERROR(IF(ISNUMBER('Spending by Category'!H186),TEXT('Spending by Category'!H186,"0.00"), ""), "")</f>
        <v/>
      </c>
      <c r="H180" s="23" t="str">
        <f>IFERROR(IF(ISNUMBER('Spending by Category'!I186),TEXT('Spending by Category'!I186,"0.00"), ""), "")</f>
        <v/>
      </c>
      <c r="I180" s="23" t="str">
        <f>IFERROR(IF(ISNUMBER('Spending by Category'!J186),TEXT('Spending by Category'!J186,"0.00"), ""), "")</f>
        <v/>
      </c>
    </row>
    <row r="181" spans="1:9">
      <c r="A181" s="23" t="str">
        <f>TEXT(IF('Spending by Category'!B187&lt;&gt;0,'Spending by Category'!B187-364, ""), "mm/dd/yyyy")</f>
        <v/>
      </c>
      <c r="B181" s="23" t="str">
        <f>IFERROR(IF(ISNUMBER('Spending by Category'!C187),TEXT('Spending by Category'!C187,"0.00"), ""), "")</f>
        <v/>
      </c>
      <c r="C181" s="23" t="str">
        <f>IFERROR(IF(ISNUMBER('Spending by Category'!D187),TEXT('Spending by Category'!D187,"0.00"), ""), "")</f>
        <v/>
      </c>
      <c r="D181" s="23" t="str">
        <f>IFERROR(IF(ISNUMBER('Spending by Category'!E187),TEXT('Spending by Category'!E187,"0.00"), ""), "")</f>
        <v/>
      </c>
      <c r="E181" s="23" t="str">
        <f>IFERROR(IF(ISNUMBER('Spending by Category'!F187),TEXT('Spending by Category'!F187,"0.00"), ""), "")</f>
        <v/>
      </c>
      <c r="F181" s="23" t="str">
        <f>IFERROR(IF(ISNUMBER('Spending by Category'!G187),TEXT('Spending by Category'!G187,"0.00"), ""), "")</f>
        <v/>
      </c>
      <c r="G181" s="23" t="str">
        <f>IFERROR(IF(ISNUMBER('Spending by Category'!H187),TEXT('Spending by Category'!H187,"0.00"), ""), "")</f>
        <v/>
      </c>
      <c r="H181" s="23" t="str">
        <f>IFERROR(IF(ISNUMBER('Spending by Category'!I187),TEXT('Spending by Category'!I187,"0.00"), ""), "")</f>
        <v/>
      </c>
      <c r="I181" s="23" t="str">
        <f>IFERROR(IF(ISNUMBER('Spending by Category'!J187),TEXT('Spending by Category'!J187,"0.00"), ""), "")</f>
        <v/>
      </c>
    </row>
    <row r="182" spans="1:9">
      <c r="A182" s="23" t="str">
        <f>TEXT(IF('Spending by Category'!B188&lt;&gt;0,'Spending by Category'!B188-364, ""), "mm/dd/yyyy")</f>
        <v/>
      </c>
      <c r="B182" s="23" t="str">
        <f>IFERROR(IF(ISNUMBER('Spending by Category'!C188),TEXT('Spending by Category'!C188,"0.00"), ""), "")</f>
        <v/>
      </c>
      <c r="C182" s="23" t="str">
        <f>IFERROR(IF(ISNUMBER('Spending by Category'!D188),TEXT('Spending by Category'!D188,"0.00"), ""), "")</f>
        <v/>
      </c>
      <c r="D182" s="23" t="str">
        <f>IFERROR(IF(ISNUMBER('Spending by Category'!E188),TEXT('Spending by Category'!E188,"0.00"), ""), "")</f>
        <v/>
      </c>
      <c r="E182" s="23" t="str">
        <f>IFERROR(IF(ISNUMBER('Spending by Category'!F188),TEXT('Spending by Category'!F188,"0.00"), ""), "")</f>
        <v/>
      </c>
      <c r="F182" s="23" t="str">
        <f>IFERROR(IF(ISNUMBER('Spending by Category'!G188),TEXT('Spending by Category'!G188,"0.00"), ""), "")</f>
        <v/>
      </c>
      <c r="G182" s="23" t="str">
        <f>IFERROR(IF(ISNUMBER('Spending by Category'!H188),TEXT('Spending by Category'!H188,"0.00"), ""), "")</f>
        <v/>
      </c>
      <c r="H182" s="23" t="str">
        <f>IFERROR(IF(ISNUMBER('Spending by Category'!I188),TEXT('Spending by Category'!I188,"0.00"), ""), "")</f>
        <v/>
      </c>
      <c r="I182" s="23" t="str">
        <f>IFERROR(IF(ISNUMBER('Spending by Category'!J188),TEXT('Spending by Category'!J188,"0.00"), ""), "")</f>
        <v/>
      </c>
    </row>
    <row r="183" spans="1:9">
      <c r="A183" s="23" t="str">
        <f>TEXT(IF('Spending by Category'!B189&lt;&gt;0,'Spending by Category'!B189-364, ""), "mm/dd/yyyy")</f>
        <v/>
      </c>
      <c r="B183" s="23" t="str">
        <f>IFERROR(IF(ISNUMBER('Spending by Category'!C189),TEXT('Spending by Category'!C189,"0.00"), ""), "")</f>
        <v/>
      </c>
      <c r="C183" s="23" t="str">
        <f>IFERROR(IF(ISNUMBER('Spending by Category'!D189),TEXT('Spending by Category'!D189,"0.00"), ""), "")</f>
        <v/>
      </c>
      <c r="D183" s="23" t="str">
        <f>IFERROR(IF(ISNUMBER('Spending by Category'!E189),TEXT('Spending by Category'!E189,"0.00"), ""), "")</f>
        <v/>
      </c>
      <c r="E183" s="23" t="str">
        <f>IFERROR(IF(ISNUMBER('Spending by Category'!F189),TEXT('Spending by Category'!F189,"0.00"), ""), "")</f>
        <v/>
      </c>
      <c r="F183" s="23" t="str">
        <f>IFERROR(IF(ISNUMBER('Spending by Category'!G189),TEXT('Spending by Category'!G189,"0.00"), ""), "")</f>
        <v/>
      </c>
      <c r="G183" s="23" t="str">
        <f>IFERROR(IF(ISNUMBER('Spending by Category'!H189),TEXT('Spending by Category'!H189,"0.00"), ""), "")</f>
        <v/>
      </c>
      <c r="H183" s="23" t="str">
        <f>IFERROR(IF(ISNUMBER('Spending by Category'!I189),TEXT('Spending by Category'!I189,"0.00"), ""), "")</f>
        <v/>
      </c>
      <c r="I183" s="23" t="str">
        <f>IFERROR(IF(ISNUMBER('Spending by Category'!J189),TEXT('Spending by Category'!J189,"0.00"), ""), "")</f>
        <v/>
      </c>
    </row>
    <row r="184" spans="1:9">
      <c r="A184" s="23" t="str">
        <f>TEXT(IF('Spending by Category'!B190&lt;&gt;0,'Spending by Category'!B190-364, ""), "mm/dd/yyyy")</f>
        <v/>
      </c>
      <c r="B184" s="23" t="str">
        <f>IFERROR(IF(ISNUMBER('Spending by Category'!C190),TEXT('Spending by Category'!C190,"0.00"), ""), "")</f>
        <v/>
      </c>
      <c r="C184" s="23" t="str">
        <f>IFERROR(IF(ISNUMBER('Spending by Category'!D190),TEXT('Spending by Category'!D190,"0.00"), ""), "")</f>
        <v/>
      </c>
      <c r="D184" s="23" t="str">
        <f>IFERROR(IF(ISNUMBER('Spending by Category'!E190),TEXT('Spending by Category'!E190,"0.00"), ""), "")</f>
        <v/>
      </c>
      <c r="E184" s="23" t="str">
        <f>IFERROR(IF(ISNUMBER('Spending by Category'!F190),TEXT('Spending by Category'!F190,"0.00"), ""), "")</f>
        <v/>
      </c>
      <c r="F184" s="23" t="str">
        <f>IFERROR(IF(ISNUMBER('Spending by Category'!G190),TEXT('Spending by Category'!G190,"0.00"), ""), "")</f>
        <v/>
      </c>
      <c r="G184" s="23" t="str">
        <f>IFERROR(IF(ISNUMBER('Spending by Category'!H190),TEXT('Spending by Category'!H190,"0.00"), ""), "")</f>
        <v/>
      </c>
      <c r="H184" s="23" t="str">
        <f>IFERROR(IF(ISNUMBER('Spending by Category'!I190),TEXT('Spending by Category'!I190,"0.00"), ""), "")</f>
        <v/>
      </c>
      <c r="I184" s="23" t="str">
        <f>IFERROR(IF(ISNUMBER('Spending by Category'!J190),TEXT('Spending by Category'!J190,"0.00"), ""), "")</f>
        <v/>
      </c>
    </row>
    <row r="185" spans="1:9">
      <c r="A185" s="23" t="str">
        <f>TEXT(IF('Spending by Category'!B191&lt;&gt;0,'Spending by Category'!B191-364, ""), "mm/dd/yyyy")</f>
        <v/>
      </c>
      <c r="B185" s="23" t="str">
        <f>IFERROR(IF(ISNUMBER('Spending by Category'!C191),TEXT('Spending by Category'!C191,"0.00"), ""), "")</f>
        <v/>
      </c>
      <c r="C185" s="23" t="str">
        <f>IFERROR(IF(ISNUMBER('Spending by Category'!D191),TEXT('Spending by Category'!D191,"0.00"), ""), "")</f>
        <v/>
      </c>
      <c r="D185" s="23" t="str">
        <f>IFERROR(IF(ISNUMBER('Spending by Category'!E191),TEXT('Spending by Category'!E191,"0.00"), ""), "")</f>
        <v/>
      </c>
      <c r="E185" s="23" t="str">
        <f>IFERROR(IF(ISNUMBER('Spending by Category'!F191),TEXT('Spending by Category'!F191,"0.00"), ""), "")</f>
        <v/>
      </c>
      <c r="F185" s="23" t="str">
        <f>IFERROR(IF(ISNUMBER('Spending by Category'!G191),TEXT('Spending by Category'!G191,"0.00"), ""), "")</f>
        <v/>
      </c>
      <c r="G185" s="23" t="str">
        <f>IFERROR(IF(ISNUMBER('Spending by Category'!H191),TEXT('Spending by Category'!H191,"0.00"), ""), "")</f>
        <v/>
      </c>
      <c r="H185" s="23" t="str">
        <f>IFERROR(IF(ISNUMBER('Spending by Category'!I191),TEXT('Spending by Category'!I191,"0.00"), ""), "")</f>
        <v/>
      </c>
      <c r="I185" s="23" t="str">
        <f>IFERROR(IF(ISNUMBER('Spending by Category'!J191),TEXT('Spending by Category'!J191,"0.00"), ""), "")</f>
        <v/>
      </c>
    </row>
    <row r="186" spans="1:9">
      <c r="A186" s="23" t="str">
        <f>TEXT(IF('Spending by Category'!B192&lt;&gt;0,'Spending by Category'!B192-364, ""), "mm/dd/yyyy")</f>
        <v/>
      </c>
      <c r="B186" s="23" t="str">
        <f>IFERROR(IF(ISNUMBER('Spending by Category'!C192),TEXT('Spending by Category'!C192,"0.00"), ""), "")</f>
        <v/>
      </c>
      <c r="C186" s="23" t="str">
        <f>IFERROR(IF(ISNUMBER('Spending by Category'!D192),TEXT('Spending by Category'!D192,"0.00"), ""), "")</f>
        <v/>
      </c>
      <c r="D186" s="23" t="str">
        <f>IFERROR(IF(ISNUMBER('Spending by Category'!E192),TEXT('Spending by Category'!E192,"0.00"), ""), "")</f>
        <v/>
      </c>
      <c r="E186" s="23" t="str">
        <f>IFERROR(IF(ISNUMBER('Spending by Category'!F192),TEXT('Spending by Category'!F192,"0.00"), ""), "")</f>
        <v/>
      </c>
      <c r="F186" s="23" t="str">
        <f>IFERROR(IF(ISNUMBER('Spending by Category'!G192),TEXT('Spending by Category'!G192,"0.00"), ""), "")</f>
        <v/>
      </c>
      <c r="G186" s="23" t="str">
        <f>IFERROR(IF(ISNUMBER('Spending by Category'!H192),TEXT('Spending by Category'!H192,"0.00"), ""), "")</f>
        <v/>
      </c>
      <c r="H186" s="23" t="str">
        <f>IFERROR(IF(ISNUMBER('Spending by Category'!I192),TEXT('Spending by Category'!I192,"0.00"), ""), "")</f>
        <v/>
      </c>
      <c r="I186" s="23" t="str">
        <f>IFERROR(IF(ISNUMBER('Spending by Category'!J192),TEXT('Spending by Category'!J192,"0.00"), ""), "")</f>
        <v/>
      </c>
    </row>
    <row r="187" spans="1:9">
      <c r="A187" s="23" t="str">
        <f>TEXT(IF('Spending by Category'!B193&lt;&gt;0,'Spending by Category'!B193-364, ""), "mm/dd/yyyy")</f>
        <v/>
      </c>
      <c r="B187" s="23" t="str">
        <f>IFERROR(IF(ISNUMBER('Spending by Category'!C193),TEXT('Spending by Category'!C193,"0.00"), ""), "")</f>
        <v/>
      </c>
      <c r="C187" s="23" t="str">
        <f>IFERROR(IF(ISNUMBER('Spending by Category'!D193),TEXT('Spending by Category'!D193,"0.00"), ""), "")</f>
        <v/>
      </c>
      <c r="D187" s="23" t="str">
        <f>IFERROR(IF(ISNUMBER('Spending by Category'!E193),TEXT('Spending by Category'!E193,"0.00"), ""), "")</f>
        <v/>
      </c>
      <c r="E187" s="23" t="str">
        <f>IFERROR(IF(ISNUMBER('Spending by Category'!F193),TEXT('Spending by Category'!F193,"0.00"), ""), "")</f>
        <v/>
      </c>
      <c r="F187" s="23" t="str">
        <f>IFERROR(IF(ISNUMBER('Spending by Category'!G193),TEXT('Spending by Category'!G193,"0.00"), ""), "")</f>
        <v/>
      </c>
      <c r="G187" s="23" t="str">
        <f>IFERROR(IF(ISNUMBER('Spending by Category'!H193),TEXT('Spending by Category'!H193,"0.00"), ""), "")</f>
        <v/>
      </c>
      <c r="H187" s="23" t="str">
        <f>IFERROR(IF(ISNUMBER('Spending by Category'!I193),TEXT('Spending by Category'!I193,"0.00"), ""), "")</f>
        <v/>
      </c>
      <c r="I187" s="23" t="str">
        <f>IFERROR(IF(ISNUMBER('Spending by Category'!J193),TEXT('Spending by Category'!J193,"0.00"), ""), "")</f>
        <v/>
      </c>
    </row>
    <row r="188" spans="1:9">
      <c r="A188" s="23" t="str">
        <f>TEXT(IF('Spending by Category'!B194&lt;&gt;0,'Spending by Category'!B194-364, ""), "mm/dd/yyyy")</f>
        <v/>
      </c>
      <c r="B188" s="23" t="str">
        <f>IFERROR(IF(ISNUMBER('Spending by Category'!C194),TEXT('Spending by Category'!C194,"0.00"), ""), "")</f>
        <v/>
      </c>
      <c r="C188" s="23" t="str">
        <f>IFERROR(IF(ISNUMBER('Spending by Category'!D194),TEXT('Spending by Category'!D194,"0.00"), ""), "")</f>
        <v/>
      </c>
      <c r="D188" s="23" t="str">
        <f>IFERROR(IF(ISNUMBER('Spending by Category'!E194),TEXT('Spending by Category'!E194,"0.00"), ""), "")</f>
        <v/>
      </c>
      <c r="E188" s="23" t="str">
        <f>IFERROR(IF(ISNUMBER('Spending by Category'!F194),TEXT('Spending by Category'!F194,"0.00"), ""), "")</f>
        <v/>
      </c>
      <c r="F188" s="23" t="str">
        <f>IFERROR(IF(ISNUMBER('Spending by Category'!G194),TEXT('Spending by Category'!G194,"0.00"), ""), "")</f>
        <v/>
      </c>
      <c r="G188" s="23" t="str">
        <f>IFERROR(IF(ISNUMBER('Spending by Category'!H194),TEXT('Spending by Category'!H194,"0.00"), ""), "")</f>
        <v/>
      </c>
      <c r="H188" s="23" t="str">
        <f>IFERROR(IF(ISNUMBER('Spending by Category'!I194),TEXT('Spending by Category'!I194,"0.00"), ""), "")</f>
        <v/>
      </c>
      <c r="I188" s="23" t="str">
        <f>IFERROR(IF(ISNUMBER('Spending by Category'!J194),TEXT('Spending by Category'!J194,"0.00"), ""), "")</f>
        <v/>
      </c>
    </row>
    <row r="189" spans="1:9">
      <c r="A189" s="23" t="str">
        <f>TEXT(IF('Spending by Category'!B195&lt;&gt;0,'Spending by Category'!B195-364, ""), "mm/dd/yyyy")</f>
        <v/>
      </c>
      <c r="B189" s="23" t="str">
        <f>IFERROR(IF(ISNUMBER('Spending by Category'!C195),TEXT('Spending by Category'!C195,"0.00"), ""), "")</f>
        <v/>
      </c>
      <c r="C189" s="23" t="str">
        <f>IFERROR(IF(ISNUMBER('Spending by Category'!D195),TEXT('Spending by Category'!D195,"0.00"), ""), "")</f>
        <v/>
      </c>
      <c r="D189" s="23" t="str">
        <f>IFERROR(IF(ISNUMBER('Spending by Category'!E195),TEXT('Spending by Category'!E195,"0.00"), ""), "")</f>
        <v/>
      </c>
      <c r="E189" s="23" t="str">
        <f>IFERROR(IF(ISNUMBER('Spending by Category'!F195),TEXT('Spending by Category'!F195,"0.00"), ""), "")</f>
        <v/>
      </c>
      <c r="F189" s="23" t="str">
        <f>IFERROR(IF(ISNUMBER('Spending by Category'!G195),TEXT('Spending by Category'!G195,"0.00"), ""), "")</f>
        <v/>
      </c>
      <c r="G189" s="23" t="str">
        <f>IFERROR(IF(ISNUMBER('Spending by Category'!H195),TEXT('Spending by Category'!H195,"0.00"), ""), "")</f>
        <v/>
      </c>
      <c r="H189" s="23" t="str">
        <f>IFERROR(IF(ISNUMBER('Spending by Category'!I195),TEXT('Spending by Category'!I195,"0.00"), ""), "")</f>
        <v/>
      </c>
      <c r="I189" s="23" t="str">
        <f>IFERROR(IF(ISNUMBER('Spending by Category'!J195),TEXT('Spending by Category'!J195,"0.00"), ""), "")</f>
        <v/>
      </c>
    </row>
    <row r="190" spans="1:9">
      <c r="A190" s="23" t="str">
        <f>TEXT(IF('Spending by Category'!B196&lt;&gt;0,'Spending by Category'!B196-364, ""), "mm/dd/yyyy")</f>
        <v/>
      </c>
      <c r="B190" s="23" t="str">
        <f>IFERROR(IF(ISNUMBER('Spending by Category'!C196),TEXT('Spending by Category'!C196,"0.00"), ""), "")</f>
        <v/>
      </c>
      <c r="C190" s="23" t="str">
        <f>IFERROR(IF(ISNUMBER('Spending by Category'!D196),TEXT('Spending by Category'!D196,"0.00"), ""), "")</f>
        <v/>
      </c>
      <c r="D190" s="23" t="str">
        <f>IFERROR(IF(ISNUMBER('Spending by Category'!E196),TEXT('Spending by Category'!E196,"0.00"), ""), "")</f>
        <v/>
      </c>
      <c r="E190" s="23" t="str">
        <f>IFERROR(IF(ISNUMBER('Spending by Category'!F196),TEXT('Spending by Category'!F196,"0.00"), ""), "")</f>
        <v/>
      </c>
      <c r="F190" s="23" t="str">
        <f>IFERROR(IF(ISNUMBER('Spending by Category'!G196),TEXT('Spending by Category'!G196,"0.00"), ""), "")</f>
        <v/>
      </c>
      <c r="G190" s="23" t="str">
        <f>IFERROR(IF(ISNUMBER('Spending by Category'!H196),TEXT('Spending by Category'!H196,"0.00"), ""), "")</f>
        <v/>
      </c>
      <c r="H190" s="23" t="str">
        <f>IFERROR(IF(ISNUMBER('Spending by Category'!I196),TEXT('Spending by Category'!I196,"0.00"), ""), "")</f>
        <v/>
      </c>
      <c r="I190" s="23" t="str">
        <f>IFERROR(IF(ISNUMBER('Spending by Category'!J196),TEXT('Spending by Category'!J196,"0.00"), ""), "")</f>
        <v/>
      </c>
    </row>
    <row r="191" spans="1:9">
      <c r="A191" s="23" t="str">
        <f>TEXT(IF('Spending by Category'!B197&lt;&gt;0,'Spending by Category'!B197-364, ""), "mm/dd/yyyy")</f>
        <v/>
      </c>
      <c r="B191" s="23" t="str">
        <f>IFERROR(IF(ISNUMBER('Spending by Category'!C197),TEXT('Spending by Category'!C197,"0.00"), ""), "")</f>
        <v/>
      </c>
      <c r="C191" s="23" t="str">
        <f>IFERROR(IF(ISNUMBER('Spending by Category'!D197),TEXT('Spending by Category'!D197,"0.00"), ""), "")</f>
        <v/>
      </c>
      <c r="D191" s="23" t="str">
        <f>IFERROR(IF(ISNUMBER('Spending by Category'!E197),TEXT('Spending by Category'!E197,"0.00"), ""), "")</f>
        <v/>
      </c>
      <c r="E191" s="23" t="str">
        <f>IFERROR(IF(ISNUMBER('Spending by Category'!F197),TEXT('Spending by Category'!F197,"0.00"), ""), "")</f>
        <v/>
      </c>
      <c r="F191" s="23" t="str">
        <f>IFERROR(IF(ISNUMBER('Spending by Category'!G197),TEXT('Spending by Category'!G197,"0.00"), ""), "")</f>
        <v/>
      </c>
      <c r="G191" s="23" t="str">
        <f>IFERROR(IF(ISNUMBER('Spending by Category'!H197),TEXT('Spending by Category'!H197,"0.00"), ""), "")</f>
        <v/>
      </c>
      <c r="H191" s="23" t="str">
        <f>IFERROR(IF(ISNUMBER('Spending by Category'!I197),TEXT('Spending by Category'!I197,"0.00"), ""), "")</f>
        <v/>
      </c>
      <c r="I191" s="23" t="str">
        <f>IFERROR(IF(ISNUMBER('Spending by Category'!J197),TEXT('Spending by Category'!J197,"0.00"), ""), "")</f>
        <v/>
      </c>
    </row>
    <row r="192" spans="1:9">
      <c r="A192" s="23" t="str">
        <f>TEXT(IF('Spending by Category'!B198&lt;&gt;0,'Spending by Category'!B198-364, ""), "mm/dd/yyyy")</f>
        <v/>
      </c>
      <c r="B192" s="23" t="str">
        <f>IFERROR(IF(ISNUMBER('Spending by Category'!C198),TEXT('Spending by Category'!C198,"0.00"), ""), "")</f>
        <v/>
      </c>
      <c r="C192" s="23" t="str">
        <f>IFERROR(IF(ISNUMBER('Spending by Category'!D198),TEXT('Spending by Category'!D198,"0.00"), ""), "")</f>
        <v/>
      </c>
      <c r="D192" s="23" t="str">
        <f>IFERROR(IF(ISNUMBER('Spending by Category'!E198),TEXT('Spending by Category'!E198,"0.00"), ""), "")</f>
        <v/>
      </c>
      <c r="E192" s="23" t="str">
        <f>IFERROR(IF(ISNUMBER('Spending by Category'!F198),TEXT('Spending by Category'!F198,"0.00"), ""), "")</f>
        <v/>
      </c>
      <c r="F192" s="23" t="str">
        <f>IFERROR(IF(ISNUMBER('Spending by Category'!G198),TEXT('Spending by Category'!G198,"0.00"), ""), "")</f>
        <v/>
      </c>
      <c r="G192" s="23" t="str">
        <f>IFERROR(IF(ISNUMBER('Spending by Category'!H198),TEXT('Spending by Category'!H198,"0.00"), ""), "")</f>
        <v/>
      </c>
      <c r="H192" s="23" t="str">
        <f>IFERROR(IF(ISNUMBER('Spending by Category'!I198),TEXT('Spending by Category'!I198,"0.00"), ""), "")</f>
        <v/>
      </c>
      <c r="I192" s="23" t="str">
        <f>IFERROR(IF(ISNUMBER('Spending by Category'!J198),TEXT('Spending by Category'!J198,"0.00"), ""), "")</f>
        <v/>
      </c>
    </row>
    <row r="193" spans="1:9">
      <c r="A193" s="23" t="str">
        <f>TEXT(IF('Spending by Category'!B199&lt;&gt;0,'Spending by Category'!B199-364, ""), "mm/dd/yyyy")</f>
        <v/>
      </c>
      <c r="B193" s="23" t="str">
        <f>IFERROR(IF(ISNUMBER('Spending by Category'!C199),TEXT('Spending by Category'!C199,"0.00"), ""), "")</f>
        <v/>
      </c>
      <c r="C193" s="23" t="str">
        <f>IFERROR(IF(ISNUMBER('Spending by Category'!D199),TEXT('Spending by Category'!D199,"0.00"), ""), "")</f>
        <v/>
      </c>
      <c r="D193" s="23" t="str">
        <f>IFERROR(IF(ISNUMBER('Spending by Category'!E199),TEXT('Spending by Category'!E199,"0.00"), ""), "")</f>
        <v/>
      </c>
      <c r="E193" s="23" t="str">
        <f>IFERROR(IF(ISNUMBER('Spending by Category'!F199),TEXT('Spending by Category'!F199,"0.00"), ""), "")</f>
        <v/>
      </c>
      <c r="F193" s="23" t="str">
        <f>IFERROR(IF(ISNUMBER('Spending by Category'!G199),TEXT('Spending by Category'!G199,"0.00"), ""), "")</f>
        <v/>
      </c>
      <c r="G193" s="23" t="str">
        <f>IFERROR(IF(ISNUMBER('Spending by Category'!H199),TEXT('Spending by Category'!H199,"0.00"), ""), "")</f>
        <v/>
      </c>
      <c r="H193" s="23" t="str">
        <f>IFERROR(IF(ISNUMBER('Spending by Category'!I199),TEXT('Spending by Category'!I199,"0.00"), ""), "")</f>
        <v/>
      </c>
      <c r="I193" s="23" t="str">
        <f>IFERROR(IF(ISNUMBER('Spending by Category'!J199),TEXT('Spending by Category'!J199,"0.00"), ""), "")</f>
        <v/>
      </c>
    </row>
    <row r="194" spans="1:9">
      <c r="A194" s="23" t="str">
        <f>TEXT(IF('Spending by Category'!B200&lt;&gt;0,'Spending by Category'!B200-364, ""), "mm/dd/yyyy")</f>
        <v/>
      </c>
      <c r="B194" s="23" t="str">
        <f>IFERROR(IF(ISNUMBER('Spending by Category'!C200),TEXT('Spending by Category'!C200,"0.00"), ""), "")</f>
        <v/>
      </c>
      <c r="C194" s="23" t="str">
        <f>IFERROR(IF(ISNUMBER('Spending by Category'!D200),TEXT('Spending by Category'!D200,"0.00"), ""), "")</f>
        <v/>
      </c>
      <c r="D194" s="23" t="str">
        <f>IFERROR(IF(ISNUMBER('Spending by Category'!E200),TEXT('Spending by Category'!E200,"0.00"), ""), "")</f>
        <v/>
      </c>
      <c r="E194" s="23" t="str">
        <f>IFERROR(IF(ISNUMBER('Spending by Category'!F200),TEXT('Spending by Category'!F200,"0.00"), ""), "")</f>
        <v/>
      </c>
      <c r="F194" s="23" t="str">
        <f>IFERROR(IF(ISNUMBER('Spending by Category'!G200),TEXT('Spending by Category'!G200,"0.00"), ""), "")</f>
        <v/>
      </c>
      <c r="G194" s="23" t="str">
        <f>IFERROR(IF(ISNUMBER('Spending by Category'!H200),TEXT('Spending by Category'!H200,"0.00"), ""), "")</f>
        <v/>
      </c>
      <c r="H194" s="23" t="str">
        <f>IFERROR(IF(ISNUMBER('Spending by Category'!I200),TEXT('Spending by Category'!I200,"0.00"), ""), "")</f>
        <v/>
      </c>
      <c r="I194" s="23" t="str">
        <f>IFERROR(IF(ISNUMBER('Spending by Category'!J200),TEXT('Spending by Category'!J200,"0.00"), ""), "")</f>
        <v/>
      </c>
    </row>
    <row r="195" spans="1:9">
      <c r="A195" s="23" t="str">
        <f>TEXT(IF('Spending by Category'!B201&lt;&gt;0,'Spending by Category'!B201-364, ""), "mm/dd/yyyy")</f>
        <v/>
      </c>
      <c r="B195" s="23" t="str">
        <f>IFERROR(IF(ISNUMBER('Spending by Category'!C201),TEXT('Spending by Category'!C201,"0.00"), ""), "")</f>
        <v/>
      </c>
      <c r="C195" s="23" t="str">
        <f>IFERROR(IF(ISNUMBER('Spending by Category'!D201),TEXT('Spending by Category'!D201,"0.00"), ""), "")</f>
        <v/>
      </c>
      <c r="D195" s="23" t="str">
        <f>IFERROR(IF(ISNUMBER('Spending by Category'!E201),TEXT('Spending by Category'!E201,"0.00"), ""), "")</f>
        <v/>
      </c>
      <c r="E195" s="23" t="str">
        <f>IFERROR(IF(ISNUMBER('Spending by Category'!F201),TEXT('Spending by Category'!F201,"0.00"), ""), "")</f>
        <v/>
      </c>
      <c r="F195" s="23" t="str">
        <f>IFERROR(IF(ISNUMBER('Spending by Category'!G201),TEXT('Spending by Category'!G201,"0.00"), ""), "")</f>
        <v/>
      </c>
      <c r="G195" s="23" t="str">
        <f>IFERROR(IF(ISNUMBER('Spending by Category'!H201),TEXT('Spending by Category'!H201,"0.00"), ""), "")</f>
        <v/>
      </c>
      <c r="H195" s="23" t="str">
        <f>IFERROR(IF(ISNUMBER('Spending by Category'!I201),TEXT('Spending by Category'!I201,"0.00"), ""), "")</f>
        <v/>
      </c>
      <c r="I195" s="23" t="str">
        <f>IFERROR(IF(ISNUMBER('Spending by Category'!J201),TEXT('Spending by Category'!J201,"0.00"), ""), "")</f>
        <v/>
      </c>
    </row>
    <row r="196" spans="1:9">
      <c r="A196" s="23" t="str">
        <f>TEXT(IF('Spending by Category'!B202&lt;&gt;0,'Spending by Category'!B202-364, ""), "mm/dd/yyyy")</f>
        <v/>
      </c>
      <c r="B196" s="23" t="str">
        <f>IFERROR(IF(ISNUMBER('Spending by Category'!C202),TEXT('Spending by Category'!C202,"0.00"), ""), "")</f>
        <v/>
      </c>
      <c r="C196" s="23" t="str">
        <f>IFERROR(IF(ISNUMBER('Spending by Category'!D202),TEXT('Spending by Category'!D202,"0.00"), ""), "")</f>
        <v/>
      </c>
      <c r="D196" s="23" t="str">
        <f>IFERROR(IF(ISNUMBER('Spending by Category'!E202),TEXT('Spending by Category'!E202,"0.00"), ""), "")</f>
        <v/>
      </c>
      <c r="E196" s="23" t="str">
        <f>IFERROR(IF(ISNUMBER('Spending by Category'!F202),TEXT('Spending by Category'!F202,"0.00"), ""), "")</f>
        <v/>
      </c>
      <c r="F196" s="23" t="str">
        <f>IFERROR(IF(ISNUMBER('Spending by Category'!G202),TEXT('Spending by Category'!G202,"0.00"), ""), "")</f>
        <v/>
      </c>
      <c r="G196" s="23" t="str">
        <f>IFERROR(IF(ISNUMBER('Spending by Category'!H202),TEXT('Spending by Category'!H202,"0.00"), ""), "")</f>
        <v/>
      </c>
      <c r="H196" s="23" t="str">
        <f>IFERROR(IF(ISNUMBER('Spending by Category'!I202),TEXT('Spending by Category'!I202,"0.00"), ""), "")</f>
        <v/>
      </c>
      <c r="I196" s="23" t="str">
        <f>IFERROR(IF(ISNUMBER('Spending by Category'!J202),TEXT('Spending by Category'!J202,"0.00"), ""), "")</f>
        <v/>
      </c>
    </row>
    <row r="197" spans="1:9">
      <c r="A197" s="23" t="str">
        <f>TEXT(IF('Spending by Category'!B203&lt;&gt;0,'Spending by Category'!B203-364, ""), "mm/dd/yyyy")</f>
        <v/>
      </c>
      <c r="B197" s="23" t="str">
        <f>IFERROR(IF(ISNUMBER('Spending by Category'!C203),TEXT('Spending by Category'!C203,"0.00"), ""), "")</f>
        <v/>
      </c>
      <c r="C197" s="23" t="str">
        <f>IFERROR(IF(ISNUMBER('Spending by Category'!D203),TEXT('Spending by Category'!D203,"0.00"), ""), "")</f>
        <v/>
      </c>
      <c r="D197" s="23" t="str">
        <f>IFERROR(IF(ISNUMBER('Spending by Category'!E203),TEXT('Spending by Category'!E203,"0.00"), ""), "")</f>
        <v/>
      </c>
      <c r="E197" s="23" t="str">
        <f>IFERROR(IF(ISNUMBER('Spending by Category'!F203),TEXT('Spending by Category'!F203,"0.00"), ""), "")</f>
        <v/>
      </c>
      <c r="F197" s="23" t="str">
        <f>IFERROR(IF(ISNUMBER('Spending by Category'!G203),TEXT('Spending by Category'!G203,"0.00"), ""), "")</f>
        <v/>
      </c>
      <c r="G197" s="23" t="str">
        <f>IFERROR(IF(ISNUMBER('Spending by Category'!H203),TEXT('Spending by Category'!H203,"0.00"), ""), "")</f>
        <v/>
      </c>
      <c r="H197" s="23" t="str">
        <f>IFERROR(IF(ISNUMBER('Spending by Category'!I203),TEXT('Spending by Category'!I203,"0.00"), ""), "")</f>
        <v/>
      </c>
      <c r="I197" s="23" t="str">
        <f>IFERROR(IF(ISNUMBER('Spending by Category'!J203),TEXT('Spending by Category'!J203,"0.00"), ""), "")</f>
        <v/>
      </c>
    </row>
    <row r="198" spans="1:9">
      <c r="A198" s="23" t="str">
        <f>TEXT(IF('Spending by Category'!B204&lt;&gt;0,'Spending by Category'!B204-364, ""), "mm/dd/yyyy")</f>
        <v/>
      </c>
      <c r="B198" s="23" t="str">
        <f>IFERROR(IF(ISNUMBER('Spending by Category'!C204),TEXT('Spending by Category'!C204,"0.00"), ""), "")</f>
        <v/>
      </c>
      <c r="C198" s="23" t="str">
        <f>IFERROR(IF(ISNUMBER('Spending by Category'!D204),TEXT('Spending by Category'!D204,"0.00"), ""), "")</f>
        <v/>
      </c>
      <c r="D198" s="23" t="str">
        <f>IFERROR(IF(ISNUMBER('Spending by Category'!E204),TEXT('Spending by Category'!E204,"0.00"), ""), "")</f>
        <v/>
      </c>
      <c r="E198" s="23" t="str">
        <f>IFERROR(IF(ISNUMBER('Spending by Category'!F204),TEXT('Spending by Category'!F204,"0.00"), ""), "")</f>
        <v/>
      </c>
      <c r="F198" s="23" t="str">
        <f>IFERROR(IF(ISNUMBER('Spending by Category'!G204),TEXT('Spending by Category'!G204,"0.00"), ""), "")</f>
        <v/>
      </c>
      <c r="G198" s="23" t="str">
        <f>IFERROR(IF(ISNUMBER('Spending by Category'!H204),TEXT('Spending by Category'!H204,"0.00"), ""), "")</f>
        <v/>
      </c>
      <c r="H198" s="23" t="str">
        <f>IFERROR(IF(ISNUMBER('Spending by Category'!I204),TEXT('Spending by Category'!I204,"0.00"), ""), "")</f>
        <v/>
      </c>
      <c r="I198" s="23" t="str">
        <f>IFERROR(IF(ISNUMBER('Spending by Category'!J204),TEXT('Spending by Category'!J204,"0.00"), ""), "")</f>
        <v/>
      </c>
    </row>
    <row r="199" spans="1:9">
      <c r="A199" s="23" t="str">
        <f>TEXT(IF('Spending by Category'!B205&lt;&gt;0,'Spending by Category'!B205-364, ""), "mm/dd/yyyy")</f>
        <v/>
      </c>
      <c r="B199" s="23" t="str">
        <f>IFERROR(IF(ISNUMBER('Spending by Category'!C205),TEXT('Spending by Category'!C205,"0.00"), ""), "")</f>
        <v/>
      </c>
      <c r="C199" s="23" t="str">
        <f>IFERROR(IF(ISNUMBER('Spending by Category'!D205),TEXT('Spending by Category'!D205,"0.00"), ""), "")</f>
        <v/>
      </c>
      <c r="D199" s="23" t="str">
        <f>IFERROR(IF(ISNUMBER('Spending by Category'!E205),TEXT('Spending by Category'!E205,"0.00"), ""), "")</f>
        <v/>
      </c>
      <c r="E199" s="23" t="str">
        <f>IFERROR(IF(ISNUMBER('Spending by Category'!F205),TEXT('Spending by Category'!F205,"0.00"), ""), "")</f>
        <v/>
      </c>
      <c r="F199" s="23" t="str">
        <f>IFERROR(IF(ISNUMBER('Spending by Category'!G205),TEXT('Spending by Category'!G205,"0.00"), ""), "")</f>
        <v/>
      </c>
      <c r="G199" s="23" t="str">
        <f>IFERROR(IF(ISNUMBER('Spending by Category'!H205),TEXT('Spending by Category'!H205,"0.00"), ""), "")</f>
        <v/>
      </c>
      <c r="H199" s="23" t="str">
        <f>IFERROR(IF(ISNUMBER('Spending by Category'!I205),TEXT('Spending by Category'!I205,"0.00"), ""), "")</f>
        <v/>
      </c>
      <c r="I199" s="23" t="str">
        <f>IFERROR(IF(ISNUMBER('Spending by Category'!J205),TEXT('Spending by Category'!J205,"0.00"), ""), "")</f>
        <v/>
      </c>
    </row>
    <row r="200" spans="1:9">
      <c r="A200" s="23" t="str">
        <f>TEXT(IF('Spending by Category'!B206&lt;&gt;0,'Spending by Category'!B206-364, ""), "mm/dd/yyyy")</f>
        <v/>
      </c>
      <c r="B200" s="23" t="str">
        <f>IFERROR(IF(ISNUMBER('Spending by Category'!C206),TEXT('Spending by Category'!C206,"0.00"), ""), "")</f>
        <v/>
      </c>
      <c r="C200" s="23" t="str">
        <f>IFERROR(IF(ISNUMBER('Spending by Category'!D206),TEXT('Spending by Category'!D206,"0.00"), ""), "")</f>
        <v/>
      </c>
      <c r="D200" s="23" t="str">
        <f>IFERROR(IF(ISNUMBER('Spending by Category'!E206),TEXT('Spending by Category'!E206,"0.00"), ""), "")</f>
        <v/>
      </c>
      <c r="E200" s="23" t="str">
        <f>IFERROR(IF(ISNUMBER('Spending by Category'!F206),TEXT('Spending by Category'!F206,"0.00"), ""), "")</f>
        <v/>
      </c>
      <c r="F200" s="23" t="str">
        <f>IFERROR(IF(ISNUMBER('Spending by Category'!G206),TEXT('Spending by Category'!G206,"0.00"), ""), "")</f>
        <v/>
      </c>
      <c r="G200" s="23" t="str">
        <f>IFERROR(IF(ISNUMBER('Spending by Category'!H206),TEXT('Spending by Category'!H206,"0.00"), ""), "")</f>
        <v/>
      </c>
      <c r="H200" s="23" t="str">
        <f>IFERROR(IF(ISNUMBER('Spending by Category'!I206),TEXT('Spending by Category'!I206,"0.00"), ""), "")</f>
        <v/>
      </c>
      <c r="I200" s="23" t="str">
        <f>IFERROR(IF(ISNUMBER('Spending by Category'!J206),TEXT('Spending by Category'!J206,"0.00"), ""), "")</f>
        <v/>
      </c>
    </row>
    <row r="201" spans="1:9">
      <c r="A201" s="23" t="str">
        <f>TEXT(IF('Spending by Category'!B207&lt;&gt;0,'Spending by Category'!B207-364, ""), "mm/dd/yyyy")</f>
        <v/>
      </c>
      <c r="B201" s="23" t="str">
        <f>IFERROR(IF(ISNUMBER('Spending by Category'!C207),TEXT('Spending by Category'!C207,"0.00"), ""), "")</f>
        <v/>
      </c>
      <c r="C201" s="23" t="str">
        <f>IFERROR(IF(ISNUMBER('Spending by Category'!D207),TEXT('Spending by Category'!D207,"0.00"), ""), "")</f>
        <v/>
      </c>
      <c r="D201" s="23" t="str">
        <f>IFERROR(IF(ISNUMBER('Spending by Category'!E207),TEXT('Spending by Category'!E207,"0.00"), ""), "")</f>
        <v/>
      </c>
      <c r="E201" s="23" t="str">
        <f>IFERROR(IF(ISNUMBER('Spending by Category'!F207),TEXT('Spending by Category'!F207,"0.00"), ""), "")</f>
        <v/>
      </c>
      <c r="F201" s="23" t="str">
        <f>IFERROR(IF(ISNUMBER('Spending by Category'!G207),TEXT('Spending by Category'!G207,"0.00"), ""), "")</f>
        <v/>
      </c>
      <c r="G201" s="23" t="str">
        <f>IFERROR(IF(ISNUMBER('Spending by Category'!H207),TEXT('Spending by Category'!H207,"0.00"), ""), "")</f>
        <v/>
      </c>
      <c r="H201" s="23" t="str">
        <f>IFERROR(IF(ISNUMBER('Spending by Category'!I207),TEXT('Spending by Category'!I207,"0.00"), ""), "")</f>
        <v/>
      </c>
      <c r="I201" s="23" t="str">
        <f>IFERROR(IF(ISNUMBER('Spending by Category'!J207),TEXT('Spending by Category'!J207,"0.00"), ""), "")</f>
        <v/>
      </c>
    </row>
    <row r="202" spans="1:9">
      <c r="A202" s="23" t="str">
        <f>TEXT(IF('Spending by Category'!B208&lt;&gt;0,'Spending by Category'!B208-364, ""), "mm/dd/yyyy")</f>
        <v/>
      </c>
      <c r="B202" s="23" t="str">
        <f>IFERROR(IF(ISNUMBER('Spending by Category'!C208),TEXT('Spending by Category'!C208,"0.00"), ""), "")</f>
        <v/>
      </c>
      <c r="C202" s="23" t="str">
        <f>IFERROR(IF(ISNUMBER('Spending by Category'!D208),TEXT('Spending by Category'!D208,"0.00"), ""), "")</f>
        <v/>
      </c>
      <c r="D202" s="23" t="str">
        <f>IFERROR(IF(ISNUMBER('Spending by Category'!E208),TEXT('Spending by Category'!E208,"0.00"), ""), "")</f>
        <v/>
      </c>
      <c r="E202" s="23" t="str">
        <f>IFERROR(IF(ISNUMBER('Spending by Category'!F208),TEXT('Spending by Category'!F208,"0.00"), ""), "")</f>
        <v/>
      </c>
      <c r="F202" s="23" t="str">
        <f>IFERROR(IF(ISNUMBER('Spending by Category'!G208),TEXT('Spending by Category'!G208,"0.00"), ""), "")</f>
        <v/>
      </c>
      <c r="G202" s="23" t="str">
        <f>IFERROR(IF(ISNUMBER('Spending by Category'!H208),TEXT('Spending by Category'!H208,"0.00"), ""), "")</f>
        <v/>
      </c>
      <c r="H202" s="23" t="str">
        <f>IFERROR(IF(ISNUMBER('Spending by Category'!I208),TEXT('Spending by Category'!I208,"0.00"), ""), "")</f>
        <v/>
      </c>
      <c r="I202" s="23" t="str">
        <f>IFERROR(IF(ISNUMBER('Spending by Category'!J208),TEXT('Spending by Category'!J208,"0.00"), ""), "")</f>
        <v/>
      </c>
    </row>
    <row r="203" spans="1:9">
      <c r="A203" s="23" t="str">
        <f>TEXT(IF('Spending by Category'!B209&lt;&gt;0,'Spending by Category'!B209-364, ""), "mm/dd/yyyy")</f>
        <v/>
      </c>
      <c r="B203" s="23" t="str">
        <f>IFERROR(IF(ISNUMBER('Spending by Category'!C209),TEXT('Spending by Category'!C209,"0.00"), ""), "")</f>
        <v/>
      </c>
      <c r="C203" s="23" t="str">
        <f>IFERROR(IF(ISNUMBER('Spending by Category'!D209),TEXT('Spending by Category'!D209,"0.00"), ""), "")</f>
        <v/>
      </c>
      <c r="D203" s="23" t="str">
        <f>IFERROR(IF(ISNUMBER('Spending by Category'!E209),TEXT('Spending by Category'!E209,"0.00"), ""), "")</f>
        <v/>
      </c>
      <c r="E203" s="23" t="str">
        <f>IFERROR(IF(ISNUMBER('Spending by Category'!F209),TEXT('Spending by Category'!F209,"0.00"), ""), "")</f>
        <v/>
      </c>
      <c r="F203" s="23" t="str">
        <f>IFERROR(IF(ISNUMBER('Spending by Category'!G209),TEXT('Spending by Category'!G209,"0.00"), ""), "")</f>
        <v/>
      </c>
      <c r="G203" s="23" t="str">
        <f>IFERROR(IF(ISNUMBER('Spending by Category'!H209),TEXT('Spending by Category'!H209,"0.00"), ""), "")</f>
        <v/>
      </c>
      <c r="H203" s="23" t="str">
        <f>IFERROR(IF(ISNUMBER('Spending by Category'!I209),TEXT('Spending by Category'!I209,"0.00"), ""), "")</f>
        <v/>
      </c>
      <c r="I203" s="23" t="str">
        <f>IFERROR(IF(ISNUMBER('Spending by Category'!J209),TEXT('Spending by Category'!J209,"0.00"), ""), "")</f>
        <v/>
      </c>
    </row>
    <row r="204" spans="1:9">
      <c r="A204" s="23" t="str">
        <f>TEXT(IF('Spending by Category'!B210&lt;&gt;0,'Spending by Category'!B210-364, ""), "mm/dd/yyyy")</f>
        <v/>
      </c>
      <c r="B204" s="23" t="str">
        <f>IFERROR(IF(ISNUMBER('Spending by Category'!C210),TEXT('Spending by Category'!C210,"0.00"), ""), "")</f>
        <v/>
      </c>
      <c r="C204" s="23" t="str">
        <f>IFERROR(IF(ISNUMBER('Spending by Category'!D210),TEXT('Spending by Category'!D210,"0.00"), ""), "")</f>
        <v/>
      </c>
      <c r="D204" s="23" t="str">
        <f>IFERROR(IF(ISNUMBER('Spending by Category'!E210),TEXT('Spending by Category'!E210,"0.00"), ""), "")</f>
        <v/>
      </c>
      <c r="E204" s="23" t="str">
        <f>IFERROR(IF(ISNUMBER('Spending by Category'!F210),TEXT('Spending by Category'!F210,"0.00"), ""), "")</f>
        <v/>
      </c>
      <c r="F204" s="23" t="str">
        <f>IFERROR(IF(ISNUMBER('Spending by Category'!G210),TEXT('Spending by Category'!G210,"0.00"), ""), "")</f>
        <v/>
      </c>
      <c r="G204" s="23" t="str">
        <f>IFERROR(IF(ISNUMBER('Spending by Category'!H210),TEXT('Spending by Category'!H210,"0.00"), ""), "")</f>
        <v/>
      </c>
      <c r="H204" s="23" t="str">
        <f>IFERROR(IF(ISNUMBER('Spending by Category'!I210),TEXT('Spending by Category'!I210,"0.00"), ""), "")</f>
        <v/>
      </c>
      <c r="I204" s="23" t="str">
        <f>IFERROR(IF(ISNUMBER('Spending by Category'!J210),TEXT('Spending by Category'!J210,"0.00"), ""), "")</f>
        <v/>
      </c>
    </row>
    <row r="205" spans="1:9">
      <c r="A205" s="23" t="str">
        <f>TEXT(IF('Spending by Category'!B211&lt;&gt;0,'Spending by Category'!B211-364, ""), "mm/dd/yyyy")</f>
        <v/>
      </c>
      <c r="B205" s="23" t="str">
        <f>IFERROR(IF(ISNUMBER('Spending by Category'!C211),TEXT('Spending by Category'!C211,"0.00"), ""), "")</f>
        <v/>
      </c>
      <c r="C205" s="23" t="str">
        <f>IFERROR(IF(ISNUMBER('Spending by Category'!D211),TEXT('Spending by Category'!D211,"0.00"), ""), "")</f>
        <v/>
      </c>
      <c r="D205" s="23" t="str">
        <f>IFERROR(IF(ISNUMBER('Spending by Category'!E211),TEXT('Spending by Category'!E211,"0.00"), ""), "")</f>
        <v/>
      </c>
      <c r="E205" s="23" t="str">
        <f>IFERROR(IF(ISNUMBER('Spending by Category'!F211),TEXT('Spending by Category'!F211,"0.00"), ""), "")</f>
        <v/>
      </c>
      <c r="F205" s="23" t="str">
        <f>IFERROR(IF(ISNUMBER('Spending by Category'!G211),TEXT('Spending by Category'!G211,"0.00"), ""), "")</f>
        <v/>
      </c>
      <c r="G205" s="23" t="str">
        <f>IFERROR(IF(ISNUMBER('Spending by Category'!H211),TEXT('Spending by Category'!H211,"0.00"), ""), "")</f>
        <v/>
      </c>
      <c r="H205" s="23" t="str">
        <f>IFERROR(IF(ISNUMBER('Spending by Category'!I211),TEXT('Spending by Category'!I211,"0.00"), ""), "")</f>
        <v/>
      </c>
      <c r="I205" s="23" t="str">
        <f>IFERROR(IF(ISNUMBER('Spending by Category'!J211),TEXT('Spending by Category'!J211,"0.00"), ""), "")</f>
        <v/>
      </c>
    </row>
    <row r="206" spans="1:9">
      <c r="A206" s="23" t="str">
        <f>TEXT(IF('Spending by Category'!B212&lt;&gt;0,'Spending by Category'!B212-364, ""), "mm/dd/yyyy")</f>
        <v/>
      </c>
      <c r="B206" s="23" t="str">
        <f>IFERROR(IF(ISNUMBER('Spending by Category'!C212),TEXT('Spending by Category'!C212,"0.00"), ""), "")</f>
        <v/>
      </c>
      <c r="C206" s="23" t="str">
        <f>IFERROR(IF(ISNUMBER('Spending by Category'!D212),TEXT('Spending by Category'!D212,"0.00"), ""), "")</f>
        <v/>
      </c>
      <c r="D206" s="23" t="str">
        <f>IFERROR(IF(ISNUMBER('Spending by Category'!E212),TEXT('Spending by Category'!E212,"0.00"), ""), "")</f>
        <v/>
      </c>
      <c r="E206" s="23" t="str">
        <f>IFERROR(IF(ISNUMBER('Spending by Category'!F212),TEXT('Spending by Category'!F212,"0.00"), ""), "")</f>
        <v/>
      </c>
      <c r="F206" s="23" t="str">
        <f>IFERROR(IF(ISNUMBER('Spending by Category'!G212),TEXT('Spending by Category'!G212,"0.00"), ""), "")</f>
        <v/>
      </c>
      <c r="G206" s="23" t="str">
        <f>IFERROR(IF(ISNUMBER('Spending by Category'!H212),TEXT('Spending by Category'!H212,"0.00"), ""), "")</f>
        <v/>
      </c>
      <c r="H206" s="23" t="str">
        <f>IFERROR(IF(ISNUMBER('Spending by Category'!I212),TEXT('Spending by Category'!I212,"0.00"), ""), "")</f>
        <v/>
      </c>
      <c r="I206" s="23" t="str">
        <f>IFERROR(IF(ISNUMBER('Spending by Category'!J212),TEXT('Spending by Category'!J212,"0.00"), ""), "")</f>
        <v/>
      </c>
    </row>
    <row r="207" spans="1:9">
      <c r="A207" s="23" t="str">
        <f>TEXT(IF('Spending by Category'!B213&lt;&gt;0,'Spending by Category'!B213-364, ""), "mm/dd/yyyy")</f>
        <v/>
      </c>
      <c r="B207" s="23" t="str">
        <f>IFERROR(IF(ISNUMBER('Spending by Category'!C213),TEXT('Spending by Category'!C213,"0.00"), ""), "")</f>
        <v/>
      </c>
      <c r="C207" s="23" t="str">
        <f>IFERROR(IF(ISNUMBER('Spending by Category'!D213),TEXT('Spending by Category'!D213,"0.00"), ""), "")</f>
        <v/>
      </c>
      <c r="D207" s="23" t="str">
        <f>IFERROR(IF(ISNUMBER('Spending by Category'!E213),TEXT('Spending by Category'!E213,"0.00"), ""), "")</f>
        <v/>
      </c>
      <c r="E207" s="23" t="str">
        <f>IFERROR(IF(ISNUMBER('Spending by Category'!F213),TEXT('Spending by Category'!F213,"0.00"), ""), "")</f>
        <v/>
      </c>
      <c r="F207" s="23" t="str">
        <f>IFERROR(IF(ISNUMBER('Spending by Category'!G213),TEXT('Spending by Category'!G213,"0.00"), ""), "")</f>
        <v/>
      </c>
      <c r="G207" s="23" t="str">
        <f>IFERROR(IF(ISNUMBER('Spending by Category'!H213),TEXT('Spending by Category'!H213,"0.00"), ""), "")</f>
        <v/>
      </c>
      <c r="H207" s="23" t="str">
        <f>IFERROR(IF(ISNUMBER('Spending by Category'!I213),TEXT('Spending by Category'!I213,"0.00"), ""), "")</f>
        <v/>
      </c>
      <c r="I207" s="23" t="str">
        <f>IFERROR(IF(ISNUMBER('Spending by Category'!J213),TEXT('Spending by Category'!J213,"0.00"), ""), "")</f>
        <v/>
      </c>
    </row>
    <row r="208" spans="1:9">
      <c r="A208" s="23" t="str">
        <f>TEXT(IF('Spending by Category'!B214&lt;&gt;0,'Spending by Category'!B214-364, ""), "mm/dd/yyyy")</f>
        <v/>
      </c>
      <c r="B208" s="23" t="str">
        <f>IFERROR(IF(ISNUMBER('Spending by Category'!C214),TEXT('Spending by Category'!C214,"0.00"), ""), "")</f>
        <v/>
      </c>
      <c r="C208" s="23" t="str">
        <f>IFERROR(IF(ISNUMBER('Spending by Category'!D214),TEXT('Spending by Category'!D214,"0.00"), ""), "")</f>
        <v/>
      </c>
      <c r="D208" s="23" t="str">
        <f>IFERROR(IF(ISNUMBER('Spending by Category'!E214),TEXT('Spending by Category'!E214,"0.00"), ""), "")</f>
        <v/>
      </c>
      <c r="E208" s="23" t="str">
        <f>IFERROR(IF(ISNUMBER('Spending by Category'!F214),TEXT('Spending by Category'!F214,"0.00"), ""), "")</f>
        <v/>
      </c>
      <c r="F208" s="23" t="str">
        <f>IFERROR(IF(ISNUMBER('Spending by Category'!G214),TEXT('Spending by Category'!G214,"0.00"), ""), "")</f>
        <v/>
      </c>
      <c r="G208" s="23" t="str">
        <f>IFERROR(IF(ISNUMBER('Spending by Category'!H214),TEXT('Spending by Category'!H214,"0.00"), ""), "")</f>
        <v/>
      </c>
      <c r="H208" s="23" t="str">
        <f>IFERROR(IF(ISNUMBER('Spending by Category'!I214),TEXT('Spending by Category'!I214,"0.00"), ""), "")</f>
        <v/>
      </c>
      <c r="I208" s="23" t="str">
        <f>IFERROR(IF(ISNUMBER('Spending by Category'!J214),TEXT('Spending by Category'!J214,"0.00"), ""), "")</f>
        <v/>
      </c>
    </row>
    <row r="209" spans="1:9">
      <c r="A209" s="23" t="str">
        <f>TEXT(IF('Spending by Category'!B215&lt;&gt;0,'Spending by Category'!B215-364, ""), "mm/dd/yyyy")</f>
        <v/>
      </c>
      <c r="B209" s="23" t="str">
        <f>IFERROR(IF(ISNUMBER('Spending by Category'!C215),TEXT('Spending by Category'!C215,"0.00"), ""), "")</f>
        <v/>
      </c>
      <c r="C209" s="23" t="str">
        <f>IFERROR(IF(ISNUMBER('Spending by Category'!D215),TEXT('Spending by Category'!D215,"0.00"), ""), "")</f>
        <v/>
      </c>
      <c r="D209" s="23" t="str">
        <f>IFERROR(IF(ISNUMBER('Spending by Category'!E215),TEXT('Spending by Category'!E215,"0.00"), ""), "")</f>
        <v/>
      </c>
      <c r="E209" s="23" t="str">
        <f>IFERROR(IF(ISNUMBER('Spending by Category'!F215),TEXT('Spending by Category'!F215,"0.00"), ""), "")</f>
        <v/>
      </c>
      <c r="F209" s="23" t="str">
        <f>IFERROR(IF(ISNUMBER('Spending by Category'!G215),TEXT('Spending by Category'!G215,"0.00"), ""), "")</f>
        <v/>
      </c>
      <c r="G209" s="23" t="str">
        <f>IFERROR(IF(ISNUMBER('Spending by Category'!H215),TEXT('Spending by Category'!H215,"0.00"), ""), "")</f>
        <v/>
      </c>
      <c r="H209" s="23" t="str">
        <f>IFERROR(IF(ISNUMBER('Spending by Category'!I215),TEXT('Spending by Category'!I215,"0.00"), ""), "")</f>
        <v/>
      </c>
      <c r="I209" s="23" t="str">
        <f>IFERROR(IF(ISNUMBER('Spending by Category'!J215),TEXT('Spending by Category'!J215,"0.00"), ""), "")</f>
        <v/>
      </c>
    </row>
    <row r="210" spans="1:9">
      <c r="A210" s="23" t="str">
        <f>TEXT(IF('Spending by Category'!B216&lt;&gt;0,'Spending by Category'!B216-364, ""), "mm/dd/yyyy")</f>
        <v/>
      </c>
      <c r="B210" s="23" t="str">
        <f>IFERROR(IF(ISNUMBER('Spending by Category'!C216),TEXT('Spending by Category'!C216,"0.00"), ""), "")</f>
        <v/>
      </c>
      <c r="C210" s="23" t="str">
        <f>IFERROR(IF(ISNUMBER('Spending by Category'!D216),TEXT('Spending by Category'!D216,"0.00"), ""), "")</f>
        <v/>
      </c>
      <c r="D210" s="23" t="str">
        <f>IFERROR(IF(ISNUMBER('Spending by Category'!E216),TEXT('Spending by Category'!E216,"0.00"), ""), "")</f>
        <v/>
      </c>
      <c r="E210" s="23" t="str">
        <f>IFERROR(IF(ISNUMBER('Spending by Category'!F216),TEXT('Spending by Category'!F216,"0.00"), ""), "")</f>
        <v/>
      </c>
      <c r="F210" s="23" t="str">
        <f>IFERROR(IF(ISNUMBER('Spending by Category'!G216),TEXT('Spending by Category'!G216,"0.00"), ""), "")</f>
        <v/>
      </c>
      <c r="G210" s="23" t="str">
        <f>IFERROR(IF(ISNUMBER('Spending by Category'!H216),TEXT('Spending by Category'!H216,"0.00"), ""), "")</f>
        <v/>
      </c>
      <c r="H210" s="23" t="str">
        <f>IFERROR(IF(ISNUMBER('Spending by Category'!I216),TEXT('Spending by Category'!I216,"0.00"), ""), "")</f>
        <v/>
      </c>
      <c r="I210" s="23" t="str">
        <f>IFERROR(IF(ISNUMBER('Spending by Category'!J216),TEXT('Spending by Category'!J216,"0.00"), ""), "")</f>
        <v/>
      </c>
    </row>
    <row r="211" spans="1:9">
      <c r="A211" s="23" t="str">
        <f>TEXT(IF('Spending by Category'!B217&lt;&gt;0,'Spending by Category'!B217-364, ""), "mm/dd/yyyy")</f>
        <v/>
      </c>
      <c r="B211" s="23" t="str">
        <f>IFERROR(IF(ISNUMBER('Spending by Category'!C217),TEXT('Spending by Category'!C217,"0.00"), ""), "")</f>
        <v/>
      </c>
      <c r="C211" s="23" t="str">
        <f>IFERROR(IF(ISNUMBER('Spending by Category'!D217),TEXT('Spending by Category'!D217,"0.00"), ""), "")</f>
        <v/>
      </c>
      <c r="D211" s="23" t="str">
        <f>IFERROR(IF(ISNUMBER('Spending by Category'!E217),TEXT('Spending by Category'!E217,"0.00"), ""), "")</f>
        <v/>
      </c>
      <c r="E211" s="23" t="str">
        <f>IFERROR(IF(ISNUMBER('Spending by Category'!F217),TEXT('Spending by Category'!F217,"0.00"), ""), "")</f>
        <v/>
      </c>
      <c r="F211" s="23" t="str">
        <f>IFERROR(IF(ISNUMBER('Spending by Category'!G217),TEXT('Spending by Category'!G217,"0.00"), ""), "")</f>
        <v/>
      </c>
      <c r="G211" s="23" t="str">
        <f>IFERROR(IF(ISNUMBER('Spending by Category'!H217),TEXT('Spending by Category'!H217,"0.00"), ""), "")</f>
        <v/>
      </c>
      <c r="H211" s="23" t="str">
        <f>IFERROR(IF(ISNUMBER('Spending by Category'!I217),TEXT('Spending by Category'!I217,"0.00"), ""), "")</f>
        <v/>
      </c>
      <c r="I211" s="23" t="str">
        <f>IFERROR(IF(ISNUMBER('Spending by Category'!J217),TEXT('Spending by Category'!J217,"0.00"), ""), "")</f>
        <v/>
      </c>
    </row>
    <row r="212" spans="1:9">
      <c r="A212" s="23" t="str">
        <f>TEXT(IF('Spending by Category'!B218&lt;&gt;0,'Spending by Category'!B218-364, ""), "mm/dd/yyyy")</f>
        <v/>
      </c>
      <c r="B212" s="23" t="str">
        <f>IFERROR(IF(ISNUMBER('Spending by Category'!C218),TEXT('Spending by Category'!C218,"0.00"), ""), "")</f>
        <v/>
      </c>
      <c r="C212" s="23" t="str">
        <f>IFERROR(IF(ISNUMBER('Spending by Category'!D218),TEXT('Spending by Category'!D218,"0.00"), ""), "")</f>
        <v/>
      </c>
      <c r="D212" s="23" t="str">
        <f>IFERROR(IF(ISNUMBER('Spending by Category'!E218),TEXT('Spending by Category'!E218,"0.00"), ""), "")</f>
        <v/>
      </c>
      <c r="E212" s="23" t="str">
        <f>IFERROR(IF(ISNUMBER('Spending by Category'!F218),TEXT('Spending by Category'!F218,"0.00"), ""), "")</f>
        <v/>
      </c>
      <c r="F212" s="23" t="str">
        <f>IFERROR(IF(ISNUMBER('Spending by Category'!G218),TEXT('Spending by Category'!G218,"0.00"), ""), "")</f>
        <v/>
      </c>
      <c r="G212" s="23" t="str">
        <f>IFERROR(IF(ISNUMBER('Spending by Category'!H218),TEXT('Spending by Category'!H218,"0.00"), ""), "")</f>
        <v/>
      </c>
      <c r="H212" s="23" t="str">
        <f>IFERROR(IF(ISNUMBER('Spending by Category'!I218),TEXT('Spending by Category'!I218,"0.00"), ""), "")</f>
        <v/>
      </c>
      <c r="I212" s="23" t="str">
        <f>IFERROR(IF(ISNUMBER('Spending by Category'!J218),TEXT('Spending by Category'!J218,"0.00"), ""), "")</f>
        <v/>
      </c>
    </row>
    <row r="213" spans="1:9">
      <c r="A213" s="23" t="str">
        <f>TEXT(IF('Spending by Category'!B219&lt;&gt;0,'Spending by Category'!B219-364, ""), "mm/dd/yyyy")</f>
        <v/>
      </c>
      <c r="B213" s="23" t="str">
        <f>IFERROR(IF(ISNUMBER('Spending by Category'!C219),TEXT('Spending by Category'!C219,"0.00"), ""), "")</f>
        <v/>
      </c>
      <c r="C213" s="23" t="str">
        <f>IFERROR(IF(ISNUMBER('Spending by Category'!D219),TEXT('Spending by Category'!D219,"0.00"), ""), "")</f>
        <v/>
      </c>
      <c r="D213" s="23" t="str">
        <f>IFERROR(IF(ISNUMBER('Spending by Category'!E219),TEXT('Spending by Category'!E219,"0.00"), ""), "")</f>
        <v/>
      </c>
      <c r="E213" s="23" t="str">
        <f>IFERROR(IF(ISNUMBER('Spending by Category'!F219),TEXT('Spending by Category'!F219,"0.00"), ""), "")</f>
        <v/>
      </c>
      <c r="F213" s="23" t="str">
        <f>IFERROR(IF(ISNUMBER('Spending by Category'!G219),TEXT('Spending by Category'!G219,"0.00"), ""), "")</f>
        <v/>
      </c>
      <c r="G213" s="23" t="str">
        <f>IFERROR(IF(ISNUMBER('Spending by Category'!H219),TEXT('Spending by Category'!H219,"0.00"), ""), "")</f>
        <v/>
      </c>
      <c r="H213" s="23" t="str">
        <f>IFERROR(IF(ISNUMBER('Spending by Category'!I219),TEXT('Spending by Category'!I219,"0.00"), ""), "")</f>
        <v/>
      </c>
      <c r="I213" s="23" t="str">
        <f>IFERROR(IF(ISNUMBER('Spending by Category'!J219),TEXT('Spending by Category'!J219,"0.00"), ""), "")</f>
        <v/>
      </c>
    </row>
    <row r="214" spans="1:9">
      <c r="A214" s="23" t="str">
        <f>TEXT(IF('Spending by Category'!B220&lt;&gt;0,'Spending by Category'!B220-364, ""), "mm/dd/yyyy")</f>
        <v/>
      </c>
      <c r="B214" s="23" t="str">
        <f>IFERROR(IF(ISNUMBER('Spending by Category'!C220),TEXT('Spending by Category'!C220,"0.00"), ""), "")</f>
        <v/>
      </c>
      <c r="C214" s="23" t="str">
        <f>IFERROR(IF(ISNUMBER('Spending by Category'!D220),TEXT('Spending by Category'!D220,"0.00"), ""), "")</f>
        <v/>
      </c>
      <c r="D214" s="23" t="str">
        <f>IFERROR(IF(ISNUMBER('Spending by Category'!E220),TEXT('Spending by Category'!E220,"0.00"), ""), "")</f>
        <v/>
      </c>
      <c r="E214" s="23" t="str">
        <f>IFERROR(IF(ISNUMBER('Spending by Category'!F220),TEXT('Spending by Category'!F220,"0.00"), ""), "")</f>
        <v/>
      </c>
      <c r="F214" s="23" t="str">
        <f>IFERROR(IF(ISNUMBER('Spending by Category'!G220),TEXT('Spending by Category'!G220,"0.00"), ""), "")</f>
        <v/>
      </c>
      <c r="G214" s="23" t="str">
        <f>IFERROR(IF(ISNUMBER('Spending by Category'!H220),TEXT('Spending by Category'!H220,"0.00"), ""), "")</f>
        <v/>
      </c>
      <c r="H214" s="23" t="str">
        <f>IFERROR(IF(ISNUMBER('Spending by Category'!I220),TEXT('Spending by Category'!I220,"0.00"), ""), "")</f>
        <v/>
      </c>
      <c r="I214" s="23" t="str">
        <f>IFERROR(IF(ISNUMBER('Spending by Category'!J220),TEXT('Spending by Category'!J220,"0.00"), ""), "")</f>
        <v/>
      </c>
    </row>
    <row r="215" spans="1:9">
      <c r="A215" s="23" t="str">
        <f>TEXT(IF('Spending by Category'!B221&lt;&gt;0,'Spending by Category'!B221-364, ""), "mm/dd/yyyy")</f>
        <v/>
      </c>
      <c r="B215" s="23" t="str">
        <f>IFERROR(IF(ISNUMBER('Spending by Category'!C221),TEXT('Spending by Category'!C221,"0.00"), ""), "")</f>
        <v/>
      </c>
      <c r="C215" s="23" t="str">
        <f>IFERROR(IF(ISNUMBER('Spending by Category'!D221),TEXT('Spending by Category'!D221,"0.00"), ""), "")</f>
        <v/>
      </c>
      <c r="D215" s="23" t="str">
        <f>IFERROR(IF(ISNUMBER('Spending by Category'!E221),TEXT('Spending by Category'!E221,"0.00"), ""), "")</f>
        <v/>
      </c>
      <c r="E215" s="23" t="str">
        <f>IFERROR(IF(ISNUMBER('Spending by Category'!F221),TEXT('Spending by Category'!F221,"0.00"), ""), "")</f>
        <v/>
      </c>
      <c r="F215" s="23" t="str">
        <f>IFERROR(IF(ISNUMBER('Spending by Category'!G221),TEXT('Spending by Category'!G221,"0.00"), ""), "")</f>
        <v/>
      </c>
      <c r="G215" s="23" t="str">
        <f>IFERROR(IF(ISNUMBER('Spending by Category'!H221),TEXT('Spending by Category'!H221,"0.00"), ""), "")</f>
        <v/>
      </c>
      <c r="H215" s="23" t="str">
        <f>IFERROR(IF(ISNUMBER('Spending by Category'!I221),TEXT('Spending by Category'!I221,"0.00"), ""), "")</f>
        <v/>
      </c>
      <c r="I215" s="23" t="str">
        <f>IFERROR(IF(ISNUMBER('Spending by Category'!J221),TEXT('Spending by Category'!J221,"0.00"), ""), "")</f>
        <v/>
      </c>
    </row>
    <row r="216" spans="1:9">
      <c r="A216" s="23" t="str">
        <f>TEXT(IF('Spending by Category'!B222&lt;&gt;0,'Spending by Category'!B222-364, ""), "mm/dd/yyyy")</f>
        <v/>
      </c>
      <c r="B216" s="23" t="str">
        <f>IFERROR(IF(ISNUMBER('Spending by Category'!C222),TEXT('Spending by Category'!C222,"0.00"), ""), "")</f>
        <v/>
      </c>
      <c r="C216" s="23" t="str">
        <f>IFERROR(IF(ISNUMBER('Spending by Category'!D222),TEXT('Spending by Category'!D222,"0.00"), ""), "")</f>
        <v/>
      </c>
      <c r="D216" s="23" t="str">
        <f>IFERROR(IF(ISNUMBER('Spending by Category'!E222),TEXT('Spending by Category'!E222,"0.00"), ""), "")</f>
        <v/>
      </c>
      <c r="E216" s="23" t="str">
        <f>IFERROR(IF(ISNUMBER('Spending by Category'!F222),TEXT('Spending by Category'!F222,"0.00"), ""), "")</f>
        <v/>
      </c>
      <c r="F216" s="23" t="str">
        <f>IFERROR(IF(ISNUMBER('Spending by Category'!G222),TEXT('Spending by Category'!G222,"0.00"), ""), "")</f>
        <v/>
      </c>
      <c r="G216" s="23" t="str">
        <f>IFERROR(IF(ISNUMBER('Spending by Category'!H222),TEXT('Spending by Category'!H222,"0.00"), ""), "")</f>
        <v/>
      </c>
      <c r="H216" s="23" t="str">
        <f>IFERROR(IF(ISNUMBER('Spending by Category'!I222),TEXT('Spending by Category'!I222,"0.00"), ""), "")</f>
        <v/>
      </c>
      <c r="I216" s="23" t="str">
        <f>IFERROR(IF(ISNUMBER('Spending by Category'!J222),TEXT('Spending by Category'!J222,"0.00"), ""), "")</f>
        <v/>
      </c>
    </row>
    <row r="217" spans="1:9">
      <c r="A217" s="23" t="str">
        <f>TEXT(IF('Spending by Category'!B223&lt;&gt;0,'Spending by Category'!B223-364, ""), "mm/dd/yyyy")</f>
        <v/>
      </c>
      <c r="B217" s="23" t="str">
        <f>IFERROR(IF(ISNUMBER('Spending by Category'!C223),TEXT('Spending by Category'!C223,"0.00"), ""), "")</f>
        <v/>
      </c>
      <c r="C217" s="23" t="str">
        <f>IFERROR(IF(ISNUMBER('Spending by Category'!D223),TEXT('Spending by Category'!D223,"0.00"), ""), "")</f>
        <v/>
      </c>
      <c r="D217" s="23" t="str">
        <f>IFERROR(IF(ISNUMBER('Spending by Category'!E223),TEXT('Spending by Category'!E223,"0.00"), ""), "")</f>
        <v/>
      </c>
      <c r="E217" s="23" t="str">
        <f>IFERROR(IF(ISNUMBER('Spending by Category'!F223),TEXT('Spending by Category'!F223,"0.00"), ""), "")</f>
        <v/>
      </c>
      <c r="F217" s="23" t="str">
        <f>IFERROR(IF(ISNUMBER('Spending by Category'!G223),TEXT('Spending by Category'!G223,"0.00"), ""), "")</f>
        <v/>
      </c>
      <c r="G217" s="23" t="str">
        <f>IFERROR(IF(ISNUMBER('Spending by Category'!H223),TEXT('Spending by Category'!H223,"0.00"), ""), "")</f>
        <v/>
      </c>
      <c r="H217" s="23" t="str">
        <f>IFERROR(IF(ISNUMBER('Spending by Category'!I223),TEXT('Spending by Category'!I223,"0.00"), ""), "")</f>
        <v/>
      </c>
      <c r="I217" s="23" t="str">
        <f>IFERROR(IF(ISNUMBER('Spending by Category'!J223),TEXT('Spending by Category'!J223,"0.00"), ""), "")</f>
        <v/>
      </c>
    </row>
    <row r="218" spans="1:9">
      <c r="A218" s="23" t="str">
        <f>TEXT(IF('Spending by Category'!B224&lt;&gt;0,'Spending by Category'!B224-364, ""), "mm/dd/yyyy")</f>
        <v/>
      </c>
      <c r="B218" s="23" t="str">
        <f>IFERROR(IF(ISNUMBER('Spending by Category'!C224),TEXT('Spending by Category'!C224,"0.00"), ""), "")</f>
        <v/>
      </c>
      <c r="C218" s="23" t="str">
        <f>IFERROR(IF(ISNUMBER('Spending by Category'!D224),TEXT('Spending by Category'!D224,"0.00"), ""), "")</f>
        <v/>
      </c>
      <c r="D218" s="23" t="str">
        <f>IFERROR(IF(ISNUMBER('Spending by Category'!E224),TEXT('Spending by Category'!E224,"0.00"), ""), "")</f>
        <v/>
      </c>
      <c r="E218" s="23" t="str">
        <f>IFERROR(IF(ISNUMBER('Spending by Category'!F224),TEXT('Spending by Category'!F224,"0.00"), ""), "")</f>
        <v/>
      </c>
      <c r="F218" s="23" t="str">
        <f>IFERROR(IF(ISNUMBER('Spending by Category'!G224),TEXT('Spending by Category'!G224,"0.00"), ""), "")</f>
        <v/>
      </c>
      <c r="G218" s="23" t="str">
        <f>IFERROR(IF(ISNUMBER('Spending by Category'!H224),TEXT('Spending by Category'!H224,"0.00"), ""), "")</f>
        <v/>
      </c>
      <c r="H218" s="23" t="str">
        <f>IFERROR(IF(ISNUMBER('Spending by Category'!I224),TEXT('Spending by Category'!I224,"0.00"), ""), "")</f>
        <v/>
      </c>
      <c r="I218" s="23" t="str">
        <f>IFERROR(IF(ISNUMBER('Spending by Category'!J224),TEXT('Spending by Category'!J224,"0.00"), ""), "")</f>
        <v/>
      </c>
    </row>
    <row r="219" spans="1:9">
      <c r="A219" s="23" t="str">
        <f>TEXT(IF('Spending by Category'!B225&lt;&gt;0,'Spending by Category'!B225-364, ""), "mm/dd/yyyy")</f>
        <v/>
      </c>
      <c r="B219" s="23" t="str">
        <f>IFERROR(IF(ISNUMBER('Spending by Category'!C225),TEXT('Spending by Category'!C225,"0.00"), ""), "")</f>
        <v/>
      </c>
      <c r="C219" s="23" t="str">
        <f>IFERROR(IF(ISNUMBER('Spending by Category'!D225),TEXT('Spending by Category'!D225,"0.00"), ""), "")</f>
        <v/>
      </c>
      <c r="D219" s="23" t="str">
        <f>IFERROR(IF(ISNUMBER('Spending by Category'!E225),TEXT('Spending by Category'!E225,"0.00"), ""), "")</f>
        <v/>
      </c>
      <c r="E219" s="23" t="str">
        <f>IFERROR(IF(ISNUMBER('Spending by Category'!F225),TEXT('Spending by Category'!F225,"0.00"), ""), "")</f>
        <v/>
      </c>
      <c r="F219" s="23" t="str">
        <f>IFERROR(IF(ISNUMBER('Spending by Category'!G225),TEXT('Spending by Category'!G225,"0.00"), ""), "")</f>
        <v/>
      </c>
      <c r="G219" s="23" t="str">
        <f>IFERROR(IF(ISNUMBER('Spending by Category'!H225),TEXT('Spending by Category'!H225,"0.00"), ""), "")</f>
        <v/>
      </c>
      <c r="H219" s="23" t="str">
        <f>IFERROR(IF(ISNUMBER('Spending by Category'!I225),TEXT('Spending by Category'!I225,"0.00"), ""), "")</f>
        <v/>
      </c>
      <c r="I219" s="23" t="str">
        <f>IFERROR(IF(ISNUMBER('Spending by Category'!J225),TEXT('Spending by Category'!J225,"0.00"), ""), "")</f>
        <v/>
      </c>
    </row>
    <row r="220" spans="1:9">
      <c r="A220" s="23" t="str">
        <f>TEXT(IF('Spending by Category'!B226&lt;&gt;0,'Spending by Category'!B226-364, ""), "mm/dd/yyyy")</f>
        <v/>
      </c>
      <c r="B220" s="23" t="str">
        <f>IFERROR(IF(ISNUMBER('Spending by Category'!C226),TEXT('Spending by Category'!C226,"0.00"), ""), "")</f>
        <v/>
      </c>
      <c r="C220" s="23" t="str">
        <f>IFERROR(IF(ISNUMBER('Spending by Category'!D226),TEXT('Spending by Category'!D226,"0.00"), ""), "")</f>
        <v/>
      </c>
      <c r="D220" s="23" t="str">
        <f>IFERROR(IF(ISNUMBER('Spending by Category'!E226),TEXT('Spending by Category'!E226,"0.00"), ""), "")</f>
        <v/>
      </c>
      <c r="E220" s="23" t="str">
        <f>IFERROR(IF(ISNUMBER('Spending by Category'!F226),TEXT('Spending by Category'!F226,"0.00"), ""), "")</f>
        <v/>
      </c>
      <c r="F220" s="23" t="str">
        <f>IFERROR(IF(ISNUMBER('Spending by Category'!G226),TEXT('Spending by Category'!G226,"0.00"), ""), "")</f>
        <v/>
      </c>
      <c r="G220" s="23" t="str">
        <f>IFERROR(IF(ISNUMBER('Spending by Category'!H226),TEXT('Spending by Category'!H226,"0.00"), ""), "")</f>
        <v/>
      </c>
      <c r="H220" s="23" t="str">
        <f>IFERROR(IF(ISNUMBER('Spending by Category'!I226),TEXT('Spending by Category'!I226,"0.00"), ""), "")</f>
        <v/>
      </c>
      <c r="I220" s="23" t="str">
        <f>IFERROR(IF(ISNUMBER('Spending by Category'!J226),TEXT('Spending by Category'!J226,"0.00"), ""), "")</f>
        <v/>
      </c>
    </row>
    <row r="221" spans="1:9">
      <c r="A221" s="23" t="str">
        <f>TEXT(IF('Spending by Category'!B227&lt;&gt;0,'Spending by Category'!B227-364, ""), "mm/dd/yyyy")</f>
        <v/>
      </c>
      <c r="B221" s="23" t="str">
        <f>IFERROR(IF(ISNUMBER('Spending by Category'!C227),TEXT('Spending by Category'!C227,"0.00"), ""), "")</f>
        <v/>
      </c>
      <c r="C221" s="23" t="str">
        <f>IFERROR(IF(ISNUMBER('Spending by Category'!D227),TEXT('Spending by Category'!D227,"0.00"), ""), "")</f>
        <v/>
      </c>
      <c r="D221" s="23" t="str">
        <f>IFERROR(IF(ISNUMBER('Spending by Category'!E227),TEXT('Spending by Category'!E227,"0.00"), ""), "")</f>
        <v/>
      </c>
      <c r="E221" s="23" t="str">
        <f>IFERROR(IF(ISNUMBER('Spending by Category'!F227),TEXT('Spending by Category'!F227,"0.00"), ""), "")</f>
        <v/>
      </c>
      <c r="F221" s="23" t="str">
        <f>IFERROR(IF(ISNUMBER('Spending by Category'!G227),TEXT('Spending by Category'!G227,"0.00"), ""), "")</f>
        <v/>
      </c>
      <c r="G221" s="23" t="str">
        <f>IFERROR(IF(ISNUMBER('Spending by Category'!H227),TEXT('Spending by Category'!H227,"0.00"), ""), "")</f>
        <v/>
      </c>
      <c r="H221" s="23" t="str">
        <f>IFERROR(IF(ISNUMBER('Spending by Category'!I227),TEXT('Spending by Category'!I227,"0.00"), ""), "")</f>
        <v/>
      </c>
      <c r="I221" s="23" t="str">
        <f>IFERROR(IF(ISNUMBER('Spending by Category'!J227),TEXT('Spending by Category'!J227,"0.00"), ""), "")</f>
        <v/>
      </c>
    </row>
    <row r="222" spans="1:9">
      <c r="A222" s="23" t="str">
        <f>TEXT(IF('Spending by Category'!B228&lt;&gt;0,'Spending by Category'!B228-364, ""), "mm/dd/yyyy")</f>
        <v/>
      </c>
      <c r="B222" s="23" t="str">
        <f>IFERROR(IF(ISNUMBER('Spending by Category'!C228),TEXT('Spending by Category'!C228,"0.00"), ""), "")</f>
        <v/>
      </c>
      <c r="C222" s="23" t="str">
        <f>IFERROR(IF(ISNUMBER('Spending by Category'!D228),TEXT('Spending by Category'!D228,"0.00"), ""), "")</f>
        <v/>
      </c>
      <c r="D222" s="23" t="str">
        <f>IFERROR(IF(ISNUMBER('Spending by Category'!E228),TEXT('Spending by Category'!E228,"0.00"), ""), "")</f>
        <v/>
      </c>
      <c r="E222" s="23" t="str">
        <f>IFERROR(IF(ISNUMBER('Spending by Category'!F228),TEXT('Spending by Category'!F228,"0.00"), ""), "")</f>
        <v/>
      </c>
      <c r="F222" s="23" t="str">
        <f>IFERROR(IF(ISNUMBER('Spending by Category'!G228),TEXT('Spending by Category'!G228,"0.00"), ""), "")</f>
        <v/>
      </c>
      <c r="G222" s="23" t="str">
        <f>IFERROR(IF(ISNUMBER('Spending by Category'!H228),TEXT('Spending by Category'!H228,"0.00"), ""), "")</f>
        <v/>
      </c>
      <c r="H222" s="23" t="str">
        <f>IFERROR(IF(ISNUMBER('Spending by Category'!I228),TEXT('Spending by Category'!I228,"0.00"), ""), "")</f>
        <v/>
      </c>
      <c r="I222" s="23" t="str">
        <f>IFERROR(IF(ISNUMBER('Spending by Category'!J228),TEXT('Spending by Category'!J228,"0.00"), ""), "")</f>
        <v/>
      </c>
    </row>
    <row r="223" spans="1:9">
      <c r="A223" s="23" t="str">
        <f>TEXT(IF('Spending by Category'!B229&lt;&gt;0,'Spending by Category'!B229-364, ""), "mm/dd/yyyy")</f>
        <v/>
      </c>
      <c r="B223" s="23" t="str">
        <f>IFERROR(IF(ISNUMBER('Spending by Category'!C229),TEXT('Spending by Category'!C229,"0.00"), ""), "")</f>
        <v/>
      </c>
      <c r="C223" s="23" t="str">
        <f>IFERROR(IF(ISNUMBER('Spending by Category'!D229),TEXT('Spending by Category'!D229,"0.00"), ""), "")</f>
        <v/>
      </c>
      <c r="D223" s="23" t="str">
        <f>IFERROR(IF(ISNUMBER('Spending by Category'!E229),TEXT('Spending by Category'!E229,"0.00"), ""), "")</f>
        <v/>
      </c>
      <c r="E223" s="23" t="str">
        <f>IFERROR(IF(ISNUMBER('Spending by Category'!F229),TEXT('Spending by Category'!F229,"0.00"), ""), "")</f>
        <v/>
      </c>
      <c r="F223" s="23" t="str">
        <f>IFERROR(IF(ISNUMBER('Spending by Category'!G229),TEXT('Spending by Category'!G229,"0.00"), ""), "")</f>
        <v/>
      </c>
      <c r="G223" s="23" t="str">
        <f>IFERROR(IF(ISNUMBER('Spending by Category'!H229),TEXT('Spending by Category'!H229,"0.00"), ""), "")</f>
        <v/>
      </c>
      <c r="H223" s="23" t="str">
        <f>IFERROR(IF(ISNUMBER('Spending by Category'!I229),TEXT('Spending by Category'!I229,"0.00"), ""), "")</f>
        <v/>
      </c>
      <c r="I223" s="23" t="str">
        <f>IFERROR(IF(ISNUMBER('Spending by Category'!J229),TEXT('Spending by Category'!J229,"0.00"), ""), "")</f>
        <v/>
      </c>
    </row>
    <row r="224" spans="1:9">
      <c r="A224" s="23" t="str">
        <f>TEXT(IF('Spending by Category'!B230&lt;&gt;0,'Spending by Category'!B230-364, ""), "mm/dd/yyyy")</f>
        <v/>
      </c>
      <c r="B224" s="23" t="str">
        <f>IFERROR(IF(ISNUMBER('Spending by Category'!C230),TEXT('Spending by Category'!C230,"0.00"), ""), "")</f>
        <v/>
      </c>
      <c r="C224" s="23" t="str">
        <f>IFERROR(IF(ISNUMBER('Spending by Category'!D230),TEXT('Spending by Category'!D230,"0.00"), ""), "")</f>
        <v/>
      </c>
      <c r="D224" s="23" t="str">
        <f>IFERROR(IF(ISNUMBER('Spending by Category'!E230),TEXT('Spending by Category'!E230,"0.00"), ""), "")</f>
        <v/>
      </c>
      <c r="E224" s="23" t="str">
        <f>IFERROR(IF(ISNUMBER('Spending by Category'!F230),TEXT('Spending by Category'!F230,"0.00"), ""), "")</f>
        <v/>
      </c>
      <c r="F224" s="23" t="str">
        <f>IFERROR(IF(ISNUMBER('Spending by Category'!G230),TEXT('Spending by Category'!G230,"0.00"), ""), "")</f>
        <v/>
      </c>
      <c r="G224" s="23" t="str">
        <f>IFERROR(IF(ISNUMBER('Spending by Category'!H230),TEXT('Spending by Category'!H230,"0.00"), ""), "")</f>
        <v/>
      </c>
      <c r="H224" s="23" t="str">
        <f>IFERROR(IF(ISNUMBER('Spending by Category'!I230),TEXT('Spending by Category'!I230,"0.00"), ""), "")</f>
        <v/>
      </c>
      <c r="I224" s="23" t="str">
        <f>IFERROR(IF(ISNUMBER('Spending by Category'!J230),TEXT('Spending by Category'!J230,"0.00"), ""), "")</f>
        <v/>
      </c>
    </row>
    <row r="225" spans="1:9">
      <c r="A225" s="23" t="str">
        <f>TEXT(IF('Spending by Category'!B231&lt;&gt;0,'Spending by Category'!B231-364, ""), "mm/dd/yyyy")</f>
        <v/>
      </c>
      <c r="B225" s="23" t="str">
        <f>IFERROR(IF(ISNUMBER('Spending by Category'!C231),TEXT('Spending by Category'!C231,"0.00"), ""), "")</f>
        <v/>
      </c>
      <c r="C225" s="23" t="str">
        <f>IFERROR(IF(ISNUMBER('Spending by Category'!D231),TEXT('Spending by Category'!D231,"0.00"), ""), "")</f>
        <v/>
      </c>
      <c r="D225" s="23" t="str">
        <f>IFERROR(IF(ISNUMBER('Spending by Category'!E231),TEXT('Spending by Category'!E231,"0.00"), ""), "")</f>
        <v/>
      </c>
      <c r="E225" s="23" t="str">
        <f>IFERROR(IF(ISNUMBER('Spending by Category'!F231),TEXT('Spending by Category'!F231,"0.00"), ""), "")</f>
        <v/>
      </c>
      <c r="F225" s="23" t="str">
        <f>IFERROR(IF(ISNUMBER('Spending by Category'!G231),TEXT('Spending by Category'!G231,"0.00"), ""), "")</f>
        <v/>
      </c>
      <c r="G225" s="23" t="str">
        <f>IFERROR(IF(ISNUMBER('Spending by Category'!H231),TEXT('Spending by Category'!H231,"0.00"), ""), "")</f>
        <v/>
      </c>
      <c r="H225" s="23" t="str">
        <f>IFERROR(IF(ISNUMBER('Spending by Category'!I231),TEXT('Spending by Category'!I231,"0.00"), ""), "")</f>
        <v/>
      </c>
      <c r="I225" s="23" t="str">
        <f>IFERROR(IF(ISNUMBER('Spending by Category'!J231),TEXT('Spending by Category'!J231,"0.00"), ""), "")</f>
        <v/>
      </c>
    </row>
    <row r="226" spans="1:9">
      <c r="A226" s="23" t="str">
        <f>TEXT(IF('Spending by Category'!B232&lt;&gt;0,'Spending by Category'!B232-364, ""), "mm/dd/yyyy")</f>
        <v/>
      </c>
      <c r="B226" s="23" t="str">
        <f>IFERROR(IF(ISNUMBER('Spending by Category'!C232),TEXT('Spending by Category'!C232,"0.00"), ""), "")</f>
        <v/>
      </c>
      <c r="C226" s="23" t="str">
        <f>IFERROR(IF(ISNUMBER('Spending by Category'!D232),TEXT('Spending by Category'!D232,"0.00"), ""), "")</f>
        <v/>
      </c>
      <c r="D226" s="23" t="str">
        <f>IFERROR(IF(ISNUMBER('Spending by Category'!E232),TEXT('Spending by Category'!E232,"0.00"), ""), "")</f>
        <v/>
      </c>
      <c r="E226" s="23" t="str">
        <f>IFERROR(IF(ISNUMBER('Spending by Category'!F232),TEXT('Spending by Category'!F232,"0.00"), ""), "")</f>
        <v/>
      </c>
      <c r="F226" s="23" t="str">
        <f>IFERROR(IF(ISNUMBER('Spending by Category'!G232),TEXT('Spending by Category'!G232,"0.00"), ""), "")</f>
        <v/>
      </c>
      <c r="G226" s="23" t="str">
        <f>IFERROR(IF(ISNUMBER('Spending by Category'!H232),TEXT('Spending by Category'!H232,"0.00"), ""), "")</f>
        <v/>
      </c>
      <c r="H226" s="23" t="str">
        <f>IFERROR(IF(ISNUMBER('Spending by Category'!I232),TEXT('Spending by Category'!I232,"0.00"), ""), "")</f>
        <v/>
      </c>
      <c r="I226" s="23" t="str">
        <f>IFERROR(IF(ISNUMBER('Spending by Category'!J232),TEXT('Spending by Category'!J232,"0.00"), ""), "")</f>
        <v/>
      </c>
    </row>
    <row r="227" spans="1:9">
      <c r="A227" s="23" t="str">
        <f>TEXT(IF('Spending by Category'!B233&lt;&gt;0,'Spending by Category'!B233-364, ""), "mm/dd/yyyy")</f>
        <v/>
      </c>
      <c r="B227" s="23" t="str">
        <f>IFERROR(IF(ISNUMBER('Spending by Category'!C233),TEXT('Spending by Category'!C233,"0.00"), ""), "")</f>
        <v/>
      </c>
      <c r="C227" s="23" t="str">
        <f>IFERROR(IF(ISNUMBER('Spending by Category'!D233),TEXT('Spending by Category'!D233,"0.00"), ""), "")</f>
        <v/>
      </c>
      <c r="D227" s="23" t="str">
        <f>IFERROR(IF(ISNUMBER('Spending by Category'!E233),TEXT('Spending by Category'!E233,"0.00"), ""), "")</f>
        <v/>
      </c>
      <c r="E227" s="23" t="str">
        <f>IFERROR(IF(ISNUMBER('Spending by Category'!F233),TEXT('Spending by Category'!F233,"0.00"), ""), "")</f>
        <v/>
      </c>
      <c r="F227" s="23" t="str">
        <f>IFERROR(IF(ISNUMBER('Spending by Category'!G233),TEXT('Spending by Category'!G233,"0.00"), ""), "")</f>
        <v/>
      </c>
      <c r="G227" s="23" t="str">
        <f>IFERROR(IF(ISNUMBER('Spending by Category'!H233),TEXT('Spending by Category'!H233,"0.00"), ""), "")</f>
        <v/>
      </c>
      <c r="H227" s="23" t="str">
        <f>IFERROR(IF(ISNUMBER('Spending by Category'!I233),TEXT('Spending by Category'!I233,"0.00"), ""), "")</f>
        <v/>
      </c>
      <c r="I227" s="23" t="str">
        <f>IFERROR(IF(ISNUMBER('Spending by Category'!J233),TEXT('Spending by Category'!J233,"0.00"), ""), "")</f>
        <v/>
      </c>
    </row>
    <row r="228" spans="1:9">
      <c r="A228" s="23" t="str">
        <f>TEXT(IF('Spending by Category'!B234&lt;&gt;0,'Spending by Category'!B234-364, ""), "mm/dd/yyyy")</f>
        <v/>
      </c>
      <c r="B228" s="23" t="str">
        <f>IFERROR(IF(ISNUMBER('Spending by Category'!C234),TEXT('Spending by Category'!C234,"0.00"), ""), "")</f>
        <v/>
      </c>
      <c r="C228" s="23" t="str">
        <f>IFERROR(IF(ISNUMBER('Spending by Category'!D234),TEXT('Spending by Category'!D234,"0.00"), ""), "")</f>
        <v/>
      </c>
      <c r="D228" s="23" t="str">
        <f>IFERROR(IF(ISNUMBER('Spending by Category'!E234),TEXT('Spending by Category'!E234,"0.00"), ""), "")</f>
        <v/>
      </c>
      <c r="E228" s="23" t="str">
        <f>IFERROR(IF(ISNUMBER('Spending by Category'!F234),TEXT('Spending by Category'!F234,"0.00"), ""), "")</f>
        <v/>
      </c>
      <c r="F228" s="23" t="str">
        <f>IFERROR(IF(ISNUMBER('Spending by Category'!G234),TEXT('Spending by Category'!G234,"0.00"), ""), "")</f>
        <v/>
      </c>
      <c r="G228" s="23" t="str">
        <f>IFERROR(IF(ISNUMBER('Spending by Category'!H234),TEXT('Spending by Category'!H234,"0.00"), ""), "")</f>
        <v/>
      </c>
      <c r="H228" s="23" t="str">
        <f>IFERROR(IF(ISNUMBER('Spending by Category'!I234),TEXT('Spending by Category'!I234,"0.00"), ""), "")</f>
        <v/>
      </c>
      <c r="I228" s="23" t="str">
        <f>IFERROR(IF(ISNUMBER('Spending by Category'!J234),TEXT('Spending by Category'!J234,"0.00"), ""), "")</f>
        <v/>
      </c>
    </row>
    <row r="229" spans="1:9">
      <c r="A229" s="23" t="str">
        <f>TEXT(IF('Spending by Category'!B235&lt;&gt;0,'Spending by Category'!B235-364, ""), "mm/dd/yyyy")</f>
        <v/>
      </c>
      <c r="B229" s="23" t="str">
        <f>IFERROR(IF(ISNUMBER('Spending by Category'!C235),TEXT('Spending by Category'!C235,"0.00"), ""), "")</f>
        <v/>
      </c>
      <c r="C229" s="23" t="str">
        <f>IFERROR(IF(ISNUMBER('Spending by Category'!D235),TEXT('Spending by Category'!D235,"0.00"), ""), "")</f>
        <v/>
      </c>
      <c r="D229" s="23" t="str">
        <f>IFERROR(IF(ISNUMBER('Spending by Category'!E235),TEXT('Spending by Category'!E235,"0.00"), ""), "")</f>
        <v/>
      </c>
      <c r="E229" s="23" t="str">
        <f>IFERROR(IF(ISNUMBER('Spending by Category'!F235),TEXT('Spending by Category'!F235,"0.00"), ""), "")</f>
        <v/>
      </c>
      <c r="F229" s="23" t="str">
        <f>IFERROR(IF(ISNUMBER('Spending by Category'!G235),TEXT('Spending by Category'!G235,"0.00"), ""), "")</f>
        <v/>
      </c>
      <c r="G229" s="23" t="str">
        <f>IFERROR(IF(ISNUMBER('Spending by Category'!H235),TEXT('Spending by Category'!H235,"0.00"), ""), "")</f>
        <v/>
      </c>
      <c r="H229" s="23" t="str">
        <f>IFERROR(IF(ISNUMBER('Spending by Category'!I235),TEXT('Spending by Category'!I235,"0.00"), ""), "")</f>
        <v/>
      </c>
      <c r="I229" s="23" t="str">
        <f>IFERROR(IF(ISNUMBER('Spending by Category'!J235),TEXT('Spending by Category'!J235,"0.00"), ""), "")</f>
        <v/>
      </c>
    </row>
    <row r="230" spans="1:9">
      <c r="A230" s="23" t="str">
        <f>TEXT(IF('Spending by Category'!B236&lt;&gt;0,'Spending by Category'!B236-364, ""), "mm/dd/yyyy")</f>
        <v/>
      </c>
      <c r="B230" s="23" t="str">
        <f>IFERROR(IF(ISNUMBER('Spending by Category'!C236),TEXT('Spending by Category'!C236,"0.00"), ""), "")</f>
        <v/>
      </c>
      <c r="C230" s="23" t="str">
        <f>IFERROR(IF(ISNUMBER('Spending by Category'!D236),TEXT('Spending by Category'!D236,"0.00"), ""), "")</f>
        <v/>
      </c>
      <c r="D230" s="23" t="str">
        <f>IFERROR(IF(ISNUMBER('Spending by Category'!E236),TEXT('Spending by Category'!E236,"0.00"), ""), "")</f>
        <v/>
      </c>
      <c r="E230" s="23" t="str">
        <f>IFERROR(IF(ISNUMBER('Spending by Category'!F236),TEXT('Spending by Category'!F236,"0.00"), ""), "")</f>
        <v/>
      </c>
      <c r="F230" s="23" t="str">
        <f>IFERROR(IF(ISNUMBER('Spending by Category'!G236),TEXT('Spending by Category'!G236,"0.00"), ""), "")</f>
        <v/>
      </c>
      <c r="G230" s="23" t="str">
        <f>IFERROR(IF(ISNUMBER('Spending by Category'!H236),TEXT('Spending by Category'!H236,"0.00"), ""), "")</f>
        <v/>
      </c>
      <c r="H230" s="23" t="str">
        <f>IFERROR(IF(ISNUMBER('Spending by Category'!I236),TEXT('Spending by Category'!I236,"0.00"), ""), "")</f>
        <v/>
      </c>
      <c r="I230" s="23" t="str">
        <f>IFERROR(IF(ISNUMBER('Spending by Category'!J236),TEXT('Spending by Category'!J236,"0.00"), ""), "")</f>
        <v/>
      </c>
    </row>
    <row r="231" spans="1:9">
      <c r="A231" s="23" t="str">
        <f>TEXT(IF('Spending by Category'!B237&lt;&gt;0,'Spending by Category'!B237-364, ""), "mm/dd/yyyy")</f>
        <v/>
      </c>
      <c r="B231" s="23" t="str">
        <f>IFERROR(IF(ISNUMBER('Spending by Category'!C237),TEXT('Spending by Category'!C237,"0.00"), ""), "")</f>
        <v/>
      </c>
      <c r="C231" s="23" t="str">
        <f>IFERROR(IF(ISNUMBER('Spending by Category'!D237),TEXT('Spending by Category'!D237,"0.00"), ""), "")</f>
        <v/>
      </c>
      <c r="D231" s="23" t="str">
        <f>IFERROR(IF(ISNUMBER('Spending by Category'!E237),TEXT('Spending by Category'!E237,"0.00"), ""), "")</f>
        <v/>
      </c>
      <c r="E231" s="23" t="str">
        <f>IFERROR(IF(ISNUMBER('Spending by Category'!F237),TEXT('Spending by Category'!F237,"0.00"), ""), "")</f>
        <v/>
      </c>
      <c r="F231" s="23" t="str">
        <f>IFERROR(IF(ISNUMBER('Spending by Category'!G237),TEXT('Spending by Category'!G237,"0.00"), ""), "")</f>
        <v/>
      </c>
      <c r="G231" s="23" t="str">
        <f>IFERROR(IF(ISNUMBER('Spending by Category'!H237),TEXT('Spending by Category'!H237,"0.00"), ""), "")</f>
        <v/>
      </c>
      <c r="H231" s="23" t="str">
        <f>IFERROR(IF(ISNUMBER('Spending by Category'!I237),TEXT('Spending by Category'!I237,"0.00"), ""), "")</f>
        <v/>
      </c>
      <c r="I231" s="23" t="str">
        <f>IFERROR(IF(ISNUMBER('Spending by Category'!J237),TEXT('Spending by Category'!J237,"0.00"), ""), "")</f>
        <v/>
      </c>
    </row>
    <row r="232" spans="1:9">
      <c r="A232" s="23" t="str">
        <f>TEXT(IF('Spending by Category'!B238&lt;&gt;0,'Spending by Category'!B238-364, ""), "mm/dd/yyyy")</f>
        <v/>
      </c>
      <c r="B232" s="23" t="str">
        <f>IFERROR(IF(ISNUMBER('Spending by Category'!C238),TEXT('Spending by Category'!C238,"0.00"), ""), "")</f>
        <v/>
      </c>
      <c r="C232" s="23" t="str">
        <f>IFERROR(IF(ISNUMBER('Spending by Category'!D238),TEXT('Spending by Category'!D238,"0.00"), ""), "")</f>
        <v/>
      </c>
      <c r="D232" s="23" t="str">
        <f>IFERROR(IF(ISNUMBER('Spending by Category'!E238),TEXT('Spending by Category'!E238,"0.00"), ""), "")</f>
        <v/>
      </c>
      <c r="E232" s="23" t="str">
        <f>IFERROR(IF(ISNUMBER('Spending by Category'!F238),TEXT('Spending by Category'!F238,"0.00"), ""), "")</f>
        <v/>
      </c>
      <c r="F232" s="23" t="str">
        <f>IFERROR(IF(ISNUMBER('Spending by Category'!G238),TEXT('Spending by Category'!G238,"0.00"), ""), "")</f>
        <v/>
      </c>
      <c r="G232" s="23" t="str">
        <f>IFERROR(IF(ISNUMBER('Spending by Category'!H238),TEXT('Spending by Category'!H238,"0.00"), ""), "")</f>
        <v/>
      </c>
      <c r="H232" s="23" t="str">
        <f>IFERROR(IF(ISNUMBER('Spending by Category'!I238),TEXT('Spending by Category'!I238,"0.00"), ""), "")</f>
        <v/>
      </c>
      <c r="I232" s="23" t="str">
        <f>IFERROR(IF(ISNUMBER('Spending by Category'!J238),TEXT('Spending by Category'!J238,"0.00"), ""), "")</f>
        <v/>
      </c>
    </row>
    <row r="233" spans="1:9">
      <c r="A233" s="23" t="str">
        <f>TEXT(IF('Spending by Category'!B239&lt;&gt;0,'Spending by Category'!B239-364, ""), "mm/dd/yyyy")</f>
        <v/>
      </c>
      <c r="B233" s="23" t="str">
        <f>IFERROR(IF(ISNUMBER('Spending by Category'!C239),TEXT('Spending by Category'!C239,"0.00"), ""), "")</f>
        <v/>
      </c>
      <c r="C233" s="23" t="str">
        <f>IFERROR(IF(ISNUMBER('Spending by Category'!D239),TEXT('Spending by Category'!D239,"0.00"), ""), "")</f>
        <v/>
      </c>
      <c r="D233" s="23" t="str">
        <f>IFERROR(IF(ISNUMBER('Spending by Category'!E239),TEXT('Spending by Category'!E239,"0.00"), ""), "")</f>
        <v/>
      </c>
      <c r="E233" s="23" t="str">
        <f>IFERROR(IF(ISNUMBER('Spending by Category'!F239),TEXT('Spending by Category'!F239,"0.00"), ""), "")</f>
        <v/>
      </c>
      <c r="F233" s="23" t="str">
        <f>IFERROR(IF(ISNUMBER('Spending by Category'!G239),TEXT('Spending by Category'!G239,"0.00"), ""), "")</f>
        <v/>
      </c>
      <c r="G233" s="23" t="str">
        <f>IFERROR(IF(ISNUMBER('Spending by Category'!H239),TEXT('Spending by Category'!H239,"0.00"), ""), "")</f>
        <v/>
      </c>
      <c r="H233" s="23" t="str">
        <f>IFERROR(IF(ISNUMBER('Spending by Category'!I239),TEXT('Spending by Category'!I239,"0.00"), ""), "")</f>
        <v/>
      </c>
      <c r="I233" s="23" t="str">
        <f>IFERROR(IF(ISNUMBER('Spending by Category'!J239),TEXT('Spending by Category'!J239,"0.00"), ""), "")</f>
        <v/>
      </c>
    </row>
    <row r="234" spans="1:9">
      <c r="A234" s="23" t="str">
        <f>TEXT(IF('Spending by Category'!B240&lt;&gt;0,'Spending by Category'!B240-364, ""), "mm/dd/yyyy")</f>
        <v/>
      </c>
      <c r="B234" s="23" t="str">
        <f>IFERROR(IF(ISNUMBER('Spending by Category'!C240),TEXT('Spending by Category'!C240,"0.00"), ""), "")</f>
        <v/>
      </c>
      <c r="C234" s="23" t="str">
        <f>IFERROR(IF(ISNUMBER('Spending by Category'!D240),TEXT('Spending by Category'!D240,"0.00"), ""), "")</f>
        <v/>
      </c>
      <c r="D234" s="23" t="str">
        <f>IFERROR(IF(ISNUMBER('Spending by Category'!E240),TEXT('Spending by Category'!E240,"0.00"), ""), "")</f>
        <v/>
      </c>
      <c r="E234" s="23" t="str">
        <f>IFERROR(IF(ISNUMBER('Spending by Category'!F240),TEXT('Spending by Category'!F240,"0.00"), ""), "")</f>
        <v/>
      </c>
      <c r="F234" s="23" t="str">
        <f>IFERROR(IF(ISNUMBER('Spending by Category'!G240),TEXT('Spending by Category'!G240,"0.00"), ""), "")</f>
        <v/>
      </c>
      <c r="G234" s="23" t="str">
        <f>IFERROR(IF(ISNUMBER('Spending by Category'!H240),TEXT('Spending by Category'!H240,"0.00"), ""), "")</f>
        <v/>
      </c>
      <c r="H234" s="23" t="str">
        <f>IFERROR(IF(ISNUMBER('Spending by Category'!I240),TEXT('Spending by Category'!I240,"0.00"), ""), "")</f>
        <v/>
      </c>
      <c r="I234" s="23" t="str">
        <f>IFERROR(IF(ISNUMBER('Spending by Category'!J240),TEXT('Spending by Category'!J240,"0.00"), ""), "")</f>
        <v/>
      </c>
    </row>
    <row r="235" spans="1:9">
      <c r="A235" s="23" t="str">
        <f>TEXT(IF('Spending by Category'!B241&lt;&gt;0,'Spending by Category'!B241-364, ""), "mm/dd/yyyy")</f>
        <v/>
      </c>
      <c r="B235" s="23" t="str">
        <f>IFERROR(IF(ISNUMBER('Spending by Category'!C241),TEXT('Spending by Category'!C241,"0.00"), ""), "")</f>
        <v/>
      </c>
      <c r="C235" s="23" t="str">
        <f>IFERROR(IF(ISNUMBER('Spending by Category'!D241),TEXT('Spending by Category'!D241,"0.00"), ""), "")</f>
        <v/>
      </c>
      <c r="D235" s="23" t="str">
        <f>IFERROR(IF(ISNUMBER('Spending by Category'!E241),TEXT('Spending by Category'!E241,"0.00"), ""), "")</f>
        <v/>
      </c>
      <c r="E235" s="23" t="str">
        <f>IFERROR(IF(ISNUMBER('Spending by Category'!F241),TEXT('Spending by Category'!F241,"0.00"), ""), "")</f>
        <v/>
      </c>
      <c r="F235" s="23" t="str">
        <f>IFERROR(IF(ISNUMBER('Spending by Category'!G241),TEXT('Spending by Category'!G241,"0.00"), ""), "")</f>
        <v/>
      </c>
      <c r="G235" s="23" t="str">
        <f>IFERROR(IF(ISNUMBER('Spending by Category'!H241),TEXT('Spending by Category'!H241,"0.00"), ""), "")</f>
        <v/>
      </c>
      <c r="H235" s="23" t="str">
        <f>IFERROR(IF(ISNUMBER('Spending by Category'!I241),TEXT('Spending by Category'!I241,"0.00"), ""), "")</f>
        <v/>
      </c>
      <c r="I235" s="23" t="str">
        <f>IFERROR(IF(ISNUMBER('Spending by Category'!J241),TEXT('Spending by Category'!J241,"0.00"), ""), "")</f>
        <v/>
      </c>
    </row>
    <row r="236" spans="1:9">
      <c r="A236" s="23" t="str">
        <f>TEXT(IF('Spending by Category'!B242&lt;&gt;0,'Spending by Category'!B242-364, ""), "mm/dd/yyyy")</f>
        <v/>
      </c>
      <c r="B236" s="23" t="str">
        <f>IFERROR(IF(ISNUMBER('Spending by Category'!C242),TEXT('Spending by Category'!C242,"0.00"), ""), "")</f>
        <v/>
      </c>
      <c r="C236" s="23" t="str">
        <f>IFERROR(IF(ISNUMBER('Spending by Category'!D242),TEXT('Spending by Category'!D242,"0.00"), ""), "")</f>
        <v/>
      </c>
      <c r="D236" s="23" t="str">
        <f>IFERROR(IF(ISNUMBER('Spending by Category'!E242),TEXT('Spending by Category'!E242,"0.00"), ""), "")</f>
        <v/>
      </c>
      <c r="E236" s="23" t="str">
        <f>IFERROR(IF(ISNUMBER('Spending by Category'!F242),TEXT('Spending by Category'!F242,"0.00"), ""), "")</f>
        <v/>
      </c>
      <c r="F236" s="23" t="str">
        <f>IFERROR(IF(ISNUMBER('Spending by Category'!G242),TEXT('Spending by Category'!G242,"0.00"), ""), "")</f>
        <v/>
      </c>
      <c r="G236" s="23" t="str">
        <f>IFERROR(IF(ISNUMBER('Spending by Category'!H242),TEXT('Spending by Category'!H242,"0.00"), ""), "")</f>
        <v/>
      </c>
      <c r="H236" s="23" t="str">
        <f>IFERROR(IF(ISNUMBER('Spending by Category'!I242),TEXT('Spending by Category'!I242,"0.00"), ""), "")</f>
        <v/>
      </c>
      <c r="I236" s="23" t="str">
        <f>IFERROR(IF(ISNUMBER('Spending by Category'!J242),TEXT('Spending by Category'!J242,"0.00"), ""), "")</f>
        <v/>
      </c>
    </row>
    <row r="237" spans="1:9">
      <c r="A237" s="23" t="str">
        <f>TEXT(IF('Spending by Category'!B243&lt;&gt;0,'Spending by Category'!B243-364, ""), "mm/dd/yyyy")</f>
        <v/>
      </c>
      <c r="B237" s="23" t="str">
        <f>IFERROR(IF(ISNUMBER('Spending by Category'!C243),TEXT('Spending by Category'!C243,"0.00"), ""), "")</f>
        <v/>
      </c>
      <c r="C237" s="23" t="str">
        <f>IFERROR(IF(ISNUMBER('Spending by Category'!D243),TEXT('Spending by Category'!D243,"0.00"), ""), "")</f>
        <v/>
      </c>
      <c r="D237" s="23" t="str">
        <f>IFERROR(IF(ISNUMBER('Spending by Category'!E243),TEXT('Spending by Category'!E243,"0.00"), ""), "")</f>
        <v/>
      </c>
      <c r="E237" s="23" t="str">
        <f>IFERROR(IF(ISNUMBER('Spending by Category'!F243),TEXT('Spending by Category'!F243,"0.00"), ""), "")</f>
        <v/>
      </c>
      <c r="F237" s="23" t="str">
        <f>IFERROR(IF(ISNUMBER('Spending by Category'!G243),TEXT('Spending by Category'!G243,"0.00"), ""), "")</f>
        <v/>
      </c>
      <c r="G237" s="23" t="str">
        <f>IFERROR(IF(ISNUMBER('Spending by Category'!H243),TEXT('Spending by Category'!H243,"0.00"), ""), "")</f>
        <v/>
      </c>
      <c r="H237" s="23" t="str">
        <f>IFERROR(IF(ISNUMBER('Spending by Category'!I243),TEXT('Spending by Category'!I243,"0.00"), ""), "")</f>
        <v/>
      </c>
      <c r="I237" s="23" t="str">
        <f>IFERROR(IF(ISNUMBER('Spending by Category'!J243),TEXT('Spending by Category'!J243,"0.00"), ""), "")</f>
        <v/>
      </c>
    </row>
    <row r="238" spans="1:9">
      <c r="A238" s="23" t="str">
        <f>TEXT(IF('Spending by Category'!B244&lt;&gt;0,'Spending by Category'!B244-364, ""), "mm/dd/yyyy")</f>
        <v/>
      </c>
      <c r="B238" s="23" t="str">
        <f>IFERROR(IF(ISNUMBER('Spending by Category'!C244),TEXT('Spending by Category'!C244,"0.00"), ""), "")</f>
        <v/>
      </c>
      <c r="C238" s="23" t="str">
        <f>IFERROR(IF(ISNUMBER('Spending by Category'!D244),TEXT('Spending by Category'!D244,"0.00"), ""), "")</f>
        <v/>
      </c>
      <c r="D238" s="23" t="str">
        <f>IFERROR(IF(ISNUMBER('Spending by Category'!E244),TEXT('Spending by Category'!E244,"0.00"), ""), "")</f>
        <v/>
      </c>
      <c r="E238" s="23" t="str">
        <f>IFERROR(IF(ISNUMBER('Spending by Category'!F244),TEXT('Spending by Category'!F244,"0.00"), ""), "")</f>
        <v/>
      </c>
      <c r="F238" s="23" t="str">
        <f>IFERROR(IF(ISNUMBER('Spending by Category'!G244),TEXT('Spending by Category'!G244,"0.00"), ""), "")</f>
        <v/>
      </c>
      <c r="G238" s="23" t="str">
        <f>IFERROR(IF(ISNUMBER('Spending by Category'!H244),TEXT('Spending by Category'!H244,"0.00"), ""), "")</f>
        <v/>
      </c>
      <c r="H238" s="23" t="str">
        <f>IFERROR(IF(ISNUMBER('Spending by Category'!I244),TEXT('Spending by Category'!I244,"0.00"), ""), "")</f>
        <v/>
      </c>
      <c r="I238" s="23" t="str">
        <f>IFERROR(IF(ISNUMBER('Spending by Category'!J244),TEXT('Spending by Category'!J244,"0.00"), ""), "")</f>
        <v/>
      </c>
    </row>
    <row r="239" spans="1:9">
      <c r="A239" s="23" t="str">
        <f>TEXT(IF('Spending by Category'!B245&lt;&gt;0,'Spending by Category'!B245-364, ""), "mm/dd/yyyy")</f>
        <v/>
      </c>
      <c r="B239" s="23" t="str">
        <f>IFERROR(IF(ISNUMBER('Spending by Category'!C245),TEXT('Spending by Category'!C245,"0.00"), ""), "")</f>
        <v/>
      </c>
      <c r="C239" s="23" t="str">
        <f>IFERROR(IF(ISNUMBER('Spending by Category'!D245),TEXT('Spending by Category'!D245,"0.00"), ""), "")</f>
        <v/>
      </c>
      <c r="D239" s="23" t="str">
        <f>IFERROR(IF(ISNUMBER('Spending by Category'!E245),TEXT('Spending by Category'!E245,"0.00"), ""), "")</f>
        <v/>
      </c>
      <c r="E239" s="23" t="str">
        <f>IFERROR(IF(ISNUMBER('Spending by Category'!F245),TEXT('Spending by Category'!F245,"0.00"), ""), "")</f>
        <v/>
      </c>
      <c r="F239" s="23" t="str">
        <f>IFERROR(IF(ISNUMBER('Spending by Category'!G245),TEXT('Spending by Category'!G245,"0.00"), ""), "")</f>
        <v/>
      </c>
      <c r="G239" s="23" t="str">
        <f>IFERROR(IF(ISNUMBER('Spending by Category'!H245),TEXT('Spending by Category'!H245,"0.00"), ""), "")</f>
        <v/>
      </c>
      <c r="H239" s="23" t="str">
        <f>IFERROR(IF(ISNUMBER('Spending by Category'!I245),TEXT('Spending by Category'!I245,"0.00"), ""), "")</f>
        <v/>
      </c>
      <c r="I239" s="23" t="str">
        <f>IFERROR(IF(ISNUMBER('Spending by Category'!J245),TEXT('Spending by Category'!J245,"0.00"), ""), "")</f>
        <v/>
      </c>
    </row>
    <row r="240" spans="1:9">
      <c r="A240" s="23" t="str">
        <f>TEXT(IF('Spending by Category'!B246&lt;&gt;0,'Spending by Category'!B246-364, ""), "mm/dd/yyyy")</f>
        <v/>
      </c>
      <c r="B240" s="23" t="str">
        <f>IFERROR(IF(ISNUMBER('Spending by Category'!C246),TEXT('Spending by Category'!C246,"0.00"), ""), "")</f>
        <v/>
      </c>
      <c r="C240" s="23" t="str">
        <f>IFERROR(IF(ISNUMBER('Spending by Category'!D246),TEXT('Spending by Category'!D246,"0.00"), ""), "")</f>
        <v/>
      </c>
      <c r="D240" s="23" t="str">
        <f>IFERROR(IF(ISNUMBER('Spending by Category'!E246),TEXT('Spending by Category'!E246,"0.00"), ""), "")</f>
        <v/>
      </c>
      <c r="E240" s="23" t="str">
        <f>IFERROR(IF(ISNUMBER('Spending by Category'!F246),TEXT('Spending by Category'!F246,"0.00"), ""), "")</f>
        <v/>
      </c>
      <c r="F240" s="23" t="str">
        <f>IFERROR(IF(ISNUMBER('Spending by Category'!G246),TEXT('Spending by Category'!G246,"0.00"), ""), "")</f>
        <v/>
      </c>
      <c r="G240" s="23" t="str">
        <f>IFERROR(IF(ISNUMBER('Spending by Category'!H246),TEXT('Spending by Category'!H246,"0.00"), ""), "")</f>
        <v/>
      </c>
      <c r="H240" s="23" t="str">
        <f>IFERROR(IF(ISNUMBER('Spending by Category'!I246),TEXT('Spending by Category'!I246,"0.00"), ""), "")</f>
        <v/>
      </c>
      <c r="I240" s="23" t="str">
        <f>IFERROR(IF(ISNUMBER('Spending by Category'!J246),TEXT('Spending by Category'!J246,"0.00"), ""), "")</f>
        <v/>
      </c>
    </row>
    <row r="241" spans="1:9">
      <c r="A241" s="23" t="str">
        <f>TEXT(IF('Spending by Category'!B247&lt;&gt;0,'Spending by Category'!B247-364, ""), "mm/dd/yyyy")</f>
        <v/>
      </c>
      <c r="B241" s="23" t="str">
        <f>IFERROR(IF(ISNUMBER('Spending by Category'!C247),TEXT('Spending by Category'!C247,"0.00"), ""), "")</f>
        <v/>
      </c>
      <c r="C241" s="23" t="str">
        <f>IFERROR(IF(ISNUMBER('Spending by Category'!D247),TEXT('Spending by Category'!D247,"0.00"), ""), "")</f>
        <v/>
      </c>
      <c r="D241" s="23" t="str">
        <f>IFERROR(IF(ISNUMBER('Spending by Category'!E247),TEXT('Spending by Category'!E247,"0.00"), ""), "")</f>
        <v/>
      </c>
      <c r="E241" s="23" t="str">
        <f>IFERROR(IF(ISNUMBER('Spending by Category'!F247),TEXT('Spending by Category'!F247,"0.00"), ""), "")</f>
        <v/>
      </c>
      <c r="F241" s="23" t="str">
        <f>IFERROR(IF(ISNUMBER('Spending by Category'!G247),TEXT('Spending by Category'!G247,"0.00"), ""), "")</f>
        <v/>
      </c>
      <c r="G241" s="23" t="str">
        <f>IFERROR(IF(ISNUMBER('Spending by Category'!H247),TEXT('Spending by Category'!H247,"0.00"), ""), "")</f>
        <v/>
      </c>
      <c r="H241" s="23" t="str">
        <f>IFERROR(IF(ISNUMBER('Spending by Category'!I247),TEXT('Spending by Category'!I247,"0.00"), ""), "")</f>
        <v/>
      </c>
      <c r="I241" s="23" t="str">
        <f>IFERROR(IF(ISNUMBER('Spending by Category'!J247),TEXT('Spending by Category'!J247,"0.00"), ""), "")</f>
        <v/>
      </c>
    </row>
    <row r="242" spans="1:9">
      <c r="A242" s="23" t="str">
        <f>TEXT(IF('Spending by Category'!B248&lt;&gt;0,'Spending by Category'!B248-364, ""), "mm/dd/yyyy")</f>
        <v/>
      </c>
      <c r="B242" s="23" t="str">
        <f>IFERROR(IF(ISNUMBER('Spending by Category'!C248),TEXT('Spending by Category'!C248,"0.00"), ""), "")</f>
        <v/>
      </c>
      <c r="C242" s="23" t="str">
        <f>IFERROR(IF(ISNUMBER('Spending by Category'!D248),TEXT('Spending by Category'!D248,"0.00"), ""), "")</f>
        <v/>
      </c>
      <c r="D242" s="23" t="str">
        <f>IFERROR(IF(ISNUMBER('Spending by Category'!E248),TEXT('Spending by Category'!E248,"0.00"), ""), "")</f>
        <v/>
      </c>
      <c r="E242" s="23" t="str">
        <f>IFERROR(IF(ISNUMBER('Spending by Category'!F248),TEXT('Spending by Category'!F248,"0.00"), ""), "")</f>
        <v/>
      </c>
      <c r="F242" s="23" t="str">
        <f>IFERROR(IF(ISNUMBER('Spending by Category'!G248),TEXT('Spending by Category'!G248,"0.00"), ""), "")</f>
        <v/>
      </c>
      <c r="G242" s="23" t="str">
        <f>IFERROR(IF(ISNUMBER('Spending by Category'!H248),TEXT('Spending by Category'!H248,"0.00"), ""), "")</f>
        <v/>
      </c>
      <c r="H242" s="23" t="str">
        <f>IFERROR(IF(ISNUMBER('Spending by Category'!I248),TEXT('Spending by Category'!I248,"0.00"), ""), "")</f>
        <v/>
      </c>
      <c r="I242" s="23" t="str">
        <f>IFERROR(IF(ISNUMBER('Spending by Category'!J248),TEXT('Spending by Category'!J248,"0.00"), ""), "")</f>
        <v/>
      </c>
    </row>
    <row r="243" spans="1:9">
      <c r="A243" s="23" t="str">
        <f>TEXT(IF('Spending by Category'!B249&lt;&gt;0,'Spending by Category'!B249-364, ""), "mm/dd/yyyy")</f>
        <v/>
      </c>
      <c r="B243" s="23" t="str">
        <f>IFERROR(IF(ISNUMBER('Spending by Category'!C249),TEXT('Spending by Category'!C249,"0.00"), ""), "")</f>
        <v/>
      </c>
      <c r="C243" s="23" t="str">
        <f>IFERROR(IF(ISNUMBER('Spending by Category'!D249),TEXT('Spending by Category'!D249,"0.00"), ""), "")</f>
        <v/>
      </c>
      <c r="D243" s="23" t="str">
        <f>IFERROR(IF(ISNUMBER('Spending by Category'!E249),TEXT('Spending by Category'!E249,"0.00"), ""), "")</f>
        <v/>
      </c>
      <c r="E243" s="23" t="str">
        <f>IFERROR(IF(ISNUMBER('Spending by Category'!F249),TEXT('Spending by Category'!F249,"0.00"), ""), "")</f>
        <v/>
      </c>
      <c r="F243" s="23" t="str">
        <f>IFERROR(IF(ISNUMBER('Spending by Category'!G249),TEXT('Spending by Category'!G249,"0.00"), ""), "")</f>
        <v/>
      </c>
      <c r="G243" s="23" t="str">
        <f>IFERROR(IF(ISNUMBER('Spending by Category'!H249),TEXT('Spending by Category'!H249,"0.00"), ""), "")</f>
        <v/>
      </c>
      <c r="H243" s="23" t="str">
        <f>IFERROR(IF(ISNUMBER('Spending by Category'!I249),TEXT('Spending by Category'!I249,"0.00"), ""), "")</f>
        <v/>
      </c>
      <c r="I243" s="23" t="str">
        <f>IFERROR(IF(ISNUMBER('Spending by Category'!J249),TEXT('Spending by Category'!J249,"0.00"), ""), "")</f>
        <v/>
      </c>
    </row>
    <row r="244" spans="1:9">
      <c r="A244" s="23" t="str">
        <f>TEXT(IF('Spending by Category'!B250&lt;&gt;0,'Spending by Category'!B250-364, ""), "mm/dd/yyyy")</f>
        <v/>
      </c>
      <c r="B244" s="23" t="str">
        <f>IFERROR(IF(ISNUMBER('Spending by Category'!C250),TEXT('Spending by Category'!C250,"0.00"), ""), "")</f>
        <v/>
      </c>
      <c r="C244" s="23" t="str">
        <f>IFERROR(IF(ISNUMBER('Spending by Category'!D250),TEXT('Spending by Category'!D250,"0.00"), ""), "")</f>
        <v/>
      </c>
      <c r="D244" s="23" t="str">
        <f>IFERROR(IF(ISNUMBER('Spending by Category'!E250),TEXT('Spending by Category'!E250,"0.00"), ""), "")</f>
        <v/>
      </c>
      <c r="E244" s="23" t="str">
        <f>IFERROR(IF(ISNUMBER('Spending by Category'!F250),TEXT('Spending by Category'!F250,"0.00"), ""), "")</f>
        <v/>
      </c>
      <c r="F244" s="23" t="str">
        <f>IFERROR(IF(ISNUMBER('Spending by Category'!G250),TEXT('Spending by Category'!G250,"0.00"), ""), "")</f>
        <v/>
      </c>
      <c r="G244" s="23" t="str">
        <f>IFERROR(IF(ISNUMBER('Spending by Category'!H250),TEXT('Spending by Category'!H250,"0.00"), ""), "")</f>
        <v/>
      </c>
      <c r="H244" s="23" t="str">
        <f>IFERROR(IF(ISNUMBER('Spending by Category'!I250),TEXT('Spending by Category'!I250,"0.00"), ""), "")</f>
        <v/>
      </c>
      <c r="I244" s="23" t="str">
        <f>IFERROR(IF(ISNUMBER('Spending by Category'!J250),TEXT('Spending by Category'!J250,"0.00"), ""), "")</f>
        <v/>
      </c>
    </row>
    <row r="245" spans="1:9">
      <c r="A245" s="23" t="str">
        <f>TEXT(IF('Spending by Category'!B251&lt;&gt;0,'Spending by Category'!B251-364, ""), "mm/dd/yyyy")</f>
        <v/>
      </c>
      <c r="B245" s="23" t="str">
        <f>IFERROR(IF(ISNUMBER('Spending by Category'!C251),TEXT('Spending by Category'!C251,"0.00"), ""), "")</f>
        <v/>
      </c>
      <c r="C245" s="23" t="str">
        <f>IFERROR(IF(ISNUMBER('Spending by Category'!D251),TEXT('Spending by Category'!D251,"0.00"), ""), "")</f>
        <v/>
      </c>
      <c r="D245" s="23" t="str">
        <f>IFERROR(IF(ISNUMBER('Spending by Category'!E251),TEXT('Spending by Category'!E251,"0.00"), ""), "")</f>
        <v/>
      </c>
      <c r="E245" s="23" t="str">
        <f>IFERROR(IF(ISNUMBER('Spending by Category'!F251),TEXT('Spending by Category'!F251,"0.00"), ""), "")</f>
        <v/>
      </c>
      <c r="F245" s="23" t="str">
        <f>IFERROR(IF(ISNUMBER('Spending by Category'!G251),TEXT('Spending by Category'!G251,"0.00"), ""), "")</f>
        <v/>
      </c>
      <c r="G245" s="23" t="str">
        <f>IFERROR(IF(ISNUMBER('Spending by Category'!H251),TEXT('Spending by Category'!H251,"0.00"), ""), "")</f>
        <v/>
      </c>
      <c r="H245" s="23" t="str">
        <f>IFERROR(IF(ISNUMBER('Spending by Category'!I251),TEXT('Spending by Category'!I251,"0.00"), ""), "")</f>
        <v/>
      </c>
      <c r="I245" s="23" t="str">
        <f>IFERROR(IF(ISNUMBER('Spending by Category'!J251),TEXT('Spending by Category'!J251,"0.00"), ""), "")</f>
        <v/>
      </c>
    </row>
    <row r="246" spans="1:9">
      <c r="A246" s="23" t="str">
        <f>TEXT(IF('Spending by Category'!B252&lt;&gt;0,'Spending by Category'!B252-364, ""), "mm/dd/yyyy")</f>
        <v/>
      </c>
      <c r="B246" s="23" t="str">
        <f>IFERROR(IF(ISNUMBER('Spending by Category'!C252),TEXT('Spending by Category'!C252,"0.00"), ""), "")</f>
        <v/>
      </c>
      <c r="C246" s="23" t="str">
        <f>IFERROR(IF(ISNUMBER('Spending by Category'!D252),TEXT('Spending by Category'!D252,"0.00"), ""), "")</f>
        <v/>
      </c>
      <c r="D246" s="23" t="str">
        <f>IFERROR(IF(ISNUMBER('Spending by Category'!E252),TEXT('Spending by Category'!E252,"0.00"), ""), "")</f>
        <v/>
      </c>
      <c r="E246" s="23" t="str">
        <f>IFERROR(IF(ISNUMBER('Spending by Category'!F252),TEXT('Spending by Category'!F252,"0.00"), ""), "")</f>
        <v/>
      </c>
      <c r="F246" s="23" t="str">
        <f>IFERROR(IF(ISNUMBER('Spending by Category'!G252),TEXT('Spending by Category'!G252,"0.00"), ""), "")</f>
        <v/>
      </c>
      <c r="G246" s="23" t="str">
        <f>IFERROR(IF(ISNUMBER('Spending by Category'!H252),TEXT('Spending by Category'!H252,"0.00"), ""), "")</f>
        <v/>
      </c>
      <c r="H246" s="23" t="str">
        <f>IFERROR(IF(ISNUMBER('Spending by Category'!I252),TEXT('Spending by Category'!I252,"0.00"), ""), "")</f>
        <v/>
      </c>
      <c r="I246" s="23" t="str">
        <f>IFERROR(IF(ISNUMBER('Spending by Category'!J252),TEXT('Spending by Category'!J252,"0.00"), ""), "")</f>
        <v/>
      </c>
    </row>
    <row r="247" spans="1:9">
      <c r="A247" s="23" t="str">
        <f>TEXT(IF('Spending by Category'!B253&lt;&gt;0,'Spending by Category'!B253-364, ""), "mm/dd/yyyy")</f>
        <v/>
      </c>
      <c r="B247" s="23" t="str">
        <f>IFERROR(IF(ISNUMBER('Spending by Category'!C253),TEXT('Spending by Category'!C253,"0.00"), ""), "")</f>
        <v/>
      </c>
      <c r="C247" s="23" t="str">
        <f>IFERROR(IF(ISNUMBER('Spending by Category'!D253),TEXT('Spending by Category'!D253,"0.00"), ""), "")</f>
        <v/>
      </c>
      <c r="D247" s="23" t="str">
        <f>IFERROR(IF(ISNUMBER('Spending by Category'!E253),TEXT('Spending by Category'!E253,"0.00"), ""), "")</f>
        <v/>
      </c>
      <c r="E247" s="23" t="str">
        <f>IFERROR(IF(ISNUMBER('Spending by Category'!F253),TEXT('Spending by Category'!F253,"0.00"), ""), "")</f>
        <v/>
      </c>
      <c r="F247" s="23" t="str">
        <f>IFERROR(IF(ISNUMBER('Spending by Category'!G253),TEXT('Spending by Category'!G253,"0.00"), ""), "")</f>
        <v/>
      </c>
      <c r="G247" s="23" t="str">
        <f>IFERROR(IF(ISNUMBER('Spending by Category'!H253),TEXT('Spending by Category'!H253,"0.00"), ""), "")</f>
        <v/>
      </c>
      <c r="H247" s="23" t="str">
        <f>IFERROR(IF(ISNUMBER('Spending by Category'!I253),TEXT('Spending by Category'!I253,"0.00"), ""), "")</f>
        <v/>
      </c>
      <c r="I247" s="23" t="str">
        <f>IFERROR(IF(ISNUMBER('Spending by Category'!J253),TEXT('Spending by Category'!J253,"0.00"), ""), "")</f>
        <v/>
      </c>
    </row>
    <row r="248" spans="1:9">
      <c r="A248" s="23" t="str">
        <f>TEXT(IF('Spending by Category'!B254&lt;&gt;0,'Spending by Category'!B254-364, ""), "mm/dd/yyyy")</f>
        <v/>
      </c>
      <c r="B248" s="23" t="str">
        <f>IFERROR(IF(ISNUMBER('Spending by Category'!C254),TEXT('Spending by Category'!C254,"0.00"), ""), "")</f>
        <v/>
      </c>
      <c r="C248" s="23" t="str">
        <f>IFERROR(IF(ISNUMBER('Spending by Category'!D254),TEXT('Spending by Category'!D254,"0.00"), ""), "")</f>
        <v/>
      </c>
      <c r="D248" s="23" t="str">
        <f>IFERROR(IF(ISNUMBER('Spending by Category'!E254),TEXT('Spending by Category'!E254,"0.00"), ""), "")</f>
        <v/>
      </c>
      <c r="E248" s="23" t="str">
        <f>IFERROR(IF(ISNUMBER('Spending by Category'!F254),TEXT('Spending by Category'!F254,"0.00"), ""), "")</f>
        <v/>
      </c>
      <c r="F248" s="23" t="str">
        <f>IFERROR(IF(ISNUMBER('Spending by Category'!G254),TEXT('Spending by Category'!G254,"0.00"), ""), "")</f>
        <v/>
      </c>
      <c r="G248" s="23" t="str">
        <f>IFERROR(IF(ISNUMBER('Spending by Category'!H254),TEXT('Spending by Category'!H254,"0.00"), ""), "")</f>
        <v/>
      </c>
      <c r="H248" s="23" t="str">
        <f>IFERROR(IF(ISNUMBER('Spending by Category'!I254),TEXT('Spending by Category'!I254,"0.00"), ""), "")</f>
        <v/>
      </c>
      <c r="I248" s="23" t="str">
        <f>IFERROR(IF(ISNUMBER('Spending by Category'!J254),TEXT('Spending by Category'!J254,"0.00"), ""), "")</f>
        <v/>
      </c>
    </row>
    <row r="249" spans="1:9">
      <c r="A249" s="23" t="str">
        <f>TEXT(IF('Spending by Category'!B255&lt;&gt;0,'Spending by Category'!B255-364, ""), "mm/dd/yyyy")</f>
        <v/>
      </c>
      <c r="B249" s="23" t="str">
        <f>IFERROR(IF(ISNUMBER('Spending by Category'!C255),TEXT('Spending by Category'!C255,"0.00"), ""), "")</f>
        <v/>
      </c>
      <c r="C249" s="23" t="str">
        <f>IFERROR(IF(ISNUMBER('Spending by Category'!D255),TEXT('Spending by Category'!D255,"0.00"), ""), "")</f>
        <v/>
      </c>
      <c r="D249" s="23" t="str">
        <f>IFERROR(IF(ISNUMBER('Spending by Category'!E255),TEXT('Spending by Category'!E255,"0.00"), ""), "")</f>
        <v/>
      </c>
      <c r="E249" s="23" t="str">
        <f>IFERROR(IF(ISNUMBER('Spending by Category'!F255),TEXT('Spending by Category'!F255,"0.00"), ""), "")</f>
        <v/>
      </c>
      <c r="F249" s="23" t="str">
        <f>IFERROR(IF(ISNUMBER('Spending by Category'!G255),TEXT('Spending by Category'!G255,"0.00"), ""), "")</f>
        <v/>
      </c>
      <c r="G249" s="23" t="str">
        <f>IFERROR(IF(ISNUMBER('Spending by Category'!H255),TEXT('Spending by Category'!H255,"0.00"), ""), "")</f>
        <v/>
      </c>
      <c r="H249" s="23" t="str">
        <f>IFERROR(IF(ISNUMBER('Spending by Category'!I255),TEXT('Spending by Category'!I255,"0.00"), ""), "")</f>
        <v/>
      </c>
      <c r="I249" s="23" t="str">
        <f>IFERROR(IF(ISNUMBER('Spending by Category'!J255),TEXT('Spending by Category'!J255,"0.00"), ""), "")</f>
        <v/>
      </c>
    </row>
    <row r="250" spans="1:9">
      <c r="A250" s="23" t="str">
        <f>TEXT(IF('Spending by Category'!B256&lt;&gt;0,'Spending by Category'!B256-364, ""), "mm/dd/yyyy")</f>
        <v/>
      </c>
      <c r="B250" s="23" t="str">
        <f>IFERROR(IF(ISNUMBER('Spending by Category'!C256),TEXT('Spending by Category'!C256,"0.00"), ""), "")</f>
        <v/>
      </c>
      <c r="C250" s="23" t="str">
        <f>IFERROR(IF(ISNUMBER('Spending by Category'!D256),TEXT('Spending by Category'!D256,"0.00"), ""), "")</f>
        <v/>
      </c>
      <c r="D250" s="23" t="str">
        <f>IFERROR(IF(ISNUMBER('Spending by Category'!E256),TEXT('Spending by Category'!E256,"0.00"), ""), "")</f>
        <v/>
      </c>
      <c r="E250" s="23" t="str">
        <f>IFERROR(IF(ISNUMBER('Spending by Category'!F256),TEXT('Spending by Category'!F256,"0.00"), ""), "")</f>
        <v/>
      </c>
      <c r="F250" s="23" t="str">
        <f>IFERROR(IF(ISNUMBER('Spending by Category'!G256),TEXT('Spending by Category'!G256,"0.00"), ""), "")</f>
        <v/>
      </c>
      <c r="G250" s="23" t="str">
        <f>IFERROR(IF(ISNUMBER('Spending by Category'!H256),TEXT('Spending by Category'!H256,"0.00"), ""), "")</f>
        <v/>
      </c>
      <c r="H250" s="23" t="str">
        <f>IFERROR(IF(ISNUMBER('Spending by Category'!I256),TEXT('Spending by Category'!I256,"0.00"), ""), "")</f>
        <v/>
      </c>
      <c r="I250" s="23" t="str">
        <f>IFERROR(IF(ISNUMBER('Spending by Category'!J256),TEXT('Spending by Category'!J256,"0.00"), ""), "")</f>
        <v/>
      </c>
    </row>
    <row r="251" spans="1:9">
      <c r="A251" s="23" t="str">
        <f>TEXT(IF('Spending by Category'!B257&lt;&gt;0,'Spending by Category'!B257-364, ""), "mm/dd/yyyy")</f>
        <v/>
      </c>
      <c r="B251" s="23" t="str">
        <f>IFERROR(IF(ISNUMBER('Spending by Category'!C257),TEXT('Spending by Category'!C257,"0.00"), ""), "")</f>
        <v/>
      </c>
      <c r="C251" s="23" t="str">
        <f>IFERROR(IF(ISNUMBER('Spending by Category'!D257),TEXT('Spending by Category'!D257,"0.00"), ""), "")</f>
        <v/>
      </c>
      <c r="D251" s="23" t="str">
        <f>IFERROR(IF(ISNUMBER('Spending by Category'!E257),TEXT('Spending by Category'!E257,"0.00"), ""), "")</f>
        <v/>
      </c>
      <c r="E251" s="23" t="str">
        <f>IFERROR(IF(ISNUMBER('Spending by Category'!F257),TEXT('Spending by Category'!F257,"0.00"), ""), "")</f>
        <v/>
      </c>
      <c r="F251" s="23" t="str">
        <f>IFERROR(IF(ISNUMBER('Spending by Category'!G257),TEXT('Spending by Category'!G257,"0.00"), ""), "")</f>
        <v/>
      </c>
      <c r="G251" s="23" t="str">
        <f>IFERROR(IF(ISNUMBER('Spending by Category'!H257),TEXT('Spending by Category'!H257,"0.00"), ""), "")</f>
        <v/>
      </c>
      <c r="H251" s="23" t="str">
        <f>IFERROR(IF(ISNUMBER('Spending by Category'!I257),TEXT('Spending by Category'!I257,"0.00"), ""), "")</f>
        <v/>
      </c>
      <c r="I251" s="23" t="str">
        <f>IFERROR(IF(ISNUMBER('Spending by Category'!J257),TEXT('Spending by Category'!J257,"0.00"), ""), "")</f>
        <v/>
      </c>
    </row>
    <row r="252" spans="1:9">
      <c r="A252" s="23" t="str">
        <f>TEXT(IF('Spending by Category'!B258&lt;&gt;0,'Spending by Category'!B258-364, ""), "mm/dd/yyyy")</f>
        <v/>
      </c>
      <c r="B252" s="23" t="str">
        <f>IFERROR(IF(ISNUMBER('Spending by Category'!C258),TEXT('Spending by Category'!C258,"0.00"), ""), "")</f>
        <v/>
      </c>
      <c r="C252" s="23" t="str">
        <f>IFERROR(IF(ISNUMBER('Spending by Category'!D258),TEXT('Spending by Category'!D258,"0.00"), ""), "")</f>
        <v/>
      </c>
      <c r="D252" s="23" t="str">
        <f>IFERROR(IF(ISNUMBER('Spending by Category'!E258),TEXT('Spending by Category'!E258,"0.00"), ""), "")</f>
        <v/>
      </c>
      <c r="E252" s="23" t="str">
        <f>IFERROR(IF(ISNUMBER('Spending by Category'!F258),TEXT('Spending by Category'!F258,"0.00"), ""), "")</f>
        <v/>
      </c>
      <c r="F252" s="23" t="str">
        <f>IFERROR(IF(ISNUMBER('Spending by Category'!G258),TEXT('Spending by Category'!G258,"0.00"), ""), "")</f>
        <v/>
      </c>
      <c r="G252" s="23" t="str">
        <f>IFERROR(IF(ISNUMBER('Spending by Category'!H258),TEXT('Spending by Category'!H258,"0.00"), ""), "")</f>
        <v/>
      </c>
      <c r="H252" s="23" t="str">
        <f>IFERROR(IF(ISNUMBER('Spending by Category'!I258),TEXT('Spending by Category'!I258,"0.00"), ""), "")</f>
        <v/>
      </c>
      <c r="I252" s="23" t="str">
        <f>IFERROR(IF(ISNUMBER('Spending by Category'!J258),TEXT('Spending by Category'!J258,"0.00"), ""), "")</f>
        <v/>
      </c>
    </row>
    <row r="253" spans="1:9">
      <c r="A253" s="23" t="str">
        <f>TEXT(IF('Spending by Category'!B259&lt;&gt;0,'Spending by Category'!B259-364, ""), "mm/dd/yyyy")</f>
        <v/>
      </c>
      <c r="B253" s="23" t="str">
        <f>IFERROR(IF(ISNUMBER('Spending by Category'!C259),TEXT('Spending by Category'!C259,"0.00"), ""), "")</f>
        <v/>
      </c>
      <c r="C253" s="23" t="str">
        <f>IFERROR(IF(ISNUMBER('Spending by Category'!D259),TEXT('Spending by Category'!D259,"0.00"), ""), "")</f>
        <v/>
      </c>
      <c r="D253" s="23" t="str">
        <f>IFERROR(IF(ISNUMBER('Spending by Category'!E259),TEXT('Spending by Category'!E259,"0.00"), ""), "")</f>
        <v/>
      </c>
      <c r="E253" s="23" t="str">
        <f>IFERROR(IF(ISNUMBER('Spending by Category'!F259),TEXT('Spending by Category'!F259,"0.00"), ""), "")</f>
        <v/>
      </c>
      <c r="F253" s="23" t="str">
        <f>IFERROR(IF(ISNUMBER('Spending by Category'!G259),TEXT('Spending by Category'!G259,"0.00"), ""), "")</f>
        <v/>
      </c>
      <c r="G253" s="23" t="str">
        <f>IFERROR(IF(ISNUMBER('Spending by Category'!H259),TEXT('Spending by Category'!H259,"0.00"), ""), "")</f>
        <v/>
      </c>
      <c r="H253" s="23" t="str">
        <f>IFERROR(IF(ISNUMBER('Spending by Category'!I259),TEXT('Spending by Category'!I259,"0.00"), ""), "")</f>
        <v/>
      </c>
      <c r="I253" s="23" t="str">
        <f>IFERROR(IF(ISNUMBER('Spending by Category'!J259),TEXT('Spending by Category'!J259,"0.00"), ""), "")</f>
        <v/>
      </c>
    </row>
    <row r="254" spans="1:9">
      <c r="A254" s="23" t="str">
        <f>TEXT(IF('Spending by Category'!B260&lt;&gt;0,'Spending by Category'!B260-364, ""), "mm/dd/yyyy")</f>
        <v/>
      </c>
      <c r="B254" s="23" t="str">
        <f>IFERROR(IF(ISNUMBER('Spending by Category'!C260),TEXT('Spending by Category'!C260,"0.00"), ""), "")</f>
        <v/>
      </c>
      <c r="C254" s="23" t="str">
        <f>IFERROR(IF(ISNUMBER('Spending by Category'!D260),TEXT('Spending by Category'!D260,"0.00"), ""), "")</f>
        <v/>
      </c>
      <c r="D254" s="23" t="str">
        <f>IFERROR(IF(ISNUMBER('Spending by Category'!E260),TEXT('Spending by Category'!E260,"0.00"), ""), "")</f>
        <v/>
      </c>
      <c r="E254" s="23" t="str">
        <f>IFERROR(IF(ISNUMBER('Spending by Category'!F260),TEXT('Spending by Category'!F260,"0.00"), ""), "")</f>
        <v/>
      </c>
      <c r="F254" s="23" t="str">
        <f>IFERROR(IF(ISNUMBER('Spending by Category'!G260),TEXT('Spending by Category'!G260,"0.00"), ""), "")</f>
        <v/>
      </c>
      <c r="G254" s="23" t="str">
        <f>IFERROR(IF(ISNUMBER('Spending by Category'!H260),TEXT('Spending by Category'!H260,"0.00"), ""), "")</f>
        <v/>
      </c>
      <c r="H254" s="23" t="str">
        <f>IFERROR(IF(ISNUMBER('Spending by Category'!I260),TEXT('Spending by Category'!I260,"0.00"), ""), "")</f>
        <v/>
      </c>
      <c r="I254" s="23" t="str">
        <f>IFERROR(IF(ISNUMBER('Spending by Category'!J260),TEXT('Spending by Category'!J260,"0.00"), ""), "")</f>
        <v/>
      </c>
    </row>
    <row r="255" spans="1:9">
      <c r="A255" s="23" t="str">
        <f>TEXT(IF('Spending by Category'!B261&lt;&gt;0,'Spending by Category'!B261-364, ""), "mm/dd/yyyy")</f>
        <v/>
      </c>
      <c r="B255" s="23" t="str">
        <f>IFERROR(IF(ISNUMBER('Spending by Category'!C261),TEXT('Spending by Category'!C261,"0.00"), ""), "")</f>
        <v/>
      </c>
      <c r="C255" s="23" t="str">
        <f>IFERROR(IF(ISNUMBER('Spending by Category'!D261),TEXT('Spending by Category'!D261,"0.00"), ""), "")</f>
        <v/>
      </c>
      <c r="D255" s="23" t="str">
        <f>IFERROR(IF(ISNUMBER('Spending by Category'!E261),TEXT('Spending by Category'!E261,"0.00"), ""), "")</f>
        <v/>
      </c>
      <c r="E255" s="23" t="str">
        <f>IFERROR(IF(ISNUMBER('Spending by Category'!F261),TEXT('Spending by Category'!F261,"0.00"), ""), "")</f>
        <v/>
      </c>
      <c r="F255" s="23" t="str">
        <f>IFERROR(IF(ISNUMBER('Spending by Category'!G261),TEXT('Spending by Category'!G261,"0.00"), ""), "")</f>
        <v/>
      </c>
      <c r="G255" s="23" t="str">
        <f>IFERROR(IF(ISNUMBER('Spending by Category'!H261),TEXT('Spending by Category'!H261,"0.00"), ""), "")</f>
        <v/>
      </c>
      <c r="H255" s="23" t="str">
        <f>IFERROR(IF(ISNUMBER('Spending by Category'!I261),TEXT('Spending by Category'!I261,"0.00"), ""), "")</f>
        <v/>
      </c>
      <c r="I255" s="23" t="str">
        <f>IFERROR(IF(ISNUMBER('Spending by Category'!J261),TEXT('Spending by Category'!J261,"0.00"), ""), "")</f>
        <v/>
      </c>
    </row>
    <row r="256" spans="1:9">
      <c r="A256" s="23" t="str">
        <f>TEXT(IF('Spending by Category'!B262&lt;&gt;0,'Spending by Category'!B262-364, ""), "mm/dd/yyyy")</f>
        <v/>
      </c>
      <c r="B256" s="23" t="str">
        <f>IFERROR(IF(ISNUMBER('Spending by Category'!C262),TEXT('Spending by Category'!C262,"0.00"), ""), "")</f>
        <v/>
      </c>
      <c r="C256" s="23" t="str">
        <f>IFERROR(IF(ISNUMBER('Spending by Category'!D262),TEXT('Spending by Category'!D262,"0.00"), ""), "")</f>
        <v/>
      </c>
      <c r="D256" s="23" t="str">
        <f>IFERROR(IF(ISNUMBER('Spending by Category'!E262),TEXT('Spending by Category'!E262,"0.00"), ""), "")</f>
        <v/>
      </c>
      <c r="E256" s="23" t="str">
        <f>IFERROR(IF(ISNUMBER('Spending by Category'!F262),TEXT('Spending by Category'!F262,"0.00"), ""), "")</f>
        <v/>
      </c>
      <c r="F256" s="23" t="str">
        <f>IFERROR(IF(ISNUMBER('Spending by Category'!G262),TEXT('Spending by Category'!G262,"0.00"), ""), "")</f>
        <v/>
      </c>
      <c r="G256" s="23" t="str">
        <f>IFERROR(IF(ISNUMBER('Spending by Category'!H262),TEXT('Spending by Category'!H262,"0.00"), ""), "")</f>
        <v/>
      </c>
      <c r="H256" s="23" t="str">
        <f>IFERROR(IF(ISNUMBER('Spending by Category'!I262),TEXT('Spending by Category'!I262,"0.00"), ""), "")</f>
        <v/>
      </c>
      <c r="I256" s="23" t="str">
        <f>IFERROR(IF(ISNUMBER('Spending by Category'!J262),TEXT('Spending by Category'!J262,"0.00"), ""), "")</f>
        <v/>
      </c>
    </row>
    <row r="257" spans="1:9">
      <c r="A257" s="23" t="str">
        <f>TEXT(IF('Spending by Category'!B263&lt;&gt;0,'Spending by Category'!B263-364, ""), "mm/dd/yyyy")</f>
        <v/>
      </c>
      <c r="B257" s="23" t="str">
        <f>IFERROR(IF(ISNUMBER('Spending by Category'!C263),TEXT('Spending by Category'!C263,"0.00"), ""), "")</f>
        <v/>
      </c>
      <c r="C257" s="23" t="str">
        <f>IFERROR(IF(ISNUMBER('Spending by Category'!D263),TEXT('Spending by Category'!D263,"0.00"), ""), "")</f>
        <v/>
      </c>
      <c r="D257" s="23" t="str">
        <f>IFERROR(IF(ISNUMBER('Spending by Category'!E263),TEXT('Spending by Category'!E263,"0.00"), ""), "")</f>
        <v/>
      </c>
      <c r="E257" s="23" t="str">
        <f>IFERROR(IF(ISNUMBER('Spending by Category'!F263),TEXT('Spending by Category'!F263,"0.00"), ""), "")</f>
        <v/>
      </c>
      <c r="F257" s="23" t="str">
        <f>IFERROR(IF(ISNUMBER('Spending by Category'!G263),TEXT('Spending by Category'!G263,"0.00"), ""), "")</f>
        <v/>
      </c>
      <c r="G257" s="23" t="str">
        <f>IFERROR(IF(ISNUMBER('Spending by Category'!H263),TEXT('Spending by Category'!H263,"0.00"), ""), "")</f>
        <v/>
      </c>
      <c r="H257" s="23" t="str">
        <f>IFERROR(IF(ISNUMBER('Spending by Category'!I263),TEXT('Spending by Category'!I263,"0.00"), ""), "")</f>
        <v/>
      </c>
      <c r="I257" s="23" t="str">
        <f>IFERROR(IF(ISNUMBER('Spending by Category'!J263),TEXT('Spending by Category'!J263,"0.00"), ""), "")</f>
        <v/>
      </c>
    </row>
    <row r="258" spans="1:9">
      <c r="A258" s="23" t="str">
        <f>TEXT(IF('Spending by Category'!B264&lt;&gt;0,'Spending by Category'!B264-364, ""), "mm/dd/yyyy")</f>
        <v/>
      </c>
      <c r="B258" s="23" t="str">
        <f>IFERROR(IF(ISNUMBER('Spending by Category'!C264),TEXT('Spending by Category'!C264,"0.00"), ""), "")</f>
        <v/>
      </c>
      <c r="C258" s="23" t="str">
        <f>IFERROR(IF(ISNUMBER('Spending by Category'!D264),TEXT('Spending by Category'!D264,"0.00"), ""), "")</f>
        <v/>
      </c>
      <c r="D258" s="23" t="str">
        <f>IFERROR(IF(ISNUMBER('Spending by Category'!E264),TEXT('Spending by Category'!E264,"0.00"), ""), "")</f>
        <v/>
      </c>
      <c r="E258" s="23" t="str">
        <f>IFERROR(IF(ISNUMBER('Spending by Category'!F264),TEXT('Spending by Category'!F264,"0.00"), ""), "")</f>
        <v/>
      </c>
      <c r="F258" s="23" t="str">
        <f>IFERROR(IF(ISNUMBER('Spending by Category'!G264),TEXT('Spending by Category'!G264,"0.00"), ""), "")</f>
        <v/>
      </c>
      <c r="G258" s="23" t="str">
        <f>IFERROR(IF(ISNUMBER('Spending by Category'!H264),TEXT('Spending by Category'!H264,"0.00"), ""), "")</f>
        <v/>
      </c>
      <c r="H258" s="23" t="str">
        <f>IFERROR(IF(ISNUMBER('Spending by Category'!I264),TEXT('Spending by Category'!I264,"0.00"), ""), "")</f>
        <v/>
      </c>
      <c r="I258" s="23" t="str">
        <f>IFERROR(IF(ISNUMBER('Spending by Category'!J264),TEXT('Spending by Category'!J264,"0.00"), ""), "")</f>
        <v/>
      </c>
    </row>
    <row r="259" spans="1:9">
      <c r="A259" s="23" t="str">
        <f>TEXT(IF('Spending by Category'!B265&lt;&gt;0,'Spending by Category'!B265-364, ""), "mm/dd/yyyy")</f>
        <v/>
      </c>
      <c r="B259" s="23" t="str">
        <f>IFERROR(IF(ISNUMBER('Spending by Category'!C265),TEXT('Spending by Category'!C265,"0.00"), ""), "")</f>
        <v/>
      </c>
      <c r="C259" s="23" t="str">
        <f>IFERROR(IF(ISNUMBER('Spending by Category'!D265),TEXT('Spending by Category'!D265,"0.00"), ""), "")</f>
        <v/>
      </c>
      <c r="D259" s="23" t="str">
        <f>IFERROR(IF(ISNUMBER('Spending by Category'!E265),TEXT('Spending by Category'!E265,"0.00"), ""), "")</f>
        <v/>
      </c>
      <c r="E259" s="23" t="str">
        <f>IFERROR(IF(ISNUMBER('Spending by Category'!F265),TEXT('Spending by Category'!F265,"0.00"), ""), "")</f>
        <v/>
      </c>
      <c r="F259" s="23" t="str">
        <f>IFERROR(IF(ISNUMBER('Spending by Category'!G265),TEXT('Spending by Category'!G265,"0.00"), ""), "")</f>
        <v/>
      </c>
      <c r="G259" s="23" t="str">
        <f>IFERROR(IF(ISNUMBER('Spending by Category'!H265),TEXT('Spending by Category'!H265,"0.00"), ""), "")</f>
        <v/>
      </c>
      <c r="H259" s="23" t="str">
        <f>IFERROR(IF(ISNUMBER('Spending by Category'!I265),TEXT('Spending by Category'!I265,"0.00"), ""), "")</f>
        <v/>
      </c>
      <c r="I259" s="23" t="str">
        <f>IFERROR(IF(ISNUMBER('Spending by Category'!J265),TEXT('Spending by Category'!J265,"0.00"), ""), "")</f>
        <v/>
      </c>
    </row>
    <row r="260" spans="1:9">
      <c r="A260" s="23" t="str">
        <f>TEXT(IF('Spending by Category'!B266&lt;&gt;0,'Spending by Category'!B266-364, ""), "mm/dd/yyyy")</f>
        <v/>
      </c>
      <c r="B260" s="23" t="str">
        <f>IFERROR(IF(ISNUMBER('Spending by Category'!C266),TEXT('Spending by Category'!C266,"0.00"), ""), "")</f>
        <v/>
      </c>
      <c r="C260" s="23" t="str">
        <f>IFERROR(IF(ISNUMBER('Spending by Category'!D266),TEXT('Spending by Category'!D266,"0.00"), ""), "")</f>
        <v/>
      </c>
      <c r="D260" s="23" t="str">
        <f>IFERROR(IF(ISNUMBER('Spending by Category'!E266),TEXT('Spending by Category'!E266,"0.00"), ""), "")</f>
        <v/>
      </c>
      <c r="E260" s="23" t="str">
        <f>IFERROR(IF(ISNUMBER('Spending by Category'!F266),TEXT('Spending by Category'!F266,"0.00"), ""), "")</f>
        <v/>
      </c>
      <c r="F260" s="23" t="str">
        <f>IFERROR(IF(ISNUMBER('Spending by Category'!G266),TEXT('Spending by Category'!G266,"0.00"), ""), "")</f>
        <v/>
      </c>
      <c r="G260" s="23" t="str">
        <f>IFERROR(IF(ISNUMBER('Spending by Category'!H266),TEXT('Spending by Category'!H266,"0.00"), ""), "")</f>
        <v/>
      </c>
      <c r="H260" s="23" t="str">
        <f>IFERROR(IF(ISNUMBER('Spending by Category'!I266),TEXT('Spending by Category'!I266,"0.00"), ""), "")</f>
        <v/>
      </c>
      <c r="I260" s="23" t="str">
        <f>IFERROR(IF(ISNUMBER('Spending by Category'!J266),TEXT('Spending by Category'!J266,"0.00"), ""), "")</f>
        <v/>
      </c>
    </row>
    <row r="261" spans="1:9">
      <c r="A261" s="23" t="str">
        <f>TEXT(IF('Spending by Category'!B267&lt;&gt;0,'Spending by Category'!B267-364, ""), "mm/dd/yyyy")</f>
        <v/>
      </c>
      <c r="B261" s="23" t="str">
        <f>IFERROR(IF(ISNUMBER('Spending by Category'!C267),TEXT('Spending by Category'!C267,"0.00"), ""), "")</f>
        <v/>
      </c>
      <c r="C261" s="23" t="str">
        <f>IFERROR(IF(ISNUMBER('Spending by Category'!D267),TEXT('Spending by Category'!D267,"0.00"), ""), "")</f>
        <v/>
      </c>
      <c r="D261" s="23" t="str">
        <f>IFERROR(IF(ISNUMBER('Spending by Category'!E267),TEXT('Spending by Category'!E267,"0.00"), ""), "")</f>
        <v/>
      </c>
      <c r="E261" s="23" t="str">
        <f>IFERROR(IF(ISNUMBER('Spending by Category'!F267),TEXT('Spending by Category'!F267,"0.00"), ""), "")</f>
        <v/>
      </c>
      <c r="F261" s="23" t="str">
        <f>IFERROR(IF(ISNUMBER('Spending by Category'!G267),TEXT('Spending by Category'!G267,"0.00"), ""), "")</f>
        <v/>
      </c>
      <c r="G261" s="23" t="str">
        <f>IFERROR(IF(ISNUMBER('Spending by Category'!H267),TEXT('Spending by Category'!H267,"0.00"), ""), "")</f>
        <v/>
      </c>
      <c r="H261" s="23" t="str">
        <f>IFERROR(IF(ISNUMBER('Spending by Category'!I267),TEXT('Spending by Category'!I267,"0.00"), ""), "")</f>
        <v/>
      </c>
      <c r="I261" s="23" t="str">
        <f>IFERROR(IF(ISNUMBER('Spending by Category'!J267),TEXT('Spending by Category'!J267,"0.00"), ""), "")</f>
        <v/>
      </c>
    </row>
    <row r="262" spans="1:9">
      <c r="A262" s="23" t="str">
        <f>TEXT(IF('Spending by Category'!B268&lt;&gt;0,'Spending by Category'!B268-364, ""), "mm/dd/yyyy")</f>
        <v/>
      </c>
      <c r="B262" s="23" t="str">
        <f>IFERROR(IF(ISNUMBER('Spending by Category'!C268),TEXT('Spending by Category'!C268,"0.00"), ""), "")</f>
        <v/>
      </c>
      <c r="C262" s="23" t="str">
        <f>IFERROR(IF(ISNUMBER('Spending by Category'!D268),TEXT('Spending by Category'!D268,"0.00"), ""), "")</f>
        <v/>
      </c>
      <c r="D262" s="23" t="str">
        <f>IFERROR(IF(ISNUMBER('Spending by Category'!E268),TEXT('Spending by Category'!E268,"0.00"), ""), "")</f>
        <v/>
      </c>
      <c r="E262" s="23" t="str">
        <f>IFERROR(IF(ISNUMBER('Spending by Category'!F268),TEXT('Spending by Category'!F268,"0.00"), ""), "")</f>
        <v/>
      </c>
      <c r="F262" s="23" t="str">
        <f>IFERROR(IF(ISNUMBER('Spending by Category'!G268),TEXT('Spending by Category'!G268,"0.00"), ""), "")</f>
        <v/>
      </c>
      <c r="G262" s="23" t="str">
        <f>IFERROR(IF(ISNUMBER('Spending by Category'!H268),TEXT('Spending by Category'!H268,"0.00"), ""), "")</f>
        <v/>
      </c>
      <c r="H262" s="23" t="str">
        <f>IFERROR(IF(ISNUMBER('Spending by Category'!I268),TEXT('Spending by Category'!I268,"0.00"), ""), "")</f>
        <v/>
      </c>
      <c r="I262" s="23" t="str">
        <f>IFERROR(IF(ISNUMBER('Spending by Category'!J268),TEXT('Spending by Category'!J268,"0.00"), ""), "")</f>
        <v/>
      </c>
    </row>
    <row r="263" spans="1:9">
      <c r="A263" s="23" t="str">
        <f>TEXT(IF('Spending by Category'!B269&lt;&gt;0,'Spending by Category'!B269-364, ""), "mm/dd/yyyy")</f>
        <v/>
      </c>
      <c r="B263" s="23" t="str">
        <f>IFERROR(IF(ISNUMBER('Spending by Category'!C269),TEXT('Spending by Category'!C269,"0.00"), ""), "")</f>
        <v/>
      </c>
      <c r="C263" s="23" t="str">
        <f>IFERROR(IF(ISNUMBER('Spending by Category'!D269),TEXT('Spending by Category'!D269,"0.00"), ""), "")</f>
        <v/>
      </c>
      <c r="D263" s="23" t="str">
        <f>IFERROR(IF(ISNUMBER('Spending by Category'!E269),TEXT('Spending by Category'!E269,"0.00"), ""), "")</f>
        <v/>
      </c>
      <c r="E263" s="23" t="str">
        <f>IFERROR(IF(ISNUMBER('Spending by Category'!F269),TEXT('Spending by Category'!F269,"0.00"), ""), "")</f>
        <v/>
      </c>
      <c r="F263" s="23" t="str">
        <f>IFERROR(IF(ISNUMBER('Spending by Category'!G269),TEXT('Spending by Category'!G269,"0.00"), ""), "")</f>
        <v/>
      </c>
      <c r="G263" s="23" t="str">
        <f>IFERROR(IF(ISNUMBER('Spending by Category'!H269),TEXT('Spending by Category'!H269,"0.00"), ""), "")</f>
        <v/>
      </c>
      <c r="H263" s="23" t="str">
        <f>IFERROR(IF(ISNUMBER('Spending by Category'!I269),TEXT('Spending by Category'!I269,"0.00"), ""), "")</f>
        <v/>
      </c>
      <c r="I263" s="23" t="str">
        <f>IFERROR(IF(ISNUMBER('Spending by Category'!J269),TEXT('Spending by Category'!J269,"0.00"), ""), "")</f>
        <v/>
      </c>
    </row>
    <row r="264" spans="1:9">
      <c r="A264" s="23" t="str">
        <f>TEXT(IF('Spending by Category'!B270&lt;&gt;0,'Spending by Category'!B270-364, ""), "mm/dd/yyyy")</f>
        <v/>
      </c>
      <c r="B264" s="23" t="str">
        <f>IFERROR(IF(ISNUMBER('Spending by Category'!C270),TEXT('Spending by Category'!C270,"0.00"), ""), "")</f>
        <v/>
      </c>
      <c r="C264" s="23" t="str">
        <f>IFERROR(IF(ISNUMBER('Spending by Category'!D270),TEXT('Spending by Category'!D270,"0.00"), ""), "")</f>
        <v/>
      </c>
      <c r="D264" s="23" t="str">
        <f>IFERROR(IF(ISNUMBER('Spending by Category'!E270),TEXT('Spending by Category'!E270,"0.00"), ""), "")</f>
        <v/>
      </c>
      <c r="E264" s="23" t="str">
        <f>IFERROR(IF(ISNUMBER('Spending by Category'!F270),TEXT('Spending by Category'!F270,"0.00"), ""), "")</f>
        <v/>
      </c>
      <c r="F264" s="23" t="str">
        <f>IFERROR(IF(ISNUMBER('Spending by Category'!G270),TEXT('Spending by Category'!G270,"0.00"), ""), "")</f>
        <v/>
      </c>
      <c r="G264" s="23" t="str">
        <f>IFERROR(IF(ISNUMBER('Spending by Category'!H270),TEXT('Spending by Category'!H270,"0.00"), ""), "")</f>
        <v/>
      </c>
      <c r="H264" s="23" t="str">
        <f>IFERROR(IF(ISNUMBER('Spending by Category'!I270),TEXT('Spending by Category'!I270,"0.00"), ""), "")</f>
        <v/>
      </c>
      <c r="I264" s="23" t="str">
        <f>IFERROR(IF(ISNUMBER('Spending by Category'!J270),TEXT('Spending by Category'!J270,"0.00"), ""), "")</f>
        <v/>
      </c>
    </row>
    <row r="265" spans="1:9">
      <c r="A265" s="23" t="str">
        <f>TEXT(IF('Spending by Category'!B271&lt;&gt;0,'Spending by Category'!B271-364, ""), "mm/dd/yyyy")</f>
        <v/>
      </c>
      <c r="B265" s="23" t="str">
        <f>IFERROR(IF(ISNUMBER('Spending by Category'!C271),TEXT('Spending by Category'!C271,"0.00"), ""), "")</f>
        <v/>
      </c>
      <c r="C265" s="23" t="str">
        <f>IFERROR(IF(ISNUMBER('Spending by Category'!D271),TEXT('Spending by Category'!D271,"0.00"), ""), "")</f>
        <v/>
      </c>
      <c r="D265" s="23" t="str">
        <f>IFERROR(IF(ISNUMBER('Spending by Category'!E271),TEXT('Spending by Category'!E271,"0.00"), ""), "")</f>
        <v/>
      </c>
      <c r="E265" s="23" t="str">
        <f>IFERROR(IF(ISNUMBER('Spending by Category'!F271),TEXT('Spending by Category'!F271,"0.00"), ""), "")</f>
        <v/>
      </c>
      <c r="F265" s="23" t="str">
        <f>IFERROR(IF(ISNUMBER('Spending by Category'!G271),TEXT('Spending by Category'!G271,"0.00"), ""), "")</f>
        <v/>
      </c>
      <c r="G265" s="23" t="str">
        <f>IFERROR(IF(ISNUMBER('Spending by Category'!H271),TEXT('Spending by Category'!H271,"0.00"), ""), "")</f>
        <v/>
      </c>
      <c r="H265" s="23" t="str">
        <f>IFERROR(IF(ISNUMBER('Spending by Category'!I271),TEXT('Spending by Category'!I271,"0.00"), ""), "")</f>
        <v/>
      </c>
      <c r="I265" s="23" t="str">
        <f>IFERROR(IF(ISNUMBER('Spending by Category'!J271),TEXT('Spending by Category'!J271,"0.00"), ""), "")</f>
        <v/>
      </c>
    </row>
    <row r="266" spans="1:9">
      <c r="A266" s="23" t="str">
        <f>TEXT(IF('Spending by Category'!B272&lt;&gt;0,'Spending by Category'!B272-364, ""), "mm/dd/yyyy")</f>
        <v/>
      </c>
      <c r="B266" s="23" t="str">
        <f>IFERROR(IF(ISNUMBER('Spending by Category'!C272),TEXT('Spending by Category'!C272,"0.00"), ""), "")</f>
        <v/>
      </c>
      <c r="C266" s="23" t="str">
        <f>IFERROR(IF(ISNUMBER('Spending by Category'!D272),TEXT('Spending by Category'!D272,"0.00"), ""), "")</f>
        <v/>
      </c>
      <c r="D266" s="23" t="str">
        <f>IFERROR(IF(ISNUMBER('Spending by Category'!E272),TEXT('Spending by Category'!E272,"0.00"), ""), "")</f>
        <v/>
      </c>
      <c r="E266" s="23" t="str">
        <f>IFERROR(IF(ISNUMBER('Spending by Category'!F272),TEXT('Spending by Category'!F272,"0.00"), ""), "")</f>
        <v/>
      </c>
      <c r="F266" s="23" t="str">
        <f>IFERROR(IF(ISNUMBER('Spending by Category'!G272),TEXT('Spending by Category'!G272,"0.00"), ""), "")</f>
        <v/>
      </c>
      <c r="G266" s="23" t="str">
        <f>IFERROR(IF(ISNUMBER('Spending by Category'!H272),TEXT('Spending by Category'!H272,"0.00"), ""), "")</f>
        <v/>
      </c>
      <c r="H266" s="23" t="str">
        <f>IFERROR(IF(ISNUMBER('Spending by Category'!I272),TEXT('Spending by Category'!I272,"0.00"), ""), "")</f>
        <v/>
      </c>
      <c r="I266" s="23" t="str">
        <f>IFERROR(IF(ISNUMBER('Spending by Category'!J272),TEXT('Spending by Category'!J272,"0.00"), ""), "")</f>
        <v/>
      </c>
    </row>
    <row r="267" spans="1:9">
      <c r="A267" s="23" t="str">
        <f>TEXT(IF('Spending by Category'!B273&lt;&gt;0,'Spending by Category'!B273-364, ""), "mm/dd/yyyy")</f>
        <v/>
      </c>
      <c r="B267" s="23" t="str">
        <f>IFERROR(IF(ISNUMBER('Spending by Category'!C273),TEXT('Spending by Category'!C273,"0.00"), ""), "")</f>
        <v/>
      </c>
      <c r="C267" s="23" t="str">
        <f>IFERROR(IF(ISNUMBER('Spending by Category'!D273),TEXT('Spending by Category'!D273,"0.00"), ""), "")</f>
        <v/>
      </c>
      <c r="D267" s="23" t="str">
        <f>IFERROR(IF(ISNUMBER('Spending by Category'!E273),TEXT('Spending by Category'!E273,"0.00"), ""), "")</f>
        <v/>
      </c>
      <c r="E267" s="23" t="str">
        <f>IFERROR(IF(ISNUMBER('Spending by Category'!F273),TEXT('Spending by Category'!F273,"0.00"), ""), "")</f>
        <v/>
      </c>
      <c r="F267" s="23" t="str">
        <f>IFERROR(IF(ISNUMBER('Spending by Category'!G273),TEXT('Spending by Category'!G273,"0.00"), ""), "")</f>
        <v/>
      </c>
      <c r="G267" s="23" t="str">
        <f>IFERROR(IF(ISNUMBER('Spending by Category'!H273),TEXT('Spending by Category'!H273,"0.00"), ""), "")</f>
        <v/>
      </c>
      <c r="H267" s="23" t="str">
        <f>IFERROR(IF(ISNUMBER('Spending by Category'!I273),TEXT('Spending by Category'!I273,"0.00"), ""), "")</f>
        <v/>
      </c>
      <c r="I267" s="23" t="str">
        <f>IFERROR(IF(ISNUMBER('Spending by Category'!J273),TEXT('Spending by Category'!J273,"0.00"), ""), "")</f>
        <v/>
      </c>
    </row>
    <row r="268" spans="1:9">
      <c r="A268" s="23" t="str">
        <f>TEXT(IF('Spending by Category'!B274&lt;&gt;0,'Spending by Category'!B274-364, ""), "mm/dd/yyyy")</f>
        <v/>
      </c>
      <c r="B268" s="23" t="str">
        <f>IFERROR(IF(ISNUMBER('Spending by Category'!C274),TEXT('Spending by Category'!C274,"0.00"), ""), "")</f>
        <v/>
      </c>
      <c r="C268" s="23" t="str">
        <f>IFERROR(IF(ISNUMBER('Spending by Category'!D274),TEXT('Spending by Category'!D274,"0.00"), ""), "")</f>
        <v/>
      </c>
      <c r="D268" s="23" t="str">
        <f>IFERROR(IF(ISNUMBER('Spending by Category'!E274),TEXT('Spending by Category'!E274,"0.00"), ""), "")</f>
        <v/>
      </c>
      <c r="E268" s="23" t="str">
        <f>IFERROR(IF(ISNUMBER('Spending by Category'!F274),TEXT('Spending by Category'!F274,"0.00"), ""), "")</f>
        <v/>
      </c>
      <c r="F268" s="23" t="str">
        <f>IFERROR(IF(ISNUMBER('Spending by Category'!G274),TEXT('Spending by Category'!G274,"0.00"), ""), "")</f>
        <v/>
      </c>
      <c r="G268" s="23" t="str">
        <f>IFERROR(IF(ISNUMBER('Spending by Category'!H274),TEXT('Spending by Category'!H274,"0.00"), ""), "")</f>
        <v/>
      </c>
      <c r="H268" s="23" t="str">
        <f>IFERROR(IF(ISNUMBER('Spending by Category'!I274),TEXT('Spending by Category'!I274,"0.00"), ""), "")</f>
        <v/>
      </c>
      <c r="I268" s="23" t="str">
        <f>IFERROR(IF(ISNUMBER('Spending by Category'!J274),TEXT('Spending by Category'!J274,"0.00"), ""), "")</f>
        <v/>
      </c>
    </row>
    <row r="269" spans="1:9">
      <c r="A269" s="23" t="str">
        <f>TEXT(IF('Spending by Category'!B275&lt;&gt;0,'Spending by Category'!B275-364, ""), "mm/dd/yyyy")</f>
        <v/>
      </c>
      <c r="B269" s="23" t="str">
        <f>IFERROR(IF(ISNUMBER('Spending by Category'!C275),TEXT('Spending by Category'!C275,"0.00"), ""), "")</f>
        <v/>
      </c>
      <c r="C269" s="23" t="str">
        <f>IFERROR(IF(ISNUMBER('Spending by Category'!D275),TEXT('Spending by Category'!D275,"0.00"), ""), "")</f>
        <v/>
      </c>
      <c r="D269" s="23" t="str">
        <f>IFERROR(IF(ISNUMBER('Spending by Category'!E275),TEXT('Spending by Category'!E275,"0.00"), ""), "")</f>
        <v/>
      </c>
      <c r="E269" s="23" t="str">
        <f>IFERROR(IF(ISNUMBER('Spending by Category'!F275),TEXT('Spending by Category'!F275,"0.00"), ""), "")</f>
        <v/>
      </c>
      <c r="F269" s="23" t="str">
        <f>IFERROR(IF(ISNUMBER('Spending by Category'!G275),TEXT('Spending by Category'!G275,"0.00"), ""), "")</f>
        <v/>
      </c>
      <c r="G269" s="23" t="str">
        <f>IFERROR(IF(ISNUMBER('Spending by Category'!H275),TEXT('Spending by Category'!H275,"0.00"), ""), "")</f>
        <v/>
      </c>
      <c r="H269" s="23" t="str">
        <f>IFERROR(IF(ISNUMBER('Spending by Category'!I275),TEXT('Spending by Category'!I275,"0.00"), ""), "")</f>
        <v/>
      </c>
      <c r="I269" s="23" t="str">
        <f>IFERROR(IF(ISNUMBER('Spending by Category'!J275),TEXT('Spending by Category'!J275,"0.00"), ""), "")</f>
        <v/>
      </c>
    </row>
    <row r="270" spans="1:9">
      <c r="A270" s="23" t="str">
        <f>TEXT(IF('Spending by Category'!B276&lt;&gt;0,'Spending by Category'!B276-364, ""), "mm/dd/yyyy")</f>
        <v/>
      </c>
      <c r="B270" s="23" t="str">
        <f>IFERROR(IF(ISNUMBER('Spending by Category'!C276),TEXT('Spending by Category'!C276,"0.00"), ""), "")</f>
        <v/>
      </c>
      <c r="C270" s="23" t="str">
        <f>IFERROR(IF(ISNUMBER('Spending by Category'!D276),TEXT('Spending by Category'!D276,"0.00"), ""), "")</f>
        <v/>
      </c>
      <c r="D270" s="23" t="str">
        <f>IFERROR(IF(ISNUMBER('Spending by Category'!E276),TEXT('Spending by Category'!E276,"0.00"), ""), "")</f>
        <v/>
      </c>
      <c r="E270" s="23" t="str">
        <f>IFERROR(IF(ISNUMBER('Spending by Category'!F276),TEXT('Spending by Category'!F276,"0.00"), ""), "")</f>
        <v/>
      </c>
      <c r="F270" s="23" t="str">
        <f>IFERROR(IF(ISNUMBER('Spending by Category'!G276),TEXT('Spending by Category'!G276,"0.00"), ""), "")</f>
        <v/>
      </c>
      <c r="G270" s="23" t="str">
        <f>IFERROR(IF(ISNUMBER('Spending by Category'!H276),TEXT('Spending by Category'!H276,"0.00"), ""), "")</f>
        <v/>
      </c>
      <c r="H270" s="23" t="str">
        <f>IFERROR(IF(ISNUMBER('Spending by Category'!I276),TEXT('Spending by Category'!I276,"0.00"), ""), "")</f>
        <v/>
      </c>
      <c r="I270" s="23" t="str">
        <f>IFERROR(IF(ISNUMBER('Spending by Category'!J276),TEXT('Spending by Category'!J276,"0.00"), ""), "")</f>
        <v/>
      </c>
    </row>
    <row r="271" spans="1:9">
      <c r="A271" s="23" t="str">
        <f>TEXT(IF('Spending by Category'!B277&lt;&gt;0,'Spending by Category'!B277-364, ""), "mm/dd/yyyy")</f>
        <v/>
      </c>
      <c r="B271" s="23" t="str">
        <f>IFERROR(IF(ISNUMBER('Spending by Category'!C277),TEXT('Spending by Category'!C277,"0.00"), ""), "")</f>
        <v/>
      </c>
      <c r="C271" s="23" t="str">
        <f>IFERROR(IF(ISNUMBER('Spending by Category'!D277),TEXT('Spending by Category'!D277,"0.00"), ""), "")</f>
        <v/>
      </c>
      <c r="D271" s="23" t="str">
        <f>IFERROR(IF(ISNUMBER('Spending by Category'!E277),TEXT('Spending by Category'!E277,"0.00"), ""), "")</f>
        <v/>
      </c>
      <c r="E271" s="23" t="str">
        <f>IFERROR(IF(ISNUMBER('Spending by Category'!F277),TEXT('Spending by Category'!F277,"0.00"), ""), "")</f>
        <v/>
      </c>
      <c r="F271" s="23" t="str">
        <f>IFERROR(IF(ISNUMBER('Spending by Category'!G277),TEXT('Spending by Category'!G277,"0.00"), ""), "")</f>
        <v/>
      </c>
      <c r="G271" s="23" t="str">
        <f>IFERROR(IF(ISNUMBER('Spending by Category'!H277),TEXT('Spending by Category'!H277,"0.00"), ""), "")</f>
        <v/>
      </c>
      <c r="H271" s="23" t="str">
        <f>IFERROR(IF(ISNUMBER('Spending by Category'!I277),TEXT('Spending by Category'!I277,"0.00"), ""), "")</f>
        <v/>
      </c>
      <c r="I271" s="23" t="str">
        <f>IFERROR(IF(ISNUMBER('Spending by Category'!J277),TEXT('Spending by Category'!J277,"0.00"), ""), "")</f>
        <v/>
      </c>
    </row>
    <row r="272" spans="1:9">
      <c r="A272" s="23" t="str">
        <f>TEXT(IF('Spending by Category'!B278&lt;&gt;0,'Spending by Category'!B278-364, ""), "mm/dd/yyyy")</f>
        <v/>
      </c>
      <c r="B272" s="23" t="str">
        <f>IFERROR(IF(ISNUMBER('Spending by Category'!C278),TEXT('Spending by Category'!C278,"0.00"), ""), "")</f>
        <v/>
      </c>
      <c r="C272" s="23" t="str">
        <f>IFERROR(IF(ISNUMBER('Spending by Category'!D278),TEXT('Spending by Category'!D278,"0.00"), ""), "")</f>
        <v/>
      </c>
      <c r="D272" s="23" t="str">
        <f>IFERROR(IF(ISNUMBER('Spending by Category'!E278),TEXT('Spending by Category'!E278,"0.00"), ""), "")</f>
        <v/>
      </c>
      <c r="E272" s="23" t="str">
        <f>IFERROR(IF(ISNUMBER('Spending by Category'!F278),TEXT('Spending by Category'!F278,"0.00"), ""), "")</f>
        <v/>
      </c>
      <c r="F272" s="23" t="str">
        <f>IFERROR(IF(ISNUMBER('Spending by Category'!G278),TEXT('Spending by Category'!G278,"0.00"), ""), "")</f>
        <v/>
      </c>
      <c r="G272" s="23" t="str">
        <f>IFERROR(IF(ISNUMBER('Spending by Category'!H278),TEXT('Spending by Category'!H278,"0.00"), ""), "")</f>
        <v/>
      </c>
      <c r="H272" s="23" t="str">
        <f>IFERROR(IF(ISNUMBER('Spending by Category'!I278),TEXT('Spending by Category'!I278,"0.00"), ""), "")</f>
        <v/>
      </c>
      <c r="I272" s="23" t="str">
        <f>IFERROR(IF(ISNUMBER('Spending by Category'!J278),TEXT('Spending by Category'!J278,"0.00"), ""), "")</f>
        <v/>
      </c>
    </row>
    <row r="273" spans="1:9">
      <c r="A273" s="23" t="str">
        <f>TEXT(IF('Spending by Category'!B279&lt;&gt;0,'Spending by Category'!B279-364, ""), "mm/dd/yyyy")</f>
        <v/>
      </c>
      <c r="B273" s="23" t="str">
        <f>IFERROR(IF(ISNUMBER('Spending by Category'!C279),TEXT('Spending by Category'!C279,"0.00"), ""), "")</f>
        <v/>
      </c>
      <c r="C273" s="23" t="str">
        <f>IFERROR(IF(ISNUMBER('Spending by Category'!D279),TEXT('Spending by Category'!D279,"0.00"), ""), "")</f>
        <v/>
      </c>
      <c r="D273" s="23" t="str">
        <f>IFERROR(IF(ISNUMBER('Spending by Category'!E279),TEXT('Spending by Category'!E279,"0.00"), ""), "")</f>
        <v/>
      </c>
      <c r="E273" s="23" t="str">
        <f>IFERROR(IF(ISNUMBER('Spending by Category'!F279),TEXT('Spending by Category'!F279,"0.00"), ""), "")</f>
        <v/>
      </c>
      <c r="F273" s="23" t="str">
        <f>IFERROR(IF(ISNUMBER('Spending by Category'!G279),TEXT('Spending by Category'!G279,"0.00"), ""), "")</f>
        <v/>
      </c>
      <c r="G273" s="23" t="str">
        <f>IFERROR(IF(ISNUMBER('Spending by Category'!H279),TEXT('Spending by Category'!H279,"0.00"), ""), "")</f>
        <v/>
      </c>
      <c r="H273" s="23" t="str">
        <f>IFERROR(IF(ISNUMBER('Spending by Category'!I279),TEXT('Spending by Category'!I279,"0.00"), ""), "")</f>
        <v/>
      </c>
      <c r="I273" s="23" t="str">
        <f>IFERROR(IF(ISNUMBER('Spending by Category'!J279),TEXT('Spending by Category'!J279,"0.00"), ""), "")</f>
        <v/>
      </c>
    </row>
    <row r="274" spans="1:9">
      <c r="A274" s="23" t="str">
        <f>TEXT(IF('Spending by Category'!B280&lt;&gt;0,'Spending by Category'!B280-364, ""), "mm/dd/yyyy")</f>
        <v/>
      </c>
      <c r="B274" s="23" t="str">
        <f>IFERROR(IF(ISNUMBER('Spending by Category'!C280),TEXT('Spending by Category'!C280,"0.00"), ""), "")</f>
        <v/>
      </c>
      <c r="C274" s="23" t="str">
        <f>IFERROR(IF(ISNUMBER('Spending by Category'!D280),TEXT('Spending by Category'!D280,"0.00"), ""), "")</f>
        <v/>
      </c>
      <c r="D274" s="23" t="str">
        <f>IFERROR(IF(ISNUMBER('Spending by Category'!E280),TEXT('Spending by Category'!E280,"0.00"), ""), "")</f>
        <v/>
      </c>
      <c r="E274" s="23" t="str">
        <f>IFERROR(IF(ISNUMBER('Spending by Category'!F280),TEXT('Spending by Category'!F280,"0.00"), ""), "")</f>
        <v/>
      </c>
      <c r="F274" s="23" t="str">
        <f>IFERROR(IF(ISNUMBER('Spending by Category'!G280),TEXT('Spending by Category'!G280,"0.00"), ""), "")</f>
        <v/>
      </c>
      <c r="G274" s="23" t="str">
        <f>IFERROR(IF(ISNUMBER('Spending by Category'!H280),TEXT('Spending by Category'!H280,"0.00"), ""), "")</f>
        <v/>
      </c>
      <c r="H274" s="23" t="str">
        <f>IFERROR(IF(ISNUMBER('Spending by Category'!I280),TEXT('Spending by Category'!I280,"0.00"), ""), "")</f>
        <v/>
      </c>
      <c r="I274" s="23" t="str">
        <f>IFERROR(IF(ISNUMBER('Spending by Category'!J280),TEXT('Spending by Category'!J280,"0.00"), ""), "")</f>
        <v/>
      </c>
    </row>
    <row r="275" spans="1:9">
      <c r="A275" s="23" t="str">
        <f>TEXT(IF('Spending by Category'!B281&lt;&gt;0,'Spending by Category'!B281-364, ""), "mm/dd/yyyy")</f>
        <v/>
      </c>
      <c r="B275" s="23" t="str">
        <f>IFERROR(IF(ISNUMBER('Spending by Category'!C281),TEXT('Spending by Category'!C281,"0.00"), ""), "")</f>
        <v/>
      </c>
      <c r="C275" s="23" t="str">
        <f>IFERROR(IF(ISNUMBER('Spending by Category'!D281),TEXT('Spending by Category'!D281,"0.00"), ""), "")</f>
        <v/>
      </c>
      <c r="D275" s="23" t="str">
        <f>IFERROR(IF(ISNUMBER('Spending by Category'!E281),TEXT('Spending by Category'!E281,"0.00"), ""), "")</f>
        <v/>
      </c>
      <c r="E275" s="23" t="str">
        <f>IFERROR(IF(ISNUMBER('Spending by Category'!F281),TEXT('Spending by Category'!F281,"0.00"), ""), "")</f>
        <v/>
      </c>
      <c r="F275" s="23" t="str">
        <f>IFERROR(IF(ISNUMBER('Spending by Category'!G281),TEXT('Spending by Category'!G281,"0.00"), ""), "")</f>
        <v/>
      </c>
      <c r="G275" s="23" t="str">
        <f>IFERROR(IF(ISNUMBER('Spending by Category'!H281),TEXT('Spending by Category'!H281,"0.00"), ""), "")</f>
        <v/>
      </c>
      <c r="H275" s="23" t="str">
        <f>IFERROR(IF(ISNUMBER('Spending by Category'!I281),TEXT('Spending by Category'!I281,"0.00"), ""), "")</f>
        <v/>
      </c>
      <c r="I275" s="23" t="str">
        <f>IFERROR(IF(ISNUMBER('Spending by Category'!J281),TEXT('Spending by Category'!J281,"0.00"), ""), "")</f>
        <v/>
      </c>
    </row>
    <row r="276" spans="1:9">
      <c r="A276" s="23" t="str">
        <f>TEXT(IF('Spending by Category'!B282&lt;&gt;0,'Spending by Category'!B282-364, ""), "mm/dd/yyyy")</f>
        <v/>
      </c>
      <c r="B276" s="23" t="str">
        <f>IFERROR(IF(ISNUMBER('Spending by Category'!C282),TEXT('Spending by Category'!C282,"0.00"), ""), "")</f>
        <v/>
      </c>
      <c r="C276" s="23" t="str">
        <f>IFERROR(IF(ISNUMBER('Spending by Category'!D282),TEXT('Spending by Category'!D282,"0.00"), ""), "")</f>
        <v/>
      </c>
      <c r="D276" s="23" t="str">
        <f>IFERROR(IF(ISNUMBER('Spending by Category'!E282),TEXT('Spending by Category'!E282,"0.00"), ""), "")</f>
        <v/>
      </c>
      <c r="E276" s="23" t="str">
        <f>IFERROR(IF(ISNUMBER('Spending by Category'!F282),TEXT('Spending by Category'!F282,"0.00"), ""), "")</f>
        <v/>
      </c>
      <c r="F276" s="23" t="str">
        <f>IFERROR(IF(ISNUMBER('Spending by Category'!G282),TEXT('Spending by Category'!G282,"0.00"), ""), "")</f>
        <v/>
      </c>
      <c r="G276" s="23" t="str">
        <f>IFERROR(IF(ISNUMBER('Spending by Category'!H282),TEXT('Spending by Category'!H282,"0.00"), ""), "")</f>
        <v/>
      </c>
      <c r="H276" s="23" t="str">
        <f>IFERROR(IF(ISNUMBER('Spending by Category'!I282),TEXT('Spending by Category'!I282,"0.00"), ""), "")</f>
        <v/>
      </c>
      <c r="I276" s="23" t="str">
        <f>IFERROR(IF(ISNUMBER('Spending by Category'!J282),TEXT('Spending by Category'!J282,"0.00"), ""), "")</f>
        <v/>
      </c>
    </row>
    <row r="277" spans="1:9">
      <c r="A277" s="23" t="str">
        <f>TEXT(IF('Spending by Category'!B283&lt;&gt;0,'Spending by Category'!B283-364, ""), "mm/dd/yyyy")</f>
        <v/>
      </c>
      <c r="B277" s="23" t="str">
        <f>IFERROR(IF(ISNUMBER('Spending by Category'!C283),TEXT('Spending by Category'!C283,"0.00"), ""), "")</f>
        <v/>
      </c>
      <c r="C277" s="23" t="str">
        <f>IFERROR(IF(ISNUMBER('Spending by Category'!D283),TEXT('Spending by Category'!D283,"0.00"), ""), "")</f>
        <v/>
      </c>
      <c r="D277" s="23" t="str">
        <f>IFERROR(IF(ISNUMBER('Spending by Category'!E283),TEXT('Spending by Category'!E283,"0.00"), ""), "")</f>
        <v/>
      </c>
      <c r="E277" s="23" t="str">
        <f>IFERROR(IF(ISNUMBER('Spending by Category'!F283),TEXT('Spending by Category'!F283,"0.00"), ""), "")</f>
        <v/>
      </c>
      <c r="F277" s="23" t="str">
        <f>IFERROR(IF(ISNUMBER('Spending by Category'!G283),TEXT('Spending by Category'!G283,"0.00"), ""), "")</f>
        <v/>
      </c>
      <c r="G277" s="23" t="str">
        <f>IFERROR(IF(ISNUMBER('Spending by Category'!H283),TEXT('Spending by Category'!H283,"0.00"), ""), "")</f>
        <v/>
      </c>
      <c r="H277" s="23" t="str">
        <f>IFERROR(IF(ISNUMBER('Spending by Category'!I283),TEXT('Spending by Category'!I283,"0.00"), ""), "")</f>
        <v/>
      </c>
      <c r="I277" s="23" t="str">
        <f>IFERROR(IF(ISNUMBER('Spending by Category'!J283),TEXT('Spending by Category'!J283,"0.00"), ""), "")</f>
        <v/>
      </c>
    </row>
    <row r="278" spans="1:9">
      <c r="A278" s="23" t="str">
        <f>TEXT(IF('Spending by Category'!B284&lt;&gt;0,'Spending by Category'!B284-364, ""), "mm/dd/yyyy")</f>
        <v/>
      </c>
      <c r="B278" s="23" t="str">
        <f>IFERROR(IF(ISNUMBER('Spending by Category'!C284),TEXT('Spending by Category'!C284,"0.00"), ""), "")</f>
        <v/>
      </c>
      <c r="C278" s="23" t="str">
        <f>IFERROR(IF(ISNUMBER('Spending by Category'!D284),TEXT('Spending by Category'!D284,"0.00"), ""), "")</f>
        <v/>
      </c>
      <c r="D278" s="23" t="str">
        <f>IFERROR(IF(ISNUMBER('Spending by Category'!E284),TEXT('Spending by Category'!E284,"0.00"), ""), "")</f>
        <v/>
      </c>
      <c r="E278" s="23" t="str">
        <f>IFERROR(IF(ISNUMBER('Spending by Category'!F284),TEXT('Spending by Category'!F284,"0.00"), ""), "")</f>
        <v/>
      </c>
      <c r="F278" s="23" t="str">
        <f>IFERROR(IF(ISNUMBER('Spending by Category'!G284),TEXT('Spending by Category'!G284,"0.00"), ""), "")</f>
        <v/>
      </c>
      <c r="G278" s="23" t="str">
        <f>IFERROR(IF(ISNUMBER('Spending by Category'!H284),TEXT('Spending by Category'!H284,"0.00"), ""), "")</f>
        <v/>
      </c>
      <c r="H278" s="23" t="str">
        <f>IFERROR(IF(ISNUMBER('Spending by Category'!I284),TEXT('Spending by Category'!I284,"0.00"), ""), "")</f>
        <v/>
      </c>
      <c r="I278" s="23" t="str">
        <f>IFERROR(IF(ISNUMBER('Spending by Category'!J284),TEXT('Spending by Category'!J284,"0.00"), ""), "")</f>
        <v/>
      </c>
    </row>
    <row r="279" spans="1:9">
      <c r="A279" s="23" t="str">
        <f>TEXT(IF('Spending by Category'!B285&lt;&gt;0,'Spending by Category'!B285-364, ""), "mm/dd/yyyy")</f>
        <v/>
      </c>
      <c r="B279" s="23" t="str">
        <f>IFERROR(IF(ISNUMBER('Spending by Category'!C285),TEXT('Spending by Category'!C285,"0.00"), ""), "")</f>
        <v/>
      </c>
      <c r="C279" s="23" t="str">
        <f>IFERROR(IF(ISNUMBER('Spending by Category'!D285),TEXT('Spending by Category'!D285,"0.00"), ""), "")</f>
        <v/>
      </c>
      <c r="D279" s="23" t="str">
        <f>IFERROR(IF(ISNUMBER('Spending by Category'!E285),TEXT('Spending by Category'!E285,"0.00"), ""), "")</f>
        <v/>
      </c>
      <c r="E279" s="23" t="str">
        <f>IFERROR(IF(ISNUMBER('Spending by Category'!F285),TEXT('Spending by Category'!F285,"0.00"), ""), "")</f>
        <v/>
      </c>
      <c r="F279" s="23" t="str">
        <f>IFERROR(IF(ISNUMBER('Spending by Category'!G285),TEXT('Spending by Category'!G285,"0.00"), ""), "")</f>
        <v/>
      </c>
      <c r="G279" s="23" t="str">
        <f>IFERROR(IF(ISNUMBER('Spending by Category'!H285),TEXT('Spending by Category'!H285,"0.00"), ""), "")</f>
        <v/>
      </c>
      <c r="H279" s="23" t="str">
        <f>IFERROR(IF(ISNUMBER('Spending by Category'!I285),TEXT('Spending by Category'!I285,"0.00"), ""), "")</f>
        <v/>
      </c>
      <c r="I279" s="23" t="str">
        <f>IFERROR(IF(ISNUMBER('Spending by Category'!J285),TEXT('Spending by Category'!J285,"0.00"), ""), "")</f>
        <v/>
      </c>
    </row>
    <row r="280" spans="1:9">
      <c r="A280" s="23" t="str">
        <f>TEXT(IF('Spending by Category'!B286&lt;&gt;0,'Spending by Category'!B286-364, ""), "mm/dd/yyyy")</f>
        <v/>
      </c>
      <c r="B280" s="23" t="str">
        <f>IFERROR(IF(ISNUMBER('Spending by Category'!C286),TEXT('Spending by Category'!C286,"0.00"), ""), "")</f>
        <v/>
      </c>
      <c r="C280" s="23" t="str">
        <f>IFERROR(IF(ISNUMBER('Spending by Category'!D286),TEXT('Spending by Category'!D286,"0.00"), ""), "")</f>
        <v/>
      </c>
      <c r="D280" s="23" t="str">
        <f>IFERROR(IF(ISNUMBER('Spending by Category'!E286),TEXT('Spending by Category'!E286,"0.00"), ""), "")</f>
        <v/>
      </c>
      <c r="E280" s="23" t="str">
        <f>IFERROR(IF(ISNUMBER('Spending by Category'!F286),TEXT('Spending by Category'!F286,"0.00"), ""), "")</f>
        <v/>
      </c>
      <c r="F280" s="23" t="str">
        <f>IFERROR(IF(ISNUMBER('Spending by Category'!G286),TEXT('Spending by Category'!G286,"0.00"), ""), "")</f>
        <v/>
      </c>
      <c r="G280" s="23" t="str">
        <f>IFERROR(IF(ISNUMBER('Spending by Category'!H286),TEXT('Spending by Category'!H286,"0.00"), ""), "")</f>
        <v/>
      </c>
      <c r="H280" s="23" t="str">
        <f>IFERROR(IF(ISNUMBER('Spending by Category'!I286),TEXT('Spending by Category'!I286,"0.00"), ""), "")</f>
        <v/>
      </c>
      <c r="I280" s="23" t="str">
        <f>IFERROR(IF(ISNUMBER('Spending by Category'!J286),TEXT('Spending by Category'!J286,"0.00"), ""), "")</f>
        <v/>
      </c>
    </row>
    <row r="281" spans="1:9">
      <c r="A281" s="23" t="str">
        <f>TEXT(IF('Spending by Category'!B287&lt;&gt;0,'Spending by Category'!B287-364, ""), "mm/dd/yyyy")</f>
        <v/>
      </c>
      <c r="B281" s="23" t="str">
        <f>IFERROR(IF(ISNUMBER('Spending by Category'!C287),TEXT('Spending by Category'!C287,"0.00"), ""), "")</f>
        <v/>
      </c>
      <c r="C281" s="23" t="str">
        <f>IFERROR(IF(ISNUMBER('Spending by Category'!D287),TEXT('Spending by Category'!D287,"0.00"), ""), "")</f>
        <v/>
      </c>
      <c r="D281" s="23" t="str">
        <f>IFERROR(IF(ISNUMBER('Spending by Category'!E287),TEXT('Spending by Category'!E287,"0.00"), ""), "")</f>
        <v/>
      </c>
      <c r="E281" s="23" t="str">
        <f>IFERROR(IF(ISNUMBER('Spending by Category'!F287),TEXT('Spending by Category'!F287,"0.00"), ""), "")</f>
        <v/>
      </c>
      <c r="F281" s="23" t="str">
        <f>IFERROR(IF(ISNUMBER('Spending by Category'!G287),TEXT('Spending by Category'!G287,"0.00"), ""), "")</f>
        <v/>
      </c>
      <c r="G281" s="23" t="str">
        <f>IFERROR(IF(ISNUMBER('Spending by Category'!H287),TEXT('Spending by Category'!H287,"0.00"), ""), "")</f>
        <v/>
      </c>
      <c r="H281" s="23" t="str">
        <f>IFERROR(IF(ISNUMBER('Spending by Category'!I287),TEXT('Spending by Category'!I287,"0.00"), ""), "")</f>
        <v/>
      </c>
      <c r="I281" s="23" t="str">
        <f>IFERROR(IF(ISNUMBER('Spending by Category'!J287),TEXT('Spending by Category'!J287,"0.00"), ""), "")</f>
        <v/>
      </c>
    </row>
    <row r="282" spans="1:9">
      <c r="A282" s="23" t="str">
        <f>TEXT(IF('Spending by Category'!B288&lt;&gt;0,'Spending by Category'!B288-364, ""), "mm/dd/yyyy")</f>
        <v/>
      </c>
      <c r="B282" s="23" t="str">
        <f>IFERROR(IF(ISNUMBER('Spending by Category'!C288),TEXT('Spending by Category'!C288,"0.00"), ""), "")</f>
        <v/>
      </c>
      <c r="C282" s="23" t="str">
        <f>IFERROR(IF(ISNUMBER('Spending by Category'!D288),TEXT('Spending by Category'!D288,"0.00"), ""), "")</f>
        <v/>
      </c>
      <c r="D282" s="23" t="str">
        <f>IFERROR(IF(ISNUMBER('Spending by Category'!E288),TEXT('Spending by Category'!E288,"0.00"), ""), "")</f>
        <v/>
      </c>
      <c r="E282" s="23" t="str">
        <f>IFERROR(IF(ISNUMBER('Spending by Category'!F288),TEXT('Spending by Category'!F288,"0.00"), ""), "")</f>
        <v/>
      </c>
      <c r="F282" s="23" t="str">
        <f>IFERROR(IF(ISNUMBER('Spending by Category'!G288),TEXT('Spending by Category'!G288,"0.00"), ""), "")</f>
        <v/>
      </c>
      <c r="G282" s="23" t="str">
        <f>IFERROR(IF(ISNUMBER('Spending by Category'!H288),TEXT('Spending by Category'!H288,"0.00"), ""), "")</f>
        <v/>
      </c>
      <c r="H282" s="23" t="str">
        <f>IFERROR(IF(ISNUMBER('Spending by Category'!I288),TEXT('Spending by Category'!I288,"0.00"), ""), "")</f>
        <v/>
      </c>
      <c r="I282" s="23" t="str">
        <f>IFERROR(IF(ISNUMBER('Spending by Category'!J288),TEXT('Spending by Category'!J288,"0.00"), ""), "")</f>
        <v/>
      </c>
    </row>
    <row r="283" spans="1:9">
      <c r="A283" s="23" t="str">
        <f>TEXT(IF('Spending by Category'!B289&lt;&gt;0,'Spending by Category'!B289-364, ""), "mm/dd/yyyy")</f>
        <v/>
      </c>
      <c r="B283" s="23" t="str">
        <f>IFERROR(IF(ISNUMBER('Spending by Category'!C289),TEXT('Spending by Category'!C289,"0.00"), ""), "")</f>
        <v/>
      </c>
      <c r="C283" s="23" t="str">
        <f>IFERROR(IF(ISNUMBER('Spending by Category'!D289),TEXT('Spending by Category'!D289,"0.00"), ""), "")</f>
        <v/>
      </c>
      <c r="D283" s="23" t="str">
        <f>IFERROR(IF(ISNUMBER('Spending by Category'!E289),TEXT('Spending by Category'!E289,"0.00"), ""), "")</f>
        <v/>
      </c>
      <c r="E283" s="23" t="str">
        <f>IFERROR(IF(ISNUMBER('Spending by Category'!F289),TEXT('Spending by Category'!F289,"0.00"), ""), "")</f>
        <v/>
      </c>
      <c r="F283" s="23" t="str">
        <f>IFERROR(IF(ISNUMBER('Spending by Category'!G289),TEXT('Spending by Category'!G289,"0.00"), ""), "")</f>
        <v/>
      </c>
      <c r="G283" s="23" t="str">
        <f>IFERROR(IF(ISNUMBER('Spending by Category'!H289),TEXT('Spending by Category'!H289,"0.00"), ""), "")</f>
        <v/>
      </c>
      <c r="H283" s="23" t="str">
        <f>IFERROR(IF(ISNUMBER('Spending by Category'!I289),TEXT('Spending by Category'!I289,"0.00"), ""), "")</f>
        <v/>
      </c>
      <c r="I283" s="23" t="str">
        <f>IFERROR(IF(ISNUMBER('Spending by Category'!J289),TEXT('Spending by Category'!J289,"0.00"), ""), "")</f>
        <v/>
      </c>
    </row>
    <row r="284" spans="1:9">
      <c r="A284" s="23" t="str">
        <f>TEXT(IF('Spending by Category'!B290&lt;&gt;0,'Spending by Category'!B290-364, ""), "mm/dd/yyyy")</f>
        <v/>
      </c>
      <c r="B284" s="23" t="str">
        <f>IFERROR(IF(ISNUMBER('Spending by Category'!C290),TEXT('Spending by Category'!C290,"0.00"), ""), "")</f>
        <v/>
      </c>
      <c r="C284" s="23" t="str">
        <f>IFERROR(IF(ISNUMBER('Spending by Category'!D290),TEXT('Spending by Category'!D290,"0.00"), ""), "")</f>
        <v/>
      </c>
      <c r="D284" s="23" t="str">
        <f>IFERROR(IF(ISNUMBER('Spending by Category'!E290),TEXT('Spending by Category'!E290,"0.00"), ""), "")</f>
        <v/>
      </c>
      <c r="E284" s="23" t="str">
        <f>IFERROR(IF(ISNUMBER('Spending by Category'!F290),TEXT('Spending by Category'!F290,"0.00"), ""), "")</f>
        <v/>
      </c>
      <c r="F284" s="23" t="str">
        <f>IFERROR(IF(ISNUMBER('Spending by Category'!G290),TEXT('Spending by Category'!G290,"0.00"), ""), "")</f>
        <v/>
      </c>
      <c r="G284" s="23" t="str">
        <f>IFERROR(IF(ISNUMBER('Spending by Category'!H290),TEXT('Spending by Category'!H290,"0.00"), ""), "")</f>
        <v/>
      </c>
      <c r="H284" s="23" t="str">
        <f>IFERROR(IF(ISNUMBER('Spending by Category'!I290),TEXT('Spending by Category'!I290,"0.00"), ""), "")</f>
        <v/>
      </c>
      <c r="I284" s="23" t="str">
        <f>IFERROR(IF(ISNUMBER('Spending by Category'!J290),TEXT('Spending by Category'!J290,"0.00"), ""), "")</f>
        <v/>
      </c>
    </row>
    <row r="285" spans="1:9">
      <c r="A285" s="23" t="str">
        <f>TEXT(IF('Spending by Category'!B291&lt;&gt;0,'Spending by Category'!B291-364, ""), "mm/dd/yyyy")</f>
        <v/>
      </c>
      <c r="B285" s="23" t="str">
        <f>IFERROR(IF(ISNUMBER('Spending by Category'!C291),TEXT('Spending by Category'!C291,"0.00"), ""), "")</f>
        <v/>
      </c>
      <c r="C285" s="23" t="str">
        <f>IFERROR(IF(ISNUMBER('Spending by Category'!D291),TEXT('Spending by Category'!D291,"0.00"), ""), "")</f>
        <v/>
      </c>
      <c r="D285" s="23" t="str">
        <f>IFERROR(IF(ISNUMBER('Spending by Category'!E291),TEXT('Spending by Category'!E291,"0.00"), ""), "")</f>
        <v/>
      </c>
      <c r="E285" s="23" t="str">
        <f>IFERROR(IF(ISNUMBER('Spending by Category'!F291),TEXT('Spending by Category'!F291,"0.00"), ""), "")</f>
        <v/>
      </c>
      <c r="F285" s="23" t="str">
        <f>IFERROR(IF(ISNUMBER('Spending by Category'!G291),TEXT('Spending by Category'!G291,"0.00"), ""), "")</f>
        <v/>
      </c>
      <c r="G285" s="23" t="str">
        <f>IFERROR(IF(ISNUMBER('Spending by Category'!H291),TEXT('Spending by Category'!H291,"0.00"), ""), "")</f>
        <v/>
      </c>
      <c r="H285" s="23" t="str">
        <f>IFERROR(IF(ISNUMBER('Spending by Category'!I291),TEXT('Spending by Category'!I291,"0.00"), ""), "")</f>
        <v/>
      </c>
      <c r="I285" s="23" t="str">
        <f>IFERROR(IF(ISNUMBER('Spending by Category'!J291),TEXT('Spending by Category'!J291,"0.00"), ""), "")</f>
        <v/>
      </c>
    </row>
    <row r="286" spans="1:9">
      <c r="A286" s="23" t="str">
        <f>TEXT(IF('Spending by Category'!B292&lt;&gt;0,'Spending by Category'!B292-364, ""), "mm/dd/yyyy")</f>
        <v/>
      </c>
      <c r="B286" s="23" t="str">
        <f>IFERROR(IF(ISNUMBER('Spending by Category'!C292),TEXT('Spending by Category'!C292,"0.00"), ""), "")</f>
        <v/>
      </c>
      <c r="C286" s="23" t="str">
        <f>IFERROR(IF(ISNUMBER('Spending by Category'!D292),TEXT('Spending by Category'!D292,"0.00"), ""), "")</f>
        <v/>
      </c>
      <c r="D286" s="23" t="str">
        <f>IFERROR(IF(ISNUMBER('Spending by Category'!E292),TEXT('Spending by Category'!E292,"0.00"), ""), "")</f>
        <v/>
      </c>
      <c r="E286" s="23" t="str">
        <f>IFERROR(IF(ISNUMBER('Spending by Category'!F292),TEXT('Spending by Category'!F292,"0.00"), ""), "")</f>
        <v/>
      </c>
      <c r="F286" s="23" t="str">
        <f>IFERROR(IF(ISNUMBER('Spending by Category'!G292),TEXT('Spending by Category'!G292,"0.00"), ""), "")</f>
        <v/>
      </c>
      <c r="G286" s="23" t="str">
        <f>IFERROR(IF(ISNUMBER('Spending by Category'!H292),TEXT('Spending by Category'!H292,"0.00"), ""), "")</f>
        <v/>
      </c>
      <c r="H286" s="23" t="str">
        <f>IFERROR(IF(ISNUMBER('Spending by Category'!I292),TEXT('Spending by Category'!I292,"0.00"), ""), "")</f>
        <v/>
      </c>
      <c r="I286" s="23" t="str">
        <f>IFERROR(IF(ISNUMBER('Spending by Category'!J292),TEXT('Spending by Category'!J292,"0.00"), ""), "")</f>
        <v/>
      </c>
    </row>
    <row r="287" spans="1:9">
      <c r="A287" s="23" t="str">
        <f>TEXT(IF('Spending by Category'!B293&lt;&gt;0,'Spending by Category'!B293-364, ""), "mm/dd/yyyy")</f>
        <v/>
      </c>
      <c r="B287" s="23" t="str">
        <f>IFERROR(IF(ISNUMBER('Spending by Category'!C293),TEXT('Spending by Category'!C293,"0.00"), ""), "")</f>
        <v/>
      </c>
      <c r="C287" s="23" t="str">
        <f>IFERROR(IF(ISNUMBER('Spending by Category'!D293),TEXT('Spending by Category'!D293,"0.00"), ""), "")</f>
        <v/>
      </c>
      <c r="D287" s="23" t="str">
        <f>IFERROR(IF(ISNUMBER('Spending by Category'!E293),TEXT('Spending by Category'!E293,"0.00"), ""), "")</f>
        <v/>
      </c>
      <c r="E287" s="23" t="str">
        <f>IFERROR(IF(ISNUMBER('Spending by Category'!F293),TEXT('Spending by Category'!F293,"0.00"), ""), "")</f>
        <v/>
      </c>
      <c r="F287" s="23" t="str">
        <f>IFERROR(IF(ISNUMBER('Spending by Category'!G293),TEXT('Spending by Category'!G293,"0.00"), ""), "")</f>
        <v/>
      </c>
      <c r="G287" s="23" t="str">
        <f>IFERROR(IF(ISNUMBER('Spending by Category'!H293),TEXT('Spending by Category'!H293,"0.00"), ""), "")</f>
        <v/>
      </c>
      <c r="H287" s="23" t="str">
        <f>IFERROR(IF(ISNUMBER('Spending by Category'!I293),TEXT('Spending by Category'!I293,"0.00"), ""), "")</f>
        <v/>
      </c>
      <c r="I287" s="23" t="str">
        <f>IFERROR(IF(ISNUMBER('Spending by Category'!J293),TEXT('Spending by Category'!J293,"0.00"), ""), "")</f>
        <v/>
      </c>
    </row>
    <row r="288" spans="1:9">
      <c r="A288" s="23" t="str">
        <f>TEXT(IF('Spending by Category'!B294&lt;&gt;0,'Spending by Category'!B294-364, ""), "mm/dd/yyyy")</f>
        <v/>
      </c>
      <c r="B288" s="23" t="str">
        <f>IFERROR(IF(ISNUMBER('Spending by Category'!C294),TEXT('Spending by Category'!C294,"0.00"), ""), "")</f>
        <v/>
      </c>
      <c r="C288" s="23" t="str">
        <f>IFERROR(IF(ISNUMBER('Spending by Category'!D294),TEXT('Spending by Category'!D294,"0.00"), ""), "")</f>
        <v/>
      </c>
      <c r="D288" s="23" t="str">
        <f>IFERROR(IF(ISNUMBER('Spending by Category'!E294),TEXT('Spending by Category'!E294,"0.00"), ""), "")</f>
        <v/>
      </c>
      <c r="E288" s="23" t="str">
        <f>IFERROR(IF(ISNUMBER('Spending by Category'!F294),TEXT('Spending by Category'!F294,"0.00"), ""), "")</f>
        <v/>
      </c>
      <c r="F288" s="23" t="str">
        <f>IFERROR(IF(ISNUMBER('Spending by Category'!G294),TEXT('Spending by Category'!G294,"0.00"), ""), "")</f>
        <v/>
      </c>
      <c r="G288" s="23" t="str">
        <f>IFERROR(IF(ISNUMBER('Spending by Category'!H294),TEXT('Spending by Category'!H294,"0.00"), ""), "")</f>
        <v/>
      </c>
      <c r="H288" s="23" t="str">
        <f>IFERROR(IF(ISNUMBER('Spending by Category'!I294),TEXT('Spending by Category'!I294,"0.00"), ""), "")</f>
        <v/>
      </c>
      <c r="I288" s="23" t="str">
        <f>IFERROR(IF(ISNUMBER('Spending by Category'!J294),TEXT('Spending by Category'!J294,"0.00"), ""), "")</f>
        <v/>
      </c>
    </row>
    <row r="289" spans="1:9">
      <c r="A289" s="23" t="str">
        <f>TEXT(IF('Spending by Category'!B295&lt;&gt;0,'Spending by Category'!B295-364, ""), "mm/dd/yyyy")</f>
        <v/>
      </c>
      <c r="B289" s="23" t="str">
        <f>IFERROR(IF(ISNUMBER('Spending by Category'!C295),TEXT('Spending by Category'!C295,"0.00"), ""), "")</f>
        <v/>
      </c>
      <c r="C289" s="23" t="str">
        <f>IFERROR(IF(ISNUMBER('Spending by Category'!D295),TEXT('Spending by Category'!D295,"0.00"), ""), "")</f>
        <v/>
      </c>
      <c r="D289" s="23" t="str">
        <f>IFERROR(IF(ISNUMBER('Spending by Category'!E295),TEXT('Spending by Category'!E295,"0.00"), ""), "")</f>
        <v/>
      </c>
      <c r="E289" s="23" t="str">
        <f>IFERROR(IF(ISNUMBER('Spending by Category'!F295),TEXT('Spending by Category'!F295,"0.00"), ""), "")</f>
        <v/>
      </c>
      <c r="F289" s="23" t="str">
        <f>IFERROR(IF(ISNUMBER('Spending by Category'!G295),TEXT('Spending by Category'!G295,"0.00"), ""), "")</f>
        <v/>
      </c>
      <c r="G289" s="23" t="str">
        <f>IFERROR(IF(ISNUMBER('Spending by Category'!H295),TEXT('Spending by Category'!H295,"0.00"), ""), "")</f>
        <v/>
      </c>
      <c r="H289" s="23" t="str">
        <f>IFERROR(IF(ISNUMBER('Spending by Category'!I295),TEXT('Spending by Category'!I295,"0.00"), ""), "")</f>
        <v/>
      </c>
      <c r="I289" s="23" t="str">
        <f>IFERROR(IF(ISNUMBER('Spending by Category'!J295),TEXT('Spending by Category'!J295,"0.00"), ""), "")</f>
        <v/>
      </c>
    </row>
    <row r="290" spans="1:9">
      <c r="A290" s="23" t="str">
        <f>TEXT(IF('Spending by Category'!B296&lt;&gt;0,'Spending by Category'!B296-364, ""), "mm/dd/yyyy")</f>
        <v/>
      </c>
      <c r="B290" s="23" t="str">
        <f>IFERROR(IF(ISNUMBER('Spending by Category'!C296),TEXT('Spending by Category'!C296,"0.00"), ""), "")</f>
        <v/>
      </c>
      <c r="C290" s="23" t="str">
        <f>IFERROR(IF(ISNUMBER('Spending by Category'!D296),TEXT('Spending by Category'!D296,"0.00"), ""), "")</f>
        <v/>
      </c>
      <c r="D290" s="23" t="str">
        <f>IFERROR(IF(ISNUMBER('Spending by Category'!E296),TEXT('Spending by Category'!E296,"0.00"), ""), "")</f>
        <v/>
      </c>
      <c r="E290" s="23" t="str">
        <f>IFERROR(IF(ISNUMBER('Spending by Category'!F296),TEXT('Spending by Category'!F296,"0.00"), ""), "")</f>
        <v/>
      </c>
      <c r="F290" s="23" t="str">
        <f>IFERROR(IF(ISNUMBER('Spending by Category'!G296),TEXT('Spending by Category'!G296,"0.00"), ""), "")</f>
        <v/>
      </c>
      <c r="G290" s="23" t="str">
        <f>IFERROR(IF(ISNUMBER('Spending by Category'!H296),TEXT('Spending by Category'!H296,"0.00"), ""), "")</f>
        <v/>
      </c>
      <c r="H290" s="23" t="str">
        <f>IFERROR(IF(ISNUMBER('Spending by Category'!I296),TEXT('Spending by Category'!I296,"0.00"), ""), "")</f>
        <v/>
      </c>
      <c r="I290" s="23" t="str">
        <f>IFERROR(IF(ISNUMBER('Spending by Category'!J296),TEXT('Spending by Category'!J296,"0.00"), ""), "")</f>
        <v/>
      </c>
    </row>
    <row r="291" spans="1:9">
      <c r="A291" s="23" t="str">
        <f>TEXT(IF('Spending by Category'!B297&lt;&gt;0,'Spending by Category'!B297-364, ""), "mm/dd/yyyy")</f>
        <v/>
      </c>
      <c r="B291" s="23" t="str">
        <f>IFERROR(IF(ISNUMBER('Spending by Category'!C297),TEXT('Spending by Category'!C297,"0.00"), ""), "")</f>
        <v/>
      </c>
      <c r="C291" s="23" t="str">
        <f>IFERROR(IF(ISNUMBER('Spending by Category'!D297),TEXT('Spending by Category'!D297,"0.00"), ""), "")</f>
        <v/>
      </c>
      <c r="D291" s="23" t="str">
        <f>IFERROR(IF(ISNUMBER('Spending by Category'!E297),TEXT('Spending by Category'!E297,"0.00"), ""), "")</f>
        <v/>
      </c>
      <c r="E291" s="23" t="str">
        <f>IFERROR(IF(ISNUMBER('Spending by Category'!F297),TEXT('Spending by Category'!F297,"0.00"), ""), "")</f>
        <v/>
      </c>
      <c r="F291" s="23" t="str">
        <f>IFERROR(IF(ISNUMBER('Spending by Category'!G297),TEXT('Spending by Category'!G297,"0.00"), ""), "")</f>
        <v/>
      </c>
      <c r="G291" s="23" t="str">
        <f>IFERROR(IF(ISNUMBER('Spending by Category'!H297),TEXT('Spending by Category'!H297,"0.00"), ""), "")</f>
        <v/>
      </c>
      <c r="H291" s="23" t="str">
        <f>IFERROR(IF(ISNUMBER('Spending by Category'!I297),TEXT('Spending by Category'!I297,"0.00"), ""), "")</f>
        <v/>
      </c>
      <c r="I291" s="23" t="str">
        <f>IFERROR(IF(ISNUMBER('Spending by Category'!J297),TEXT('Spending by Category'!J297,"0.00"), ""), "")</f>
        <v/>
      </c>
    </row>
    <row r="292" spans="1:9">
      <c r="A292" s="23" t="str">
        <f>TEXT(IF('Spending by Category'!B298&lt;&gt;0,'Spending by Category'!B298-364, ""), "mm/dd/yyyy")</f>
        <v/>
      </c>
      <c r="B292" s="23" t="str">
        <f>IFERROR(IF(ISNUMBER('Spending by Category'!C298),TEXT('Spending by Category'!C298,"0.00"), ""), "")</f>
        <v/>
      </c>
      <c r="C292" s="23" t="str">
        <f>IFERROR(IF(ISNUMBER('Spending by Category'!D298),TEXT('Spending by Category'!D298,"0.00"), ""), "")</f>
        <v/>
      </c>
      <c r="D292" s="23" t="str">
        <f>IFERROR(IF(ISNUMBER('Spending by Category'!E298),TEXT('Spending by Category'!E298,"0.00"), ""), "")</f>
        <v/>
      </c>
      <c r="E292" s="23" t="str">
        <f>IFERROR(IF(ISNUMBER('Spending by Category'!F298),TEXT('Spending by Category'!F298,"0.00"), ""), "")</f>
        <v/>
      </c>
      <c r="F292" s="23" t="str">
        <f>IFERROR(IF(ISNUMBER('Spending by Category'!G298),TEXT('Spending by Category'!G298,"0.00"), ""), "")</f>
        <v/>
      </c>
      <c r="G292" s="23" t="str">
        <f>IFERROR(IF(ISNUMBER('Spending by Category'!H298),TEXT('Spending by Category'!H298,"0.00"), ""), "")</f>
        <v/>
      </c>
      <c r="H292" s="23" t="str">
        <f>IFERROR(IF(ISNUMBER('Spending by Category'!I298),TEXT('Spending by Category'!I298,"0.00"), ""), "")</f>
        <v/>
      </c>
      <c r="I292" s="23" t="str">
        <f>IFERROR(IF(ISNUMBER('Spending by Category'!J298),TEXT('Spending by Category'!J298,"0.00"), ""), "")</f>
        <v/>
      </c>
    </row>
    <row r="293" spans="1:9">
      <c r="A293" s="23" t="str">
        <f>TEXT(IF('Spending by Category'!B299&lt;&gt;0,'Spending by Category'!B299-364, ""), "mm/dd/yyyy")</f>
        <v/>
      </c>
      <c r="B293" s="23" t="str">
        <f>IFERROR(IF(ISNUMBER('Spending by Category'!C299),TEXT('Spending by Category'!C299,"0.00"), ""), "")</f>
        <v/>
      </c>
      <c r="C293" s="23" t="str">
        <f>IFERROR(IF(ISNUMBER('Spending by Category'!D299),TEXT('Spending by Category'!D299,"0.00"), ""), "")</f>
        <v/>
      </c>
      <c r="D293" s="23" t="str">
        <f>IFERROR(IF(ISNUMBER('Spending by Category'!E299),TEXT('Spending by Category'!E299,"0.00"), ""), "")</f>
        <v/>
      </c>
      <c r="E293" s="23" t="str">
        <f>IFERROR(IF(ISNUMBER('Spending by Category'!F299),TEXT('Spending by Category'!F299,"0.00"), ""), "")</f>
        <v/>
      </c>
      <c r="F293" s="23" t="str">
        <f>IFERROR(IF(ISNUMBER('Spending by Category'!G299),TEXT('Spending by Category'!G299,"0.00"), ""), "")</f>
        <v/>
      </c>
      <c r="G293" s="23" t="str">
        <f>IFERROR(IF(ISNUMBER('Spending by Category'!H299),TEXT('Spending by Category'!H299,"0.00"), ""), "")</f>
        <v/>
      </c>
      <c r="H293" s="23" t="str">
        <f>IFERROR(IF(ISNUMBER('Spending by Category'!I299),TEXT('Spending by Category'!I299,"0.00"), ""), "")</f>
        <v/>
      </c>
      <c r="I293" s="23" t="str">
        <f>IFERROR(IF(ISNUMBER('Spending by Category'!J299),TEXT('Spending by Category'!J299,"0.00"), ""), "")</f>
        <v/>
      </c>
    </row>
    <row r="294" spans="1:9">
      <c r="A294" s="23" t="str">
        <f>TEXT(IF('Spending by Category'!B300&lt;&gt;0,'Spending by Category'!B300-364, ""), "mm/dd/yyyy")</f>
        <v/>
      </c>
      <c r="B294" s="23" t="str">
        <f>IFERROR(IF(ISNUMBER('Spending by Category'!C300),TEXT('Spending by Category'!C300,"0.00"), ""), "")</f>
        <v/>
      </c>
      <c r="C294" s="23" t="str">
        <f>IFERROR(IF(ISNUMBER('Spending by Category'!D300),TEXT('Spending by Category'!D300,"0.00"), ""), "")</f>
        <v/>
      </c>
      <c r="D294" s="23" t="str">
        <f>IFERROR(IF(ISNUMBER('Spending by Category'!E300),TEXT('Spending by Category'!E300,"0.00"), ""), "")</f>
        <v/>
      </c>
      <c r="E294" s="23" t="str">
        <f>IFERROR(IF(ISNUMBER('Spending by Category'!F300),TEXT('Spending by Category'!F300,"0.00"), ""), "")</f>
        <v/>
      </c>
      <c r="F294" s="23" t="str">
        <f>IFERROR(IF(ISNUMBER('Spending by Category'!G300),TEXT('Spending by Category'!G300,"0.00"), ""), "")</f>
        <v/>
      </c>
      <c r="G294" s="23" t="str">
        <f>IFERROR(IF(ISNUMBER('Spending by Category'!H300),TEXT('Spending by Category'!H300,"0.00"), ""), "")</f>
        <v/>
      </c>
      <c r="H294" s="23" t="str">
        <f>IFERROR(IF(ISNUMBER('Spending by Category'!I300),TEXT('Spending by Category'!I300,"0.00"), ""), "")</f>
        <v/>
      </c>
      <c r="I294" s="23" t="str">
        <f>IFERROR(IF(ISNUMBER('Spending by Category'!J300),TEXT('Spending by Category'!J300,"0.00"), ""), "")</f>
        <v/>
      </c>
    </row>
    <row r="295" spans="1:9">
      <c r="A295" s="23" t="str">
        <f>TEXT(IF('Spending by Category'!B301&lt;&gt;0,'Spending by Category'!B301-364, ""), "mm/dd/yyyy")</f>
        <v/>
      </c>
      <c r="B295" s="23" t="str">
        <f>IFERROR(IF(ISNUMBER('Spending by Category'!C301),TEXT('Spending by Category'!C301,"0.00"), ""), "")</f>
        <v/>
      </c>
      <c r="C295" s="23" t="str">
        <f>IFERROR(IF(ISNUMBER('Spending by Category'!D301),TEXT('Spending by Category'!D301,"0.00"), ""), "")</f>
        <v/>
      </c>
      <c r="D295" s="23" t="str">
        <f>IFERROR(IF(ISNUMBER('Spending by Category'!E301),TEXT('Spending by Category'!E301,"0.00"), ""), "")</f>
        <v/>
      </c>
      <c r="E295" s="23" t="str">
        <f>IFERROR(IF(ISNUMBER('Spending by Category'!F301),TEXT('Spending by Category'!F301,"0.00"), ""), "")</f>
        <v/>
      </c>
      <c r="F295" s="23" t="str">
        <f>IFERROR(IF(ISNUMBER('Spending by Category'!G301),TEXT('Spending by Category'!G301,"0.00"), ""), "")</f>
        <v/>
      </c>
      <c r="G295" s="23" t="str">
        <f>IFERROR(IF(ISNUMBER('Spending by Category'!H301),TEXT('Spending by Category'!H301,"0.00"), ""), "")</f>
        <v/>
      </c>
      <c r="H295" s="23" t="str">
        <f>IFERROR(IF(ISNUMBER('Spending by Category'!I301),TEXT('Spending by Category'!I301,"0.00"), ""), "")</f>
        <v/>
      </c>
      <c r="I295" s="23" t="str">
        <f>IFERROR(IF(ISNUMBER('Spending by Category'!J301),TEXT('Spending by Category'!J301,"0.00"), ""), "")</f>
        <v/>
      </c>
    </row>
    <row r="296" spans="1:9">
      <c r="A296" s="23" t="str">
        <f>TEXT(IF('Spending by Category'!B302&lt;&gt;0,'Spending by Category'!B302-364, ""), "mm/dd/yyyy")</f>
        <v/>
      </c>
      <c r="B296" s="23" t="str">
        <f>IFERROR(IF(ISNUMBER('Spending by Category'!C302),TEXT('Spending by Category'!C302,"0.00"), ""), "")</f>
        <v/>
      </c>
      <c r="C296" s="23" t="str">
        <f>IFERROR(IF(ISNUMBER('Spending by Category'!D302),TEXT('Spending by Category'!D302,"0.00"), ""), "")</f>
        <v/>
      </c>
      <c r="D296" s="23" t="str">
        <f>IFERROR(IF(ISNUMBER('Spending by Category'!E302),TEXT('Spending by Category'!E302,"0.00"), ""), "")</f>
        <v/>
      </c>
      <c r="E296" s="23" t="str">
        <f>IFERROR(IF(ISNUMBER('Spending by Category'!F302),TEXT('Spending by Category'!F302,"0.00"), ""), "")</f>
        <v/>
      </c>
      <c r="F296" s="23" t="str">
        <f>IFERROR(IF(ISNUMBER('Spending by Category'!G302),TEXT('Spending by Category'!G302,"0.00"), ""), "")</f>
        <v/>
      </c>
      <c r="G296" s="23" t="str">
        <f>IFERROR(IF(ISNUMBER('Spending by Category'!H302),TEXT('Spending by Category'!H302,"0.00"), ""), "")</f>
        <v/>
      </c>
      <c r="H296" s="23" t="str">
        <f>IFERROR(IF(ISNUMBER('Spending by Category'!I302),TEXT('Spending by Category'!I302,"0.00"), ""), "")</f>
        <v/>
      </c>
      <c r="I296" s="23" t="str">
        <f>IFERROR(IF(ISNUMBER('Spending by Category'!J302),TEXT('Spending by Category'!J302,"0.00"), ""), "")</f>
        <v/>
      </c>
    </row>
    <row r="297" spans="1:9">
      <c r="A297" s="23" t="str">
        <f>TEXT(IF('Spending by Category'!B303&lt;&gt;0,'Spending by Category'!B303-364, ""), "mm/dd/yyyy")</f>
        <v/>
      </c>
      <c r="B297" s="23" t="str">
        <f>IFERROR(IF(ISNUMBER('Spending by Category'!C303),TEXT('Spending by Category'!C303,"0.00"), ""), "")</f>
        <v/>
      </c>
      <c r="C297" s="23" t="str">
        <f>IFERROR(IF(ISNUMBER('Spending by Category'!D303),TEXT('Spending by Category'!D303,"0.00"), ""), "")</f>
        <v/>
      </c>
      <c r="D297" s="23" t="str">
        <f>IFERROR(IF(ISNUMBER('Spending by Category'!E303),TEXT('Spending by Category'!E303,"0.00"), ""), "")</f>
        <v/>
      </c>
      <c r="E297" s="23" t="str">
        <f>IFERROR(IF(ISNUMBER('Spending by Category'!F303),TEXT('Spending by Category'!F303,"0.00"), ""), "")</f>
        <v/>
      </c>
      <c r="F297" s="23" t="str">
        <f>IFERROR(IF(ISNUMBER('Spending by Category'!G303),TEXT('Spending by Category'!G303,"0.00"), ""), "")</f>
        <v/>
      </c>
      <c r="G297" s="23" t="str">
        <f>IFERROR(IF(ISNUMBER('Spending by Category'!H303),TEXT('Spending by Category'!H303,"0.00"), ""), "")</f>
        <v/>
      </c>
      <c r="H297" s="23" t="str">
        <f>IFERROR(IF(ISNUMBER('Spending by Category'!I303),TEXT('Spending by Category'!I303,"0.00"), ""), "")</f>
        <v/>
      </c>
      <c r="I297" s="23" t="str">
        <f>IFERROR(IF(ISNUMBER('Spending by Category'!J303),TEXT('Spending by Category'!J303,"0.00"), ""), "")</f>
        <v/>
      </c>
    </row>
    <row r="298" spans="1:9">
      <c r="A298" s="23" t="str">
        <f>TEXT(IF('Spending by Category'!B304&lt;&gt;0,'Spending by Category'!B304-364, ""), "mm/dd/yyyy")</f>
        <v/>
      </c>
      <c r="B298" s="23" t="str">
        <f>IFERROR(IF(ISNUMBER('Spending by Category'!C304),TEXT('Spending by Category'!C304,"0.00"), ""), "")</f>
        <v/>
      </c>
      <c r="C298" s="23" t="str">
        <f>IFERROR(IF(ISNUMBER('Spending by Category'!D304),TEXT('Spending by Category'!D304,"0.00"), ""), "")</f>
        <v/>
      </c>
      <c r="D298" s="23" t="str">
        <f>IFERROR(IF(ISNUMBER('Spending by Category'!E304),TEXT('Spending by Category'!E304,"0.00"), ""), "")</f>
        <v/>
      </c>
      <c r="E298" s="23" t="str">
        <f>IFERROR(IF(ISNUMBER('Spending by Category'!F304),TEXT('Spending by Category'!F304,"0.00"), ""), "")</f>
        <v/>
      </c>
      <c r="F298" s="23" t="str">
        <f>IFERROR(IF(ISNUMBER('Spending by Category'!G304),TEXT('Spending by Category'!G304,"0.00"), ""), "")</f>
        <v/>
      </c>
      <c r="G298" s="23" t="str">
        <f>IFERROR(IF(ISNUMBER('Spending by Category'!H304),TEXT('Spending by Category'!H304,"0.00"), ""), "")</f>
        <v/>
      </c>
      <c r="H298" s="23" t="str">
        <f>IFERROR(IF(ISNUMBER('Spending by Category'!I304),TEXT('Spending by Category'!I304,"0.00"), ""), "")</f>
        <v/>
      </c>
      <c r="I298" s="23" t="str">
        <f>IFERROR(IF(ISNUMBER('Spending by Category'!J304),TEXT('Spending by Category'!J304,"0.00"), ""), "")</f>
        <v/>
      </c>
    </row>
    <row r="299" spans="1:9">
      <c r="A299" s="23" t="str">
        <f>TEXT(IF('Spending by Category'!B305&lt;&gt;0,'Spending by Category'!B305-364, ""), "mm/dd/yyyy")</f>
        <v/>
      </c>
      <c r="B299" s="23" t="str">
        <f>IFERROR(IF(ISNUMBER('Spending by Category'!C305),TEXT('Spending by Category'!C305,"0.00"), ""), "")</f>
        <v/>
      </c>
      <c r="C299" s="23" t="str">
        <f>IFERROR(IF(ISNUMBER('Spending by Category'!D305),TEXT('Spending by Category'!D305,"0.00"), ""), "")</f>
        <v/>
      </c>
      <c r="D299" s="23" t="str">
        <f>IFERROR(IF(ISNUMBER('Spending by Category'!E305),TEXT('Spending by Category'!E305,"0.00"), ""), "")</f>
        <v/>
      </c>
      <c r="E299" s="23" t="str">
        <f>IFERROR(IF(ISNUMBER('Spending by Category'!F305),TEXT('Spending by Category'!F305,"0.00"), ""), "")</f>
        <v/>
      </c>
      <c r="F299" s="23" t="str">
        <f>IFERROR(IF(ISNUMBER('Spending by Category'!G305),TEXT('Spending by Category'!G305,"0.00"), ""), "")</f>
        <v/>
      </c>
      <c r="G299" s="23" t="str">
        <f>IFERROR(IF(ISNUMBER('Spending by Category'!H305),TEXT('Spending by Category'!H305,"0.00"), ""), "")</f>
        <v/>
      </c>
      <c r="H299" s="23" t="str">
        <f>IFERROR(IF(ISNUMBER('Spending by Category'!I305),TEXT('Spending by Category'!I305,"0.00"), ""), "")</f>
        <v/>
      </c>
      <c r="I299" s="23" t="str">
        <f>IFERROR(IF(ISNUMBER('Spending by Category'!J305),TEXT('Spending by Category'!J305,"0.00"), ""), "")</f>
        <v/>
      </c>
    </row>
    <row r="300" spans="1:9">
      <c r="A300" s="23" t="str">
        <f>TEXT(IF('Spending by Category'!B306&lt;&gt;0,'Spending by Category'!B306-364, ""), "mm/dd/yyyy")</f>
        <v/>
      </c>
      <c r="B300" s="23" t="str">
        <f>IFERROR(IF(ISNUMBER('Spending by Category'!C306),TEXT('Spending by Category'!C306,"0.00"), ""), "")</f>
        <v/>
      </c>
      <c r="C300" s="23" t="str">
        <f>IFERROR(IF(ISNUMBER('Spending by Category'!D306),TEXT('Spending by Category'!D306,"0.00"), ""), "")</f>
        <v/>
      </c>
      <c r="D300" s="23" t="str">
        <f>IFERROR(IF(ISNUMBER('Spending by Category'!E306),TEXT('Spending by Category'!E306,"0.00"), ""), "")</f>
        <v/>
      </c>
      <c r="E300" s="23" t="str">
        <f>IFERROR(IF(ISNUMBER('Spending by Category'!F306),TEXT('Spending by Category'!F306,"0.00"), ""), "")</f>
        <v/>
      </c>
      <c r="F300" s="23" t="str">
        <f>IFERROR(IF(ISNUMBER('Spending by Category'!G306),TEXT('Spending by Category'!G306,"0.00"), ""), "")</f>
        <v/>
      </c>
      <c r="G300" s="23" t="str">
        <f>IFERROR(IF(ISNUMBER('Spending by Category'!H306),TEXT('Spending by Category'!H306,"0.00"), ""), "")</f>
        <v/>
      </c>
      <c r="H300" s="23" t="str">
        <f>IFERROR(IF(ISNUMBER('Spending by Category'!I306),TEXT('Spending by Category'!I306,"0.00"), ""), "")</f>
        <v/>
      </c>
      <c r="I300" s="23" t="str">
        <f>IFERROR(IF(ISNUMBER('Spending by Category'!J306),TEXT('Spending by Category'!J306,"0.00"), ""), "")</f>
        <v/>
      </c>
    </row>
    <row r="301" spans="1:9">
      <c r="A301" s="23" t="str">
        <f>TEXT(IF('Spending by Category'!B307&lt;&gt;0,'Spending by Category'!B307-364, ""), "mm/dd/yyyy")</f>
        <v/>
      </c>
      <c r="B301" s="23" t="str">
        <f>IFERROR(IF(ISNUMBER('Spending by Category'!C307),TEXT('Spending by Category'!C307,"0.00"), ""), "")</f>
        <v/>
      </c>
      <c r="C301" s="23" t="str">
        <f>IFERROR(IF(ISNUMBER('Spending by Category'!D307),TEXT('Spending by Category'!D307,"0.00"), ""), "")</f>
        <v/>
      </c>
      <c r="D301" s="23" t="str">
        <f>IFERROR(IF(ISNUMBER('Spending by Category'!E307),TEXT('Spending by Category'!E307,"0.00"), ""), "")</f>
        <v/>
      </c>
      <c r="E301" s="23" t="str">
        <f>IFERROR(IF(ISNUMBER('Spending by Category'!F307),TEXT('Spending by Category'!F307,"0.00"), ""), "")</f>
        <v/>
      </c>
      <c r="F301" s="23" t="str">
        <f>IFERROR(IF(ISNUMBER('Spending by Category'!G307),TEXT('Spending by Category'!G307,"0.00"), ""), "")</f>
        <v/>
      </c>
      <c r="G301" s="23" t="str">
        <f>IFERROR(IF(ISNUMBER('Spending by Category'!H307),TEXT('Spending by Category'!H307,"0.00"), ""), "")</f>
        <v/>
      </c>
      <c r="H301" s="23" t="str">
        <f>IFERROR(IF(ISNUMBER('Spending by Category'!I307),TEXT('Spending by Category'!I307,"0.00"), ""), "")</f>
        <v/>
      </c>
      <c r="I301" s="23" t="str">
        <f>IFERROR(IF(ISNUMBER('Spending by Category'!J307),TEXT('Spending by Category'!J307,"0.00"), ""), "")</f>
        <v/>
      </c>
    </row>
    <row r="302" spans="1:9">
      <c r="A302" s="23" t="str">
        <f>TEXT(IF('Spending by Category'!B308&lt;&gt;0,'Spending by Category'!B308-364, ""), "mm/dd/yyyy")</f>
        <v/>
      </c>
      <c r="B302" s="23" t="str">
        <f>IFERROR(IF(ISNUMBER('Spending by Category'!C308),TEXT('Spending by Category'!C308,"0.00"), ""), "")</f>
        <v/>
      </c>
      <c r="C302" s="23" t="str">
        <f>IFERROR(IF(ISNUMBER('Spending by Category'!D308),TEXT('Spending by Category'!D308,"0.00"), ""), "")</f>
        <v/>
      </c>
      <c r="D302" s="23" t="str">
        <f>IFERROR(IF(ISNUMBER('Spending by Category'!E308),TEXT('Spending by Category'!E308,"0.00"), ""), "")</f>
        <v/>
      </c>
      <c r="E302" s="23" t="str">
        <f>IFERROR(IF(ISNUMBER('Spending by Category'!F308),TEXT('Spending by Category'!F308,"0.00"), ""), "")</f>
        <v/>
      </c>
      <c r="F302" s="23" t="str">
        <f>IFERROR(IF(ISNUMBER('Spending by Category'!G308),TEXT('Spending by Category'!G308,"0.00"), ""), "")</f>
        <v/>
      </c>
      <c r="G302" s="23" t="str">
        <f>IFERROR(IF(ISNUMBER('Spending by Category'!H308),TEXT('Spending by Category'!H308,"0.00"), ""), "")</f>
        <v/>
      </c>
      <c r="H302" s="23" t="str">
        <f>IFERROR(IF(ISNUMBER('Spending by Category'!I308),TEXT('Spending by Category'!I308,"0.00"), ""), "")</f>
        <v/>
      </c>
      <c r="I302" s="23" t="str">
        <f>IFERROR(IF(ISNUMBER('Spending by Category'!J308),TEXT('Spending by Category'!J308,"0.00"), ""), "")</f>
        <v/>
      </c>
    </row>
    <row r="303" spans="1:9">
      <c r="A303" s="23" t="str">
        <f>TEXT(IF('Spending by Category'!B309&lt;&gt;0,'Spending by Category'!B309-364, ""), "mm/dd/yyyy")</f>
        <v/>
      </c>
      <c r="B303" s="23" t="str">
        <f>IFERROR(IF(ISNUMBER('Spending by Category'!C309),TEXT('Spending by Category'!C309,"0.00"), ""), "")</f>
        <v/>
      </c>
      <c r="C303" s="23" t="str">
        <f>IFERROR(IF(ISNUMBER('Spending by Category'!D309),TEXT('Spending by Category'!D309,"0.00"), ""), "")</f>
        <v/>
      </c>
      <c r="D303" s="23" t="str">
        <f>IFERROR(IF(ISNUMBER('Spending by Category'!E309),TEXT('Spending by Category'!E309,"0.00"), ""), "")</f>
        <v/>
      </c>
      <c r="E303" s="23" t="str">
        <f>IFERROR(IF(ISNUMBER('Spending by Category'!F309),TEXT('Spending by Category'!F309,"0.00"), ""), "")</f>
        <v/>
      </c>
      <c r="F303" s="23" t="str">
        <f>IFERROR(IF(ISNUMBER('Spending by Category'!G309),TEXT('Spending by Category'!G309,"0.00"), ""), "")</f>
        <v/>
      </c>
      <c r="G303" s="23" t="str">
        <f>IFERROR(IF(ISNUMBER('Spending by Category'!H309),TEXT('Spending by Category'!H309,"0.00"), ""), "")</f>
        <v/>
      </c>
      <c r="H303" s="23" t="str">
        <f>IFERROR(IF(ISNUMBER('Spending by Category'!I309),TEXT('Spending by Category'!I309,"0.00"), ""), "")</f>
        <v/>
      </c>
      <c r="I303" s="23" t="str">
        <f>IFERROR(IF(ISNUMBER('Spending by Category'!J309),TEXT('Spending by Category'!J309,"0.00"), ""), "")</f>
        <v/>
      </c>
    </row>
    <row r="304" spans="1:9">
      <c r="A304" s="23" t="str">
        <f>TEXT(IF('Spending by Category'!B310&lt;&gt;0,'Spending by Category'!B310-364, ""), "mm/dd/yyyy")</f>
        <v/>
      </c>
      <c r="B304" s="23" t="str">
        <f>IFERROR(IF(ISNUMBER('Spending by Category'!C310),TEXT('Spending by Category'!C310,"0.00"), ""), "")</f>
        <v/>
      </c>
      <c r="C304" s="23" t="str">
        <f>IFERROR(IF(ISNUMBER('Spending by Category'!D310),TEXT('Spending by Category'!D310,"0.00"), ""), "")</f>
        <v/>
      </c>
      <c r="D304" s="23" t="str">
        <f>IFERROR(IF(ISNUMBER('Spending by Category'!E310),TEXT('Spending by Category'!E310,"0.00"), ""), "")</f>
        <v/>
      </c>
      <c r="E304" s="23" t="str">
        <f>IFERROR(IF(ISNUMBER('Spending by Category'!F310),TEXT('Spending by Category'!F310,"0.00"), ""), "")</f>
        <v/>
      </c>
      <c r="F304" s="23" t="str">
        <f>IFERROR(IF(ISNUMBER('Spending by Category'!G310),TEXT('Spending by Category'!G310,"0.00"), ""), "")</f>
        <v/>
      </c>
      <c r="G304" s="23" t="str">
        <f>IFERROR(IF(ISNUMBER('Spending by Category'!H310),TEXT('Spending by Category'!H310,"0.00"), ""), "")</f>
        <v/>
      </c>
      <c r="H304" s="23" t="str">
        <f>IFERROR(IF(ISNUMBER('Spending by Category'!I310),TEXT('Spending by Category'!I310,"0.00"), ""), "")</f>
        <v/>
      </c>
      <c r="I304" s="23" t="str">
        <f>IFERROR(IF(ISNUMBER('Spending by Category'!J310),TEXT('Spending by Category'!J310,"0.00"), ""), "")</f>
        <v/>
      </c>
    </row>
    <row r="305" spans="1:9">
      <c r="A305" s="23" t="str">
        <f>TEXT(IF('Spending by Category'!B311&lt;&gt;0,'Spending by Category'!B311-364, ""), "mm/dd/yyyy")</f>
        <v/>
      </c>
      <c r="B305" s="23" t="str">
        <f>IFERROR(IF(ISNUMBER('Spending by Category'!C311),TEXT('Spending by Category'!C311,"0.00"), ""), "")</f>
        <v/>
      </c>
      <c r="C305" s="23" t="str">
        <f>IFERROR(IF(ISNUMBER('Spending by Category'!D311),TEXT('Spending by Category'!D311,"0.00"), ""), "")</f>
        <v/>
      </c>
      <c r="D305" s="23" t="str">
        <f>IFERROR(IF(ISNUMBER('Spending by Category'!E311),TEXT('Spending by Category'!E311,"0.00"), ""), "")</f>
        <v/>
      </c>
      <c r="E305" s="23" t="str">
        <f>IFERROR(IF(ISNUMBER('Spending by Category'!F311),TEXT('Spending by Category'!F311,"0.00"), ""), "")</f>
        <v/>
      </c>
      <c r="F305" s="23" t="str">
        <f>IFERROR(IF(ISNUMBER('Spending by Category'!G311),TEXT('Spending by Category'!G311,"0.00"), ""), "")</f>
        <v/>
      </c>
      <c r="G305" s="23" t="str">
        <f>IFERROR(IF(ISNUMBER('Spending by Category'!H311),TEXT('Spending by Category'!H311,"0.00"), ""), "")</f>
        <v/>
      </c>
      <c r="H305" s="23" t="str">
        <f>IFERROR(IF(ISNUMBER('Spending by Category'!I311),TEXT('Spending by Category'!I311,"0.00"), ""), "")</f>
        <v/>
      </c>
      <c r="I305" s="23" t="str">
        <f>IFERROR(IF(ISNUMBER('Spending by Category'!J311),TEXT('Spending by Category'!J311,"0.00"), ""), "")</f>
        <v/>
      </c>
    </row>
    <row r="306" spans="1:9">
      <c r="A306" s="23" t="str">
        <f>TEXT(IF('Spending by Category'!B312&lt;&gt;0,'Spending by Category'!B312-364, ""), "mm/dd/yyyy")</f>
        <v/>
      </c>
      <c r="B306" s="23" t="str">
        <f>IFERROR(IF(ISNUMBER('Spending by Category'!C312),TEXT('Spending by Category'!C312,"0.00"), ""), "")</f>
        <v/>
      </c>
      <c r="C306" s="23" t="str">
        <f>IFERROR(IF(ISNUMBER('Spending by Category'!D312),TEXT('Spending by Category'!D312,"0.00"), ""), "")</f>
        <v/>
      </c>
      <c r="D306" s="23" t="str">
        <f>IFERROR(IF(ISNUMBER('Spending by Category'!E312),TEXT('Spending by Category'!E312,"0.00"), ""), "")</f>
        <v/>
      </c>
      <c r="E306" s="23" t="str">
        <f>IFERROR(IF(ISNUMBER('Spending by Category'!F312),TEXT('Spending by Category'!F312,"0.00"), ""), "")</f>
        <v/>
      </c>
      <c r="F306" s="23" t="str">
        <f>IFERROR(IF(ISNUMBER('Spending by Category'!G312),TEXT('Spending by Category'!G312,"0.00"), ""), "")</f>
        <v/>
      </c>
      <c r="G306" s="23" t="str">
        <f>IFERROR(IF(ISNUMBER('Spending by Category'!H312),TEXT('Spending by Category'!H312,"0.00"), ""), "")</f>
        <v/>
      </c>
      <c r="H306" s="23" t="str">
        <f>IFERROR(IF(ISNUMBER('Spending by Category'!I312),TEXT('Spending by Category'!I312,"0.00"), ""), "")</f>
        <v/>
      </c>
      <c r="I306" s="23" t="str">
        <f>IFERROR(IF(ISNUMBER('Spending by Category'!J312),TEXT('Spending by Category'!J312,"0.00"), ""), "")</f>
        <v/>
      </c>
    </row>
    <row r="307" spans="1:9">
      <c r="A307" s="23" t="str">
        <f>TEXT(IF('Spending by Category'!B313&lt;&gt;0,'Spending by Category'!B313-364, ""), "mm/dd/yyyy")</f>
        <v/>
      </c>
      <c r="B307" s="23" t="str">
        <f>IFERROR(IF(ISNUMBER('Spending by Category'!C313),TEXT('Spending by Category'!C313,"0.00"), ""), "")</f>
        <v/>
      </c>
      <c r="C307" s="23" t="str">
        <f>IFERROR(IF(ISNUMBER('Spending by Category'!D313),TEXT('Spending by Category'!D313,"0.00"), ""), "")</f>
        <v/>
      </c>
      <c r="D307" s="23" t="str">
        <f>IFERROR(IF(ISNUMBER('Spending by Category'!E313),TEXT('Spending by Category'!E313,"0.00"), ""), "")</f>
        <v/>
      </c>
      <c r="E307" s="23" t="str">
        <f>IFERROR(IF(ISNUMBER('Spending by Category'!F313),TEXT('Spending by Category'!F313,"0.00"), ""), "")</f>
        <v/>
      </c>
      <c r="F307" s="23" t="str">
        <f>IFERROR(IF(ISNUMBER('Spending by Category'!G313),TEXT('Spending by Category'!G313,"0.00"), ""), "")</f>
        <v/>
      </c>
      <c r="G307" s="23" t="str">
        <f>IFERROR(IF(ISNUMBER('Spending by Category'!H313),TEXT('Spending by Category'!H313,"0.00"), ""), "")</f>
        <v/>
      </c>
      <c r="H307" s="23" t="str">
        <f>IFERROR(IF(ISNUMBER('Spending by Category'!I313),TEXT('Spending by Category'!I313,"0.00"), ""), "")</f>
        <v/>
      </c>
      <c r="I307" s="23" t="str">
        <f>IFERROR(IF(ISNUMBER('Spending by Category'!J313),TEXT('Spending by Category'!J313,"0.00"), ""), "")</f>
        <v/>
      </c>
    </row>
    <row r="308" spans="1:9">
      <c r="A308" s="23" t="str">
        <f>TEXT(IF('Spending by Category'!B314&lt;&gt;0,'Spending by Category'!B314-364, ""), "mm/dd/yyyy")</f>
        <v/>
      </c>
      <c r="B308" s="23" t="str">
        <f>IFERROR(IF(ISNUMBER('Spending by Category'!C314),TEXT('Spending by Category'!C314,"0.00"), ""), "")</f>
        <v/>
      </c>
      <c r="C308" s="23" t="str">
        <f>IFERROR(IF(ISNUMBER('Spending by Category'!D314),TEXT('Spending by Category'!D314,"0.00"), ""), "")</f>
        <v/>
      </c>
      <c r="D308" s="23" t="str">
        <f>IFERROR(IF(ISNUMBER('Spending by Category'!E314),TEXT('Spending by Category'!E314,"0.00"), ""), "")</f>
        <v/>
      </c>
      <c r="E308" s="23" t="str">
        <f>IFERROR(IF(ISNUMBER('Spending by Category'!F314),TEXT('Spending by Category'!F314,"0.00"), ""), "")</f>
        <v/>
      </c>
      <c r="F308" s="23" t="str">
        <f>IFERROR(IF(ISNUMBER('Spending by Category'!G314),TEXT('Spending by Category'!G314,"0.00"), ""), "")</f>
        <v/>
      </c>
      <c r="G308" s="23" t="str">
        <f>IFERROR(IF(ISNUMBER('Spending by Category'!H314),TEXT('Spending by Category'!H314,"0.00"), ""), "")</f>
        <v/>
      </c>
      <c r="H308" s="23" t="str">
        <f>IFERROR(IF(ISNUMBER('Spending by Category'!I314),TEXT('Spending by Category'!I314,"0.00"), ""), "")</f>
        <v/>
      </c>
      <c r="I308" s="23" t="str">
        <f>IFERROR(IF(ISNUMBER('Spending by Category'!J314),TEXT('Spending by Category'!J314,"0.00"), ""), "")</f>
        <v/>
      </c>
    </row>
    <row r="309" spans="1:9">
      <c r="A309" s="23" t="str">
        <f>TEXT(IF('Spending by Category'!B315&lt;&gt;0,'Spending by Category'!B315-364, ""), "mm/dd/yyyy")</f>
        <v/>
      </c>
      <c r="B309" s="23" t="str">
        <f>IFERROR(IF(ISNUMBER('Spending by Category'!C315),TEXT('Spending by Category'!C315,"0.00"), ""), "")</f>
        <v/>
      </c>
      <c r="C309" s="23" t="str">
        <f>IFERROR(IF(ISNUMBER('Spending by Category'!D315),TEXT('Spending by Category'!D315,"0.00"), ""), "")</f>
        <v/>
      </c>
      <c r="D309" s="23" t="str">
        <f>IFERROR(IF(ISNUMBER('Spending by Category'!E315),TEXT('Spending by Category'!E315,"0.00"), ""), "")</f>
        <v/>
      </c>
      <c r="E309" s="23" t="str">
        <f>IFERROR(IF(ISNUMBER('Spending by Category'!F315),TEXT('Spending by Category'!F315,"0.00"), ""), "")</f>
        <v/>
      </c>
      <c r="F309" s="23" t="str">
        <f>IFERROR(IF(ISNUMBER('Spending by Category'!G315),TEXT('Spending by Category'!G315,"0.00"), ""), "")</f>
        <v/>
      </c>
      <c r="G309" s="23" t="str">
        <f>IFERROR(IF(ISNUMBER('Spending by Category'!H315),TEXT('Spending by Category'!H315,"0.00"), ""), "")</f>
        <v/>
      </c>
      <c r="H309" s="23" t="str">
        <f>IFERROR(IF(ISNUMBER('Spending by Category'!I315),TEXT('Spending by Category'!I315,"0.00"), ""), "")</f>
        <v/>
      </c>
      <c r="I309" s="23" t="str">
        <f>IFERROR(IF(ISNUMBER('Spending by Category'!J315),TEXT('Spending by Category'!J315,"0.00"), ""), "")</f>
        <v/>
      </c>
    </row>
    <row r="310" spans="1:9">
      <c r="A310" s="23" t="str">
        <f>TEXT(IF('Spending by Category'!B316&lt;&gt;0,'Spending by Category'!B316-364, ""), "mm/dd/yyyy")</f>
        <v/>
      </c>
      <c r="B310" s="23" t="str">
        <f>IFERROR(IF(ISNUMBER('Spending by Category'!C316),TEXT('Spending by Category'!C316,"0.00"), ""), "")</f>
        <v/>
      </c>
      <c r="C310" s="23" t="str">
        <f>IFERROR(IF(ISNUMBER('Spending by Category'!D316),TEXT('Spending by Category'!D316,"0.00"), ""), "")</f>
        <v/>
      </c>
      <c r="D310" s="23" t="str">
        <f>IFERROR(IF(ISNUMBER('Spending by Category'!E316),TEXT('Spending by Category'!E316,"0.00"), ""), "")</f>
        <v/>
      </c>
      <c r="E310" s="23" t="str">
        <f>IFERROR(IF(ISNUMBER('Spending by Category'!F316),TEXT('Spending by Category'!F316,"0.00"), ""), "")</f>
        <v/>
      </c>
      <c r="F310" s="23" t="str">
        <f>IFERROR(IF(ISNUMBER('Spending by Category'!G316),TEXT('Spending by Category'!G316,"0.00"), ""), "")</f>
        <v/>
      </c>
      <c r="G310" s="23" t="str">
        <f>IFERROR(IF(ISNUMBER('Spending by Category'!H316),TEXT('Spending by Category'!H316,"0.00"), ""), "")</f>
        <v/>
      </c>
      <c r="H310" s="23" t="str">
        <f>IFERROR(IF(ISNUMBER('Spending by Category'!I316),TEXT('Spending by Category'!I316,"0.00"), ""), "")</f>
        <v/>
      </c>
      <c r="I310" s="23" t="str">
        <f>IFERROR(IF(ISNUMBER('Spending by Category'!J316),TEXT('Spending by Category'!J316,"0.00"), ""), "")</f>
        <v/>
      </c>
    </row>
    <row r="311" spans="1:9">
      <c r="A311" s="23" t="str">
        <f>TEXT(IF('Spending by Category'!B317&lt;&gt;0,'Spending by Category'!B317-364, ""), "mm/dd/yyyy")</f>
        <v/>
      </c>
      <c r="B311" s="23" t="str">
        <f>IFERROR(IF(ISNUMBER('Spending by Category'!C317),TEXT('Spending by Category'!C317,"0.00"), ""), "")</f>
        <v/>
      </c>
      <c r="C311" s="23" t="str">
        <f>IFERROR(IF(ISNUMBER('Spending by Category'!D317),TEXT('Spending by Category'!D317,"0.00"), ""), "")</f>
        <v/>
      </c>
      <c r="D311" s="23" t="str">
        <f>IFERROR(IF(ISNUMBER('Spending by Category'!E317),TEXT('Spending by Category'!E317,"0.00"), ""), "")</f>
        <v/>
      </c>
      <c r="E311" s="23" t="str">
        <f>IFERROR(IF(ISNUMBER('Spending by Category'!F317),TEXT('Spending by Category'!F317,"0.00"), ""), "")</f>
        <v/>
      </c>
      <c r="F311" s="23" t="str">
        <f>IFERROR(IF(ISNUMBER('Spending by Category'!G317),TEXT('Spending by Category'!G317,"0.00"), ""), "")</f>
        <v/>
      </c>
      <c r="G311" s="23" t="str">
        <f>IFERROR(IF(ISNUMBER('Spending by Category'!H317),TEXT('Spending by Category'!H317,"0.00"), ""), "")</f>
        <v/>
      </c>
      <c r="H311" s="23" t="str">
        <f>IFERROR(IF(ISNUMBER('Spending by Category'!I317),TEXT('Spending by Category'!I317,"0.00"), ""), "")</f>
        <v/>
      </c>
      <c r="I311" s="23" t="str">
        <f>IFERROR(IF(ISNUMBER('Spending by Category'!J317),TEXT('Spending by Category'!J317,"0.00"), ""), "")</f>
        <v/>
      </c>
    </row>
    <row r="312" spans="1:9">
      <c r="A312" s="23" t="str">
        <f>TEXT(IF('Spending by Category'!B318&lt;&gt;0,'Spending by Category'!B318-364, ""), "mm/dd/yyyy")</f>
        <v/>
      </c>
      <c r="B312" s="23" t="str">
        <f>IFERROR(IF(ISNUMBER('Spending by Category'!C318),TEXT('Spending by Category'!C318,"0.00"), ""), "")</f>
        <v/>
      </c>
      <c r="C312" s="23" t="str">
        <f>IFERROR(IF(ISNUMBER('Spending by Category'!D318),TEXT('Spending by Category'!D318,"0.00"), ""), "")</f>
        <v/>
      </c>
      <c r="D312" s="23" t="str">
        <f>IFERROR(IF(ISNUMBER('Spending by Category'!E318),TEXT('Spending by Category'!E318,"0.00"), ""), "")</f>
        <v/>
      </c>
      <c r="E312" s="23" t="str">
        <f>IFERROR(IF(ISNUMBER('Spending by Category'!F318),TEXT('Spending by Category'!F318,"0.00"), ""), "")</f>
        <v/>
      </c>
      <c r="F312" s="23" t="str">
        <f>IFERROR(IF(ISNUMBER('Spending by Category'!G318),TEXT('Spending by Category'!G318,"0.00"), ""), "")</f>
        <v/>
      </c>
      <c r="G312" s="23" t="str">
        <f>IFERROR(IF(ISNUMBER('Spending by Category'!H318),TEXT('Spending by Category'!H318,"0.00"), ""), "")</f>
        <v/>
      </c>
      <c r="H312" s="23" t="str">
        <f>IFERROR(IF(ISNUMBER('Spending by Category'!I318),TEXT('Spending by Category'!I318,"0.00"), ""), "")</f>
        <v/>
      </c>
      <c r="I312" s="23" t="str">
        <f>IFERROR(IF(ISNUMBER('Spending by Category'!J318),TEXT('Spending by Category'!J318,"0.00"), ""), "")</f>
        <v/>
      </c>
    </row>
    <row r="313" spans="1:9">
      <c r="A313" s="23" t="str">
        <f>TEXT(IF('Spending by Category'!B319&lt;&gt;0,'Spending by Category'!B319-364, ""), "mm/dd/yyyy")</f>
        <v/>
      </c>
      <c r="B313" s="23" t="str">
        <f>IFERROR(IF(ISNUMBER('Spending by Category'!C319),TEXT('Spending by Category'!C319,"0.00"), ""), "")</f>
        <v/>
      </c>
      <c r="C313" s="23" t="str">
        <f>IFERROR(IF(ISNUMBER('Spending by Category'!D319),TEXT('Spending by Category'!D319,"0.00"), ""), "")</f>
        <v/>
      </c>
      <c r="D313" s="23" t="str">
        <f>IFERROR(IF(ISNUMBER('Spending by Category'!E319),TEXT('Spending by Category'!E319,"0.00"), ""), "")</f>
        <v/>
      </c>
      <c r="E313" s="23" t="str">
        <f>IFERROR(IF(ISNUMBER('Spending by Category'!F319),TEXT('Spending by Category'!F319,"0.00"), ""), "")</f>
        <v/>
      </c>
      <c r="F313" s="23" t="str">
        <f>IFERROR(IF(ISNUMBER('Spending by Category'!G319),TEXT('Spending by Category'!G319,"0.00"), ""), "")</f>
        <v/>
      </c>
      <c r="G313" s="23" t="str">
        <f>IFERROR(IF(ISNUMBER('Spending by Category'!H319),TEXT('Spending by Category'!H319,"0.00"), ""), "")</f>
        <v/>
      </c>
      <c r="H313" s="23" t="str">
        <f>IFERROR(IF(ISNUMBER('Spending by Category'!I319),TEXT('Spending by Category'!I319,"0.00"), ""), "")</f>
        <v/>
      </c>
      <c r="I313" s="23" t="str">
        <f>IFERROR(IF(ISNUMBER('Spending by Category'!J319),TEXT('Spending by Category'!J319,"0.00"), ""), "")</f>
        <v/>
      </c>
    </row>
    <row r="314" spans="1:9">
      <c r="A314" s="23" t="str">
        <f>TEXT(IF('Spending by Category'!B320&lt;&gt;0,'Spending by Category'!B320-364, ""), "mm/dd/yyyy")</f>
        <v/>
      </c>
      <c r="B314" s="23" t="str">
        <f>IFERROR(IF(ISNUMBER('Spending by Category'!C320),TEXT('Spending by Category'!C320,"0.00"), ""), "")</f>
        <v/>
      </c>
      <c r="C314" s="23" t="str">
        <f>IFERROR(IF(ISNUMBER('Spending by Category'!D320),TEXT('Spending by Category'!D320,"0.00"), ""), "")</f>
        <v/>
      </c>
      <c r="D314" s="23" t="str">
        <f>IFERROR(IF(ISNUMBER('Spending by Category'!E320),TEXT('Spending by Category'!E320,"0.00"), ""), "")</f>
        <v/>
      </c>
      <c r="E314" s="23" t="str">
        <f>IFERROR(IF(ISNUMBER('Spending by Category'!F320),TEXT('Spending by Category'!F320,"0.00"), ""), "")</f>
        <v/>
      </c>
      <c r="F314" s="23" t="str">
        <f>IFERROR(IF(ISNUMBER('Spending by Category'!G320),TEXT('Spending by Category'!G320,"0.00"), ""), "")</f>
        <v/>
      </c>
      <c r="G314" s="23" t="str">
        <f>IFERROR(IF(ISNUMBER('Spending by Category'!H320),TEXT('Spending by Category'!H320,"0.00"), ""), "")</f>
        <v/>
      </c>
      <c r="H314" s="23" t="str">
        <f>IFERROR(IF(ISNUMBER('Spending by Category'!I320),TEXT('Spending by Category'!I320,"0.00"), ""), "")</f>
        <v/>
      </c>
      <c r="I314" s="23" t="str">
        <f>IFERROR(IF(ISNUMBER('Spending by Category'!J320),TEXT('Spending by Category'!J320,"0.00"), ""), "")</f>
        <v/>
      </c>
    </row>
    <row r="315" spans="1:9">
      <c r="A315" s="23" t="str">
        <f>TEXT(IF('Spending by Category'!B321&lt;&gt;0,'Spending by Category'!B321-364, ""), "mm/dd/yyyy")</f>
        <v/>
      </c>
      <c r="B315" s="23" t="str">
        <f>IFERROR(IF(ISNUMBER('Spending by Category'!C321),TEXT('Spending by Category'!C321,"0.00"), ""), "")</f>
        <v/>
      </c>
      <c r="C315" s="23" t="str">
        <f>IFERROR(IF(ISNUMBER('Spending by Category'!D321),TEXT('Spending by Category'!D321,"0.00"), ""), "")</f>
        <v/>
      </c>
      <c r="D315" s="23" t="str">
        <f>IFERROR(IF(ISNUMBER('Spending by Category'!E321),TEXT('Spending by Category'!E321,"0.00"), ""), "")</f>
        <v/>
      </c>
      <c r="E315" s="23" t="str">
        <f>IFERROR(IF(ISNUMBER('Spending by Category'!F321),TEXT('Spending by Category'!F321,"0.00"), ""), "")</f>
        <v/>
      </c>
      <c r="F315" s="23" t="str">
        <f>IFERROR(IF(ISNUMBER('Spending by Category'!G321),TEXT('Spending by Category'!G321,"0.00"), ""), "")</f>
        <v/>
      </c>
      <c r="G315" s="23" t="str">
        <f>IFERROR(IF(ISNUMBER('Spending by Category'!H321),TEXT('Spending by Category'!H321,"0.00"), ""), "")</f>
        <v/>
      </c>
      <c r="H315" s="23" t="str">
        <f>IFERROR(IF(ISNUMBER('Spending by Category'!I321),TEXT('Spending by Category'!I321,"0.00"), ""), "")</f>
        <v/>
      </c>
      <c r="I315" s="23" t="str">
        <f>IFERROR(IF(ISNUMBER('Spending by Category'!J321),TEXT('Spending by Category'!J321,"0.00"), ""), "")</f>
        <v/>
      </c>
    </row>
    <row r="316" spans="1:9">
      <c r="A316" s="23" t="str">
        <f>TEXT(IF('Spending by Category'!B322&lt;&gt;0,'Spending by Category'!B322-364, ""), "mm/dd/yyyy")</f>
        <v/>
      </c>
      <c r="B316" s="23" t="str">
        <f>IFERROR(IF(ISNUMBER('Spending by Category'!C322),TEXT('Spending by Category'!C322,"0.00"), ""), "")</f>
        <v/>
      </c>
      <c r="C316" s="23" t="str">
        <f>IFERROR(IF(ISNUMBER('Spending by Category'!D322),TEXT('Spending by Category'!D322,"0.00"), ""), "")</f>
        <v/>
      </c>
      <c r="D316" s="23" t="str">
        <f>IFERROR(IF(ISNUMBER('Spending by Category'!E322),TEXT('Spending by Category'!E322,"0.00"), ""), "")</f>
        <v/>
      </c>
      <c r="E316" s="23" t="str">
        <f>IFERROR(IF(ISNUMBER('Spending by Category'!F322),TEXT('Spending by Category'!F322,"0.00"), ""), "")</f>
        <v/>
      </c>
      <c r="F316" s="23" t="str">
        <f>IFERROR(IF(ISNUMBER('Spending by Category'!G322),TEXT('Spending by Category'!G322,"0.00"), ""), "")</f>
        <v/>
      </c>
      <c r="G316" s="23" t="str">
        <f>IFERROR(IF(ISNUMBER('Spending by Category'!H322),TEXT('Spending by Category'!H322,"0.00"), ""), "")</f>
        <v/>
      </c>
      <c r="H316" s="23" t="str">
        <f>IFERROR(IF(ISNUMBER('Spending by Category'!I322),TEXT('Spending by Category'!I322,"0.00"), ""), "")</f>
        <v/>
      </c>
      <c r="I316" s="23" t="str">
        <f>IFERROR(IF(ISNUMBER('Spending by Category'!J322),TEXT('Spending by Category'!J322,"0.00"), ""), "")</f>
        <v/>
      </c>
    </row>
    <row r="317" spans="1:9">
      <c r="A317" s="23" t="str">
        <f>TEXT(IF('Spending by Category'!B323&lt;&gt;0,'Spending by Category'!B323-364, ""), "mm/dd/yyyy")</f>
        <v/>
      </c>
      <c r="B317" s="23" t="str">
        <f>IFERROR(IF(ISNUMBER('Spending by Category'!C323),TEXT('Spending by Category'!C323,"0.00"), ""), "")</f>
        <v/>
      </c>
      <c r="C317" s="23" t="str">
        <f>IFERROR(IF(ISNUMBER('Spending by Category'!D323),TEXT('Spending by Category'!D323,"0.00"), ""), "")</f>
        <v/>
      </c>
      <c r="D317" s="23" t="str">
        <f>IFERROR(IF(ISNUMBER('Spending by Category'!E323),TEXT('Spending by Category'!E323,"0.00"), ""), "")</f>
        <v/>
      </c>
      <c r="E317" s="23" t="str">
        <f>IFERROR(IF(ISNUMBER('Spending by Category'!F323),TEXT('Spending by Category'!F323,"0.00"), ""), "")</f>
        <v/>
      </c>
      <c r="F317" s="23" t="str">
        <f>IFERROR(IF(ISNUMBER('Spending by Category'!G323),TEXT('Spending by Category'!G323,"0.00"), ""), "")</f>
        <v/>
      </c>
      <c r="G317" s="23" t="str">
        <f>IFERROR(IF(ISNUMBER('Spending by Category'!H323),TEXT('Spending by Category'!H323,"0.00"), ""), "")</f>
        <v/>
      </c>
      <c r="H317" s="23" t="str">
        <f>IFERROR(IF(ISNUMBER('Spending by Category'!I323),TEXT('Spending by Category'!I323,"0.00"), ""), "")</f>
        <v/>
      </c>
      <c r="I317" s="23" t="str">
        <f>IFERROR(IF(ISNUMBER('Spending by Category'!J323),TEXT('Spending by Category'!J323,"0.00"), ""), "")</f>
        <v/>
      </c>
    </row>
    <row r="318" spans="1:9">
      <c r="A318" s="23" t="str">
        <f>TEXT(IF('Spending by Category'!B324&lt;&gt;0,'Spending by Category'!B324-364, ""), "mm/dd/yyyy")</f>
        <v/>
      </c>
      <c r="B318" s="23" t="str">
        <f>IFERROR(IF(ISNUMBER('Spending by Category'!C324),TEXT('Spending by Category'!C324,"0.00"), ""), "")</f>
        <v/>
      </c>
      <c r="C318" s="23" t="str">
        <f>IFERROR(IF(ISNUMBER('Spending by Category'!D324),TEXT('Spending by Category'!D324,"0.00"), ""), "")</f>
        <v/>
      </c>
      <c r="D318" s="23" t="str">
        <f>IFERROR(IF(ISNUMBER('Spending by Category'!E324),TEXT('Spending by Category'!E324,"0.00"), ""), "")</f>
        <v/>
      </c>
      <c r="E318" s="23" t="str">
        <f>IFERROR(IF(ISNUMBER('Spending by Category'!F324),TEXT('Spending by Category'!F324,"0.00"), ""), "")</f>
        <v/>
      </c>
      <c r="F318" s="23" t="str">
        <f>IFERROR(IF(ISNUMBER('Spending by Category'!G324),TEXT('Spending by Category'!G324,"0.00"), ""), "")</f>
        <v/>
      </c>
      <c r="G318" s="23" t="str">
        <f>IFERROR(IF(ISNUMBER('Spending by Category'!H324),TEXT('Spending by Category'!H324,"0.00"), ""), "")</f>
        <v/>
      </c>
      <c r="H318" s="23" t="str">
        <f>IFERROR(IF(ISNUMBER('Spending by Category'!I324),TEXT('Spending by Category'!I324,"0.00"), ""), "")</f>
        <v/>
      </c>
      <c r="I318" s="23" t="str">
        <f>IFERROR(IF(ISNUMBER('Spending by Category'!J324),TEXT('Spending by Category'!J324,"0.00"), ""), "")</f>
        <v/>
      </c>
    </row>
    <row r="319" spans="1:9">
      <c r="A319" s="23" t="str">
        <f>TEXT(IF('Spending by Category'!B325&lt;&gt;0,'Spending by Category'!B325-364, ""), "mm/dd/yyyy")</f>
        <v/>
      </c>
      <c r="B319" s="23" t="str">
        <f>IFERROR(IF(ISNUMBER('Spending by Category'!C325),TEXT('Spending by Category'!C325,"0.00"), ""), "")</f>
        <v/>
      </c>
      <c r="C319" s="23" t="str">
        <f>IFERROR(IF(ISNUMBER('Spending by Category'!D325),TEXT('Spending by Category'!D325,"0.00"), ""), "")</f>
        <v/>
      </c>
      <c r="D319" s="23" t="str">
        <f>IFERROR(IF(ISNUMBER('Spending by Category'!E325),TEXT('Spending by Category'!E325,"0.00"), ""), "")</f>
        <v/>
      </c>
      <c r="E319" s="23" t="str">
        <f>IFERROR(IF(ISNUMBER('Spending by Category'!F325),TEXT('Spending by Category'!F325,"0.00"), ""), "")</f>
        <v/>
      </c>
      <c r="F319" s="23" t="str">
        <f>IFERROR(IF(ISNUMBER('Spending by Category'!G325),TEXT('Spending by Category'!G325,"0.00"), ""), "")</f>
        <v/>
      </c>
      <c r="G319" s="23" t="str">
        <f>IFERROR(IF(ISNUMBER('Spending by Category'!H325),TEXT('Spending by Category'!H325,"0.00"), ""), "")</f>
        <v/>
      </c>
      <c r="H319" s="23" t="str">
        <f>IFERROR(IF(ISNUMBER('Spending by Category'!I325),TEXT('Spending by Category'!I325,"0.00"), ""), "")</f>
        <v/>
      </c>
      <c r="I319" s="23" t="str">
        <f>IFERROR(IF(ISNUMBER('Spending by Category'!J325),TEXT('Spending by Category'!J325,"0.00"), ""), "")</f>
        <v/>
      </c>
    </row>
    <row r="320" spans="1:9">
      <c r="A320" s="23" t="str">
        <f>TEXT(IF('Spending by Category'!B326&lt;&gt;0,'Spending by Category'!B326-364, ""), "mm/dd/yyyy")</f>
        <v/>
      </c>
      <c r="B320" s="23" t="str">
        <f>IFERROR(IF(ISNUMBER('Spending by Category'!C326),TEXT('Spending by Category'!C326,"0.00"), ""), "")</f>
        <v/>
      </c>
      <c r="C320" s="23" t="str">
        <f>IFERROR(IF(ISNUMBER('Spending by Category'!D326),TEXT('Spending by Category'!D326,"0.00"), ""), "")</f>
        <v/>
      </c>
      <c r="D320" s="23" t="str">
        <f>IFERROR(IF(ISNUMBER('Spending by Category'!E326),TEXT('Spending by Category'!E326,"0.00"), ""), "")</f>
        <v/>
      </c>
      <c r="E320" s="23" t="str">
        <f>IFERROR(IF(ISNUMBER('Spending by Category'!F326),TEXT('Spending by Category'!F326,"0.00"), ""), "")</f>
        <v/>
      </c>
      <c r="F320" s="23" t="str">
        <f>IFERROR(IF(ISNUMBER('Spending by Category'!G326),TEXT('Spending by Category'!G326,"0.00"), ""), "")</f>
        <v/>
      </c>
      <c r="G320" s="23" t="str">
        <f>IFERROR(IF(ISNUMBER('Spending by Category'!H326),TEXT('Spending by Category'!H326,"0.00"), ""), "")</f>
        <v/>
      </c>
      <c r="H320" s="23" t="str">
        <f>IFERROR(IF(ISNUMBER('Spending by Category'!I326),TEXT('Spending by Category'!I326,"0.00"), ""), "")</f>
        <v/>
      </c>
      <c r="I320" s="23" t="str">
        <f>IFERROR(IF(ISNUMBER('Spending by Category'!J326),TEXT('Spending by Category'!J326,"0.00"), ""), "")</f>
        <v/>
      </c>
    </row>
    <row r="321" spans="1:9">
      <c r="A321" s="23" t="str">
        <f>TEXT(IF('Spending by Category'!B327&lt;&gt;0,'Spending by Category'!B327-364, ""), "mm/dd/yyyy")</f>
        <v/>
      </c>
      <c r="B321" s="23" t="str">
        <f>IFERROR(IF(ISNUMBER('Spending by Category'!C327),TEXT('Spending by Category'!C327,"0.00"), ""), "")</f>
        <v/>
      </c>
      <c r="C321" s="23" t="str">
        <f>IFERROR(IF(ISNUMBER('Spending by Category'!D327),TEXT('Spending by Category'!D327,"0.00"), ""), "")</f>
        <v/>
      </c>
      <c r="D321" s="23" t="str">
        <f>IFERROR(IF(ISNUMBER('Spending by Category'!E327),TEXT('Spending by Category'!E327,"0.00"), ""), "")</f>
        <v/>
      </c>
      <c r="E321" s="23" t="str">
        <f>IFERROR(IF(ISNUMBER('Spending by Category'!F327),TEXT('Spending by Category'!F327,"0.00"), ""), "")</f>
        <v/>
      </c>
      <c r="F321" s="23" t="str">
        <f>IFERROR(IF(ISNUMBER('Spending by Category'!G327),TEXT('Spending by Category'!G327,"0.00"), ""), "")</f>
        <v/>
      </c>
      <c r="G321" s="23" t="str">
        <f>IFERROR(IF(ISNUMBER('Spending by Category'!H327),TEXT('Spending by Category'!H327,"0.00"), ""), "")</f>
        <v/>
      </c>
      <c r="H321" s="23" t="str">
        <f>IFERROR(IF(ISNUMBER('Spending by Category'!I327),TEXT('Spending by Category'!I327,"0.00"), ""), "")</f>
        <v/>
      </c>
      <c r="I321" s="23" t="str">
        <f>IFERROR(IF(ISNUMBER('Spending by Category'!J327),TEXT('Spending by Category'!J327,"0.00"), ""), "")</f>
        <v/>
      </c>
    </row>
    <row r="322" spans="1:9">
      <c r="A322" s="23" t="str">
        <f>TEXT(IF('Spending by Category'!B328&lt;&gt;0,'Spending by Category'!B328-364, ""), "mm/dd/yyyy")</f>
        <v/>
      </c>
      <c r="B322" s="23" t="str">
        <f>IFERROR(IF(ISNUMBER('Spending by Category'!C328),TEXT('Spending by Category'!C328,"0.00"), ""), "")</f>
        <v/>
      </c>
      <c r="C322" s="23" t="str">
        <f>IFERROR(IF(ISNUMBER('Spending by Category'!D328),TEXT('Spending by Category'!D328,"0.00"), ""), "")</f>
        <v/>
      </c>
      <c r="D322" s="23" t="str">
        <f>IFERROR(IF(ISNUMBER('Spending by Category'!E328),TEXT('Spending by Category'!E328,"0.00"), ""), "")</f>
        <v/>
      </c>
      <c r="E322" s="23" t="str">
        <f>IFERROR(IF(ISNUMBER('Spending by Category'!F328),TEXT('Spending by Category'!F328,"0.00"), ""), "")</f>
        <v/>
      </c>
      <c r="F322" s="23" t="str">
        <f>IFERROR(IF(ISNUMBER('Spending by Category'!G328),TEXT('Spending by Category'!G328,"0.00"), ""), "")</f>
        <v/>
      </c>
      <c r="G322" s="23" t="str">
        <f>IFERROR(IF(ISNUMBER('Spending by Category'!H328),TEXT('Spending by Category'!H328,"0.00"), ""), "")</f>
        <v/>
      </c>
      <c r="H322" s="23" t="str">
        <f>IFERROR(IF(ISNUMBER('Spending by Category'!I328),TEXT('Spending by Category'!I328,"0.00"), ""), "")</f>
        <v/>
      </c>
      <c r="I322" s="23" t="str">
        <f>IFERROR(IF(ISNUMBER('Spending by Category'!J328),TEXT('Spending by Category'!J328,"0.00"), ""), "")</f>
        <v/>
      </c>
    </row>
    <row r="323" spans="1:9">
      <c r="A323" s="23" t="str">
        <f>TEXT(IF('Spending by Category'!B329&lt;&gt;0,'Spending by Category'!B329-364, ""), "mm/dd/yyyy")</f>
        <v/>
      </c>
      <c r="B323" s="23" t="str">
        <f>IFERROR(IF(ISNUMBER('Spending by Category'!C329),TEXT('Spending by Category'!C329,"0.00"), ""), "")</f>
        <v/>
      </c>
      <c r="C323" s="23" t="str">
        <f>IFERROR(IF(ISNUMBER('Spending by Category'!D329),TEXT('Spending by Category'!D329,"0.00"), ""), "")</f>
        <v/>
      </c>
      <c r="D323" s="23" t="str">
        <f>IFERROR(IF(ISNUMBER('Spending by Category'!E329),TEXT('Spending by Category'!E329,"0.00"), ""), "")</f>
        <v/>
      </c>
      <c r="E323" s="23" t="str">
        <f>IFERROR(IF(ISNUMBER('Spending by Category'!F329),TEXT('Spending by Category'!F329,"0.00"), ""), "")</f>
        <v/>
      </c>
      <c r="F323" s="23" t="str">
        <f>IFERROR(IF(ISNUMBER('Spending by Category'!G329),TEXT('Spending by Category'!G329,"0.00"), ""), "")</f>
        <v/>
      </c>
      <c r="G323" s="23" t="str">
        <f>IFERROR(IF(ISNUMBER('Spending by Category'!H329),TEXT('Spending by Category'!H329,"0.00"), ""), "")</f>
        <v/>
      </c>
      <c r="H323" s="23" t="str">
        <f>IFERROR(IF(ISNUMBER('Spending by Category'!I329),TEXT('Spending by Category'!I329,"0.00"), ""), "")</f>
        <v/>
      </c>
      <c r="I323" s="23" t="str">
        <f>IFERROR(IF(ISNUMBER('Spending by Category'!J329),TEXT('Spending by Category'!J329,"0.00"), ""), "")</f>
        <v/>
      </c>
    </row>
    <row r="324" spans="1:9">
      <c r="A324" s="23" t="str">
        <f>TEXT(IF('Spending by Category'!B330&lt;&gt;0,'Spending by Category'!B330-364, ""), "mm/dd/yyyy")</f>
        <v/>
      </c>
      <c r="B324" s="23" t="str">
        <f>IFERROR(IF(ISNUMBER('Spending by Category'!C330),TEXT('Spending by Category'!C330,"0.00"), ""), "")</f>
        <v/>
      </c>
      <c r="C324" s="23" t="str">
        <f>IFERROR(IF(ISNUMBER('Spending by Category'!D330),TEXT('Spending by Category'!D330,"0.00"), ""), "")</f>
        <v/>
      </c>
      <c r="D324" s="23" t="str">
        <f>IFERROR(IF(ISNUMBER('Spending by Category'!E330),TEXT('Spending by Category'!E330,"0.00"), ""), "")</f>
        <v/>
      </c>
      <c r="E324" s="23" t="str">
        <f>IFERROR(IF(ISNUMBER('Spending by Category'!F330),TEXT('Spending by Category'!F330,"0.00"), ""), "")</f>
        <v/>
      </c>
      <c r="F324" s="23" t="str">
        <f>IFERROR(IF(ISNUMBER('Spending by Category'!G330),TEXT('Spending by Category'!G330,"0.00"), ""), "")</f>
        <v/>
      </c>
      <c r="G324" s="23" t="str">
        <f>IFERROR(IF(ISNUMBER('Spending by Category'!H330),TEXT('Spending by Category'!H330,"0.00"), ""), "")</f>
        <v/>
      </c>
      <c r="H324" s="23" t="str">
        <f>IFERROR(IF(ISNUMBER('Spending by Category'!I330),TEXT('Spending by Category'!I330,"0.00"), ""), "")</f>
        <v/>
      </c>
      <c r="I324" s="23" t="str">
        <f>IFERROR(IF(ISNUMBER('Spending by Category'!J330),TEXT('Spending by Category'!J330,"0.00"), ""), "")</f>
        <v/>
      </c>
    </row>
    <row r="325" spans="1:9">
      <c r="A325" s="23" t="str">
        <f>TEXT(IF('Spending by Category'!B331&lt;&gt;0,'Spending by Category'!B331-364, ""), "mm/dd/yyyy")</f>
        <v/>
      </c>
      <c r="B325" s="23" t="str">
        <f>IFERROR(IF(ISNUMBER('Spending by Category'!C331),TEXT('Spending by Category'!C331,"0.00"), ""), "")</f>
        <v/>
      </c>
      <c r="C325" s="23" t="str">
        <f>IFERROR(IF(ISNUMBER('Spending by Category'!D331),TEXT('Spending by Category'!D331,"0.00"), ""), "")</f>
        <v/>
      </c>
      <c r="D325" s="23" t="str">
        <f>IFERROR(IF(ISNUMBER('Spending by Category'!E331),TEXT('Spending by Category'!E331,"0.00"), ""), "")</f>
        <v/>
      </c>
      <c r="E325" s="23" t="str">
        <f>IFERROR(IF(ISNUMBER('Spending by Category'!F331),TEXT('Spending by Category'!F331,"0.00"), ""), "")</f>
        <v/>
      </c>
      <c r="F325" s="23" t="str">
        <f>IFERROR(IF(ISNUMBER('Spending by Category'!G331),TEXT('Spending by Category'!G331,"0.00"), ""), "")</f>
        <v/>
      </c>
      <c r="G325" s="23" t="str">
        <f>IFERROR(IF(ISNUMBER('Spending by Category'!H331),TEXT('Spending by Category'!H331,"0.00"), ""), "")</f>
        <v/>
      </c>
      <c r="H325" s="23" t="str">
        <f>IFERROR(IF(ISNUMBER('Spending by Category'!I331),TEXT('Spending by Category'!I331,"0.00"), ""), "")</f>
        <v/>
      </c>
      <c r="I325" s="23" t="str">
        <f>IFERROR(IF(ISNUMBER('Spending by Category'!J331),TEXT('Spending by Category'!J331,"0.00"), ""), "")</f>
        <v/>
      </c>
    </row>
    <row r="326" spans="1:9">
      <c r="A326" s="23" t="str">
        <f>TEXT(IF('Spending by Category'!B332&lt;&gt;0,'Spending by Category'!B332-364, ""), "mm/dd/yyyy")</f>
        <v/>
      </c>
      <c r="B326" s="23" t="str">
        <f>IFERROR(IF(ISNUMBER('Spending by Category'!C332),TEXT('Spending by Category'!C332,"0.00"), ""), "")</f>
        <v/>
      </c>
      <c r="C326" s="23" t="str">
        <f>IFERROR(IF(ISNUMBER('Spending by Category'!D332),TEXT('Spending by Category'!D332,"0.00"), ""), "")</f>
        <v/>
      </c>
      <c r="D326" s="23" t="str">
        <f>IFERROR(IF(ISNUMBER('Spending by Category'!E332),TEXT('Spending by Category'!E332,"0.00"), ""), "")</f>
        <v/>
      </c>
      <c r="E326" s="23" t="str">
        <f>IFERROR(IF(ISNUMBER('Spending by Category'!F332),TEXT('Spending by Category'!F332,"0.00"), ""), "")</f>
        <v/>
      </c>
      <c r="F326" s="23" t="str">
        <f>IFERROR(IF(ISNUMBER('Spending by Category'!G332),TEXT('Spending by Category'!G332,"0.00"), ""), "")</f>
        <v/>
      </c>
      <c r="G326" s="23" t="str">
        <f>IFERROR(IF(ISNUMBER('Spending by Category'!H332),TEXT('Spending by Category'!H332,"0.00"), ""), "")</f>
        <v/>
      </c>
      <c r="H326" s="23" t="str">
        <f>IFERROR(IF(ISNUMBER('Spending by Category'!I332),TEXT('Spending by Category'!I332,"0.00"), ""), "")</f>
        <v/>
      </c>
      <c r="I326" s="23" t="str">
        <f>IFERROR(IF(ISNUMBER('Spending by Category'!J332),TEXT('Spending by Category'!J332,"0.00"), ""), "")</f>
        <v/>
      </c>
    </row>
    <row r="327" spans="1:9">
      <c r="A327" s="23" t="str">
        <f>TEXT(IF('Spending by Category'!B333&lt;&gt;0,'Spending by Category'!B333-364, ""), "mm/dd/yyyy")</f>
        <v/>
      </c>
      <c r="B327" s="23" t="str">
        <f>IFERROR(IF(ISNUMBER('Spending by Category'!C333),TEXT('Spending by Category'!C333,"0.00"), ""), "")</f>
        <v/>
      </c>
      <c r="C327" s="23" t="str">
        <f>IFERROR(IF(ISNUMBER('Spending by Category'!D333),TEXT('Spending by Category'!D333,"0.00"), ""), "")</f>
        <v/>
      </c>
      <c r="D327" s="23" t="str">
        <f>IFERROR(IF(ISNUMBER('Spending by Category'!E333),TEXT('Spending by Category'!E333,"0.00"), ""), "")</f>
        <v/>
      </c>
      <c r="E327" s="23" t="str">
        <f>IFERROR(IF(ISNUMBER('Spending by Category'!F333),TEXT('Spending by Category'!F333,"0.00"), ""), "")</f>
        <v/>
      </c>
      <c r="F327" s="23" t="str">
        <f>IFERROR(IF(ISNUMBER('Spending by Category'!G333),TEXT('Spending by Category'!G333,"0.00"), ""), "")</f>
        <v/>
      </c>
      <c r="G327" s="23" t="str">
        <f>IFERROR(IF(ISNUMBER('Spending by Category'!H333),TEXT('Spending by Category'!H333,"0.00"), ""), "")</f>
        <v/>
      </c>
      <c r="H327" s="23" t="str">
        <f>IFERROR(IF(ISNUMBER('Spending by Category'!I333),TEXT('Spending by Category'!I333,"0.00"), ""), "")</f>
        <v/>
      </c>
      <c r="I327" s="23" t="str">
        <f>IFERROR(IF(ISNUMBER('Spending by Category'!J333),TEXT('Spending by Category'!J333,"0.00"), ""), "")</f>
        <v/>
      </c>
    </row>
    <row r="328" spans="1:9">
      <c r="A328" s="23" t="str">
        <f>TEXT(IF('Spending by Category'!B334&lt;&gt;0,'Spending by Category'!B334-364, ""), "mm/dd/yyyy")</f>
        <v/>
      </c>
      <c r="B328" s="23" t="str">
        <f>IFERROR(IF(ISNUMBER('Spending by Category'!C334),TEXT('Spending by Category'!C334,"0.00"), ""), "")</f>
        <v/>
      </c>
      <c r="C328" s="23" t="str">
        <f>IFERROR(IF(ISNUMBER('Spending by Category'!D334),TEXT('Spending by Category'!D334,"0.00"), ""), "")</f>
        <v/>
      </c>
      <c r="D328" s="23" t="str">
        <f>IFERROR(IF(ISNUMBER('Spending by Category'!E334),TEXT('Spending by Category'!E334,"0.00"), ""), "")</f>
        <v/>
      </c>
      <c r="E328" s="23" t="str">
        <f>IFERROR(IF(ISNUMBER('Spending by Category'!F334),TEXT('Spending by Category'!F334,"0.00"), ""), "")</f>
        <v/>
      </c>
      <c r="F328" s="23" t="str">
        <f>IFERROR(IF(ISNUMBER('Spending by Category'!G334),TEXT('Spending by Category'!G334,"0.00"), ""), "")</f>
        <v/>
      </c>
      <c r="G328" s="23" t="str">
        <f>IFERROR(IF(ISNUMBER('Spending by Category'!H334),TEXT('Spending by Category'!H334,"0.00"), ""), "")</f>
        <v/>
      </c>
      <c r="H328" s="23" t="str">
        <f>IFERROR(IF(ISNUMBER('Spending by Category'!I334),TEXT('Spending by Category'!I334,"0.00"), ""), "")</f>
        <v/>
      </c>
      <c r="I328" s="23" t="str">
        <f>IFERROR(IF(ISNUMBER('Spending by Category'!J334),TEXT('Spending by Category'!J334,"0.00"), ""), "")</f>
        <v/>
      </c>
    </row>
    <row r="329" spans="1:9">
      <c r="A329" s="23" t="str">
        <f>TEXT(IF('Spending by Category'!B335&lt;&gt;0,'Spending by Category'!B335-364, ""), "mm/dd/yyyy")</f>
        <v/>
      </c>
      <c r="B329" s="23" t="str">
        <f>IFERROR(IF(ISNUMBER('Spending by Category'!C335),TEXT('Spending by Category'!C335,"0.00"), ""), "")</f>
        <v/>
      </c>
      <c r="C329" s="23" t="str">
        <f>IFERROR(IF(ISNUMBER('Spending by Category'!D335),TEXT('Spending by Category'!D335,"0.00"), ""), "")</f>
        <v/>
      </c>
      <c r="D329" s="23" t="str">
        <f>IFERROR(IF(ISNUMBER('Spending by Category'!E335),TEXT('Spending by Category'!E335,"0.00"), ""), "")</f>
        <v/>
      </c>
      <c r="E329" s="23" t="str">
        <f>IFERROR(IF(ISNUMBER('Spending by Category'!F335),TEXT('Spending by Category'!F335,"0.00"), ""), "")</f>
        <v/>
      </c>
      <c r="F329" s="23" t="str">
        <f>IFERROR(IF(ISNUMBER('Spending by Category'!G335),TEXT('Spending by Category'!G335,"0.00"), ""), "")</f>
        <v/>
      </c>
      <c r="G329" s="23" t="str">
        <f>IFERROR(IF(ISNUMBER('Spending by Category'!H335),TEXT('Spending by Category'!H335,"0.00"), ""), "")</f>
        <v/>
      </c>
      <c r="H329" s="23" t="str">
        <f>IFERROR(IF(ISNUMBER('Spending by Category'!I335),TEXT('Spending by Category'!I335,"0.00"), ""), "")</f>
        <v/>
      </c>
      <c r="I329" s="23" t="str">
        <f>IFERROR(IF(ISNUMBER('Spending by Category'!J335),TEXT('Spending by Category'!J335,"0.00"), ""), "")</f>
        <v/>
      </c>
    </row>
    <row r="330" spans="1:9">
      <c r="A330" s="23" t="str">
        <f>TEXT(IF('Spending by Category'!B336&lt;&gt;0,'Spending by Category'!B336-364, ""), "mm/dd/yyyy")</f>
        <v/>
      </c>
      <c r="B330" s="23" t="str">
        <f>IFERROR(IF(ISNUMBER('Spending by Category'!C336),TEXT('Spending by Category'!C336,"0.00"), ""), "")</f>
        <v/>
      </c>
      <c r="C330" s="23" t="str">
        <f>IFERROR(IF(ISNUMBER('Spending by Category'!D336),TEXT('Spending by Category'!D336,"0.00"), ""), "")</f>
        <v/>
      </c>
      <c r="D330" s="23" t="str">
        <f>IFERROR(IF(ISNUMBER('Spending by Category'!E336),TEXT('Spending by Category'!E336,"0.00"), ""), "")</f>
        <v/>
      </c>
      <c r="E330" s="23" t="str">
        <f>IFERROR(IF(ISNUMBER('Spending by Category'!F336),TEXT('Spending by Category'!F336,"0.00"), ""), "")</f>
        <v/>
      </c>
      <c r="F330" s="23" t="str">
        <f>IFERROR(IF(ISNUMBER('Spending by Category'!G336),TEXT('Spending by Category'!G336,"0.00"), ""), "")</f>
        <v/>
      </c>
      <c r="G330" s="23" t="str">
        <f>IFERROR(IF(ISNUMBER('Spending by Category'!H336),TEXT('Spending by Category'!H336,"0.00"), ""), "")</f>
        <v/>
      </c>
      <c r="H330" s="23" t="str">
        <f>IFERROR(IF(ISNUMBER('Spending by Category'!I336),TEXT('Spending by Category'!I336,"0.00"), ""), "")</f>
        <v/>
      </c>
      <c r="I330" s="23" t="str">
        <f>IFERROR(IF(ISNUMBER('Spending by Category'!J336),TEXT('Spending by Category'!J336,"0.00"), ""), "")</f>
        <v/>
      </c>
    </row>
    <row r="331" spans="1:9">
      <c r="A331" s="23" t="str">
        <f>TEXT(IF('Spending by Category'!B337&lt;&gt;0,'Spending by Category'!B337-364, ""), "mm/dd/yyyy")</f>
        <v/>
      </c>
      <c r="B331" s="23" t="str">
        <f>IFERROR(IF(ISNUMBER('Spending by Category'!C337),TEXT('Spending by Category'!C337,"0.00"), ""), "")</f>
        <v/>
      </c>
      <c r="C331" s="23" t="str">
        <f>IFERROR(IF(ISNUMBER('Spending by Category'!D337),TEXT('Spending by Category'!D337,"0.00"), ""), "")</f>
        <v/>
      </c>
      <c r="D331" s="23" t="str">
        <f>IFERROR(IF(ISNUMBER('Spending by Category'!E337),TEXT('Spending by Category'!E337,"0.00"), ""), "")</f>
        <v/>
      </c>
      <c r="E331" s="23" t="str">
        <f>IFERROR(IF(ISNUMBER('Spending by Category'!F337),TEXT('Spending by Category'!F337,"0.00"), ""), "")</f>
        <v/>
      </c>
      <c r="F331" s="23" t="str">
        <f>IFERROR(IF(ISNUMBER('Spending by Category'!G337),TEXT('Spending by Category'!G337,"0.00"), ""), "")</f>
        <v/>
      </c>
      <c r="G331" s="23" t="str">
        <f>IFERROR(IF(ISNUMBER('Spending by Category'!H337),TEXT('Spending by Category'!H337,"0.00"), ""), "")</f>
        <v/>
      </c>
      <c r="H331" s="23" t="str">
        <f>IFERROR(IF(ISNUMBER('Spending by Category'!I337),TEXT('Spending by Category'!I337,"0.00"), ""), "")</f>
        <v/>
      </c>
      <c r="I331" s="23" t="str">
        <f>IFERROR(IF(ISNUMBER('Spending by Category'!J337),TEXT('Spending by Category'!J337,"0.00"), ""), "")</f>
        <v/>
      </c>
    </row>
    <row r="332" spans="1:9">
      <c r="A332" s="23" t="str">
        <f>TEXT(IF('Spending by Category'!B338&lt;&gt;0,'Spending by Category'!B338-364, ""), "mm/dd/yyyy")</f>
        <v/>
      </c>
      <c r="B332" s="23" t="str">
        <f>IFERROR(IF(ISNUMBER('Spending by Category'!C338),TEXT('Spending by Category'!C338,"0.00"), ""), "")</f>
        <v/>
      </c>
      <c r="C332" s="23" t="str">
        <f>IFERROR(IF(ISNUMBER('Spending by Category'!D338),TEXT('Spending by Category'!D338,"0.00"), ""), "")</f>
        <v/>
      </c>
      <c r="D332" s="23" t="str">
        <f>IFERROR(IF(ISNUMBER('Spending by Category'!E338),TEXT('Spending by Category'!E338,"0.00"), ""), "")</f>
        <v/>
      </c>
      <c r="E332" s="23" t="str">
        <f>IFERROR(IF(ISNUMBER('Spending by Category'!F338),TEXT('Spending by Category'!F338,"0.00"), ""), "")</f>
        <v/>
      </c>
      <c r="F332" s="23" t="str">
        <f>IFERROR(IF(ISNUMBER('Spending by Category'!G338),TEXT('Spending by Category'!G338,"0.00"), ""), "")</f>
        <v/>
      </c>
      <c r="G332" s="23" t="str">
        <f>IFERROR(IF(ISNUMBER('Spending by Category'!H338),TEXT('Spending by Category'!H338,"0.00"), ""), "")</f>
        <v/>
      </c>
      <c r="H332" s="23" t="str">
        <f>IFERROR(IF(ISNUMBER('Spending by Category'!I338),TEXT('Spending by Category'!I338,"0.00"), ""), "")</f>
        <v/>
      </c>
      <c r="I332" s="23" t="str">
        <f>IFERROR(IF(ISNUMBER('Spending by Category'!J338),TEXT('Spending by Category'!J338,"0.00"), ""), "")</f>
        <v/>
      </c>
    </row>
    <row r="333" spans="1:9">
      <c r="A333" s="23" t="str">
        <f>TEXT(IF('Spending by Category'!B339&lt;&gt;0,'Spending by Category'!B339-364, ""), "mm/dd/yyyy")</f>
        <v/>
      </c>
      <c r="B333" s="23" t="str">
        <f>IFERROR(IF(ISNUMBER('Spending by Category'!C339),TEXT('Spending by Category'!C339,"0.00"), ""), "")</f>
        <v/>
      </c>
      <c r="C333" s="23" t="str">
        <f>IFERROR(IF(ISNUMBER('Spending by Category'!D339),TEXT('Spending by Category'!D339,"0.00"), ""), "")</f>
        <v/>
      </c>
      <c r="D333" s="23" t="str">
        <f>IFERROR(IF(ISNUMBER('Spending by Category'!E339),TEXT('Spending by Category'!E339,"0.00"), ""), "")</f>
        <v/>
      </c>
      <c r="E333" s="23" t="str">
        <f>IFERROR(IF(ISNUMBER('Spending by Category'!F339),TEXT('Spending by Category'!F339,"0.00"), ""), "")</f>
        <v/>
      </c>
      <c r="F333" s="23" t="str">
        <f>IFERROR(IF(ISNUMBER('Spending by Category'!G339),TEXT('Spending by Category'!G339,"0.00"), ""), "")</f>
        <v/>
      </c>
      <c r="G333" s="23" t="str">
        <f>IFERROR(IF(ISNUMBER('Spending by Category'!H339),TEXT('Spending by Category'!H339,"0.00"), ""), "")</f>
        <v/>
      </c>
      <c r="H333" s="23" t="str">
        <f>IFERROR(IF(ISNUMBER('Spending by Category'!I339),TEXT('Spending by Category'!I339,"0.00"), ""), "")</f>
        <v/>
      </c>
      <c r="I333" s="23" t="str">
        <f>IFERROR(IF(ISNUMBER('Spending by Category'!J339),TEXT('Spending by Category'!J339,"0.00"), ""), "")</f>
        <v/>
      </c>
    </row>
    <row r="334" spans="1:9">
      <c r="A334" s="23" t="str">
        <f>TEXT(IF('Spending by Category'!B340&lt;&gt;0,'Spending by Category'!B340-364, ""), "mm/dd/yyyy")</f>
        <v/>
      </c>
      <c r="B334" s="23" t="str">
        <f>IFERROR(IF(ISNUMBER('Spending by Category'!C340),TEXT('Spending by Category'!C340,"0.00"), ""), "")</f>
        <v/>
      </c>
      <c r="C334" s="23" t="str">
        <f>IFERROR(IF(ISNUMBER('Spending by Category'!D340),TEXT('Spending by Category'!D340,"0.00"), ""), "")</f>
        <v/>
      </c>
      <c r="D334" s="23" t="str">
        <f>IFERROR(IF(ISNUMBER('Spending by Category'!E340),TEXT('Spending by Category'!E340,"0.00"), ""), "")</f>
        <v/>
      </c>
      <c r="E334" s="23" t="str">
        <f>IFERROR(IF(ISNUMBER('Spending by Category'!F340),TEXT('Spending by Category'!F340,"0.00"), ""), "")</f>
        <v/>
      </c>
      <c r="F334" s="23" t="str">
        <f>IFERROR(IF(ISNUMBER('Spending by Category'!G340),TEXT('Spending by Category'!G340,"0.00"), ""), "")</f>
        <v/>
      </c>
      <c r="G334" s="23" t="str">
        <f>IFERROR(IF(ISNUMBER('Spending by Category'!H340),TEXT('Spending by Category'!H340,"0.00"), ""), "")</f>
        <v/>
      </c>
      <c r="H334" s="23" t="str">
        <f>IFERROR(IF(ISNUMBER('Spending by Category'!I340),TEXT('Spending by Category'!I340,"0.00"), ""), "")</f>
        <v/>
      </c>
      <c r="I334" s="23" t="str">
        <f>IFERROR(IF(ISNUMBER('Spending by Category'!J340),TEXT('Spending by Category'!J340,"0.00"), ""), "")</f>
        <v/>
      </c>
    </row>
    <row r="335" spans="1:9">
      <c r="A335" s="23" t="str">
        <f>TEXT(IF('Spending by Category'!B341&lt;&gt;0,'Spending by Category'!B341-364, ""), "mm/dd/yyyy")</f>
        <v/>
      </c>
      <c r="B335" s="23" t="str">
        <f>IFERROR(IF(ISNUMBER('Spending by Category'!C341),TEXT('Spending by Category'!C341,"0.00"), ""), "")</f>
        <v/>
      </c>
      <c r="C335" s="23" t="str">
        <f>IFERROR(IF(ISNUMBER('Spending by Category'!D341),TEXT('Spending by Category'!D341,"0.00"), ""), "")</f>
        <v/>
      </c>
      <c r="D335" s="23" t="str">
        <f>IFERROR(IF(ISNUMBER('Spending by Category'!E341),TEXT('Spending by Category'!E341,"0.00"), ""), "")</f>
        <v/>
      </c>
      <c r="E335" s="23" t="str">
        <f>IFERROR(IF(ISNUMBER('Spending by Category'!F341),TEXT('Spending by Category'!F341,"0.00"), ""), "")</f>
        <v/>
      </c>
      <c r="F335" s="23" t="str">
        <f>IFERROR(IF(ISNUMBER('Spending by Category'!G341),TEXT('Spending by Category'!G341,"0.00"), ""), "")</f>
        <v/>
      </c>
      <c r="G335" s="23" t="str">
        <f>IFERROR(IF(ISNUMBER('Spending by Category'!H341),TEXT('Spending by Category'!H341,"0.00"), ""), "")</f>
        <v/>
      </c>
      <c r="H335" s="23" t="str">
        <f>IFERROR(IF(ISNUMBER('Spending by Category'!I341),TEXT('Spending by Category'!I341,"0.00"), ""), "")</f>
        <v/>
      </c>
      <c r="I335" s="23" t="str">
        <f>IFERROR(IF(ISNUMBER('Spending by Category'!J341),TEXT('Spending by Category'!J341,"0.00"), ""), "")</f>
        <v/>
      </c>
    </row>
    <row r="336" spans="1:9">
      <c r="A336" s="23" t="str">
        <f>TEXT(IF('Spending by Category'!B342&lt;&gt;0,'Spending by Category'!B342-364, ""), "mm/dd/yyyy")</f>
        <v/>
      </c>
      <c r="B336" s="23" t="str">
        <f>IFERROR(IF(ISNUMBER('Spending by Category'!C342),TEXT('Spending by Category'!C342,"0.00"), ""), "")</f>
        <v/>
      </c>
      <c r="C336" s="23" t="str">
        <f>IFERROR(IF(ISNUMBER('Spending by Category'!D342),TEXT('Spending by Category'!D342,"0.00"), ""), "")</f>
        <v/>
      </c>
      <c r="D336" s="23" t="str">
        <f>IFERROR(IF(ISNUMBER('Spending by Category'!E342),TEXT('Spending by Category'!E342,"0.00"), ""), "")</f>
        <v/>
      </c>
      <c r="E336" s="23" t="str">
        <f>IFERROR(IF(ISNUMBER('Spending by Category'!F342),TEXT('Spending by Category'!F342,"0.00"), ""), "")</f>
        <v/>
      </c>
      <c r="F336" s="23" t="str">
        <f>IFERROR(IF(ISNUMBER('Spending by Category'!G342),TEXT('Spending by Category'!G342,"0.00"), ""), "")</f>
        <v/>
      </c>
      <c r="G336" s="23" t="str">
        <f>IFERROR(IF(ISNUMBER('Spending by Category'!H342),TEXT('Spending by Category'!H342,"0.00"), ""), "")</f>
        <v/>
      </c>
      <c r="H336" s="23" t="str">
        <f>IFERROR(IF(ISNUMBER('Spending by Category'!I342),TEXT('Spending by Category'!I342,"0.00"), ""), "")</f>
        <v/>
      </c>
      <c r="I336" s="23" t="str">
        <f>IFERROR(IF(ISNUMBER('Spending by Category'!J342),TEXT('Spending by Category'!J342,"0.00"), ""), "")</f>
        <v/>
      </c>
    </row>
    <row r="337" spans="1:9">
      <c r="A337" s="23" t="str">
        <f>TEXT(IF('Spending by Category'!B343&lt;&gt;0,'Spending by Category'!B343-364, ""), "mm/dd/yyyy")</f>
        <v/>
      </c>
      <c r="B337" s="23" t="str">
        <f>IFERROR(IF(ISNUMBER('Spending by Category'!C343),TEXT('Spending by Category'!C343,"0.00"), ""), "")</f>
        <v/>
      </c>
      <c r="C337" s="23" t="str">
        <f>IFERROR(IF(ISNUMBER('Spending by Category'!D343),TEXT('Spending by Category'!D343,"0.00"), ""), "")</f>
        <v/>
      </c>
      <c r="D337" s="23" t="str">
        <f>IFERROR(IF(ISNUMBER('Spending by Category'!E343),TEXT('Spending by Category'!E343,"0.00"), ""), "")</f>
        <v/>
      </c>
      <c r="E337" s="23" t="str">
        <f>IFERROR(IF(ISNUMBER('Spending by Category'!F343),TEXT('Spending by Category'!F343,"0.00"), ""), "")</f>
        <v/>
      </c>
      <c r="F337" s="23" t="str">
        <f>IFERROR(IF(ISNUMBER('Spending by Category'!G343),TEXT('Spending by Category'!G343,"0.00"), ""), "")</f>
        <v/>
      </c>
      <c r="G337" s="23" t="str">
        <f>IFERROR(IF(ISNUMBER('Spending by Category'!H343),TEXT('Spending by Category'!H343,"0.00"), ""), "")</f>
        <v/>
      </c>
      <c r="H337" s="23" t="str">
        <f>IFERROR(IF(ISNUMBER('Spending by Category'!I343),TEXT('Spending by Category'!I343,"0.00"), ""), "")</f>
        <v/>
      </c>
      <c r="I337" s="23" t="str">
        <f>IFERROR(IF(ISNUMBER('Spending by Category'!J343),TEXT('Spending by Category'!J343,"0.00"), ""), "")</f>
        <v/>
      </c>
    </row>
    <row r="338" spans="1:9">
      <c r="A338" s="23" t="str">
        <f>TEXT(IF('Spending by Category'!B344&lt;&gt;0,'Spending by Category'!B344-364, ""), "mm/dd/yyyy")</f>
        <v/>
      </c>
      <c r="B338" s="23" t="str">
        <f>IFERROR(IF(ISNUMBER('Spending by Category'!C344),TEXT('Spending by Category'!C344,"0.00"), ""), "")</f>
        <v/>
      </c>
      <c r="C338" s="23" t="str">
        <f>IFERROR(IF(ISNUMBER('Spending by Category'!D344),TEXT('Spending by Category'!D344,"0.00"), ""), "")</f>
        <v/>
      </c>
      <c r="D338" s="23" t="str">
        <f>IFERROR(IF(ISNUMBER('Spending by Category'!E344),TEXT('Spending by Category'!E344,"0.00"), ""), "")</f>
        <v/>
      </c>
      <c r="E338" s="23" t="str">
        <f>IFERROR(IF(ISNUMBER('Spending by Category'!F344),TEXT('Spending by Category'!F344,"0.00"), ""), "")</f>
        <v/>
      </c>
      <c r="F338" s="23" t="str">
        <f>IFERROR(IF(ISNUMBER('Spending by Category'!G344),TEXT('Spending by Category'!G344,"0.00"), ""), "")</f>
        <v/>
      </c>
      <c r="G338" s="23" t="str">
        <f>IFERROR(IF(ISNUMBER('Spending by Category'!H344),TEXT('Spending by Category'!H344,"0.00"), ""), "")</f>
        <v/>
      </c>
      <c r="H338" s="23" t="str">
        <f>IFERROR(IF(ISNUMBER('Spending by Category'!I344),TEXT('Spending by Category'!I344,"0.00"), ""), "")</f>
        <v/>
      </c>
      <c r="I338" s="23" t="str">
        <f>IFERROR(IF(ISNUMBER('Spending by Category'!J344),TEXT('Spending by Category'!J344,"0.00"), ""), "")</f>
        <v/>
      </c>
    </row>
    <row r="339" spans="1:9">
      <c r="A339" s="23" t="str">
        <f>TEXT(IF('Spending by Category'!B345&lt;&gt;0,'Spending by Category'!B345-364, ""), "mm/dd/yyyy")</f>
        <v/>
      </c>
      <c r="B339" s="23" t="str">
        <f>IFERROR(IF(ISNUMBER('Spending by Category'!C345),TEXT('Spending by Category'!C345,"0.00"), ""), "")</f>
        <v/>
      </c>
      <c r="C339" s="23" t="str">
        <f>IFERROR(IF(ISNUMBER('Spending by Category'!D345),TEXT('Spending by Category'!D345,"0.00"), ""), "")</f>
        <v/>
      </c>
      <c r="D339" s="23" t="str">
        <f>IFERROR(IF(ISNUMBER('Spending by Category'!E345),TEXT('Spending by Category'!E345,"0.00"), ""), "")</f>
        <v/>
      </c>
      <c r="E339" s="23" t="str">
        <f>IFERROR(IF(ISNUMBER('Spending by Category'!F345),TEXT('Spending by Category'!F345,"0.00"), ""), "")</f>
        <v/>
      </c>
      <c r="F339" s="23" t="str">
        <f>IFERROR(IF(ISNUMBER('Spending by Category'!G345),TEXT('Spending by Category'!G345,"0.00"), ""), "")</f>
        <v/>
      </c>
      <c r="G339" s="23" t="str">
        <f>IFERROR(IF(ISNUMBER('Spending by Category'!H345),TEXT('Spending by Category'!H345,"0.00"), ""), "")</f>
        <v/>
      </c>
      <c r="H339" s="23" t="str">
        <f>IFERROR(IF(ISNUMBER('Spending by Category'!I345),TEXT('Spending by Category'!I345,"0.00"), ""), "")</f>
        <v/>
      </c>
      <c r="I339" s="23" t="str">
        <f>IFERROR(IF(ISNUMBER('Spending by Category'!J345),TEXT('Spending by Category'!J345,"0.00"), ""), "")</f>
        <v/>
      </c>
    </row>
    <row r="340" spans="1:9">
      <c r="A340" s="23" t="str">
        <f>TEXT(IF('Spending by Category'!B346&lt;&gt;0,'Spending by Category'!B346-364, ""), "mm/dd/yyyy")</f>
        <v/>
      </c>
      <c r="B340" s="23" t="str">
        <f>IFERROR(IF(ISNUMBER('Spending by Category'!C346),TEXT('Spending by Category'!C346,"0.00"), ""), "")</f>
        <v/>
      </c>
      <c r="C340" s="23" t="str">
        <f>IFERROR(IF(ISNUMBER('Spending by Category'!D346),TEXT('Spending by Category'!D346,"0.00"), ""), "")</f>
        <v/>
      </c>
      <c r="D340" s="23" t="str">
        <f>IFERROR(IF(ISNUMBER('Spending by Category'!E346),TEXT('Spending by Category'!E346,"0.00"), ""), "")</f>
        <v/>
      </c>
      <c r="E340" s="23" t="str">
        <f>IFERROR(IF(ISNUMBER('Spending by Category'!F346),TEXT('Spending by Category'!F346,"0.00"), ""), "")</f>
        <v/>
      </c>
      <c r="F340" s="23" t="str">
        <f>IFERROR(IF(ISNUMBER('Spending by Category'!G346),TEXT('Spending by Category'!G346,"0.00"), ""), "")</f>
        <v/>
      </c>
      <c r="G340" s="23" t="str">
        <f>IFERROR(IF(ISNUMBER('Spending by Category'!H346),TEXT('Spending by Category'!H346,"0.00"), ""), "")</f>
        <v/>
      </c>
      <c r="H340" s="23" t="str">
        <f>IFERROR(IF(ISNUMBER('Spending by Category'!I346),TEXT('Spending by Category'!I346,"0.00"), ""), "")</f>
        <v/>
      </c>
      <c r="I340" s="23" t="str">
        <f>IFERROR(IF(ISNUMBER('Spending by Category'!J346),TEXT('Spending by Category'!J346,"0.00"), ""), "")</f>
        <v/>
      </c>
    </row>
    <row r="341" spans="1:9">
      <c r="A341" s="23" t="str">
        <f>TEXT(IF('Spending by Category'!B347&lt;&gt;0,'Spending by Category'!B347-364, ""), "mm/dd/yyyy")</f>
        <v/>
      </c>
      <c r="B341" s="23" t="str">
        <f>IFERROR(IF(ISNUMBER('Spending by Category'!C347),TEXT('Spending by Category'!C347,"0.00"), ""), "")</f>
        <v/>
      </c>
      <c r="C341" s="23" t="str">
        <f>IFERROR(IF(ISNUMBER('Spending by Category'!D347),TEXT('Spending by Category'!D347,"0.00"), ""), "")</f>
        <v/>
      </c>
      <c r="D341" s="23" t="str">
        <f>IFERROR(IF(ISNUMBER('Spending by Category'!E347),TEXT('Spending by Category'!E347,"0.00"), ""), "")</f>
        <v/>
      </c>
      <c r="E341" s="23" t="str">
        <f>IFERROR(IF(ISNUMBER('Spending by Category'!F347),TEXT('Spending by Category'!F347,"0.00"), ""), "")</f>
        <v/>
      </c>
      <c r="F341" s="23" t="str">
        <f>IFERROR(IF(ISNUMBER('Spending by Category'!G347),TEXT('Spending by Category'!G347,"0.00"), ""), "")</f>
        <v/>
      </c>
      <c r="G341" s="23" t="str">
        <f>IFERROR(IF(ISNUMBER('Spending by Category'!H347),TEXT('Spending by Category'!H347,"0.00"), ""), "")</f>
        <v/>
      </c>
      <c r="H341" s="23" t="str">
        <f>IFERROR(IF(ISNUMBER('Spending by Category'!I347),TEXT('Spending by Category'!I347,"0.00"), ""), "")</f>
        <v/>
      </c>
      <c r="I341" s="23" t="str">
        <f>IFERROR(IF(ISNUMBER('Spending by Category'!J347),TEXT('Spending by Category'!J347,"0.00"), ""), "")</f>
        <v/>
      </c>
    </row>
    <row r="342" spans="1:9">
      <c r="A342" s="23" t="str">
        <f>TEXT(IF('Spending by Category'!B348&lt;&gt;0,'Spending by Category'!B348-364, ""), "mm/dd/yyyy")</f>
        <v/>
      </c>
      <c r="B342" s="23" t="str">
        <f>IFERROR(IF(ISNUMBER('Spending by Category'!C348),TEXT('Spending by Category'!C348,"0.00"), ""), "")</f>
        <v/>
      </c>
      <c r="C342" s="23" t="str">
        <f>IFERROR(IF(ISNUMBER('Spending by Category'!D348),TEXT('Spending by Category'!D348,"0.00"), ""), "")</f>
        <v/>
      </c>
      <c r="D342" s="23" t="str">
        <f>IFERROR(IF(ISNUMBER('Spending by Category'!E348),TEXT('Spending by Category'!E348,"0.00"), ""), "")</f>
        <v/>
      </c>
      <c r="E342" s="23" t="str">
        <f>IFERROR(IF(ISNUMBER('Spending by Category'!F348),TEXT('Spending by Category'!F348,"0.00"), ""), "")</f>
        <v/>
      </c>
      <c r="F342" s="23" t="str">
        <f>IFERROR(IF(ISNUMBER('Spending by Category'!G348),TEXT('Spending by Category'!G348,"0.00"), ""), "")</f>
        <v/>
      </c>
      <c r="G342" s="23" t="str">
        <f>IFERROR(IF(ISNUMBER('Spending by Category'!H348),TEXT('Spending by Category'!H348,"0.00"), ""), "")</f>
        <v/>
      </c>
      <c r="H342" s="23" t="str">
        <f>IFERROR(IF(ISNUMBER('Spending by Category'!I348),TEXT('Spending by Category'!I348,"0.00"), ""), "")</f>
        <v/>
      </c>
      <c r="I342" s="23" t="str">
        <f>IFERROR(IF(ISNUMBER('Spending by Category'!J348),TEXT('Spending by Category'!J348,"0.00"), ""), "")</f>
        <v/>
      </c>
    </row>
    <row r="343" spans="1:9">
      <c r="A343" s="23" t="str">
        <f>TEXT(IF('Spending by Category'!B349&lt;&gt;0,'Spending by Category'!B349-364, ""), "mm/dd/yyyy")</f>
        <v/>
      </c>
      <c r="B343" s="23" t="str">
        <f>IFERROR(IF(ISNUMBER('Spending by Category'!C349),TEXT('Spending by Category'!C349,"0.00"), ""), "")</f>
        <v/>
      </c>
      <c r="C343" s="23" t="str">
        <f>IFERROR(IF(ISNUMBER('Spending by Category'!D349),TEXT('Spending by Category'!D349,"0.00"), ""), "")</f>
        <v/>
      </c>
      <c r="D343" s="23" t="str">
        <f>IFERROR(IF(ISNUMBER('Spending by Category'!E349),TEXT('Spending by Category'!E349,"0.00"), ""), "")</f>
        <v/>
      </c>
      <c r="E343" s="23" t="str">
        <f>IFERROR(IF(ISNUMBER('Spending by Category'!F349),TEXT('Spending by Category'!F349,"0.00"), ""), "")</f>
        <v/>
      </c>
      <c r="F343" s="23" t="str">
        <f>IFERROR(IF(ISNUMBER('Spending by Category'!G349),TEXT('Spending by Category'!G349,"0.00"), ""), "")</f>
        <v/>
      </c>
      <c r="G343" s="23" t="str">
        <f>IFERROR(IF(ISNUMBER('Spending by Category'!H349),TEXT('Spending by Category'!H349,"0.00"), ""), "")</f>
        <v/>
      </c>
      <c r="H343" s="23" t="str">
        <f>IFERROR(IF(ISNUMBER('Spending by Category'!I349),TEXT('Spending by Category'!I349,"0.00"), ""), "")</f>
        <v/>
      </c>
      <c r="I343" s="23" t="str">
        <f>IFERROR(IF(ISNUMBER('Spending by Category'!J349),TEXT('Spending by Category'!J349,"0.00"), ""), "")</f>
        <v/>
      </c>
    </row>
    <row r="344" spans="1:9">
      <c r="A344" s="23" t="str">
        <f>TEXT(IF('Spending by Category'!B350&lt;&gt;0,'Spending by Category'!B350-364, ""), "mm/dd/yyyy")</f>
        <v/>
      </c>
      <c r="B344" s="23" t="str">
        <f>IFERROR(IF(ISNUMBER('Spending by Category'!C350),TEXT('Spending by Category'!C350,"0.00"), ""), "")</f>
        <v/>
      </c>
      <c r="C344" s="23" t="str">
        <f>IFERROR(IF(ISNUMBER('Spending by Category'!D350),TEXT('Spending by Category'!D350,"0.00"), ""), "")</f>
        <v/>
      </c>
      <c r="D344" s="23" t="str">
        <f>IFERROR(IF(ISNUMBER('Spending by Category'!E350),TEXT('Spending by Category'!E350,"0.00"), ""), "")</f>
        <v/>
      </c>
      <c r="E344" s="23" t="str">
        <f>IFERROR(IF(ISNUMBER('Spending by Category'!F350),TEXT('Spending by Category'!F350,"0.00"), ""), "")</f>
        <v/>
      </c>
      <c r="F344" s="23" t="str">
        <f>IFERROR(IF(ISNUMBER('Spending by Category'!G350),TEXT('Spending by Category'!G350,"0.00"), ""), "")</f>
        <v/>
      </c>
      <c r="G344" s="23" t="str">
        <f>IFERROR(IF(ISNUMBER('Spending by Category'!H350),TEXT('Spending by Category'!H350,"0.00"), ""), "")</f>
        <v/>
      </c>
      <c r="H344" s="23" t="str">
        <f>IFERROR(IF(ISNUMBER('Spending by Category'!I350),TEXT('Spending by Category'!I350,"0.00"), ""), "")</f>
        <v/>
      </c>
      <c r="I344" s="23" t="str">
        <f>IFERROR(IF(ISNUMBER('Spending by Category'!J350),TEXT('Spending by Category'!J350,"0.00"), ""), "")</f>
        <v/>
      </c>
    </row>
    <row r="345" spans="1:9">
      <c r="A345" s="23" t="str">
        <f>TEXT(IF('Spending by Category'!B351&lt;&gt;0,'Spending by Category'!B351-364, ""), "mm/dd/yyyy")</f>
        <v/>
      </c>
      <c r="B345" s="23" t="str">
        <f>IFERROR(IF(ISNUMBER('Spending by Category'!C351),TEXT('Spending by Category'!C351,"0.00"), ""), "")</f>
        <v/>
      </c>
      <c r="C345" s="23" t="str">
        <f>IFERROR(IF(ISNUMBER('Spending by Category'!D351),TEXT('Spending by Category'!D351,"0.00"), ""), "")</f>
        <v/>
      </c>
      <c r="D345" s="23" t="str">
        <f>IFERROR(IF(ISNUMBER('Spending by Category'!E351),TEXT('Spending by Category'!E351,"0.00"), ""), "")</f>
        <v/>
      </c>
      <c r="E345" s="23" t="str">
        <f>IFERROR(IF(ISNUMBER('Spending by Category'!F351),TEXT('Spending by Category'!F351,"0.00"), ""), "")</f>
        <v/>
      </c>
      <c r="F345" s="23" t="str">
        <f>IFERROR(IF(ISNUMBER('Spending by Category'!G351),TEXT('Spending by Category'!G351,"0.00"), ""), "")</f>
        <v/>
      </c>
      <c r="G345" s="23" t="str">
        <f>IFERROR(IF(ISNUMBER('Spending by Category'!H351),TEXT('Spending by Category'!H351,"0.00"), ""), "")</f>
        <v/>
      </c>
      <c r="H345" s="23" t="str">
        <f>IFERROR(IF(ISNUMBER('Spending by Category'!I351),TEXT('Spending by Category'!I351,"0.00"), ""), "")</f>
        <v/>
      </c>
      <c r="I345" s="23" t="str">
        <f>IFERROR(IF(ISNUMBER('Spending by Category'!J351),TEXT('Spending by Category'!J351,"0.00"), ""), "")</f>
        <v/>
      </c>
    </row>
    <row r="346" spans="1:9">
      <c r="A346" s="23" t="str">
        <f>TEXT(IF('Spending by Category'!B352&lt;&gt;0,'Spending by Category'!B352-364, ""), "mm/dd/yyyy")</f>
        <v/>
      </c>
      <c r="B346" s="23" t="str">
        <f>IFERROR(IF(ISNUMBER('Spending by Category'!C352),TEXT('Spending by Category'!C352,"0.00"), ""), "")</f>
        <v/>
      </c>
      <c r="C346" s="23" t="str">
        <f>IFERROR(IF(ISNUMBER('Spending by Category'!D352),TEXT('Spending by Category'!D352,"0.00"), ""), "")</f>
        <v/>
      </c>
      <c r="D346" s="23" t="str">
        <f>IFERROR(IF(ISNUMBER('Spending by Category'!E352),TEXT('Spending by Category'!E352,"0.00"), ""), "")</f>
        <v/>
      </c>
      <c r="E346" s="23" t="str">
        <f>IFERROR(IF(ISNUMBER('Spending by Category'!F352),TEXT('Spending by Category'!F352,"0.00"), ""), "")</f>
        <v/>
      </c>
      <c r="F346" s="23" t="str">
        <f>IFERROR(IF(ISNUMBER('Spending by Category'!G352),TEXT('Spending by Category'!G352,"0.00"), ""), "")</f>
        <v/>
      </c>
      <c r="G346" s="23" t="str">
        <f>IFERROR(IF(ISNUMBER('Spending by Category'!H352),TEXT('Spending by Category'!H352,"0.00"), ""), "")</f>
        <v/>
      </c>
      <c r="H346" s="23" t="str">
        <f>IFERROR(IF(ISNUMBER('Spending by Category'!I352),TEXT('Spending by Category'!I352,"0.00"), ""), "")</f>
        <v/>
      </c>
      <c r="I346" s="23" t="str">
        <f>IFERROR(IF(ISNUMBER('Spending by Category'!J352),TEXT('Spending by Category'!J352,"0.00"), ""), "")</f>
        <v/>
      </c>
    </row>
    <row r="347" spans="1:9">
      <c r="A347" s="23" t="str">
        <f>TEXT(IF('Spending by Category'!B353&lt;&gt;0,'Spending by Category'!B353-364, ""), "mm/dd/yyyy")</f>
        <v/>
      </c>
      <c r="B347" s="23" t="str">
        <f>IFERROR(IF(ISNUMBER('Spending by Category'!C353),TEXT('Spending by Category'!C353,"0.00"), ""), "")</f>
        <v/>
      </c>
      <c r="C347" s="23" t="str">
        <f>IFERROR(IF(ISNUMBER('Spending by Category'!D353),TEXT('Spending by Category'!D353,"0.00"), ""), "")</f>
        <v/>
      </c>
      <c r="D347" s="23" t="str">
        <f>IFERROR(IF(ISNUMBER('Spending by Category'!E353),TEXT('Spending by Category'!E353,"0.00"), ""), "")</f>
        <v/>
      </c>
      <c r="E347" s="23" t="str">
        <f>IFERROR(IF(ISNUMBER('Spending by Category'!F353),TEXT('Spending by Category'!F353,"0.00"), ""), "")</f>
        <v/>
      </c>
      <c r="F347" s="23" t="str">
        <f>IFERROR(IF(ISNUMBER('Spending by Category'!G353),TEXT('Spending by Category'!G353,"0.00"), ""), "")</f>
        <v/>
      </c>
      <c r="G347" s="23" t="str">
        <f>IFERROR(IF(ISNUMBER('Spending by Category'!H353),TEXT('Spending by Category'!H353,"0.00"), ""), "")</f>
        <v/>
      </c>
      <c r="H347" s="23" t="str">
        <f>IFERROR(IF(ISNUMBER('Spending by Category'!I353),TEXT('Spending by Category'!I353,"0.00"), ""), "")</f>
        <v/>
      </c>
      <c r="I347" s="23" t="str">
        <f>IFERROR(IF(ISNUMBER('Spending by Category'!J353),TEXT('Spending by Category'!J353,"0.00"), ""), "")</f>
        <v/>
      </c>
    </row>
    <row r="348" spans="1:9">
      <c r="A348" s="23" t="str">
        <f>TEXT(IF('Spending by Category'!B354&lt;&gt;0,'Spending by Category'!B354-364, ""), "mm/dd/yyyy")</f>
        <v/>
      </c>
      <c r="B348" s="23" t="str">
        <f>IFERROR(IF(ISNUMBER('Spending by Category'!C354),TEXT('Spending by Category'!C354,"0.00"), ""), "")</f>
        <v/>
      </c>
      <c r="C348" s="23" t="str">
        <f>IFERROR(IF(ISNUMBER('Spending by Category'!D354),TEXT('Spending by Category'!D354,"0.00"), ""), "")</f>
        <v/>
      </c>
      <c r="D348" s="23" t="str">
        <f>IFERROR(IF(ISNUMBER('Spending by Category'!E354),TEXT('Spending by Category'!E354,"0.00"), ""), "")</f>
        <v/>
      </c>
      <c r="E348" s="23" t="str">
        <f>IFERROR(IF(ISNUMBER('Spending by Category'!F354),TEXT('Spending by Category'!F354,"0.00"), ""), "")</f>
        <v/>
      </c>
      <c r="F348" s="23" t="str">
        <f>IFERROR(IF(ISNUMBER('Spending by Category'!G354),TEXT('Spending by Category'!G354,"0.00"), ""), "")</f>
        <v/>
      </c>
      <c r="G348" s="23" t="str">
        <f>IFERROR(IF(ISNUMBER('Spending by Category'!H354),TEXT('Spending by Category'!H354,"0.00"), ""), "")</f>
        <v/>
      </c>
      <c r="H348" s="23" t="str">
        <f>IFERROR(IF(ISNUMBER('Spending by Category'!I354),TEXT('Spending by Category'!I354,"0.00"), ""), "")</f>
        <v/>
      </c>
      <c r="I348" s="23" t="str">
        <f>IFERROR(IF(ISNUMBER('Spending by Category'!J354),TEXT('Spending by Category'!J354,"0.00"), ""), "")</f>
        <v/>
      </c>
    </row>
    <row r="349" spans="1:9">
      <c r="A349" s="23" t="str">
        <f>TEXT(IF('Spending by Category'!B355&lt;&gt;0,'Spending by Category'!B355-364, ""), "mm/dd/yyyy")</f>
        <v/>
      </c>
      <c r="B349" s="23" t="str">
        <f>IFERROR(IF(ISNUMBER('Spending by Category'!C355),TEXT('Spending by Category'!C355,"0.00"), ""), "")</f>
        <v/>
      </c>
      <c r="C349" s="23" t="str">
        <f>IFERROR(IF(ISNUMBER('Spending by Category'!D355),TEXT('Spending by Category'!D355,"0.00"), ""), "")</f>
        <v/>
      </c>
      <c r="D349" s="23" t="str">
        <f>IFERROR(IF(ISNUMBER('Spending by Category'!E355),TEXT('Spending by Category'!E355,"0.00"), ""), "")</f>
        <v/>
      </c>
      <c r="E349" s="23" t="str">
        <f>IFERROR(IF(ISNUMBER('Spending by Category'!F355),TEXT('Spending by Category'!F355,"0.00"), ""), "")</f>
        <v/>
      </c>
      <c r="F349" s="23" t="str">
        <f>IFERROR(IF(ISNUMBER('Spending by Category'!G355),TEXT('Spending by Category'!G355,"0.00"), ""), "")</f>
        <v/>
      </c>
      <c r="G349" s="23" t="str">
        <f>IFERROR(IF(ISNUMBER('Spending by Category'!H355),TEXT('Spending by Category'!H355,"0.00"), ""), "")</f>
        <v/>
      </c>
      <c r="H349" s="23" t="str">
        <f>IFERROR(IF(ISNUMBER('Spending by Category'!I355),TEXT('Spending by Category'!I355,"0.00"), ""), "")</f>
        <v/>
      </c>
      <c r="I349" s="23" t="str">
        <f>IFERROR(IF(ISNUMBER('Spending by Category'!J355),TEXT('Spending by Category'!J355,"0.00"), ""), "")</f>
        <v/>
      </c>
    </row>
    <row r="350" spans="1:9">
      <c r="A350" s="23" t="str">
        <f>TEXT(IF('Spending by Category'!B356&lt;&gt;0,'Spending by Category'!B356-364, ""), "mm/dd/yyyy")</f>
        <v/>
      </c>
      <c r="B350" s="23" t="str">
        <f>IFERROR(IF(ISNUMBER('Spending by Category'!C356),TEXT('Spending by Category'!C356,"0.00"), ""), "")</f>
        <v/>
      </c>
      <c r="C350" s="23" t="str">
        <f>IFERROR(IF(ISNUMBER('Spending by Category'!D356),TEXT('Spending by Category'!D356,"0.00"), ""), "")</f>
        <v/>
      </c>
      <c r="D350" s="23" t="str">
        <f>IFERROR(IF(ISNUMBER('Spending by Category'!E356),TEXT('Spending by Category'!E356,"0.00"), ""), "")</f>
        <v/>
      </c>
      <c r="E350" s="23" t="str">
        <f>IFERROR(IF(ISNUMBER('Spending by Category'!F356),TEXT('Spending by Category'!F356,"0.00"), ""), "")</f>
        <v/>
      </c>
      <c r="F350" s="23" t="str">
        <f>IFERROR(IF(ISNUMBER('Spending by Category'!G356),TEXT('Spending by Category'!G356,"0.00"), ""), "")</f>
        <v/>
      </c>
      <c r="G350" s="23" t="str">
        <f>IFERROR(IF(ISNUMBER('Spending by Category'!H356),TEXT('Spending by Category'!H356,"0.00"), ""), "")</f>
        <v/>
      </c>
      <c r="H350" s="23" t="str">
        <f>IFERROR(IF(ISNUMBER('Spending by Category'!I356),TEXT('Spending by Category'!I356,"0.00"), ""), "")</f>
        <v/>
      </c>
      <c r="I350" s="23" t="str">
        <f>IFERROR(IF(ISNUMBER('Spending by Category'!J356),TEXT('Spending by Category'!J356,"0.00"), ""), "")</f>
        <v/>
      </c>
    </row>
    <row r="351" spans="1:9">
      <c r="A351" s="23" t="str">
        <f>TEXT(IF('Spending by Category'!B357&lt;&gt;0,'Spending by Category'!B357-364, ""), "mm/dd/yyyy")</f>
        <v/>
      </c>
      <c r="B351" s="23" t="str">
        <f>IFERROR(IF(ISNUMBER('Spending by Category'!C357),TEXT('Spending by Category'!C357,"0.00"), ""), "")</f>
        <v/>
      </c>
      <c r="C351" s="23" t="str">
        <f>IFERROR(IF(ISNUMBER('Spending by Category'!D357),TEXT('Spending by Category'!D357,"0.00"), ""), "")</f>
        <v/>
      </c>
      <c r="D351" s="23" t="str">
        <f>IFERROR(IF(ISNUMBER('Spending by Category'!E357),TEXT('Spending by Category'!E357,"0.00"), ""), "")</f>
        <v/>
      </c>
      <c r="E351" s="23" t="str">
        <f>IFERROR(IF(ISNUMBER('Spending by Category'!F357),TEXT('Spending by Category'!F357,"0.00"), ""), "")</f>
        <v/>
      </c>
      <c r="F351" s="23" t="str">
        <f>IFERROR(IF(ISNUMBER('Spending by Category'!G357),TEXT('Spending by Category'!G357,"0.00"), ""), "")</f>
        <v/>
      </c>
      <c r="G351" s="23" t="str">
        <f>IFERROR(IF(ISNUMBER('Spending by Category'!H357),TEXT('Spending by Category'!H357,"0.00"), ""), "")</f>
        <v/>
      </c>
      <c r="H351" s="23" t="str">
        <f>IFERROR(IF(ISNUMBER('Spending by Category'!I357),TEXT('Spending by Category'!I357,"0.00"), ""), "")</f>
        <v/>
      </c>
      <c r="I351" s="23" t="str">
        <f>IFERROR(IF(ISNUMBER('Spending by Category'!J357),TEXT('Spending by Category'!J357,"0.00"), ""), "")</f>
        <v/>
      </c>
    </row>
    <row r="352" spans="1:9">
      <c r="A352" s="23" t="str">
        <f>TEXT(IF('Spending by Category'!B358&lt;&gt;0,'Spending by Category'!B358-364, ""), "mm/dd/yyyy")</f>
        <v/>
      </c>
      <c r="B352" s="23" t="str">
        <f>IFERROR(IF(ISNUMBER('Spending by Category'!C358),TEXT('Spending by Category'!C358,"0.00"), ""), "")</f>
        <v/>
      </c>
      <c r="C352" s="23" t="str">
        <f>IFERROR(IF(ISNUMBER('Spending by Category'!D358),TEXT('Spending by Category'!D358,"0.00"), ""), "")</f>
        <v/>
      </c>
      <c r="D352" s="23" t="str">
        <f>IFERROR(IF(ISNUMBER('Spending by Category'!E358),TEXT('Spending by Category'!E358,"0.00"), ""), "")</f>
        <v/>
      </c>
      <c r="E352" s="23" t="str">
        <f>IFERROR(IF(ISNUMBER('Spending by Category'!F358),TEXT('Spending by Category'!F358,"0.00"), ""), "")</f>
        <v/>
      </c>
      <c r="F352" s="23" t="str">
        <f>IFERROR(IF(ISNUMBER('Spending by Category'!G358),TEXT('Spending by Category'!G358,"0.00"), ""), "")</f>
        <v/>
      </c>
      <c r="G352" s="23" t="str">
        <f>IFERROR(IF(ISNUMBER('Spending by Category'!H358),TEXT('Spending by Category'!H358,"0.00"), ""), "")</f>
        <v/>
      </c>
      <c r="H352" s="23" t="str">
        <f>IFERROR(IF(ISNUMBER('Spending by Category'!I358),TEXT('Spending by Category'!I358,"0.00"), ""), "")</f>
        <v/>
      </c>
      <c r="I352" s="23" t="str">
        <f>IFERROR(IF(ISNUMBER('Spending by Category'!J358),TEXT('Spending by Category'!J358,"0.00"), ""), "")</f>
        <v/>
      </c>
    </row>
    <row r="353" spans="1:9">
      <c r="A353" s="23" t="str">
        <f>TEXT(IF('Spending by Category'!B359&lt;&gt;0,'Spending by Category'!B359-364, ""), "mm/dd/yyyy")</f>
        <v/>
      </c>
      <c r="B353" s="23" t="str">
        <f>IFERROR(IF(ISNUMBER('Spending by Category'!C359),TEXT('Spending by Category'!C359,"0.00"), ""), "")</f>
        <v/>
      </c>
      <c r="C353" s="23" t="str">
        <f>IFERROR(IF(ISNUMBER('Spending by Category'!D359),TEXT('Spending by Category'!D359,"0.00"), ""), "")</f>
        <v/>
      </c>
      <c r="D353" s="23" t="str">
        <f>IFERROR(IF(ISNUMBER('Spending by Category'!E359),TEXT('Spending by Category'!E359,"0.00"), ""), "")</f>
        <v/>
      </c>
      <c r="E353" s="23" t="str">
        <f>IFERROR(IF(ISNUMBER('Spending by Category'!F359),TEXT('Spending by Category'!F359,"0.00"), ""), "")</f>
        <v/>
      </c>
      <c r="F353" s="23" t="str">
        <f>IFERROR(IF(ISNUMBER('Spending by Category'!G359),TEXT('Spending by Category'!G359,"0.00"), ""), "")</f>
        <v/>
      </c>
      <c r="G353" s="23" t="str">
        <f>IFERROR(IF(ISNUMBER('Spending by Category'!H359),TEXT('Spending by Category'!H359,"0.00"), ""), "")</f>
        <v/>
      </c>
      <c r="H353" s="23" t="str">
        <f>IFERROR(IF(ISNUMBER('Spending by Category'!I359),TEXT('Spending by Category'!I359,"0.00"), ""), "")</f>
        <v/>
      </c>
      <c r="I353" s="23" t="str">
        <f>IFERROR(IF(ISNUMBER('Spending by Category'!J359),TEXT('Spending by Category'!J359,"0.00"), ""), "")</f>
        <v/>
      </c>
    </row>
    <row r="354" spans="1:9">
      <c r="A354" s="23" t="str">
        <f>TEXT(IF('Spending by Category'!B360&lt;&gt;0,'Spending by Category'!B360-364, ""), "mm/dd/yyyy")</f>
        <v/>
      </c>
      <c r="B354" s="23" t="str">
        <f>IFERROR(IF(ISNUMBER('Spending by Category'!C360),TEXT('Spending by Category'!C360,"0.00"), ""), "")</f>
        <v/>
      </c>
      <c r="C354" s="23" t="str">
        <f>IFERROR(IF(ISNUMBER('Spending by Category'!D360),TEXT('Spending by Category'!D360,"0.00"), ""), "")</f>
        <v/>
      </c>
      <c r="D354" s="23" t="str">
        <f>IFERROR(IF(ISNUMBER('Spending by Category'!E360),TEXT('Spending by Category'!E360,"0.00"), ""), "")</f>
        <v/>
      </c>
      <c r="E354" s="23" t="str">
        <f>IFERROR(IF(ISNUMBER('Spending by Category'!F360),TEXT('Spending by Category'!F360,"0.00"), ""), "")</f>
        <v/>
      </c>
      <c r="F354" s="23" t="str">
        <f>IFERROR(IF(ISNUMBER('Spending by Category'!G360),TEXT('Spending by Category'!G360,"0.00"), ""), "")</f>
        <v/>
      </c>
      <c r="G354" s="23" t="str">
        <f>IFERROR(IF(ISNUMBER('Spending by Category'!H360),TEXT('Spending by Category'!H360,"0.00"), ""), "")</f>
        <v/>
      </c>
      <c r="H354" s="23" t="str">
        <f>IFERROR(IF(ISNUMBER('Spending by Category'!I360),TEXT('Spending by Category'!I360,"0.00"), ""), "")</f>
        <v/>
      </c>
      <c r="I354" s="23" t="str">
        <f>IFERROR(IF(ISNUMBER('Spending by Category'!J360),TEXT('Spending by Category'!J360,"0.00"), ""), "")</f>
        <v/>
      </c>
    </row>
    <row r="355" spans="1:9">
      <c r="A355" s="23" t="str">
        <f>TEXT(IF('Spending by Category'!B361&lt;&gt;0,'Spending by Category'!B361-364, ""), "mm/dd/yyyy")</f>
        <v/>
      </c>
      <c r="B355" s="23" t="str">
        <f>IFERROR(IF(ISNUMBER('Spending by Category'!C361),TEXT('Spending by Category'!C361,"0.00"), ""), "")</f>
        <v/>
      </c>
      <c r="C355" s="23" t="str">
        <f>IFERROR(IF(ISNUMBER('Spending by Category'!D361),TEXT('Spending by Category'!D361,"0.00"), ""), "")</f>
        <v/>
      </c>
      <c r="D355" s="23" t="str">
        <f>IFERROR(IF(ISNUMBER('Spending by Category'!E361),TEXT('Spending by Category'!E361,"0.00"), ""), "")</f>
        <v/>
      </c>
      <c r="E355" s="23" t="str">
        <f>IFERROR(IF(ISNUMBER('Spending by Category'!F361),TEXT('Spending by Category'!F361,"0.00"), ""), "")</f>
        <v/>
      </c>
      <c r="F355" s="23" t="str">
        <f>IFERROR(IF(ISNUMBER('Spending by Category'!G361),TEXT('Spending by Category'!G361,"0.00"), ""), "")</f>
        <v/>
      </c>
      <c r="G355" s="23" t="str">
        <f>IFERROR(IF(ISNUMBER('Spending by Category'!H361),TEXT('Spending by Category'!H361,"0.00"), ""), "")</f>
        <v/>
      </c>
      <c r="H355" s="23" t="str">
        <f>IFERROR(IF(ISNUMBER('Spending by Category'!I361),TEXT('Spending by Category'!I361,"0.00"), ""), "")</f>
        <v/>
      </c>
      <c r="I355" s="23" t="str">
        <f>IFERROR(IF(ISNUMBER('Spending by Category'!J361),TEXT('Spending by Category'!J361,"0.00"), ""), "")</f>
        <v/>
      </c>
    </row>
    <row r="356" spans="1:9">
      <c r="A356" s="23" t="str">
        <f>TEXT(IF('Spending by Category'!B362&lt;&gt;0,'Spending by Category'!B362-364, ""), "mm/dd/yyyy")</f>
        <v/>
      </c>
      <c r="B356" s="23" t="str">
        <f>IFERROR(IF(ISNUMBER('Spending by Category'!C362),TEXT('Spending by Category'!C362,"0.00"), ""), "")</f>
        <v/>
      </c>
      <c r="C356" s="23" t="str">
        <f>IFERROR(IF(ISNUMBER('Spending by Category'!D362),TEXT('Spending by Category'!D362,"0.00"), ""), "")</f>
        <v/>
      </c>
      <c r="D356" s="23" t="str">
        <f>IFERROR(IF(ISNUMBER('Spending by Category'!E362),TEXT('Spending by Category'!E362,"0.00"), ""), "")</f>
        <v/>
      </c>
      <c r="E356" s="23" t="str">
        <f>IFERROR(IF(ISNUMBER('Spending by Category'!F362),TEXT('Spending by Category'!F362,"0.00"), ""), "")</f>
        <v/>
      </c>
      <c r="F356" s="23" t="str">
        <f>IFERROR(IF(ISNUMBER('Spending by Category'!G362),TEXT('Spending by Category'!G362,"0.00"), ""), "")</f>
        <v/>
      </c>
      <c r="G356" s="23" t="str">
        <f>IFERROR(IF(ISNUMBER('Spending by Category'!H362),TEXT('Spending by Category'!H362,"0.00"), ""), "")</f>
        <v/>
      </c>
      <c r="H356" s="23" t="str">
        <f>IFERROR(IF(ISNUMBER('Spending by Category'!I362),TEXT('Spending by Category'!I362,"0.00"), ""), "")</f>
        <v/>
      </c>
      <c r="I356" s="23" t="str">
        <f>IFERROR(IF(ISNUMBER('Spending by Category'!J362),TEXT('Spending by Category'!J362,"0.00"), ""), "")</f>
        <v/>
      </c>
    </row>
    <row r="357" spans="1:9">
      <c r="A357" s="23" t="str">
        <f>TEXT(IF('Spending by Category'!B363&lt;&gt;0,'Spending by Category'!B363-364, ""), "mm/dd/yyyy")</f>
        <v/>
      </c>
      <c r="B357" s="23" t="str">
        <f>IFERROR(IF(ISNUMBER('Spending by Category'!C363),TEXT('Spending by Category'!C363,"0.00"), ""), "")</f>
        <v/>
      </c>
      <c r="C357" s="23" t="str">
        <f>IFERROR(IF(ISNUMBER('Spending by Category'!D363),TEXT('Spending by Category'!D363,"0.00"), ""), "")</f>
        <v/>
      </c>
      <c r="D357" s="23" t="str">
        <f>IFERROR(IF(ISNUMBER('Spending by Category'!E363),TEXT('Spending by Category'!E363,"0.00"), ""), "")</f>
        <v/>
      </c>
      <c r="E357" s="23" t="str">
        <f>IFERROR(IF(ISNUMBER('Spending by Category'!F363),TEXT('Spending by Category'!F363,"0.00"), ""), "")</f>
        <v/>
      </c>
      <c r="F357" s="23" t="str">
        <f>IFERROR(IF(ISNUMBER('Spending by Category'!G363),TEXT('Spending by Category'!G363,"0.00"), ""), "")</f>
        <v/>
      </c>
      <c r="G357" s="23" t="str">
        <f>IFERROR(IF(ISNUMBER('Spending by Category'!H363),TEXT('Spending by Category'!H363,"0.00"), ""), "")</f>
        <v/>
      </c>
      <c r="H357" s="23" t="str">
        <f>IFERROR(IF(ISNUMBER('Spending by Category'!I363),TEXT('Spending by Category'!I363,"0.00"), ""), "")</f>
        <v/>
      </c>
      <c r="I357" s="23" t="str">
        <f>IFERROR(IF(ISNUMBER('Spending by Category'!J363),TEXT('Spending by Category'!J363,"0.00"), ""), "")</f>
        <v/>
      </c>
    </row>
    <row r="358" spans="1:9">
      <c r="A358" s="23" t="str">
        <f>TEXT(IF('Spending by Category'!B364&lt;&gt;0,'Spending by Category'!B364-364, ""), "mm/dd/yyyy")</f>
        <v/>
      </c>
      <c r="B358" s="23" t="str">
        <f>IFERROR(IF(ISNUMBER('Spending by Category'!C364),TEXT('Spending by Category'!C364,"0.00"), ""), "")</f>
        <v/>
      </c>
      <c r="C358" s="23" t="str">
        <f>IFERROR(IF(ISNUMBER('Spending by Category'!D364),TEXT('Spending by Category'!D364,"0.00"), ""), "")</f>
        <v/>
      </c>
      <c r="D358" s="23" t="str">
        <f>IFERROR(IF(ISNUMBER('Spending by Category'!E364),TEXT('Spending by Category'!E364,"0.00"), ""), "")</f>
        <v/>
      </c>
      <c r="E358" s="23" t="str">
        <f>IFERROR(IF(ISNUMBER('Spending by Category'!F364),TEXT('Spending by Category'!F364,"0.00"), ""), "")</f>
        <v/>
      </c>
      <c r="F358" s="23" t="str">
        <f>IFERROR(IF(ISNUMBER('Spending by Category'!G364),TEXT('Spending by Category'!G364,"0.00"), ""), "")</f>
        <v/>
      </c>
      <c r="G358" s="23" t="str">
        <f>IFERROR(IF(ISNUMBER('Spending by Category'!H364),TEXT('Spending by Category'!H364,"0.00"), ""), "")</f>
        <v/>
      </c>
      <c r="H358" s="23" t="str">
        <f>IFERROR(IF(ISNUMBER('Spending by Category'!I364),TEXT('Spending by Category'!I364,"0.00"), ""), "")</f>
        <v/>
      </c>
      <c r="I358" s="23" t="str">
        <f>IFERROR(IF(ISNUMBER('Spending by Category'!J364),TEXT('Spending by Category'!J364,"0.00"), ""), "")</f>
        <v/>
      </c>
    </row>
    <row r="359" spans="1:9">
      <c r="A359" s="23" t="str">
        <f>TEXT(IF('Spending by Category'!B365&lt;&gt;0,'Spending by Category'!B365-364, ""), "mm/dd/yyyy")</f>
        <v/>
      </c>
      <c r="B359" s="23" t="str">
        <f>IFERROR(IF(ISNUMBER('Spending by Category'!C365),TEXT('Spending by Category'!C365,"0.00"), ""), "")</f>
        <v/>
      </c>
      <c r="C359" s="23" t="str">
        <f>IFERROR(IF(ISNUMBER('Spending by Category'!D365),TEXT('Spending by Category'!D365,"0.00"), ""), "")</f>
        <v/>
      </c>
      <c r="D359" s="23" t="str">
        <f>IFERROR(IF(ISNUMBER('Spending by Category'!E365),TEXT('Spending by Category'!E365,"0.00"), ""), "")</f>
        <v/>
      </c>
      <c r="E359" s="23" t="str">
        <f>IFERROR(IF(ISNUMBER('Spending by Category'!F365),TEXT('Spending by Category'!F365,"0.00"), ""), "")</f>
        <v/>
      </c>
      <c r="F359" s="23" t="str">
        <f>IFERROR(IF(ISNUMBER('Spending by Category'!G365),TEXT('Spending by Category'!G365,"0.00"), ""), "")</f>
        <v/>
      </c>
      <c r="G359" s="23" t="str">
        <f>IFERROR(IF(ISNUMBER('Spending by Category'!H365),TEXT('Spending by Category'!H365,"0.00"), ""), "")</f>
        <v/>
      </c>
      <c r="H359" s="23" t="str">
        <f>IFERROR(IF(ISNUMBER('Spending by Category'!I365),TEXT('Spending by Category'!I365,"0.00"), ""), "")</f>
        <v/>
      </c>
      <c r="I359" s="23" t="str">
        <f>IFERROR(IF(ISNUMBER('Spending by Category'!J365),TEXT('Spending by Category'!J365,"0.00"), ""), "")</f>
        <v/>
      </c>
    </row>
    <row r="360" spans="1:9">
      <c r="A360" s="23" t="str">
        <f>TEXT(IF('Spending by Category'!B366&lt;&gt;0,'Spending by Category'!B366-364, ""), "mm/dd/yyyy")</f>
        <v/>
      </c>
      <c r="B360" s="23" t="str">
        <f>IFERROR(IF(ISNUMBER('Spending by Category'!C366),TEXT('Spending by Category'!C366,"0.00"), ""), "")</f>
        <v/>
      </c>
      <c r="C360" s="23" t="str">
        <f>IFERROR(IF(ISNUMBER('Spending by Category'!D366),TEXT('Spending by Category'!D366,"0.00"), ""), "")</f>
        <v/>
      </c>
      <c r="D360" s="23" t="str">
        <f>IFERROR(IF(ISNUMBER('Spending by Category'!E366),TEXT('Spending by Category'!E366,"0.00"), ""), "")</f>
        <v/>
      </c>
      <c r="E360" s="23" t="str">
        <f>IFERROR(IF(ISNUMBER('Spending by Category'!F366),TEXT('Spending by Category'!F366,"0.00"), ""), "")</f>
        <v/>
      </c>
      <c r="F360" s="23" t="str">
        <f>IFERROR(IF(ISNUMBER('Spending by Category'!G366),TEXT('Spending by Category'!G366,"0.00"), ""), "")</f>
        <v/>
      </c>
      <c r="G360" s="23" t="str">
        <f>IFERROR(IF(ISNUMBER('Spending by Category'!H366),TEXT('Spending by Category'!H366,"0.00"), ""), "")</f>
        <v/>
      </c>
      <c r="H360" s="23" t="str">
        <f>IFERROR(IF(ISNUMBER('Spending by Category'!I366),TEXT('Spending by Category'!I366,"0.00"), ""), "")</f>
        <v/>
      </c>
      <c r="I360" s="23" t="str">
        <f>IFERROR(IF(ISNUMBER('Spending by Category'!J366),TEXT('Spending by Category'!J366,"0.00"), ""), "")</f>
        <v/>
      </c>
    </row>
    <row r="361" spans="1:9">
      <c r="A361" s="23" t="str">
        <f>TEXT(IF('Spending by Category'!B367&lt;&gt;0,'Spending by Category'!B367-364, ""), "mm/dd/yyyy")</f>
        <v/>
      </c>
      <c r="B361" s="23" t="str">
        <f>IFERROR(IF(ISNUMBER('Spending by Category'!C367),TEXT('Spending by Category'!C367,"0.00"), ""), "")</f>
        <v/>
      </c>
      <c r="C361" s="23" t="str">
        <f>IFERROR(IF(ISNUMBER('Spending by Category'!D367),TEXT('Spending by Category'!D367,"0.00"), ""), "")</f>
        <v/>
      </c>
      <c r="D361" s="23" t="str">
        <f>IFERROR(IF(ISNUMBER('Spending by Category'!E367),TEXT('Spending by Category'!E367,"0.00"), ""), "")</f>
        <v/>
      </c>
      <c r="E361" s="23" t="str">
        <f>IFERROR(IF(ISNUMBER('Spending by Category'!F367),TEXT('Spending by Category'!F367,"0.00"), ""), "")</f>
        <v/>
      </c>
      <c r="F361" s="23" t="str">
        <f>IFERROR(IF(ISNUMBER('Spending by Category'!G367),TEXT('Spending by Category'!G367,"0.00"), ""), "")</f>
        <v/>
      </c>
      <c r="G361" s="23" t="str">
        <f>IFERROR(IF(ISNUMBER('Spending by Category'!H367),TEXT('Spending by Category'!H367,"0.00"), ""), "")</f>
        <v/>
      </c>
      <c r="H361" s="23" t="str">
        <f>IFERROR(IF(ISNUMBER('Spending by Category'!I367),TEXT('Spending by Category'!I367,"0.00"), ""), "")</f>
        <v/>
      </c>
      <c r="I361" s="23" t="str">
        <f>IFERROR(IF(ISNUMBER('Spending by Category'!J367),TEXT('Spending by Category'!J367,"0.00"), ""), "")</f>
        <v/>
      </c>
    </row>
    <row r="362" spans="1:9">
      <c r="A362" s="23" t="str">
        <f>TEXT(IF('Spending by Category'!B368&lt;&gt;0,'Spending by Category'!B368-364, ""), "mm/dd/yyyy")</f>
        <v/>
      </c>
      <c r="B362" s="23" t="str">
        <f>IFERROR(IF(ISNUMBER('Spending by Category'!C368),TEXT('Spending by Category'!C368,"0.00"), ""), "")</f>
        <v/>
      </c>
      <c r="C362" s="23" t="str">
        <f>IFERROR(IF(ISNUMBER('Spending by Category'!D368),TEXT('Spending by Category'!D368,"0.00"), ""), "")</f>
        <v/>
      </c>
      <c r="D362" s="23" t="str">
        <f>IFERROR(IF(ISNUMBER('Spending by Category'!E368),TEXT('Spending by Category'!E368,"0.00"), ""), "")</f>
        <v/>
      </c>
      <c r="E362" s="23" t="str">
        <f>IFERROR(IF(ISNUMBER('Spending by Category'!F368),TEXT('Spending by Category'!F368,"0.00"), ""), "")</f>
        <v/>
      </c>
      <c r="F362" s="23" t="str">
        <f>IFERROR(IF(ISNUMBER('Spending by Category'!G368),TEXT('Spending by Category'!G368,"0.00"), ""), "")</f>
        <v/>
      </c>
      <c r="G362" s="23" t="str">
        <f>IFERROR(IF(ISNUMBER('Spending by Category'!H368),TEXT('Spending by Category'!H368,"0.00"), ""), "")</f>
        <v/>
      </c>
      <c r="H362" s="23" t="str">
        <f>IFERROR(IF(ISNUMBER('Spending by Category'!I368),TEXT('Spending by Category'!I368,"0.00"), ""), "")</f>
        <v/>
      </c>
      <c r="I362" s="23" t="str">
        <f>IFERROR(IF(ISNUMBER('Spending by Category'!J368),TEXT('Spending by Category'!J368,"0.00"), ""), "")</f>
        <v/>
      </c>
    </row>
    <row r="363" spans="1:9">
      <c r="A363" s="23" t="str">
        <f>TEXT(IF('Spending by Category'!B369&lt;&gt;0,'Spending by Category'!B369-364, ""), "mm/dd/yyyy")</f>
        <v/>
      </c>
      <c r="B363" s="23" t="str">
        <f>IFERROR(IF(ISNUMBER('Spending by Category'!C369),TEXT('Spending by Category'!C369,"0.00"), ""), "")</f>
        <v/>
      </c>
      <c r="C363" s="23" t="str">
        <f>IFERROR(IF(ISNUMBER('Spending by Category'!D369),TEXT('Spending by Category'!D369,"0.00"), ""), "")</f>
        <v/>
      </c>
      <c r="D363" s="23" t="str">
        <f>IFERROR(IF(ISNUMBER('Spending by Category'!E369),TEXT('Spending by Category'!E369,"0.00"), ""), "")</f>
        <v/>
      </c>
      <c r="E363" s="23" t="str">
        <f>IFERROR(IF(ISNUMBER('Spending by Category'!F369),TEXT('Spending by Category'!F369,"0.00"), ""), "")</f>
        <v/>
      </c>
      <c r="F363" s="23" t="str">
        <f>IFERROR(IF(ISNUMBER('Spending by Category'!G369),TEXT('Spending by Category'!G369,"0.00"), ""), "")</f>
        <v/>
      </c>
      <c r="G363" s="23" t="str">
        <f>IFERROR(IF(ISNUMBER('Spending by Category'!H369),TEXT('Spending by Category'!H369,"0.00"), ""), "")</f>
        <v/>
      </c>
      <c r="H363" s="23" t="str">
        <f>IFERROR(IF(ISNUMBER('Spending by Category'!I369),TEXT('Spending by Category'!I369,"0.00"), ""), "")</f>
        <v/>
      </c>
      <c r="I363" s="23" t="str">
        <f>IFERROR(IF(ISNUMBER('Spending by Category'!J369),TEXT('Spending by Category'!J369,"0.00"), ""), "")</f>
        <v/>
      </c>
    </row>
    <row r="364" spans="1:9">
      <c r="A364" s="23" t="str">
        <f>TEXT(IF('Spending by Category'!B370&lt;&gt;0,'Spending by Category'!B370-364, ""), "mm/dd/yyyy")</f>
        <v/>
      </c>
      <c r="B364" s="23" t="str">
        <f>IFERROR(IF(ISNUMBER('Spending by Category'!C370),TEXT('Spending by Category'!C370,"0.00"), ""), "")</f>
        <v/>
      </c>
      <c r="C364" s="23" t="str">
        <f>IFERROR(IF(ISNUMBER('Spending by Category'!D370),TEXT('Spending by Category'!D370,"0.00"), ""), "")</f>
        <v/>
      </c>
      <c r="D364" s="23" t="str">
        <f>IFERROR(IF(ISNUMBER('Spending by Category'!E370),TEXT('Spending by Category'!E370,"0.00"), ""), "")</f>
        <v/>
      </c>
      <c r="E364" s="23" t="str">
        <f>IFERROR(IF(ISNUMBER('Spending by Category'!F370),TEXT('Spending by Category'!F370,"0.00"), ""), "")</f>
        <v/>
      </c>
      <c r="F364" s="23" t="str">
        <f>IFERROR(IF(ISNUMBER('Spending by Category'!G370),TEXT('Spending by Category'!G370,"0.00"), ""), "")</f>
        <v/>
      </c>
      <c r="G364" s="23" t="str">
        <f>IFERROR(IF(ISNUMBER('Spending by Category'!H370),TEXT('Spending by Category'!H370,"0.00"), ""), "")</f>
        <v/>
      </c>
      <c r="H364" s="23" t="str">
        <f>IFERROR(IF(ISNUMBER('Spending by Category'!I370),TEXT('Spending by Category'!I370,"0.00"), ""), "")</f>
        <v/>
      </c>
      <c r="I364" s="23" t="str">
        <f>IFERROR(IF(ISNUMBER('Spending by Category'!J370),TEXT('Spending by Category'!J370,"0.00"), ""), "")</f>
        <v/>
      </c>
    </row>
    <row r="365" spans="1:9">
      <c r="A365" s="23" t="str">
        <f>TEXT(IF('Spending by Category'!B371&lt;&gt;0,'Spending by Category'!B371-364, ""), "mm/dd/yyyy")</f>
        <v/>
      </c>
      <c r="B365" s="23" t="str">
        <f>IFERROR(IF(ISNUMBER('Spending by Category'!C371),TEXT('Spending by Category'!C371,"0.00"), ""), "")</f>
        <v/>
      </c>
      <c r="C365" s="23" t="str">
        <f>IFERROR(IF(ISNUMBER('Spending by Category'!D371),TEXT('Spending by Category'!D371,"0.00"), ""), "")</f>
        <v/>
      </c>
      <c r="D365" s="23" t="str">
        <f>IFERROR(IF(ISNUMBER('Spending by Category'!E371),TEXT('Spending by Category'!E371,"0.00"), ""), "")</f>
        <v/>
      </c>
      <c r="E365" s="23" t="str">
        <f>IFERROR(IF(ISNUMBER('Spending by Category'!F371),TEXT('Spending by Category'!F371,"0.00"), ""), "")</f>
        <v/>
      </c>
      <c r="F365" s="23" t="str">
        <f>IFERROR(IF(ISNUMBER('Spending by Category'!G371),TEXT('Spending by Category'!G371,"0.00"), ""), "")</f>
        <v/>
      </c>
      <c r="G365" s="23" t="str">
        <f>IFERROR(IF(ISNUMBER('Spending by Category'!H371),TEXT('Spending by Category'!H371,"0.00"), ""), "")</f>
        <v/>
      </c>
      <c r="H365" s="23" t="str">
        <f>IFERROR(IF(ISNUMBER('Spending by Category'!I371),TEXT('Spending by Category'!I371,"0.00"), ""), "")</f>
        <v/>
      </c>
      <c r="I365" s="23" t="str">
        <f>IFERROR(IF(ISNUMBER('Spending by Category'!J371),TEXT('Spending by Category'!J371,"0.00"), ""), "")</f>
        <v/>
      </c>
    </row>
    <row r="366" spans="1:9">
      <c r="A366" s="23" t="str">
        <f>TEXT(IF('Spending by Category'!B372&lt;&gt;0,'Spending by Category'!B372-364, ""), "mm/dd/yyyy")</f>
        <v/>
      </c>
      <c r="B366" s="23" t="str">
        <f>IFERROR(IF(ISNUMBER('Spending by Category'!C372),TEXT('Spending by Category'!C372,"0.00"), ""), "")</f>
        <v/>
      </c>
      <c r="C366" s="23" t="str">
        <f>IFERROR(IF(ISNUMBER('Spending by Category'!D372),TEXT('Spending by Category'!D372,"0.00"), ""), "")</f>
        <v/>
      </c>
      <c r="D366" s="23" t="str">
        <f>IFERROR(IF(ISNUMBER('Spending by Category'!E372),TEXT('Spending by Category'!E372,"0.00"), ""), "")</f>
        <v/>
      </c>
      <c r="E366" s="23" t="str">
        <f>IFERROR(IF(ISNUMBER('Spending by Category'!F372),TEXT('Spending by Category'!F372,"0.00"), ""), "")</f>
        <v/>
      </c>
      <c r="F366" s="23" t="str">
        <f>IFERROR(IF(ISNUMBER('Spending by Category'!G372),TEXT('Spending by Category'!G372,"0.00"), ""), "")</f>
        <v/>
      </c>
      <c r="G366" s="23" t="str">
        <f>IFERROR(IF(ISNUMBER('Spending by Category'!H372),TEXT('Spending by Category'!H372,"0.00"), ""), "")</f>
        <v/>
      </c>
      <c r="H366" s="23" t="str">
        <f>IFERROR(IF(ISNUMBER('Spending by Category'!I372),TEXT('Spending by Category'!I372,"0.00"), ""), "")</f>
        <v/>
      </c>
      <c r="I366" s="23" t="str">
        <f>IFERROR(IF(ISNUMBER('Spending by Category'!J372),TEXT('Spending by Category'!J372,"0.00"), ""), "")</f>
        <v/>
      </c>
    </row>
    <row r="367" spans="1:9">
      <c r="A367" s="23" t="str">
        <f>TEXT(IF('Spending by Category'!B373&lt;&gt;0,'Spending by Category'!B373-364, ""), "mm/dd/yyyy")</f>
        <v/>
      </c>
      <c r="B367" s="23" t="str">
        <f>IFERROR(IF(ISNUMBER('Spending by Category'!C373),TEXT('Spending by Category'!C373,"0.00"), ""), "")</f>
        <v/>
      </c>
      <c r="C367" s="23" t="str">
        <f>IFERROR(IF(ISNUMBER('Spending by Category'!D373),TEXT('Spending by Category'!D373,"0.00"), ""), "")</f>
        <v/>
      </c>
      <c r="D367" s="23" t="str">
        <f>IFERROR(IF(ISNUMBER('Spending by Category'!E373),TEXT('Spending by Category'!E373,"0.00"), ""), "")</f>
        <v/>
      </c>
      <c r="E367" s="23" t="str">
        <f>IFERROR(IF(ISNUMBER('Spending by Category'!F373),TEXT('Spending by Category'!F373,"0.00"), ""), "")</f>
        <v/>
      </c>
      <c r="F367" s="23" t="str">
        <f>IFERROR(IF(ISNUMBER('Spending by Category'!G373),TEXT('Spending by Category'!G373,"0.00"), ""), "")</f>
        <v/>
      </c>
      <c r="G367" s="23" t="str">
        <f>IFERROR(IF(ISNUMBER('Spending by Category'!H373),TEXT('Spending by Category'!H373,"0.00"), ""), "")</f>
        <v/>
      </c>
      <c r="H367" s="23" t="str">
        <f>IFERROR(IF(ISNUMBER('Spending by Category'!I373),TEXT('Spending by Category'!I373,"0.00"), ""), "")</f>
        <v/>
      </c>
      <c r="I367" s="23" t="str">
        <f>IFERROR(IF(ISNUMBER('Spending by Category'!J373),TEXT('Spending by Category'!J373,"0.00"), ""), "")</f>
        <v/>
      </c>
    </row>
    <row r="368" spans="1:9">
      <c r="A368" s="23" t="str">
        <f>TEXT(IF('Spending by Category'!B374&lt;&gt;0,'Spending by Category'!B374-364, ""), "mm/dd/yyyy")</f>
        <v/>
      </c>
      <c r="B368" s="23" t="str">
        <f>IFERROR(IF(ISNUMBER('Spending by Category'!C374),TEXT('Spending by Category'!C374,"0.00"), ""), "")</f>
        <v/>
      </c>
      <c r="C368" s="23" t="str">
        <f>IFERROR(IF(ISNUMBER('Spending by Category'!D374),TEXT('Spending by Category'!D374,"0.00"), ""), "")</f>
        <v/>
      </c>
      <c r="D368" s="23" t="str">
        <f>IFERROR(IF(ISNUMBER('Spending by Category'!E374),TEXT('Spending by Category'!E374,"0.00"), ""), "")</f>
        <v/>
      </c>
      <c r="E368" s="23" t="str">
        <f>IFERROR(IF(ISNUMBER('Spending by Category'!F374),TEXT('Spending by Category'!F374,"0.00"), ""), "")</f>
        <v/>
      </c>
      <c r="F368" s="23" t="str">
        <f>IFERROR(IF(ISNUMBER('Spending by Category'!G374),TEXT('Spending by Category'!G374,"0.00"), ""), "")</f>
        <v/>
      </c>
      <c r="G368" s="23" t="str">
        <f>IFERROR(IF(ISNUMBER('Spending by Category'!H374),TEXT('Spending by Category'!H374,"0.00"), ""), "")</f>
        <v/>
      </c>
      <c r="H368" s="23" t="str">
        <f>IFERROR(IF(ISNUMBER('Spending by Category'!I374),TEXT('Spending by Category'!I374,"0.00"), ""), "")</f>
        <v/>
      </c>
      <c r="I368" s="23" t="str">
        <f>IFERROR(IF(ISNUMBER('Spending by Category'!J374),TEXT('Spending by Category'!J374,"0.00"), ""), "")</f>
        <v/>
      </c>
    </row>
    <row r="369" spans="1:9">
      <c r="A369" s="23" t="str">
        <f>TEXT(IF('Spending by Category'!B375&lt;&gt;0,'Spending by Category'!B375-364, ""), "mm/dd/yyyy")</f>
        <v/>
      </c>
      <c r="B369" s="23" t="str">
        <f>IFERROR(IF(ISNUMBER('Spending by Category'!C375),TEXT('Spending by Category'!C375,"0.00"), ""), "")</f>
        <v/>
      </c>
      <c r="C369" s="23" t="str">
        <f>IFERROR(IF(ISNUMBER('Spending by Category'!D375),TEXT('Spending by Category'!D375,"0.00"), ""), "")</f>
        <v/>
      </c>
      <c r="D369" s="23" t="str">
        <f>IFERROR(IF(ISNUMBER('Spending by Category'!E375),TEXT('Spending by Category'!E375,"0.00"), ""), "")</f>
        <v/>
      </c>
      <c r="E369" s="23" t="str">
        <f>IFERROR(IF(ISNUMBER('Spending by Category'!F375),TEXT('Spending by Category'!F375,"0.00"), ""), "")</f>
        <v/>
      </c>
      <c r="F369" s="23" t="str">
        <f>IFERROR(IF(ISNUMBER('Spending by Category'!G375),TEXT('Spending by Category'!G375,"0.00"), ""), "")</f>
        <v/>
      </c>
      <c r="G369" s="23" t="str">
        <f>IFERROR(IF(ISNUMBER('Spending by Category'!H375),TEXT('Spending by Category'!H375,"0.00"), ""), "")</f>
        <v/>
      </c>
      <c r="H369" s="23" t="str">
        <f>IFERROR(IF(ISNUMBER('Spending by Category'!I375),TEXT('Spending by Category'!I375,"0.00"), ""), "")</f>
        <v/>
      </c>
      <c r="I369" s="23" t="str">
        <f>IFERROR(IF(ISNUMBER('Spending by Category'!J375),TEXT('Spending by Category'!J375,"0.00"), ""), "")</f>
        <v/>
      </c>
    </row>
    <row r="370" spans="1:9">
      <c r="A370" s="23" t="str">
        <f>TEXT(IF('Spending by Category'!B376&lt;&gt;0,'Spending by Category'!B376-364, ""), "mm/dd/yyyy")</f>
        <v/>
      </c>
      <c r="B370" s="23" t="str">
        <f>IFERROR(IF(ISNUMBER('Spending by Category'!C376),TEXT('Spending by Category'!C376,"0.00"), ""), "")</f>
        <v/>
      </c>
      <c r="C370" s="23" t="str">
        <f>IFERROR(IF(ISNUMBER('Spending by Category'!D376),TEXT('Spending by Category'!D376,"0.00"), ""), "")</f>
        <v/>
      </c>
      <c r="D370" s="23" t="str">
        <f>IFERROR(IF(ISNUMBER('Spending by Category'!E376),TEXT('Spending by Category'!E376,"0.00"), ""), "")</f>
        <v/>
      </c>
      <c r="E370" s="23" t="str">
        <f>IFERROR(IF(ISNUMBER('Spending by Category'!F376),TEXT('Spending by Category'!F376,"0.00"), ""), "")</f>
        <v/>
      </c>
      <c r="F370" s="23" t="str">
        <f>IFERROR(IF(ISNUMBER('Spending by Category'!G376),TEXT('Spending by Category'!G376,"0.00"), ""), "")</f>
        <v/>
      </c>
      <c r="G370" s="23" t="str">
        <f>IFERROR(IF(ISNUMBER('Spending by Category'!H376),TEXT('Spending by Category'!H376,"0.00"), ""), "")</f>
        <v/>
      </c>
      <c r="H370" s="23" t="str">
        <f>IFERROR(IF(ISNUMBER('Spending by Category'!I376),TEXT('Spending by Category'!I376,"0.00"), ""), "")</f>
        <v/>
      </c>
      <c r="I370" s="23" t="str">
        <f>IFERROR(IF(ISNUMBER('Spending by Category'!J376),TEXT('Spending by Category'!J376,"0.00"), ""), "")</f>
        <v/>
      </c>
    </row>
    <row r="371" spans="1:9">
      <c r="A371" s="23" t="str">
        <f>TEXT(IF('Spending by Category'!B377&lt;&gt;0,'Spending by Category'!B377-364, ""), "mm/dd/yyyy")</f>
        <v/>
      </c>
      <c r="B371" s="23" t="str">
        <f>IFERROR(IF(ISNUMBER('Spending by Category'!C377),TEXT('Spending by Category'!C377,"0.00"), ""), "")</f>
        <v/>
      </c>
      <c r="C371" s="23" t="str">
        <f>IFERROR(IF(ISNUMBER('Spending by Category'!D377),TEXT('Spending by Category'!D377,"0.00"), ""), "")</f>
        <v/>
      </c>
      <c r="D371" s="23" t="str">
        <f>IFERROR(IF(ISNUMBER('Spending by Category'!E377),TEXT('Spending by Category'!E377,"0.00"), ""), "")</f>
        <v/>
      </c>
      <c r="E371" s="23" t="str">
        <f>IFERROR(IF(ISNUMBER('Spending by Category'!F377),TEXT('Spending by Category'!F377,"0.00"), ""), "")</f>
        <v/>
      </c>
      <c r="F371" s="23" t="str">
        <f>IFERROR(IF(ISNUMBER('Spending by Category'!G377),TEXT('Spending by Category'!G377,"0.00"), ""), "")</f>
        <v/>
      </c>
      <c r="G371" s="23" t="str">
        <f>IFERROR(IF(ISNUMBER('Spending by Category'!H377),TEXT('Spending by Category'!H377,"0.00"), ""), "")</f>
        <v/>
      </c>
      <c r="H371" s="23" t="str">
        <f>IFERROR(IF(ISNUMBER('Spending by Category'!I377),TEXT('Spending by Category'!I377,"0.00"), ""), "")</f>
        <v/>
      </c>
      <c r="I371" s="23" t="str">
        <f>IFERROR(IF(ISNUMBER('Spending by Category'!J377),TEXT('Spending by Category'!J377,"0.00"), ""), "")</f>
        <v/>
      </c>
    </row>
    <row r="372" spans="1:9">
      <c r="A372" s="23" t="str">
        <f>TEXT(IF('Spending by Category'!B378&lt;&gt;0,'Spending by Category'!B378-364, ""), "mm/dd/yyyy")</f>
        <v/>
      </c>
      <c r="B372" s="23" t="str">
        <f>IFERROR(IF(ISNUMBER('Spending by Category'!C378),TEXT('Spending by Category'!C378,"0.00"), ""), "")</f>
        <v/>
      </c>
      <c r="C372" s="23" t="str">
        <f>IFERROR(IF(ISNUMBER('Spending by Category'!D378),TEXT('Spending by Category'!D378,"0.00"), ""), "")</f>
        <v/>
      </c>
      <c r="D372" s="23" t="str">
        <f>IFERROR(IF(ISNUMBER('Spending by Category'!E378),TEXT('Spending by Category'!E378,"0.00"), ""), "")</f>
        <v/>
      </c>
      <c r="E372" s="23" t="str">
        <f>IFERROR(IF(ISNUMBER('Spending by Category'!F378),TEXT('Spending by Category'!F378,"0.00"), ""), "")</f>
        <v/>
      </c>
      <c r="F372" s="23" t="str">
        <f>IFERROR(IF(ISNUMBER('Spending by Category'!G378),TEXT('Spending by Category'!G378,"0.00"), ""), "")</f>
        <v/>
      </c>
      <c r="G372" s="23" t="str">
        <f>IFERROR(IF(ISNUMBER('Spending by Category'!H378),TEXT('Spending by Category'!H378,"0.00"), ""), "")</f>
        <v/>
      </c>
      <c r="H372" s="23" t="str">
        <f>IFERROR(IF(ISNUMBER('Spending by Category'!I378),TEXT('Spending by Category'!I378,"0.00"), ""), "")</f>
        <v/>
      </c>
      <c r="I372" s="23" t="str">
        <f>IFERROR(IF(ISNUMBER('Spending by Category'!J378),TEXT('Spending by Category'!J378,"0.00"), ""), "")</f>
        <v/>
      </c>
    </row>
    <row r="373" spans="1:9">
      <c r="A373" s="23" t="str">
        <f>TEXT(IF('Spending by Category'!B379&lt;&gt;0,'Spending by Category'!B379-364, ""), "mm/dd/yyyy")</f>
        <v/>
      </c>
      <c r="B373" s="23" t="str">
        <f>IFERROR(IF(ISNUMBER('Spending by Category'!C379),TEXT('Spending by Category'!C379,"0.00"), ""), "")</f>
        <v/>
      </c>
      <c r="C373" s="23" t="str">
        <f>IFERROR(IF(ISNUMBER('Spending by Category'!D379),TEXT('Spending by Category'!D379,"0.00"), ""), "")</f>
        <v/>
      </c>
      <c r="D373" s="23" t="str">
        <f>IFERROR(IF(ISNUMBER('Spending by Category'!E379),TEXT('Spending by Category'!E379,"0.00"), ""), "")</f>
        <v/>
      </c>
      <c r="E373" s="23" t="str">
        <f>IFERROR(IF(ISNUMBER('Spending by Category'!F379),TEXT('Spending by Category'!F379,"0.00"), ""), "")</f>
        <v/>
      </c>
      <c r="F373" s="23" t="str">
        <f>IFERROR(IF(ISNUMBER('Spending by Category'!G379),TEXT('Spending by Category'!G379,"0.00"), ""), "")</f>
        <v/>
      </c>
      <c r="G373" s="23" t="str">
        <f>IFERROR(IF(ISNUMBER('Spending by Category'!H379),TEXT('Spending by Category'!H379,"0.00"), ""), "")</f>
        <v/>
      </c>
      <c r="H373" s="23" t="str">
        <f>IFERROR(IF(ISNUMBER('Spending by Category'!I379),TEXT('Spending by Category'!I379,"0.00"), ""), "")</f>
        <v/>
      </c>
      <c r="I373" s="23" t="str">
        <f>IFERROR(IF(ISNUMBER('Spending by Category'!J379),TEXT('Spending by Category'!J379,"0.00"), ""), "")</f>
        <v/>
      </c>
    </row>
    <row r="374" spans="1:9">
      <c r="A374" s="23" t="str">
        <f>TEXT(IF('Spending by Category'!B380&lt;&gt;0,'Spending by Category'!B380-364, ""), "mm/dd/yyyy")</f>
        <v/>
      </c>
      <c r="B374" s="23" t="str">
        <f>IFERROR(IF(ISNUMBER('Spending by Category'!C380),TEXT('Spending by Category'!C380,"0.00"), ""), "")</f>
        <v/>
      </c>
      <c r="C374" s="23" t="str">
        <f>IFERROR(IF(ISNUMBER('Spending by Category'!D380),TEXT('Spending by Category'!D380,"0.00"), ""), "")</f>
        <v/>
      </c>
      <c r="D374" s="23" t="str">
        <f>IFERROR(IF(ISNUMBER('Spending by Category'!E380),TEXT('Spending by Category'!E380,"0.00"), ""), "")</f>
        <v/>
      </c>
      <c r="E374" s="23" t="str">
        <f>IFERROR(IF(ISNUMBER('Spending by Category'!F380),TEXT('Spending by Category'!F380,"0.00"), ""), "")</f>
        <v/>
      </c>
      <c r="F374" s="23" t="str">
        <f>IFERROR(IF(ISNUMBER('Spending by Category'!G380),TEXT('Spending by Category'!G380,"0.00"), ""), "")</f>
        <v/>
      </c>
      <c r="G374" s="23" t="str">
        <f>IFERROR(IF(ISNUMBER('Spending by Category'!H380),TEXT('Spending by Category'!H380,"0.00"), ""), "")</f>
        <v/>
      </c>
      <c r="H374" s="23" t="str">
        <f>IFERROR(IF(ISNUMBER('Spending by Category'!I380),TEXT('Spending by Category'!I380,"0.00"), ""), "")</f>
        <v/>
      </c>
      <c r="I374" s="23" t="str">
        <f>IFERROR(IF(ISNUMBER('Spending by Category'!J380),TEXT('Spending by Category'!J380,"0.00"), ""), "")</f>
        <v/>
      </c>
    </row>
    <row r="375" spans="1:9">
      <c r="A375" s="23" t="str">
        <f>TEXT(IF('Spending by Category'!B381&lt;&gt;0,'Spending by Category'!B381-364, ""), "mm/dd/yyyy")</f>
        <v/>
      </c>
      <c r="B375" s="23" t="str">
        <f>IFERROR(IF(ISNUMBER('Spending by Category'!C381),TEXT('Spending by Category'!C381,"0.00"), ""), "")</f>
        <v/>
      </c>
      <c r="C375" s="23" t="str">
        <f>IFERROR(IF(ISNUMBER('Spending by Category'!D381),TEXT('Spending by Category'!D381,"0.00"), ""), "")</f>
        <v/>
      </c>
      <c r="D375" s="23" t="str">
        <f>IFERROR(IF(ISNUMBER('Spending by Category'!E381),TEXT('Spending by Category'!E381,"0.00"), ""), "")</f>
        <v/>
      </c>
      <c r="E375" s="23" t="str">
        <f>IFERROR(IF(ISNUMBER('Spending by Category'!F381),TEXT('Spending by Category'!F381,"0.00"), ""), "")</f>
        <v/>
      </c>
      <c r="F375" s="23" t="str">
        <f>IFERROR(IF(ISNUMBER('Spending by Category'!G381),TEXT('Spending by Category'!G381,"0.00"), ""), "")</f>
        <v/>
      </c>
      <c r="G375" s="23" t="str">
        <f>IFERROR(IF(ISNUMBER('Spending by Category'!H381),TEXT('Spending by Category'!H381,"0.00"), ""), "")</f>
        <v/>
      </c>
      <c r="H375" s="23" t="str">
        <f>IFERROR(IF(ISNUMBER('Spending by Category'!I381),TEXT('Spending by Category'!I381,"0.00"), ""), "")</f>
        <v/>
      </c>
      <c r="I375" s="23" t="str">
        <f>IFERROR(IF(ISNUMBER('Spending by Category'!J381),TEXT('Spending by Category'!J381,"0.00"), ""), "")</f>
        <v/>
      </c>
    </row>
    <row r="376" spans="1:9">
      <c r="A376" s="23" t="str">
        <f>TEXT(IF('Spending by Category'!B382&lt;&gt;0,'Spending by Category'!B382-364, ""), "mm/dd/yyyy")</f>
        <v/>
      </c>
      <c r="B376" s="23" t="str">
        <f>IFERROR(IF(ISNUMBER('Spending by Category'!C382),TEXT('Spending by Category'!C382,"0.00"), ""), "")</f>
        <v/>
      </c>
      <c r="C376" s="23" t="str">
        <f>IFERROR(IF(ISNUMBER('Spending by Category'!D382),TEXT('Spending by Category'!D382,"0.00"), ""), "")</f>
        <v/>
      </c>
      <c r="D376" s="23" t="str">
        <f>IFERROR(IF(ISNUMBER('Spending by Category'!E382),TEXT('Spending by Category'!E382,"0.00"), ""), "")</f>
        <v/>
      </c>
      <c r="E376" s="23" t="str">
        <f>IFERROR(IF(ISNUMBER('Spending by Category'!F382),TEXT('Spending by Category'!F382,"0.00"), ""), "")</f>
        <v/>
      </c>
      <c r="F376" s="23" t="str">
        <f>IFERROR(IF(ISNUMBER('Spending by Category'!G382),TEXT('Spending by Category'!G382,"0.00"), ""), "")</f>
        <v/>
      </c>
      <c r="G376" s="23" t="str">
        <f>IFERROR(IF(ISNUMBER('Spending by Category'!H382),TEXT('Spending by Category'!H382,"0.00"), ""), "")</f>
        <v/>
      </c>
      <c r="H376" s="23" t="str">
        <f>IFERROR(IF(ISNUMBER('Spending by Category'!I382),TEXT('Spending by Category'!I382,"0.00"), ""), "")</f>
        <v/>
      </c>
      <c r="I376" s="23" t="str">
        <f>IFERROR(IF(ISNUMBER('Spending by Category'!J382),TEXT('Spending by Category'!J382,"0.00"), ""), "")</f>
        <v/>
      </c>
    </row>
    <row r="377" spans="1:9">
      <c r="A377" s="23" t="str">
        <f>TEXT(IF('Spending by Category'!B383&lt;&gt;0,'Spending by Category'!B383-364, ""), "mm/dd/yyyy")</f>
        <v/>
      </c>
      <c r="B377" s="23" t="str">
        <f>IFERROR(IF(ISNUMBER('Spending by Category'!C383),TEXT('Spending by Category'!C383,"0.00"), ""), "")</f>
        <v/>
      </c>
      <c r="C377" s="23" t="str">
        <f>IFERROR(IF(ISNUMBER('Spending by Category'!D383),TEXT('Spending by Category'!D383,"0.00"), ""), "")</f>
        <v/>
      </c>
      <c r="D377" s="23" t="str">
        <f>IFERROR(IF(ISNUMBER('Spending by Category'!E383),TEXT('Spending by Category'!E383,"0.00"), ""), "")</f>
        <v/>
      </c>
      <c r="E377" s="23" t="str">
        <f>IFERROR(IF(ISNUMBER('Spending by Category'!F383),TEXT('Spending by Category'!F383,"0.00"), ""), "")</f>
        <v/>
      </c>
      <c r="F377" s="23" t="str">
        <f>IFERROR(IF(ISNUMBER('Spending by Category'!G383),TEXT('Spending by Category'!G383,"0.00"), ""), "")</f>
        <v/>
      </c>
      <c r="G377" s="23" t="str">
        <f>IFERROR(IF(ISNUMBER('Spending by Category'!H383),TEXT('Spending by Category'!H383,"0.00"), ""), "")</f>
        <v/>
      </c>
      <c r="H377" s="23" t="str">
        <f>IFERROR(IF(ISNUMBER('Spending by Category'!I383),TEXT('Spending by Category'!I383,"0.00"), ""), "")</f>
        <v/>
      </c>
      <c r="I377" s="23" t="str">
        <f>IFERROR(IF(ISNUMBER('Spending by Category'!J383),TEXT('Spending by Category'!J383,"0.00"), ""), "")</f>
        <v/>
      </c>
    </row>
    <row r="378" spans="1:9">
      <c r="A378" s="23" t="str">
        <f>TEXT(IF('Spending by Category'!B384&lt;&gt;0,'Spending by Category'!B384-364, ""), "mm/dd/yyyy")</f>
        <v/>
      </c>
      <c r="B378" s="23" t="str">
        <f>IFERROR(IF(ISNUMBER('Spending by Category'!C384),TEXT('Spending by Category'!C384,"0.00"), ""), "")</f>
        <v/>
      </c>
      <c r="C378" s="23" t="str">
        <f>IFERROR(IF(ISNUMBER('Spending by Category'!D384),TEXT('Spending by Category'!D384,"0.00"), ""), "")</f>
        <v/>
      </c>
      <c r="D378" s="23" t="str">
        <f>IFERROR(IF(ISNUMBER('Spending by Category'!E384),TEXT('Spending by Category'!E384,"0.00"), ""), "")</f>
        <v/>
      </c>
      <c r="E378" s="23" t="str">
        <f>IFERROR(IF(ISNUMBER('Spending by Category'!F384),TEXT('Spending by Category'!F384,"0.00"), ""), "")</f>
        <v/>
      </c>
      <c r="F378" s="23" t="str">
        <f>IFERROR(IF(ISNUMBER('Spending by Category'!G384),TEXT('Spending by Category'!G384,"0.00"), ""), "")</f>
        <v/>
      </c>
      <c r="G378" s="23" t="str">
        <f>IFERROR(IF(ISNUMBER('Spending by Category'!H384),TEXT('Spending by Category'!H384,"0.00"), ""), "")</f>
        <v/>
      </c>
      <c r="H378" s="23" t="str">
        <f>IFERROR(IF(ISNUMBER('Spending by Category'!I384),TEXT('Spending by Category'!I384,"0.00"), ""), "")</f>
        <v/>
      </c>
      <c r="I378" s="23" t="str">
        <f>IFERROR(IF(ISNUMBER('Spending by Category'!J384),TEXT('Spending by Category'!J384,"0.00"), ""), "")</f>
        <v/>
      </c>
    </row>
    <row r="379" spans="1:9">
      <c r="A379" s="23" t="str">
        <f>TEXT(IF('Spending by Category'!B385&lt;&gt;0,'Spending by Category'!B385-364, ""), "mm/dd/yyyy")</f>
        <v/>
      </c>
      <c r="B379" s="23" t="str">
        <f>IFERROR(IF(ISNUMBER('Spending by Category'!C385),TEXT('Spending by Category'!C385,"0.00"), ""), "")</f>
        <v/>
      </c>
      <c r="C379" s="23" t="str">
        <f>IFERROR(IF(ISNUMBER('Spending by Category'!D385),TEXT('Spending by Category'!D385,"0.00"), ""), "")</f>
        <v/>
      </c>
      <c r="D379" s="23" t="str">
        <f>IFERROR(IF(ISNUMBER('Spending by Category'!E385),TEXT('Spending by Category'!E385,"0.00"), ""), "")</f>
        <v/>
      </c>
      <c r="E379" s="23" t="str">
        <f>IFERROR(IF(ISNUMBER('Spending by Category'!F385),TEXT('Spending by Category'!F385,"0.00"), ""), "")</f>
        <v/>
      </c>
      <c r="F379" s="23" t="str">
        <f>IFERROR(IF(ISNUMBER('Spending by Category'!G385),TEXT('Spending by Category'!G385,"0.00"), ""), "")</f>
        <v/>
      </c>
      <c r="G379" s="23" t="str">
        <f>IFERROR(IF(ISNUMBER('Spending by Category'!H385),TEXT('Spending by Category'!H385,"0.00"), ""), "")</f>
        <v/>
      </c>
      <c r="H379" s="23" t="str">
        <f>IFERROR(IF(ISNUMBER('Spending by Category'!I385),TEXT('Spending by Category'!I385,"0.00"), ""), "")</f>
        <v/>
      </c>
      <c r="I379" s="23" t="str">
        <f>IFERROR(IF(ISNUMBER('Spending by Category'!J385),TEXT('Spending by Category'!J385,"0.00"), ""), "")</f>
        <v/>
      </c>
    </row>
    <row r="380" spans="1:9">
      <c r="A380" s="23" t="str">
        <f>TEXT(IF('Spending by Category'!B386&lt;&gt;0,'Spending by Category'!B386-364, ""), "mm/dd/yyyy")</f>
        <v/>
      </c>
      <c r="B380" s="23" t="str">
        <f>IFERROR(IF(ISNUMBER('Spending by Category'!C386),TEXT('Spending by Category'!C386,"0.00"), ""), "")</f>
        <v/>
      </c>
      <c r="C380" s="23" t="str">
        <f>IFERROR(IF(ISNUMBER('Spending by Category'!D386),TEXT('Spending by Category'!D386,"0.00"), ""), "")</f>
        <v/>
      </c>
      <c r="D380" s="23" t="str">
        <f>IFERROR(IF(ISNUMBER('Spending by Category'!E386),TEXT('Spending by Category'!E386,"0.00"), ""), "")</f>
        <v/>
      </c>
      <c r="E380" s="23" t="str">
        <f>IFERROR(IF(ISNUMBER('Spending by Category'!F386),TEXT('Spending by Category'!F386,"0.00"), ""), "")</f>
        <v/>
      </c>
      <c r="F380" s="23" t="str">
        <f>IFERROR(IF(ISNUMBER('Spending by Category'!G386),TEXT('Spending by Category'!G386,"0.00"), ""), "")</f>
        <v/>
      </c>
      <c r="G380" s="23" t="str">
        <f>IFERROR(IF(ISNUMBER('Spending by Category'!H386),TEXT('Spending by Category'!H386,"0.00"), ""), "")</f>
        <v/>
      </c>
      <c r="H380" s="23" t="str">
        <f>IFERROR(IF(ISNUMBER('Spending by Category'!I386),TEXT('Spending by Category'!I386,"0.00"), ""), "")</f>
        <v/>
      </c>
      <c r="I380" s="23" t="str">
        <f>IFERROR(IF(ISNUMBER('Spending by Category'!J386),TEXT('Spending by Category'!J386,"0.00"), ""), "")</f>
        <v/>
      </c>
    </row>
    <row r="381" spans="1:9">
      <c r="A381" s="23" t="str">
        <f>TEXT(IF('Spending by Category'!B387&lt;&gt;0,'Spending by Category'!B387-364, ""), "mm/dd/yyyy")</f>
        <v/>
      </c>
      <c r="B381" s="23" t="str">
        <f>IFERROR(IF(ISNUMBER('Spending by Category'!C387),TEXT('Spending by Category'!C387,"0.00"), ""), "")</f>
        <v/>
      </c>
      <c r="C381" s="23" t="str">
        <f>IFERROR(IF(ISNUMBER('Spending by Category'!D387),TEXT('Spending by Category'!D387,"0.00"), ""), "")</f>
        <v/>
      </c>
      <c r="D381" s="23" t="str">
        <f>IFERROR(IF(ISNUMBER('Spending by Category'!E387),TEXT('Spending by Category'!E387,"0.00"), ""), "")</f>
        <v/>
      </c>
      <c r="E381" s="23" t="str">
        <f>IFERROR(IF(ISNUMBER('Spending by Category'!F387),TEXT('Spending by Category'!F387,"0.00"), ""), "")</f>
        <v/>
      </c>
      <c r="F381" s="23" t="str">
        <f>IFERROR(IF(ISNUMBER('Spending by Category'!G387),TEXT('Spending by Category'!G387,"0.00"), ""), "")</f>
        <v/>
      </c>
      <c r="G381" s="23" t="str">
        <f>IFERROR(IF(ISNUMBER('Spending by Category'!H387),TEXT('Spending by Category'!H387,"0.00"), ""), "")</f>
        <v/>
      </c>
      <c r="H381" s="23" t="str">
        <f>IFERROR(IF(ISNUMBER('Spending by Category'!I387),TEXT('Spending by Category'!I387,"0.00"), ""), "")</f>
        <v/>
      </c>
      <c r="I381" s="23" t="str">
        <f>IFERROR(IF(ISNUMBER('Spending by Category'!J387),TEXT('Spending by Category'!J387,"0.00"), ""), "")</f>
        <v/>
      </c>
    </row>
    <row r="382" spans="1:9">
      <c r="A382" s="23" t="str">
        <f>TEXT(IF('Spending by Category'!B388&lt;&gt;0,'Spending by Category'!B388-364, ""), "mm/dd/yyyy")</f>
        <v/>
      </c>
      <c r="B382" s="23" t="str">
        <f>IFERROR(IF(ISNUMBER('Spending by Category'!C388),TEXT('Spending by Category'!C388,"0.00"), ""), "")</f>
        <v/>
      </c>
      <c r="C382" s="23" t="str">
        <f>IFERROR(IF(ISNUMBER('Spending by Category'!D388),TEXT('Spending by Category'!D388,"0.00"), ""), "")</f>
        <v/>
      </c>
      <c r="D382" s="23" t="str">
        <f>IFERROR(IF(ISNUMBER('Spending by Category'!E388),TEXT('Spending by Category'!E388,"0.00"), ""), "")</f>
        <v/>
      </c>
      <c r="E382" s="23" t="str">
        <f>IFERROR(IF(ISNUMBER('Spending by Category'!F388),TEXT('Spending by Category'!F388,"0.00"), ""), "")</f>
        <v/>
      </c>
      <c r="F382" s="23" t="str">
        <f>IFERROR(IF(ISNUMBER('Spending by Category'!G388),TEXT('Spending by Category'!G388,"0.00"), ""), "")</f>
        <v/>
      </c>
      <c r="G382" s="23" t="str">
        <f>IFERROR(IF(ISNUMBER('Spending by Category'!H388),TEXT('Spending by Category'!H388,"0.00"), ""), "")</f>
        <v/>
      </c>
      <c r="H382" s="23" t="str">
        <f>IFERROR(IF(ISNUMBER('Spending by Category'!I388),TEXT('Spending by Category'!I388,"0.00"), ""), "")</f>
        <v/>
      </c>
      <c r="I382" s="23" t="str">
        <f>IFERROR(IF(ISNUMBER('Spending by Category'!J388),TEXT('Spending by Category'!J388,"0.00"), ""), "")</f>
        <v/>
      </c>
    </row>
    <row r="383" spans="1:9">
      <c r="A383" s="23" t="str">
        <f>TEXT(IF('Spending by Category'!B389&lt;&gt;0,'Spending by Category'!B389-364, ""), "mm/dd/yyyy")</f>
        <v/>
      </c>
      <c r="B383" s="23" t="str">
        <f>IFERROR(IF(ISNUMBER('Spending by Category'!C389),TEXT('Spending by Category'!C389,"0.00"), ""), "")</f>
        <v/>
      </c>
      <c r="C383" s="23" t="str">
        <f>IFERROR(IF(ISNUMBER('Spending by Category'!D389),TEXT('Spending by Category'!D389,"0.00"), ""), "")</f>
        <v/>
      </c>
      <c r="D383" s="23" t="str">
        <f>IFERROR(IF(ISNUMBER('Spending by Category'!E389),TEXT('Spending by Category'!E389,"0.00"), ""), "")</f>
        <v/>
      </c>
      <c r="E383" s="23" t="str">
        <f>IFERROR(IF(ISNUMBER('Spending by Category'!F389),TEXT('Spending by Category'!F389,"0.00"), ""), "")</f>
        <v/>
      </c>
      <c r="F383" s="23" t="str">
        <f>IFERROR(IF(ISNUMBER('Spending by Category'!G389),TEXT('Spending by Category'!G389,"0.00"), ""), "")</f>
        <v/>
      </c>
      <c r="G383" s="23" t="str">
        <f>IFERROR(IF(ISNUMBER('Spending by Category'!H389),TEXT('Spending by Category'!H389,"0.00"), ""), "")</f>
        <v/>
      </c>
      <c r="H383" s="23" t="str">
        <f>IFERROR(IF(ISNUMBER('Spending by Category'!I389),TEXT('Spending by Category'!I389,"0.00"), ""), "")</f>
        <v/>
      </c>
      <c r="I383" s="23" t="str">
        <f>IFERROR(IF(ISNUMBER('Spending by Category'!J389),TEXT('Spending by Category'!J389,"0.00"), ""), "")</f>
        <v/>
      </c>
    </row>
    <row r="384" spans="1:9">
      <c r="A384" s="23" t="str">
        <f>TEXT(IF('Spending by Category'!B390&lt;&gt;0,'Spending by Category'!B390-364, ""), "mm/dd/yyyy")</f>
        <v/>
      </c>
      <c r="B384" s="23" t="str">
        <f>IFERROR(IF(ISNUMBER('Spending by Category'!C390),TEXT('Spending by Category'!C390,"0.00"), ""), "")</f>
        <v/>
      </c>
      <c r="C384" s="23" t="str">
        <f>IFERROR(IF(ISNUMBER('Spending by Category'!D390),TEXT('Spending by Category'!D390,"0.00"), ""), "")</f>
        <v/>
      </c>
      <c r="D384" s="23" t="str">
        <f>IFERROR(IF(ISNUMBER('Spending by Category'!E390),TEXT('Spending by Category'!E390,"0.00"), ""), "")</f>
        <v/>
      </c>
      <c r="E384" s="23" t="str">
        <f>IFERROR(IF(ISNUMBER('Spending by Category'!F390),TEXT('Spending by Category'!F390,"0.00"), ""), "")</f>
        <v/>
      </c>
      <c r="F384" s="23" t="str">
        <f>IFERROR(IF(ISNUMBER('Spending by Category'!G390),TEXT('Spending by Category'!G390,"0.00"), ""), "")</f>
        <v/>
      </c>
      <c r="G384" s="23" t="str">
        <f>IFERROR(IF(ISNUMBER('Spending by Category'!H390),TEXT('Spending by Category'!H390,"0.00"), ""), "")</f>
        <v/>
      </c>
      <c r="H384" s="23" t="str">
        <f>IFERROR(IF(ISNUMBER('Spending by Category'!I390),TEXT('Spending by Category'!I390,"0.00"), ""), "")</f>
        <v/>
      </c>
      <c r="I384" s="23" t="str">
        <f>IFERROR(IF(ISNUMBER('Spending by Category'!J390),TEXT('Spending by Category'!J390,"0.00"), ""), "")</f>
        <v/>
      </c>
    </row>
    <row r="385" spans="1:9">
      <c r="A385" s="23" t="str">
        <f>TEXT(IF('Spending by Category'!B391&lt;&gt;0,'Spending by Category'!B391-364, ""), "mm/dd/yyyy")</f>
        <v/>
      </c>
      <c r="B385" s="23" t="str">
        <f>IFERROR(IF(ISNUMBER('Spending by Category'!C391),TEXT('Spending by Category'!C391,"0.00"), ""), "")</f>
        <v/>
      </c>
      <c r="C385" s="23" t="str">
        <f>IFERROR(IF(ISNUMBER('Spending by Category'!D391),TEXT('Spending by Category'!D391,"0.00"), ""), "")</f>
        <v/>
      </c>
      <c r="D385" s="23" t="str">
        <f>IFERROR(IF(ISNUMBER('Spending by Category'!E391),TEXT('Spending by Category'!E391,"0.00"), ""), "")</f>
        <v/>
      </c>
      <c r="E385" s="23" t="str">
        <f>IFERROR(IF(ISNUMBER('Spending by Category'!F391),TEXT('Spending by Category'!F391,"0.00"), ""), "")</f>
        <v/>
      </c>
      <c r="F385" s="23" t="str">
        <f>IFERROR(IF(ISNUMBER('Spending by Category'!G391),TEXT('Spending by Category'!G391,"0.00"), ""), "")</f>
        <v/>
      </c>
      <c r="G385" s="23" t="str">
        <f>IFERROR(IF(ISNUMBER('Spending by Category'!H391),TEXT('Spending by Category'!H391,"0.00"), ""), "")</f>
        <v/>
      </c>
      <c r="H385" s="23" t="str">
        <f>IFERROR(IF(ISNUMBER('Spending by Category'!I391),TEXT('Spending by Category'!I391,"0.00"), ""), "")</f>
        <v/>
      </c>
      <c r="I385" s="23" t="str">
        <f>IFERROR(IF(ISNUMBER('Spending by Category'!J391),TEXT('Spending by Category'!J391,"0.00"), ""), "")</f>
        <v/>
      </c>
    </row>
    <row r="386" spans="1:9">
      <c r="A386" s="23" t="str">
        <f>TEXT(IF('Spending by Category'!B392&lt;&gt;0,'Spending by Category'!B392-364, ""), "mm/dd/yyyy")</f>
        <v/>
      </c>
      <c r="B386" s="23" t="str">
        <f>IFERROR(IF(ISNUMBER('Spending by Category'!C392),TEXT('Spending by Category'!C392,"0.00"), ""), "")</f>
        <v/>
      </c>
      <c r="C386" s="23" t="str">
        <f>IFERROR(IF(ISNUMBER('Spending by Category'!D392),TEXT('Spending by Category'!D392,"0.00"), ""), "")</f>
        <v/>
      </c>
      <c r="D386" s="23" t="str">
        <f>IFERROR(IF(ISNUMBER('Spending by Category'!E392),TEXT('Spending by Category'!E392,"0.00"), ""), "")</f>
        <v/>
      </c>
      <c r="E386" s="23" t="str">
        <f>IFERROR(IF(ISNUMBER('Spending by Category'!F392),TEXT('Spending by Category'!F392,"0.00"), ""), "")</f>
        <v/>
      </c>
      <c r="F386" s="23" t="str">
        <f>IFERROR(IF(ISNUMBER('Spending by Category'!G392),TEXT('Spending by Category'!G392,"0.00"), ""), "")</f>
        <v/>
      </c>
      <c r="G386" s="23" t="str">
        <f>IFERROR(IF(ISNUMBER('Spending by Category'!H392),TEXT('Spending by Category'!H392,"0.00"), ""), "")</f>
        <v/>
      </c>
      <c r="H386" s="23" t="str">
        <f>IFERROR(IF(ISNUMBER('Spending by Category'!I392),TEXT('Spending by Category'!I392,"0.00"), ""), "")</f>
        <v/>
      </c>
      <c r="I386" s="23" t="str">
        <f>IFERROR(IF(ISNUMBER('Spending by Category'!J392),TEXT('Spending by Category'!J392,"0.00"), ""), "")</f>
        <v/>
      </c>
    </row>
    <row r="387" spans="1:9">
      <c r="A387" s="23" t="str">
        <f>TEXT(IF('Spending by Category'!B393&lt;&gt;0,'Spending by Category'!B393-364, ""), "mm/dd/yyyy")</f>
        <v/>
      </c>
      <c r="B387" s="23" t="str">
        <f>IFERROR(IF(ISNUMBER('Spending by Category'!C393),TEXT('Spending by Category'!C393,"0.00"), ""), "")</f>
        <v/>
      </c>
      <c r="C387" s="23" t="str">
        <f>IFERROR(IF(ISNUMBER('Spending by Category'!D393),TEXT('Spending by Category'!D393,"0.00"), ""), "")</f>
        <v/>
      </c>
      <c r="D387" s="23" t="str">
        <f>IFERROR(IF(ISNUMBER('Spending by Category'!E393),TEXT('Spending by Category'!E393,"0.00"), ""), "")</f>
        <v/>
      </c>
      <c r="E387" s="23" t="str">
        <f>IFERROR(IF(ISNUMBER('Spending by Category'!F393),TEXT('Spending by Category'!F393,"0.00"), ""), "")</f>
        <v/>
      </c>
      <c r="F387" s="23" t="str">
        <f>IFERROR(IF(ISNUMBER('Spending by Category'!G393),TEXT('Spending by Category'!G393,"0.00"), ""), "")</f>
        <v/>
      </c>
      <c r="G387" s="23" t="str">
        <f>IFERROR(IF(ISNUMBER('Spending by Category'!H393),TEXT('Spending by Category'!H393,"0.00"), ""), "")</f>
        <v/>
      </c>
      <c r="H387" s="23" t="str">
        <f>IFERROR(IF(ISNUMBER('Spending by Category'!I393),TEXT('Spending by Category'!I393,"0.00"), ""), "")</f>
        <v/>
      </c>
      <c r="I387" s="23" t="str">
        <f>IFERROR(IF(ISNUMBER('Spending by Category'!J393),TEXT('Spending by Category'!J393,"0.00"), ""), "")</f>
        <v/>
      </c>
    </row>
    <row r="388" spans="1:9">
      <c r="A388" s="23" t="str">
        <f>TEXT(IF('Spending by Category'!B394&lt;&gt;0,'Spending by Category'!B394-364, ""), "mm/dd/yyyy")</f>
        <v/>
      </c>
      <c r="B388" s="23" t="str">
        <f>IFERROR(IF(ISNUMBER('Spending by Category'!C394),TEXT('Spending by Category'!C394,"0.00"), ""), "")</f>
        <v/>
      </c>
      <c r="C388" s="23" t="str">
        <f>IFERROR(IF(ISNUMBER('Spending by Category'!D394),TEXT('Spending by Category'!D394,"0.00"), ""), "")</f>
        <v/>
      </c>
      <c r="D388" s="23" t="str">
        <f>IFERROR(IF(ISNUMBER('Spending by Category'!E394),TEXT('Spending by Category'!E394,"0.00"), ""), "")</f>
        <v/>
      </c>
      <c r="E388" s="23" t="str">
        <f>IFERROR(IF(ISNUMBER('Spending by Category'!F394),TEXT('Spending by Category'!F394,"0.00"), ""), "")</f>
        <v/>
      </c>
      <c r="F388" s="23" t="str">
        <f>IFERROR(IF(ISNUMBER('Spending by Category'!G394),TEXT('Spending by Category'!G394,"0.00"), ""), "")</f>
        <v/>
      </c>
      <c r="G388" s="23" t="str">
        <f>IFERROR(IF(ISNUMBER('Spending by Category'!H394),TEXT('Spending by Category'!H394,"0.00"), ""), "")</f>
        <v/>
      </c>
      <c r="H388" s="23" t="str">
        <f>IFERROR(IF(ISNUMBER('Spending by Category'!I394),TEXT('Spending by Category'!I394,"0.00"), ""), "")</f>
        <v/>
      </c>
      <c r="I388" s="23" t="str">
        <f>IFERROR(IF(ISNUMBER('Spending by Category'!J394),TEXT('Spending by Category'!J394,"0.00"), ""), "")</f>
        <v/>
      </c>
    </row>
    <row r="389" spans="1:9">
      <c r="A389" s="23" t="str">
        <f>TEXT(IF('Spending by Category'!B395&lt;&gt;0,'Spending by Category'!B395-364, ""), "mm/dd/yyyy")</f>
        <v/>
      </c>
      <c r="B389" s="23" t="str">
        <f>IFERROR(IF(ISNUMBER('Spending by Category'!C395),TEXT('Spending by Category'!C395,"0.00"), ""), "")</f>
        <v/>
      </c>
      <c r="C389" s="23" t="str">
        <f>IFERROR(IF(ISNUMBER('Spending by Category'!D395),TEXT('Spending by Category'!D395,"0.00"), ""), "")</f>
        <v/>
      </c>
      <c r="D389" s="23" t="str">
        <f>IFERROR(IF(ISNUMBER('Spending by Category'!E395),TEXT('Spending by Category'!E395,"0.00"), ""), "")</f>
        <v/>
      </c>
      <c r="E389" s="23" t="str">
        <f>IFERROR(IF(ISNUMBER('Spending by Category'!F395),TEXT('Spending by Category'!F395,"0.00"), ""), "")</f>
        <v/>
      </c>
      <c r="F389" s="23" t="str">
        <f>IFERROR(IF(ISNUMBER('Spending by Category'!G395),TEXT('Spending by Category'!G395,"0.00"), ""), "")</f>
        <v/>
      </c>
      <c r="G389" s="23" t="str">
        <f>IFERROR(IF(ISNUMBER('Spending by Category'!H395),TEXT('Spending by Category'!H395,"0.00"), ""), "")</f>
        <v/>
      </c>
      <c r="H389" s="23" t="str">
        <f>IFERROR(IF(ISNUMBER('Spending by Category'!I395),TEXT('Spending by Category'!I395,"0.00"), ""), "")</f>
        <v/>
      </c>
      <c r="I389" s="23" t="str">
        <f>IFERROR(IF(ISNUMBER('Spending by Category'!J395),TEXT('Spending by Category'!J395,"0.00"), ""), "")</f>
        <v/>
      </c>
    </row>
    <row r="390" spans="1:9">
      <c r="A390" s="23" t="str">
        <f>TEXT(IF('Spending by Category'!B396&lt;&gt;0,'Spending by Category'!B396-364, ""), "mm/dd/yyyy")</f>
        <v/>
      </c>
      <c r="B390" s="23" t="str">
        <f>IFERROR(IF(ISNUMBER('Spending by Category'!C396),TEXT('Spending by Category'!C396,"0.00"), ""), "")</f>
        <v/>
      </c>
      <c r="C390" s="23" t="str">
        <f>IFERROR(IF(ISNUMBER('Spending by Category'!D396),TEXT('Spending by Category'!D396,"0.00"), ""), "")</f>
        <v/>
      </c>
      <c r="D390" s="23" t="str">
        <f>IFERROR(IF(ISNUMBER('Spending by Category'!E396),TEXT('Spending by Category'!E396,"0.00"), ""), "")</f>
        <v/>
      </c>
      <c r="E390" s="23" t="str">
        <f>IFERROR(IF(ISNUMBER('Spending by Category'!F396),TEXT('Spending by Category'!F396,"0.00"), ""), "")</f>
        <v/>
      </c>
      <c r="F390" s="23" t="str">
        <f>IFERROR(IF(ISNUMBER('Spending by Category'!G396),TEXT('Spending by Category'!G396,"0.00"), ""), "")</f>
        <v/>
      </c>
      <c r="G390" s="23" t="str">
        <f>IFERROR(IF(ISNUMBER('Spending by Category'!H396),TEXT('Spending by Category'!H396,"0.00"), ""), "")</f>
        <v/>
      </c>
      <c r="H390" s="23" t="str">
        <f>IFERROR(IF(ISNUMBER('Spending by Category'!I396),TEXT('Spending by Category'!I396,"0.00"), ""), "")</f>
        <v/>
      </c>
      <c r="I390" s="23" t="str">
        <f>IFERROR(IF(ISNUMBER('Spending by Category'!J396),TEXT('Spending by Category'!J396,"0.00"), ""), "")</f>
        <v/>
      </c>
    </row>
    <row r="391" spans="1:9">
      <c r="A391" s="23" t="str">
        <f>TEXT(IF('Spending by Category'!B397&lt;&gt;0,'Spending by Category'!B397-364, ""), "mm/dd/yyyy")</f>
        <v/>
      </c>
      <c r="B391" s="23" t="str">
        <f>IFERROR(IF(ISNUMBER('Spending by Category'!C397),TEXT('Spending by Category'!C397,"0.00"), ""), "")</f>
        <v/>
      </c>
      <c r="C391" s="23" t="str">
        <f>IFERROR(IF(ISNUMBER('Spending by Category'!D397),TEXT('Spending by Category'!D397,"0.00"), ""), "")</f>
        <v/>
      </c>
      <c r="D391" s="23" t="str">
        <f>IFERROR(IF(ISNUMBER('Spending by Category'!E397),TEXT('Spending by Category'!E397,"0.00"), ""), "")</f>
        <v/>
      </c>
      <c r="E391" s="23" t="str">
        <f>IFERROR(IF(ISNUMBER('Spending by Category'!F397),TEXT('Spending by Category'!F397,"0.00"), ""), "")</f>
        <v/>
      </c>
      <c r="F391" s="23" t="str">
        <f>IFERROR(IF(ISNUMBER('Spending by Category'!G397),TEXT('Spending by Category'!G397,"0.00"), ""), "")</f>
        <v/>
      </c>
      <c r="G391" s="23" t="str">
        <f>IFERROR(IF(ISNUMBER('Spending by Category'!H397),TEXT('Spending by Category'!H397,"0.00"), ""), "")</f>
        <v/>
      </c>
      <c r="H391" s="23" t="str">
        <f>IFERROR(IF(ISNUMBER('Spending by Category'!I397),TEXT('Spending by Category'!I397,"0.00"), ""), "")</f>
        <v/>
      </c>
      <c r="I391" s="23" t="str">
        <f>IFERROR(IF(ISNUMBER('Spending by Category'!J397),TEXT('Spending by Category'!J397,"0.00"), ""), "")</f>
        <v/>
      </c>
    </row>
    <row r="392" spans="1:9">
      <c r="A392" s="23" t="str">
        <f>TEXT(IF('Spending by Category'!B398&lt;&gt;0,'Spending by Category'!B398-364, ""), "mm/dd/yyyy")</f>
        <v/>
      </c>
      <c r="B392" s="23" t="str">
        <f>IFERROR(IF(ISNUMBER('Spending by Category'!C398),TEXT('Spending by Category'!C398,"0.00"), ""), "")</f>
        <v/>
      </c>
      <c r="C392" s="23" t="str">
        <f>IFERROR(IF(ISNUMBER('Spending by Category'!D398),TEXT('Spending by Category'!D398,"0.00"), ""), "")</f>
        <v/>
      </c>
      <c r="D392" s="23" t="str">
        <f>IFERROR(IF(ISNUMBER('Spending by Category'!E398),TEXT('Spending by Category'!E398,"0.00"), ""), "")</f>
        <v/>
      </c>
      <c r="E392" s="23" t="str">
        <f>IFERROR(IF(ISNUMBER('Spending by Category'!F398),TEXT('Spending by Category'!F398,"0.00"), ""), "")</f>
        <v/>
      </c>
      <c r="F392" s="23" t="str">
        <f>IFERROR(IF(ISNUMBER('Spending by Category'!G398),TEXT('Spending by Category'!G398,"0.00"), ""), "")</f>
        <v/>
      </c>
      <c r="G392" s="23" t="str">
        <f>IFERROR(IF(ISNUMBER('Spending by Category'!H398),TEXT('Spending by Category'!H398,"0.00"), ""), "")</f>
        <v/>
      </c>
      <c r="H392" s="23" t="str">
        <f>IFERROR(IF(ISNUMBER('Spending by Category'!I398),TEXT('Spending by Category'!I398,"0.00"), ""), "")</f>
        <v/>
      </c>
      <c r="I392" s="23" t="str">
        <f>IFERROR(IF(ISNUMBER('Spending by Category'!J398),TEXT('Spending by Category'!J398,"0.00"), ""), "")</f>
        <v/>
      </c>
    </row>
    <row r="393" spans="1:9">
      <c r="A393" s="23" t="str">
        <f>TEXT(IF('Spending by Category'!B399&lt;&gt;0,'Spending by Category'!B399-364, ""), "mm/dd/yyyy")</f>
        <v/>
      </c>
      <c r="B393" s="23" t="str">
        <f>IFERROR(IF(ISNUMBER('Spending by Category'!C399),TEXT('Spending by Category'!C399,"0.00"), ""), "")</f>
        <v/>
      </c>
      <c r="C393" s="23" t="str">
        <f>IFERROR(IF(ISNUMBER('Spending by Category'!D399),TEXT('Spending by Category'!D399,"0.00"), ""), "")</f>
        <v/>
      </c>
      <c r="D393" s="23" t="str">
        <f>IFERROR(IF(ISNUMBER('Spending by Category'!E399),TEXT('Spending by Category'!E399,"0.00"), ""), "")</f>
        <v/>
      </c>
      <c r="E393" s="23" t="str">
        <f>IFERROR(IF(ISNUMBER('Spending by Category'!F399),TEXT('Spending by Category'!F399,"0.00"), ""), "")</f>
        <v/>
      </c>
      <c r="F393" s="23" t="str">
        <f>IFERROR(IF(ISNUMBER('Spending by Category'!G399),TEXT('Spending by Category'!G399,"0.00"), ""), "")</f>
        <v/>
      </c>
      <c r="G393" s="23" t="str">
        <f>IFERROR(IF(ISNUMBER('Spending by Category'!H399),TEXT('Spending by Category'!H399,"0.00"), ""), "")</f>
        <v/>
      </c>
      <c r="H393" s="23" t="str">
        <f>IFERROR(IF(ISNUMBER('Spending by Category'!I399),TEXT('Spending by Category'!I399,"0.00"), ""), "")</f>
        <v/>
      </c>
      <c r="I393" s="23" t="str">
        <f>IFERROR(IF(ISNUMBER('Spending by Category'!J399),TEXT('Spending by Category'!J399,"0.00"), ""), "")</f>
        <v/>
      </c>
    </row>
    <row r="394" spans="1:9">
      <c r="F394" s="23" t="str">
        <f>IFERROR(IF(ISNUMBER('Spending by Category'!G400),TEXT('Spending by Category'!G400,"0.00"), ""), "")</f>
        <v/>
      </c>
      <c r="G394" s="23" t="str">
        <f>IFERROR(IF(ISNUMBER('Spending by Category'!H400),TEXT('Spending by Category'!H400,"0.00"), ""), "")</f>
        <v/>
      </c>
      <c r="H394" s="23" t="str">
        <f>IFERROR(IF(ISNUMBER('Spending by Category'!I400),TEXT('Spending by Category'!I400,"0.00"), ""), "")</f>
        <v/>
      </c>
      <c r="I394" s="23" t="str">
        <f>IFERROR(IF(ISNUMBER('Spending by Category'!J400),TEXT('Spending by Category'!J400,"0.00"), ""), "")</f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9F3DB0CD4D844B918872BCED9B9CF9" ma:contentTypeVersion="12" ma:contentTypeDescription="Create a new document." ma:contentTypeScope="" ma:versionID="61f75d9b13a46a58fd2456a565edcb9c">
  <xsd:schema xmlns:xsd="http://www.w3.org/2001/XMLSchema" xmlns:xs="http://www.w3.org/2001/XMLSchema" xmlns:p="http://schemas.microsoft.com/office/2006/metadata/properties" xmlns:ns2="cac5d118-ba7b-4807-b700-df6f95cfff50" xmlns:ns3="66951ee6-cd93-49c7-9437-e871b2a117d6" targetNamespace="http://schemas.microsoft.com/office/2006/metadata/properties" ma:root="true" ma:fieldsID="d86870d415110e2c98f3a885b29630d1" ns2:_="" ns3:_="">
    <xsd:import namespace="cac5d118-ba7b-4807-b700-df6f95cfff50"/>
    <xsd:import namespace="66951ee6-cd93-49c7-9437-e871b2a117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c5d118-ba7b-4807-b700-df6f95cfff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51ee6-cd93-49c7-9437-e871b2a117d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CDE9887-E0FA-4466-9AE8-F467EBE3B56C}"/>
</file>

<file path=customXml/itemProps2.xml><?xml version="1.0" encoding="utf-8"?>
<ds:datastoreItem xmlns:ds="http://schemas.openxmlformats.org/officeDocument/2006/customXml" ds:itemID="{DB76EA6F-1555-4C99-9572-A10AA6DE6AF6}"/>
</file>

<file path=customXml/itemProps3.xml><?xml version="1.0" encoding="utf-8"?>
<ds:datastoreItem xmlns:ds="http://schemas.openxmlformats.org/officeDocument/2006/customXml" ds:itemID="{64D542C0-A8CA-4B6E-A82E-F3866F01EBF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9</vt:i4>
      </vt:variant>
    </vt:vector>
  </HeadingPairs>
  <TitlesOfParts>
    <vt:vector size="28" baseType="lpstr">
      <vt:lpstr>Master</vt:lpstr>
      <vt:lpstr>Panel_JobsandConstruction</vt:lpstr>
      <vt:lpstr>Panel_TaxesandSpending</vt:lpstr>
      <vt:lpstr>Panel_theLongerRun</vt:lpstr>
      <vt:lpstr>Change in Employment</vt:lpstr>
      <vt:lpstr>Real Structures</vt:lpstr>
      <vt:lpstr>State and Local Taxes</vt:lpstr>
      <vt:lpstr>Revenues &amp; Outlays in GDP</vt:lpstr>
      <vt:lpstr>Deficit</vt:lpstr>
      <vt:lpstr>Debt to GDP Ratio</vt:lpstr>
      <vt:lpstr>Spending by Category</vt:lpstr>
      <vt:lpstr>jobs_stateFinal</vt:lpstr>
      <vt:lpstr>jobs_fedFinal</vt:lpstr>
      <vt:lpstr>jobs_structures</vt:lpstr>
      <vt:lpstr>taxes_stateFinal</vt:lpstr>
      <vt:lpstr>long_revenueFinal</vt:lpstr>
      <vt:lpstr>long_deficitFinal</vt:lpstr>
      <vt:lpstr>long_debtFinal</vt:lpstr>
      <vt:lpstr>long_categoryFinal</vt:lpstr>
      <vt:lpstr>'Spending by Category'!_DLX1.USE</vt:lpstr>
      <vt:lpstr>_DLX1.USE</vt:lpstr>
      <vt:lpstr>_DLX2.USE</vt:lpstr>
      <vt:lpstr>_DLX5.USE</vt:lpstr>
      <vt:lpstr>_DLX6.USE</vt:lpstr>
      <vt:lpstr>_DLX7.USE</vt:lpstr>
      <vt:lpstr>Panel_JobsandConstruction!Print_Area</vt:lpstr>
      <vt:lpstr>Panel_TaxesandSpending!Print_Area</vt:lpstr>
      <vt:lpstr>Panel_theLongerRun!Print_Area</vt:lpstr>
    </vt:vector>
  </TitlesOfParts>
  <Company>The Brookings Institution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Emily Parker</dc:creator>
  <cp:lastModifiedBy>Parinitha Sastry</cp:lastModifiedBy>
  <cp:lastPrinted>2014-09-26T18:41:08Z</cp:lastPrinted>
  <dcterms:created xsi:type="dcterms:W3CDTF">2014-07-22T13:55:17Z</dcterms:created>
  <dcterms:modified xsi:type="dcterms:W3CDTF">2014-09-30T12:31:22Z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0x010100FA9F3DB0CD4D844B918872BCED9B9CF9</vt:lpwstr>
  </property>
  <property fmtid="{D5CDD505-2E9C-101B-9397-08002B2CF9AE}" pid="3" name="Order">
    <vt:r8>100</vt:r8>
  </property>
</Properties>
</file>