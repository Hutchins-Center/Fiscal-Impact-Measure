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drawings/drawing7.xml" ContentType="application/vnd.openxmlformats-officedocument.drawingml.chartshapes+xml"/>
  <Override PartName="/xl/drawings/drawing22.xml" ContentType="application/vnd.openxmlformats-officedocument.drawingml.chartshapes+xml"/>
  <Override PartName="/xl/drawings/drawing21.xml" ContentType="application/vnd.openxmlformats-officedocument.drawingml.chartshapes+xml"/>
  <Override PartName="/xl/drawings/drawing23.xml" ContentType="application/vnd.openxmlformats-officedocument.drawingml.chartshapes+xml"/>
  <Override PartName="/xl/drawings/drawing25.xml" ContentType="application/vnd.openxmlformats-officedocument.drawingml.chartshapes+xml"/>
  <Override PartName="/xl/drawings/drawing20.xml" ContentType="application/vnd.openxmlformats-officedocument.drawingml.chartshapes+xml"/>
  <Override PartName="/xl/drawings/drawing26.xml" ContentType="application/vnd.openxmlformats-officedocument.drawingml.chartshapes+xml"/>
  <Override PartName="/xl/drawings/drawing24.xml" ContentType="application/vnd.openxmlformats-officedocument.drawingml.chartshapes+xml"/>
  <Override PartName="/xl/drawings/drawing19.xml" ContentType="application/vnd.openxmlformats-officedocument.drawingml.chartshapes+xml"/>
  <Override PartName="/xl/drawings/drawing18.xml" ContentType="application/vnd.openxmlformats-officedocument.drawingml.chartshapes+xml"/>
  <Override PartName="/xl/drawings/drawing10.xml" ContentType="application/vnd.openxmlformats-officedocument.drawingml.chartshapes+xml"/>
  <Override PartName="/xl/drawings/drawing11.xml" ContentType="application/vnd.openxmlformats-officedocument.drawingml.chartshapes+xml"/>
  <Override PartName="/xl/drawings/drawing12.xml" ContentType="application/vnd.openxmlformats-officedocument.drawingml.chartshapes+xml"/>
  <Override PartName="/xl/drawings/drawing13.xml" ContentType="application/vnd.openxmlformats-officedocument.drawingml.chartshapes+xml"/>
  <Override PartName="/xl/drawings/drawing14.xml" ContentType="application/vnd.openxmlformats-officedocument.drawingml.chartshapes+xml"/>
  <Override PartName="/xl/drawings/drawing15.xml" ContentType="application/vnd.openxmlformats-officedocument.drawingml.chartshapes+xml"/>
  <Override PartName="/xl/drawings/drawing16.xml" ContentType="application/vnd.openxmlformats-officedocument.drawingml.chartshapes+xml"/>
  <Override PartName="/xl/drawings/drawing9.xml" ContentType="application/vnd.openxmlformats-officedocument.drawingml.chartshapes+xml"/>
  <Override PartName="/xl/workbook.xml" ContentType="application/vnd.ms-excel.sheet.macroEnabled.main+xml"/>
  <Override PartName="/xl/drawings/drawing5.xml" ContentType="application/vnd.openxmlformats-officedocument.drawingml.chartshapes+xml"/>
  <Override PartName="/xl/drawings/drawing4.xml" ContentType="application/vnd.openxmlformats-officedocument.drawingml.chartshapes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drawings/drawing17.xml" ContentType="application/vnd.openxmlformats-officedocument.drawing+xml"/>
  <Override PartName="/xl/theme/themeOverride6.xml" ContentType="application/vnd.openxmlformats-officedocument.themeOverrid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theme/themeOverride15.xml" ContentType="application/vnd.openxmlformats-officedocument.themeOverride+xml"/>
  <Override PartName="/xl/charts/chart15.xml" ContentType="application/vnd.openxmlformats-officedocument.drawingml.chart+xml"/>
  <Override PartName="/xl/theme/themeOverride14.xml" ContentType="application/vnd.openxmlformats-officedocument.themeOverride+xml"/>
  <Override PartName="/xl/charts/chart14.xml" ContentType="application/vnd.openxmlformats-officedocument.drawingml.chart+xml"/>
  <Override PartName="/xl/charts/chart12.xml" ContentType="application/vnd.openxmlformats-officedocument.drawingml.chart+xml"/>
  <Override PartName="/xl/charts/chart2.xml" ContentType="application/vnd.openxmlformats-officedocument.drawingml.chart+xml"/>
  <Override PartName="/xl/theme/themeOverride11.xml" ContentType="application/vnd.openxmlformats-officedocument.themeOverride+xml"/>
  <Override PartName="/xl/charts/chart3.xml" ContentType="application/vnd.openxmlformats-officedocument.drawingml.char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theme/themeOverride2.xml" ContentType="application/vnd.openxmlformats-officedocument.themeOverride+xml"/>
  <Override PartName="/xl/charts/chart11.xml" ContentType="application/vnd.openxmlformats-officedocument.drawingml.chart+xml"/>
  <Override PartName="/xl/theme/themeOverride1.xml" ContentType="application/vnd.openxmlformats-officedocument.themeOverride+xml"/>
  <Override PartName="/xl/charts/chart16.xml" ContentType="application/vnd.openxmlformats-officedocument.drawingml.chart+xml"/>
  <Override PartName="/xl/theme/themeOverride16.xml" ContentType="application/vnd.openxmlformats-officedocument.themeOverride+xml"/>
  <Override PartName="/xl/charts/chart21.xml" ContentType="application/vnd.openxmlformats-officedocument.drawingml.chart+xml"/>
  <Override PartName="/xl/sharedStrings.xml" ContentType="application/vnd.openxmlformats-officedocument.spreadsheetml.sharedStrings+xml"/>
  <Override PartName="/xl/theme/themeOverride20.xml" ContentType="application/vnd.openxmlformats-officedocument.themeOverride+xml"/>
  <Override PartName="/xl/charts/chart20.xml" ContentType="application/vnd.openxmlformats-officedocument.drawingml.chart+xml"/>
  <Override PartName="/xl/theme/themeOverride21.xml" ContentType="application/vnd.openxmlformats-officedocument.themeOverride+xml"/>
  <Override PartName="/xl/styles.xml" ContentType="application/vnd.openxmlformats-officedocument.spreadsheetml.styles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theme/themeOverride17.xml" ContentType="application/vnd.openxmlformats-officedocument.themeOverride+xml"/>
  <Override PartName="/xl/charts/chart17.xml" ContentType="application/vnd.openxmlformats-officedocument.drawingml.chart+xml"/>
  <Override PartName="/xl/charts/chart1.xml" ContentType="application/vnd.openxmlformats-officedocument.drawingml.chart+xml"/>
  <Override PartName="/xl/theme/themeOverride19.xml" ContentType="application/vnd.openxmlformats-officedocument.themeOverride+xml"/>
  <Override PartName="/xl/charts/chart6.xml" ContentType="application/vnd.openxmlformats-officedocument.drawingml.chart+xml"/>
  <Override PartName="/xl/theme/themeOverride18.xml" ContentType="application/vnd.openxmlformats-officedocument.themeOverride+xml"/>
  <Override PartName="/xl/charts/chart5.xml" ContentType="application/vnd.openxmlformats-officedocument.drawingml.chart+xml"/>
  <Override PartName="/xl/charts/chart18.xml" ContentType="application/vnd.openxmlformats-officedocument.drawingml.chart+xml"/>
  <Override PartName="/xl/theme/themeOverride5.xml" ContentType="application/vnd.openxmlformats-officedocument.themeOverride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45" yWindow="150" windowWidth="16620" windowHeight="9975" activeTab="2"/>
  </bookViews>
  <sheets>
    <sheet name="Master" sheetId="26" r:id="rId1"/>
    <sheet name="PanelOneCharts" sheetId="27" r:id="rId2"/>
    <sheet name="PanelTwoCharts" sheetId="29" r:id="rId3"/>
    <sheet name="PanelThreeCharts" sheetId="30" r:id="rId4"/>
    <sheet name="FinalCharts" sheetId="1" r:id="rId5"/>
    <sheet name="Change in Employment" sheetId="3" r:id="rId6"/>
    <sheet name="Real Structures" sheetId="15" r:id="rId7"/>
    <sheet name="State and Local Taxes" sheetId="4" r:id="rId8"/>
    <sheet name="CBO Snapshot" sheetId="13" r:id="rId9"/>
    <sheet name="Revenues &amp; Outlays in GDP" sheetId="8" r:id="rId10"/>
    <sheet name="Deficit" sheetId="7" r:id="rId11"/>
    <sheet name="Debt to GDP Ratio" sheetId="9" r:id="rId12"/>
    <sheet name="Spending by Category" sheetId="11" r:id="rId13"/>
    <sheet name="jobs_state" sheetId="17" r:id="rId14"/>
    <sheet name="jobs_fed" sheetId="18" r:id="rId15"/>
    <sheet name="jobs_structures" sheetId="19" r:id="rId16"/>
    <sheet name="taxes_state" sheetId="21" r:id="rId17"/>
    <sheet name="long_revenue" sheetId="22" r:id="rId18"/>
    <sheet name="long_deficit" sheetId="23" r:id="rId19"/>
    <sheet name="long_debt" sheetId="24" r:id="rId20"/>
    <sheet name="long_category" sheetId="25" r:id="rId21"/>
  </sheets>
  <externalReferences>
    <externalReference r:id="rId22"/>
    <externalReference r:id="rId23"/>
  </externalReferences>
  <definedNames>
    <definedName name="_DLX1.USE" localSheetId="12">'Spending by Category'!$A$1:$T$6</definedName>
    <definedName name="_DLX1.USE">'State and Local Taxes'!$2:$7</definedName>
    <definedName name="_DLX2.USE">'Change in Employment'!$A$3:$P$6</definedName>
    <definedName name="_DLX4.USE" localSheetId="14">#REF!</definedName>
    <definedName name="_DLX4.USE" localSheetId="15">#REF!</definedName>
    <definedName name="_DLX4.USE" localSheetId="1">#REF!</definedName>
    <definedName name="_DLX4.USE" localSheetId="3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4">FinalCharts!$A$1:$Q$161</definedName>
    <definedName name="_xlnm.Print_Area" localSheetId="1">PanelOneCharts!$A$1:$Q$136</definedName>
    <definedName name="_xlnm.Print_Area" localSheetId="3">PanelThreeCharts!$A$1:$Q$161</definedName>
    <definedName name="_xlnm.Print_Area" localSheetId="2">PanelTwoCharts!$A$1:$Q$81</definedName>
  </definedNames>
  <calcPr calcId="145621"/>
</workbook>
</file>

<file path=xl/calcChain.xml><?xml version="1.0" encoding="utf-8"?>
<calcChain xmlns="http://schemas.openxmlformats.org/spreadsheetml/2006/main">
  <c r="I393" i="25" l="1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L14" i="3"/>
  <c r="B8" i="18" s="1"/>
  <c r="I12" i="3"/>
  <c r="I124" i="3"/>
  <c r="A4" i="15" l="1"/>
  <c r="L133" i="3" l="1"/>
  <c r="B127" i="18" s="1"/>
  <c r="I133" i="3"/>
  <c r="I32" i="3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L132" i="3"/>
  <c r="B126" i="18" s="1"/>
  <c r="L131" i="3"/>
  <c r="B125" i="18" s="1"/>
  <c r="L130" i="3"/>
  <c r="B124" i="18" s="1"/>
  <c r="L129" i="3"/>
  <c r="B123" i="18" s="1"/>
  <c r="L128" i="3"/>
  <c r="B122" i="18" s="1"/>
  <c r="L127" i="3"/>
  <c r="B121" i="18" s="1"/>
  <c r="L126" i="3"/>
  <c r="B120" i="18" s="1"/>
  <c r="L125" i="3"/>
  <c r="B119" i="18" s="1"/>
  <c r="L124" i="3"/>
  <c r="B118" i="18" s="1"/>
  <c r="L123" i="3"/>
  <c r="B117" i="18" s="1"/>
  <c r="L122" i="3"/>
  <c r="B116" i="18" s="1"/>
  <c r="L121" i="3"/>
  <c r="B115" i="18" s="1"/>
  <c r="L120" i="3"/>
  <c r="B114" i="18" s="1"/>
  <c r="L119" i="3"/>
  <c r="B113" i="18" s="1"/>
  <c r="L118" i="3"/>
  <c r="B112" i="18" s="1"/>
  <c r="L117" i="3"/>
  <c r="B111" i="18" s="1"/>
  <c r="L116" i="3"/>
  <c r="B110" i="18" s="1"/>
  <c r="L115" i="3"/>
  <c r="B109" i="18" s="1"/>
  <c r="L114" i="3"/>
  <c r="B108" i="18" s="1"/>
  <c r="L113" i="3"/>
  <c r="B107" i="18" s="1"/>
  <c r="L112" i="3"/>
  <c r="B106" i="18" s="1"/>
  <c r="L111" i="3"/>
  <c r="B105" i="18" s="1"/>
  <c r="L110" i="3"/>
  <c r="B104" i="18" s="1"/>
  <c r="L109" i="3"/>
  <c r="B103" i="18" s="1"/>
  <c r="L108" i="3"/>
  <c r="B102" i="18" s="1"/>
  <c r="L107" i="3"/>
  <c r="B101" i="18" s="1"/>
  <c r="L106" i="3"/>
  <c r="B100" i="18" s="1"/>
  <c r="L105" i="3"/>
  <c r="B99" i="18" s="1"/>
  <c r="L104" i="3"/>
  <c r="B98" i="18" s="1"/>
  <c r="L103" i="3"/>
  <c r="B97" i="18" s="1"/>
  <c r="L102" i="3"/>
  <c r="B96" i="18" s="1"/>
  <c r="L101" i="3"/>
  <c r="B95" i="18" s="1"/>
  <c r="L100" i="3"/>
  <c r="B94" i="18" s="1"/>
  <c r="L99" i="3"/>
  <c r="B93" i="18" s="1"/>
  <c r="L98" i="3"/>
  <c r="B92" i="18" s="1"/>
  <c r="L97" i="3"/>
  <c r="B91" i="18" s="1"/>
  <c r="L96" i="3"/>
  <c r="B90" i="18" s="1"/>
  <c r="L95" i="3"/>
  <c r="B89" i="18" s="1"/>
  <c r="L94" i="3"/>
  <c r="B88" i="18" s="1"/>
  <c r="L93" i="3"/>
  <c r="B87" i="18" s="1"/>
  <c r="L92" i="3"/>
  <c r="B86" i="18" s="1"/>
  <c r="L91" i="3"/>
  <c r="B85" i="18" s="1"/>
  <c r="L90" i="3"/>
  <c r="B84" i="18" s="1"/>
  <c r="L89" i="3"/>
  <c r="B83" i="18" s="1"/>
  <c r="L88" i="3"/>
  <c r="B82" i="18" s="1"/>
  <c r="L87" i="3"/>
  <c r="B81" i="18" s="1"/>
  <c r="L86" i="3"/>
  <c r="B80" i="18" s="1"/>
  <c r="L85" i="3"/>
  <c r="B79" i="18" s="1"/>
  <c r="L84" i="3"/>
  <c r="B78" i="18" s="1"/>
  <c r="L83" i="3"/>
  <c r="B77" i="18" s="1"/>
  <c r="L82" i="3"/>
  <c r="B76" i="18" s="1"/>
  <c r="L81" i="3"/>
  <c r="B75" i="18" s="1"/>
  <c r="L80" i="3"/>
  <c r="B74" i="18" s="1"/>
  <c r="L79" i="3"/>
  <c r="B73" i="18" s="1"/>
  <c r="L78" i="3"/>
  <c r="B72" i="18" s="1"/>
  <c r="L77" i="3"/>
  <c r="B71" i="18" s="1"/>
  <c r="L76" i="3"/>
  <c r="B70" i="18" s="1"/>
  <c r="L75" i="3"/>
  <c r="B69" i="18" s="1"/>
  <c r="L74" i="3"/>
  <c r="B68" i="18" s="1"/>
  <c r="L73" i="3"/>
  <c r="B67" i="18" s="1"/>
  <c r="L72" i="3"/>
  <c r="B66" i="18" s="1"/>
  <c r="L71" i="3"/>
  <c r="B65" i="18" s="1"/>
  <c r="L70" i="3"/>
  <c r="B64" i="18" s="1"/>
  <c r="L69" i="3"/>
  <c r="B63" i="18" s="1"/>
  <c r="L68" i="3"/>
  <c r="B62" i="18" s="1"/>
  <c r="L67" i="3"/>
  <c r="B61" i="18" s="1"/>
  <c r="L66" i="3"/>
  <c r="B60" i="18" s="1"/>
  <c r="L65" i="3"/>
  <c r="B59" i="18" s="1"/>
  <c r="L64" i="3"/>
  <c r="B58" i="18" s="1"/>
  <c r="L63" i="3"/>
  <c r="B57" i="18" s="1"/>
  <c r="L62" i="3"/>
  <c r="B56" i="18" s="1"/>
  <c r="L61" i="3"/>
  <c r="B55" i="18" s="1"/>
  <c r="L60" i="3"/>
  <c r="B54" i="18" s="1"/>
  <c r="L59" i="3"/>
  <c r="B53" i="18" s="1"/>
  <c r="L58" i="3"/>
  <c r="B52" i="18" s="1"/>
  <c r="L57" i="3"/>
  <c r="B51" i="18" s="1"/>
  <c r="L56" i="3"/>
  <c r="B50" i="18" s="1"/>
  <c r="L55" i="3"/>
  <c r="B49" i="18" s="1"/>
  <c r="L54" i="3"/>
  <c r="B48" i="18" s="1"/>
  <c r="L53" i="3"/>
  <c r="B47" i="18" s="1"/>
  <c r="L52" i="3"/>
  <c r="B46" i="18" s="1"/>
  <c r="L51" i="3"/>
  <c r="B45" i="18" s="1"/>
  <c r="L50" i="3"/>
  <c r="B44" i="18" s="1"/>
  <c r="L49" i="3"/>
  <c r="B43" i="18" s="1"/>
  <c r="L48" i="3"/>
  <c r="B42" i="18" s="1"/>
  <c r="L47" i="3"/>
  <c r="B41" i="18" s="1"/>
  <c r="L46" i="3"/>
  <c r="B40" i="18" s="1"/>
  <c r="L45" i="3"/>
  <c r="B39" i="18" s="1"/>
  <c r="L44" i="3"/>
  <c r="B38" i="18" s="1"/>
  <c r="L43" i="3"/>
  <c r="B37" i="18" s="1"/>
  <c r="L42" i="3"/>
  <c r="B36" i="18" s="1"/>
  <c r="L41" i="3"/>
  <c r="B35" i="18" s="1"/>
  <c r="L40" i="3"/>
  <c r="B34" i="18" s="1"/>
  <c r="L39" i="3"/>
  <c r="B33" i="18" s="1"/>
  <c r="L38" i="3"/>
  <c r="B32" i="18" s="1"/>
  <c r="L37" i="3"/>
  <c r="B31" i="18" s="1"/>
  <c r="L36" i="3"/>
  <c r="B30" i="18" s="1"/>
  <c r="L35" i="3"/>
  <c r="B29" i="18" s="1"/>
  <c r="L34" i="3"/>
  <c r="B28" i="18" s="1"/>
  <c r="L33" i="3"/>
  <c r="B27" i="18" s="1"/>
  <c r="L32" i="3"/>
  <c r="B26" i="18" s="1"/>
  <c r="L31" i="3"/>
  <c r="B25" i="18" s="1"/>
  <c r="L30" i="3"/>
  <c r="B24" i="18" s="1"/>
  <c r="L29" i="3"/>
  <c r="B23" i="18" s="1"/>
  <c r="L28" i="3"/>
  <c r="B22" i="18" s="1"/>
  <c r="L27" i="3"/>
  <c r="B21" i="18" s="1"/>
  <c r="L26" i="3"/>
  <c r="B20" i="18" s="1"/>
  <c r="L25" i="3"/>
  <c r="B19" i="18" s="1"/>
  <c r="L24" i="3"/>
  <c r="B18" i="18" s="1"/>
  <c r="L23" i="3"/>
  <c r="B17" i="18" s="1"/>
  <c r="L22" i="3"/>
  <c r="B16" i="18" s="1"/>
  <c r="L21" i="3"/>
  <c r="B15" i="18" s="1"/>
  <c r="L20" i="3"/>
  <c r="B14" i="18" s="1"/>
  <c r="L19" i="3"/>
  <c r="B13" i="18" s="1"/>
  <c r="L18" i="3"/>
  <c r="B12" i="18" s="1"/>
  <c r="L17" i="3"/>
  <c r="B11" i="18" s="1"/>
  <c r="L16" i="3"/>
  <c r="B10" i="18" s="1"/>
  <c r="L15" i="3"/>
  <c r="B9" i="18" s="1"/>
  <c r="L13" i="3"/>
  <c r="B7" i="18" s="1"/>
  <c r="L12" i="3"/>
  <c r="B6" i="18" s="1"/>
  <c r="L11" i="3"/>
  <c r="B5" i="18" s="1"/>
  <c r="L10" i="3"/>
  <c r="B4" i="18" s="1"/>
  <c r="L9" i="3"/>
  <c r="B3" i="18" s="1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8" i="3"/>
  <c r="L8" i="3"/>
  <c r="B2" i="18" s="1"/>
  <c r="J13" i="3" l="1"/>
  <c r="J10" i="3"/>
  <c r="M133" i="3"/>
  <c r="M22" i="3"/>
  <c r="M30" i="3"/>
  <c r="M38" i="3"/>
  <c r="M70" i="3"/>
  <c r="M86" i="3"/>
  <c r="M94" i="3"/>
  <c r="M102" i="3"/>
  <c r="J72" i="3"/>
  <c r="M28" i="3"/>
  <c r="J12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J61" i="3"/>
  <c r="J45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J133" i="3"/>
  <c r="M46" i="3"/>
  <c r="J126" i="3"/>
  <c r="J110" i="3"/>
  <c r="J78" i="3"/>
  <c r="J46" i="3"/>
  <c r="J29" i="3"/>
  <c r="J28" i="3"/>
  <c r="J125" i="3"/>
  <c r="J101" i="3"/>
  <c r="J77" i="3"/>
  <c r="J20" i="3"/>
  <c r="M62" i="3"/>
  <c r="M126" i="3"/>
  <c r="J118" i="3"/>
  <c r="J86" i="3"/>
  <c r="J62" i="3"/>
  <c r="J21" i="3"/>
  <c r="M54" i="3"/>
  <c r="J109" i="3"/>
  <c r="J69" i="3"/>
  <c r="M14" i="3"/>
  <c r="M78" i="3"/>
  <c r="M44" i="3"/>
  <c r="M108" i="3"/>
  <c r="J102" i="3"/>
  <c r="J70" i="3"/>
  <c r="J38" i="3"/>
  <c r="M118" i="3"/>
  <c r="J117" i="3"/>
  <c r="J85" i="3"/>
  <c r="J113" i="3"/>
  <c r="J95" i="3"/>
  <c r="J87" i="3"/>
  <c r="M13" i="3"/>
  <c r="M21" i="3"/>
  <c r="M37" i="3"/>
  <c r="M45" i="3"/>
  <c r="M53" i="3"/>
  <c r="M60" i="3"/>
  <c r="M68" i="3"/>
  <c r="M77" i="3"/>
  <c r="M85" i="3"/>
  <c r="M93" i="3"/>
  <c r="M101" i="3"/>
  <c r="M109" i="3"/>
  <c r="M117" i="3"/>
  <c r="M124" i="3"/>
  <c r="M132" i="3"/>
  <c r="M110" i="3"/>
  <c r="J94" i="3"/>
  <c r="J54" i="3"/>
  <c r="J93" i="3"/>
  <c r="J121" i="3"/>
  <c r="J23" i="3"/>
  <c r="J73" i="3"/>
  <c r="J41" i="3"/>
  <c r="J120" i="3"/>
  <c r="M92" i="3"/>
  <c r="J131" i="3"/>
  <c r="J123" i="3"/>
  <c r="J115" i="3"/>
  <c r="J107" i="3"/>
  <c r="J99" i="3"/>
  <c r="J91" i="3"/>
  <c r="J83" i="3"/>
  <c r="J75" i="3"/>
  <c r="J67" i="3"/>
  <c r="J59" i="3"/>
  <c r="J51" i="3"/>
  <c r="J43" i="3"/>
  <c r="J34" i="3"/>
  <c r="J35" i="3"/>
  <c r="J26" i="3"/>
  <c r="J18" i="3"/>
  <c r="M11" i="3"/>
  <c r="M10" i="3"/>
  <c r="M19" i="3"/>
  <c r="M18" i="3"/>
  <c r="M27" i="3"/>
  <c r="M26" i="3"/>
  <c r="M35" i="3"/>
  <c r="M34" i="3"/>
  <c r="M43" i="3"/>
  <c r="M42" i="3"/>
  <c r="M51" i="3"/>
  <c r="M50" i="3"/>
  <c r="M59" i="3"/>
  <c r="M58" i="3"/>
  <c r="M67" i="3"/>
  <c r="M66" i="3"/>
  <c r="M75" i="3"/>
  <c r="M74" i="3"/>
  <c r="M83" i="3"/>
  <c r="M82" i="3"/>
  <c r="M91" i="3"/>
  <c r="M90" i="3"/>
  <c r="M99" i="3"/>
  <c r="M98" i="3"/>
  <c r="M107" i="3"/>
  <c r="M106" i="3"/>
  <c r="M115" i="3"/>
  <c r="M114" i="3"/>
  <c r="M123" i="3"/>
  <c r="M122" i="3"/>
  <c r="M131" i="3"/>
  <c r="M130" i="3"/>
  <c r="J37" i="3"/>
  <c r="J53" i="3"/>
  <c r="J71" i="3"/>
  <c r="J89" i="3"/>
  <c r="J112" i="3"/>
  <c r="M20" i="3"/>
  <c r="M61" i="3"/>
  <c r="M84" i="3"/>
  <c r="M125" i="3"/>
  <c r="J130" i="3"/>
  <c r="J122" i="3"/>
  <c r="J114" i="3"/>
  <c r="J106" i="3"/>
  <c r="J98" i="3"/>
  <c r="J90" i="3"/>
  <c r="J82" i="3"/>
  <c r="J74" i="3"/>
  <c r="J66" i="3"/>
  <c r="J58" i="3"/>
  <c r="J50" i="3"/>
  <c r="J42" i="3"/>
  <c r="J33" i="3"/>
  <c r="J25" i="3"/>
  <c r="J17" i="3"/>
  <c r="J22" i="3"/>
  <c r="J39" i="3"/>
  <c r="J55" i="3"/>
  <c r="J40" i="3"/>
  <c r="J119" i="3"/>
  <c r="J57" i="3"/>
  <c r="J80" i="3"/>
  <c r="J103" i="3"/>
  <c r="M29" i="3"/>
  <c r="M52" i="3"/>
  <c r="M116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J14" i="3"/>
  <c r="J30" i="3"/>
  <c r="J47" i="3"/>
  <c r="J63" i="3"/>
  <c r="J81" i="3"/>
  <c r="J104" i="3"/>
  <c r="J127" i="3"/>
  <c r="M12" i="3"/>
  <c r="M76" i="3"/>
  <c r="J96" i="3"/>
  <c r="J24" i="3"/>
  <c r="J97" i="3"/>
  <c r="M69" i="3"/>
  <c r="J15" i="3"/>
  <c r="J31" i="3"/>
  <c r="J48" i="3"/>
  <c r="J105" i="3"/>
  <c r="J128" i="3"/>
  <c r="M36" i="3"/>
  <c r="M100" i="3"/>
  <c r="J56" i="3"/>
  <c r="J79" i="3"/>
  <c r="J11" i="3"/>
  <c r="J64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7" i="3"/>
  <c r="J19" i="3"/>
  <c r="J16" i="3"/>
  <c r="J32" i="3"/>
  <c r="J49" i="3"/>
  <c r="J65" i="3"/>
  <c r="J88" i="3"/>
  <c r="J111" i="3"/>
  <c r="J129" i="3"/>
</calcChain>
</file>

<file path=xl/sharedStrings.xml><?xml version="1.0" encoding="utf-8"?>
<sst xmlns="http://schemas.openxmlformats.org/spreadsheetml/2006/main" count="921" uniqueCount="455">
  <si>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</si>
  <si>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</si>
  <si>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</si>
  <si>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</si>
  <si>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</si>
  <si>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</si>
  <si>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</si>
  <si>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</si>
  <si>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</si>
  <si>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</si>
  <si>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</si>
  <si>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</si>
  <si>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</si>
  <si>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</si>
  <si>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</si>
  <si>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</si>
  <si>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</si>
  <si>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</si>
  <si>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</si>
  <si>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</si>
  <si>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</si>
  <si>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</si>
  <si>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</si>
  <si>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</si>
  <si>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</si>
  <si>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</si>
  <si>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</si>
  <si>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</si>
  <si>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</si>
  <si>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</si>
  <si>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</si>
  <si>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</si>
  <si>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</si>
  <si>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</si>
  <si>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</si>
  <si>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</si>
  <si>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</si>
  <si>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</si>
  <si>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</si>
  <si>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</si>
  <si>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</si>
  <si>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</si>
  <si>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</si>
  <si>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</si>
  <si>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</si>
  <si>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</si>
  <si>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</si>
  <si>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</si>
  <si>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</si>
  <si>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</si>
  <si>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</si>
  <si>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</si>
  <si>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</si>
  <si>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</si>
  <si>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</si>
  <si>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</si>
  <si>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</si>
  <si>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</si>
  <si>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</si>
  <si>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</si>
  <si>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</si>
  <si>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</si>
  <si>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</si>
  <si>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</si>
  <si>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</si>
  <si>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</si>
  <si>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</si>
  <si>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</si>
  <si>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</si>
  <si>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</si>
  <si>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</si>
  <si>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</si>
  <si>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</si>
  <si>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</si>
  <si>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</si>
  <si>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</si>
  <si>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</si>
  <si>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</si>
  <si>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</si>
  <si>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</si>
  <si>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</si>
  <si>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</si>
  <si>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</si>
  <si>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</si>
  <si>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</si>
  <si>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</si>
  <si>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</si>
  <si>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</si>
  <si>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</si>
  <si>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</si>
  <si>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</si>
  <si>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</si>
  <si>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</si>
  <si>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</si>
  <si>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</si>
  <si>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</si>
  <si>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</si>
  <si>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</si>
  <si>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</si>
  <si>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</si>
  <si>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</si>
  <si>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</si>
  <si>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</si>
  <si>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</si>
  <si>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</si>
  <si>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</si>
  <si>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</si>
  <si>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</si>
  <si>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</si>
  <si>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</si>
  <si>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</si>
  <si>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</si>
  <si>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</si>
  <si>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</si>
  <si>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</si>
  <si>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</si>
  <si>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</si>
  <si>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</si>
  <si>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</si>
  <si>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</si>
  <si>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</si>
  <si>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</si>
  <si>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</si>
  <si>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</si>
  <si>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</si>
  <si>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</si>
  <si>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</si>
  <si>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</si>
  <si>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</si>
  <si>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</si>
  <si>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</si>
  <si>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</si>
  <si>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</si>
  <si>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</si>
  <si>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</si>
  <si>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</si>
  <si>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</si>
  <si>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</si>
  <si>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</si>
  <si>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</si>
  <si>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</si>
  <si>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</si>
  <si>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</si>
  <si>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</si>
  <si>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</si>
  <si>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</si>
  <si>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</si>
  <si>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</si>
  <si>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</si>
  <si>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</si>
  <si>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</si>
  <si>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</si>
  <si>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</si>
  <si>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</si>
  <si>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</si>
  <si>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</si>
  <si>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</si>
  <si>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</si>
  <si>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</si>
  <si>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</si>
  <si>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</si>
  <si>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</si>
  <si>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</si>
  <si>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</si>
  <si>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</si>
  <si>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</si>
  <si>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</si>
  <si>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</si>
  <si>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</si>
  <si>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</si>
  <si>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</si>
  <si>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</si>
  <si>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</si>
  <si>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</si>
  <si>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</si>
  <si>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</si>
  <si>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</si>
  <si>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</si>
  <si>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</si>
  <si>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</si>
  <si>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</si>
  <si>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</si>
  <si>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</si>
  <si>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</si>
  <si>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</si>
  <si>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</si>
  <si>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</si>
  <si>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</si>
  <si>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</si>
  <si>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</si>
  <si>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</si>
  <si>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</si>
  <si>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</si>
  <si>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</si>
  <si>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</si>
  <si>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</si>
  <si>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</si>
  <si>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</si>
  <si>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</si>
  <si>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</si>
  <si>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</si>
  <si>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</si>
  <si>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</si>
  <si>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</si>
  <si>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</si>
  <si>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</si>
  <si>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</si>
  <si>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</si>
  <si>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</si>
  <si>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</si>
  <si>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</si>
  <si>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</si>
  <si>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</si>
  <si>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</si>
  <si>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Panel One: Jobs &amp; Public Construction</t>
  </si>
  <si>
    <t>Panel Two: Taxes and Spending</t>
  </si>
  <si>
    <t>Panel Three: The Longer Run</t>
  </si>
  <si>
    <t>Rolling 12-months</t>
  </si>
  <si>
    <t>Past 12 Months, Billions of $</t>
  </si>
  <si>
    <t>Year-Over-Year Percentage Change</t>
  </si>
  <si>
    <t xml:space="preserve">*Adjusted for timing shifts. </t>
  </si>
  <si>
    <t>Primary View: Fiscal Impetus</t>
  </si>
  <si>
    <t>Federal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</si>
  <si>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</si>
  <si>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</si>
  <si>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</si>
  <si>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</si>
  <si>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</si>
  <si>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</si>
  <si>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</si>
  <si>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</si>
  <si>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</si>
  <si>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</si>
  <si>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</si>
  <si>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</si>
  <si>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</si>
  <si>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</si>
  <si>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</si>
  <si>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</si>
  <si>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</si>
  <si>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</si>
  <si>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</si>
  <si>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</si>
  <si>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</si>
  <si>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</si>
  <si>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</si>
  <si>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</si>
  <si>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</si>
  <si>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</si>
  <si>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</si>
  <si>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</si>
  <si>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</si>
  <si>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</si>
  <si>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</si>
  <si>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</si>
  <si>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</si>
  <si>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</si>
  <si>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</si>
  <si>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</si>
  <si>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</si>
  <si>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</si>
  <si>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</si>
  <si>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</si>
  <si>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</si>
  <si>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</si>
  <si>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</si>
  <si>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</si>
  <si>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</si>
  <si>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</si>
  <si>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</si>
  <si>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</si>
  <si>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</si>
  <si>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</si>
  <si>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</si>
  <si>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</si>
  <si>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</si>
  <si>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</si>
  <si>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</si>
  <si>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</si>
  <si>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</si>
  <si>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</si>
  <si>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</si>
  <si>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</si>
  <si>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</si>
  <si>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</si>
  <si>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</si>
  <si>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</si>
  <si>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</si>
  <si>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</si>
  <si>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</si>
  <si>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</si>
  <si>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</si>
  <si>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</si>
  <si>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</si>
  <si>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</si>
  <si>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</si>
  <si>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</si>
  <si>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</si>
  <si>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</si>
  <si>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</si>
  <si>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</si>
  <si>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</si>
  <si>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</si>
  <si>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</si>
  <si>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</si>
  <si>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</si>
  <si>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</si>
  <si>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</si>
  <si>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</si>
  <si>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</si>
  <si>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</si>
  <si>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</si>
  <si>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</si>
  <si>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</si>
  <si>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</si>
  <si>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</si>
  <si>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</si>
  <si>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</si>
  <si>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</si>
  <si>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</si>
  <si>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</si>
  <si>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</si>
  <si>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</si>
  <si>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</si>
  <si>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</si>
  <si>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</si>
  <si>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</si>
  <si>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</si>
  <si>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</si>
  <si>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</si>
  <si>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</si>
  <si>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</si>
  <si>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</si>
  <si>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</si>
  <si>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</si>
  <si>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</si>
  <si>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</si>
  <si>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</si>
  <si>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</si>
  <si>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</si>
  <si>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</si>
  <si>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</si>
  <si>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</si>
  <si>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</si>
  <si>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</si>
  <si>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</si>
  <si>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</si>
  <si>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</si>
  <si>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</si>
  <si>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</si>
  <si>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</si>
  <si>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</si>
  <si>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</si>
  <si>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</si>
  <si>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</si>
  <si>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</si>
  <si>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</si>
  <si>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</si>
  <si>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</si>
  <si>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</si>
  <si>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</si>
  <si>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</si>
  <si>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</si>
  <si>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</si>
  <si>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</si>
  <si>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</si>
  <si>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</si>
  <si>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</si>
  <si>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</si>
  <si>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</si>
  <si>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</si>
  <si>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</si>
  <si>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</si>
  <si>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</si>
  <si>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</si>
  <si>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</si>
  <si>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</si>
  <si>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</si>
  <si>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</si>
  <si>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</si>
  <si>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</si>
  <si>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</si>
  <si>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</si>
  <si>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</si>
  <si>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</si>
  <si>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</si>
  <si>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</si>
  <si>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</si>
  <si>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</si>
  <si>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</si>
  <si>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</si>
  <si>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</si>
  <si>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</si>
  <si>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</si>
  <si>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</si>
  <si>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</si>
  <si>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</si>
  <si>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</si>
  <si>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</si>
  <si>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</si>
  <si>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</si>
  <si>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</si>
  <si>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</si>
  <si>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</si>
  <si>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</si>
  <si>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</si>
  <si>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</si>
  <si>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</si>
  <si>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</si>
  <si>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</si>
  <si>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</si>
  <si>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</si>
  <si>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</si>
  <si>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</si>
  <si>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</si>
  <si>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</si>
  <si>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</si>
  <si>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</si>
  <si>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</si>
  <si>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</si>
  <si>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</si>
  <si>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</si>
  <si>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</si>
  <si>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</si>
  <si>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</si>
  <si>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</si>
  <si>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</si>
  <si>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</si>
  <si>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</si>
  <si>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</si>
  <si>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</si>
  <si>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</si>
  <si>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</si>
  <si>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</si>
  <si>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</si>
  <si>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</si>
  <si>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</si>
  <si>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</si>
  <si>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</si>
  <si>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</si>
  <si>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</si>
  <si>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</si>
  <si>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</si>
  <si>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</si>
  <si>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</si>
  <si>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</si>
  <si>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</si>
  <si>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</si>
  <si>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</si>
  <si>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</si>
  <si>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</si>
  <si>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</si>
  <si>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</si>
  <si>
    <t>Federal Receipts and Outlays</t>
  </si>
  <si>
    <t>Year-Over-Year Percentage Change (%)*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</si>
</sst>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Georgia"/>
      <family val="1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10" fillId="2" borderId="0" xfId="0" applyFont="1" applyFill="1"/>
    <xf numFmtId="0" fontId="0" fillId="2" borderId="0" xfId="0" applyFill="1" applyBorder="1"/>
    <xf numFmtId="0" fontId="11" fillId="3" borderId="6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2" fillId="3" borderId="7" xfId="0" applyFont="1" applyFill="1" applyBorder="1"/>
    <xf numFmtId="0" fontId="11" fillId="3" borderId="8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2" fillId="3" borderId="4" xfId="0" applyFont="1" applyFill="1" applyBorder="1"/>
    <xf numFmtId="0" fontId="11" fillId="3" borderId="5" xfId="0" applyFont="1" applyFill="1" applyBorder="1" applyAlignment="1">
      <alignment horizontal="left"/>
    </xf>
    <xf numFmtId="0" fontId="12" fillId="2" borderId="0" xfId="0" applyFont="1" applyFill="1" applyBorder="1"/>
    <xf numFmtId="0" fontId="12" fillId="2" borderId="1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 wrapText="1"/>
    </xf>
    <xf numFmtId="164" fontId="15" fillId="2" borderId="2" xfId="0" applyNumberFormat="1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6" fillId="2" borderId="0" xfId="0" applyFont="1" applyFill="1"/>
    <xf numFmtId="164" fontId="12" fillId="2" borderId="2" xfId="5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left"/>
    </xf>
    <xf numFmtId="0" fontId="12" fillId="2" borderId="4" xfId="0" applyFont="1" applyFill="1" applyBorder="1"/>
    <xf numFmtId="0" fontId="12" fillId="2" borderId="5" xfId="0" applyFont="1" applyFill="1" applyBorder="1" applyAlignment="1">
      <alignment horizontal="left"/>
    </xf>
    <xf numFmtId="0" fontId="10" fillId="2" borderId="9" xfId="0" applyFont="1" applyFill="1" applyBorder="1"/>
    <xf numFmtId="0" fontId="0" fillId="2" borderId="9" xfId="0" applyFill="1" applyBorder="1"/>
    <xf numFmtId="0" fontId="17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9" fillId="5" borderId="0" xfId="1" applyFont="1" applyFill="1"/>
    <xf numFmtId="169" fontId="0" fillId="5" borderId="0" xfId="0" applyNumberFormat="1" applyFill="1"/>
    <xf numFmtId="1" fontId="17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2" fillId="4" borderId="0" xfId="0" applyFont="1" applyFill="1" applyBorder="1"/>
    <xf numFmtId="0" fontId="13" fillId="4" borderId="1" xfId="0" applyFont="1" applyFill="1" applyBorder="1" applyAlignment="1"/>
    <xf numFmtId="0" fontId="13" fillId="4" borderId="0" xfId="0" applyFont="1" applyFill="1" applyBorder="1" applyAlignment="1">
      <alignment wrapText="1"/>
    </xf>
    <xf numFmtId="0" fontId="14" fillId="2" borderId="6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2" fillId="2" borderId="7" xfId="0" applyFont="1" applyFill="1" applyBorder="1"/>
    <xf numFmtId="0" fontId="14" fillId="2" borderId="8" xfId="0" applyFont="1" applyFill="1" applyBorder="1" applyAlignment="1">
      <alignment horizontal="left" vertical="top" wrapText="1"/>
    </xf>
    <xf numFmtId="0" fontId="18" fillId="6" borderId="0" xfId="0" applyFont="1" applyFill="1"/>
    <xf numFmtId="0" fontId="17" fillId="0" borderId="0" xfId="0" applyFont="1" applyFill="1" applyAlignment="1">
      <alignment vertical="center"/>
    </xf>
    <xf numFmtId="0" fontId="20" fillId="0" borderId="0" xfId="0" applyFont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4" fontId="20" fillId="5" borderId="0" xfId="0" applyNumberFormat="1" applyFont="1" applyFill="1"/>
    <xf numFmtId="167" fontId="20" fillId="5" borderId="0" xfId="0" applyNumberFormat="1" applyFont="1" applyFill="1"/>
    <xf numFmtId="165" fontId="20" fillId="5" borderId="0" xfId="0" applyNumberFormat="1" applyFont="1" applyFill="1"/>
    <xf numFmtId="2" fontId="0" fillId="6" borderId="0" xfId="0" applyNumberFormat="1" applyFill="1"/>
    <xf numFmtId="0" fontId="13" fillId="4" borderId="1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2" xfId="0" applyFont="1" applyFill="1" applyBorder="1" applyAlignment="1">
      <alignment horizontal="left" wrapText="1"/>
    </xf>
    <xf numFmtId="0" fontId="10" fillId="2" borderId="0" xfId="0" applyFont="1" applyFill="1" applyBorder="1"/>
    <xf numFmtId="0" fontId="12" fillId="3" borderId="7" xfId="0" applyFont="1" applyFill="1" applyBorder="1" applyAlignment="1">
      <alignment horizontal="left"/>
    </xf>
    <xf numFmtId="0" fontId="12" fillId="3" borderId="8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left"/>
    </xf>
    <xf numFmtId="0" fontId="12" fillId="3" borderId="5" xfId="0" applyFont="1" applyFill="1" applyBorder="1" applyAlignment="1">
      <alignment horizontal="left"/>
    </xf>
    <xf numFmtId="0" fontId="13" fillId="4" borderId="10" xfId="0" applyFont="1" applyFill="1" applyBorder="1" applyAlignment="1">
      <alignment horizontal="left"/>
    </xf>
    <xf numFmtId="0" fontId="13" fillId="4" borderId="11" xfId="0" applyFont="1" applyFill="1" applyBorder="1" applyAlignment="1">
      <alignment horizontal="left" wrapText="1"/>
    </xf>
    <xf numFmtId="0" fontId="13" fillId="4" borderId="12" xfId="0" applyFont="1" applyFill="1" applyBorder="1" applyAlignment="1">
      <alignment wrapText="1"/>
    </xf>
    <xf numFmtId="0" fontId="12" fillId="4" borderId="12" xfId="0" applyFont="1" applyFill="1" applyBorder="1" applyAlignment="1">
      <alignment horizontal="center"/>
    </xf>
    <xf numFmtId="0" fontId="13" fillId="4" borderId="13" xfId="0" applyFont="1" applyFill="1" applyBorder="1" applyAlignment="1">
      <alignment wrapText="1"/>
    </xf>
    <xf numFmtId="0" fontId="14" fillId="2" borderId="1" xfId="0" applyFont="1" applyFill="1" applyBorder="1" applyAlignment="1">
      <alignment horizontal="left" vertical="top"/>
    </xf>
    <xf numFmtId="0" fontId="14" fillId="2" borderId="0" xfId="0" applyFont="1" applyFill="1" applyBorder="1" applyAlignment="1">
      <alignment horizontal="left" vertical="top" wrapText="1"/>
    </xf>
    <xf numFmtId="0" fontId="15" fillId="2" borderId="0" xfId="0" applyFont="1" applyFill="1" applyBorder="1" applyAlignment="1">
      <alignment horizontal="center" vertical="top" wrapText="1"/>
    </xf>
    <xf numFmtId="0" fontId="12" fillId="2" borderId="0" xfId="0" applyFont="1" applyFill="1" applyBorder="1" applyAlignment="1">
      <alignment horizontal="center"/>
    </xf>
    <xf numFmtId="1" fontId="15" fillId="2" borderId="2" xfId="0" applyNumberFormat="1" applyFont="1" applyFill="1" applyBorder="1" applyAlignment="1">
      <alignment horizontal="center" vertical="top" wrapText="1"/>
    </xf>
    <xf numFmtId="1" fontId="12" fillId="2" borderId="2" xfId="0" applyNumberFormat="1" applyFont="1" applyFill="1" applyBorder="1" applyAlignment="1">
      <alignment horizontal="center"/>
    </xf>
    <xf numFmtId="0" fontId="12" fillId="2" borderId="3" xfId="0" applyFont="1" applyFill="1" applyBorder="1" applyAlignment="1">
      <alignment horizontal="left"/>
    </xf>
    <xf numFmtId="0" fontId="15" fillId="2" borderId="4" xfId="0" applyFont="1" applyFill="1" applyBorder="1" applyAlignment="1">
      <alignment horizontal="center" vertical="top" wrapText="1"/>
    </xf>
    <xf numFmtId="0" fontId="12" fillId="2" borderId="4" xfId="0" applyFont="1" applyFill="1" applyBorder="1" applyAlignment="1">
      <alignment horizontal="center"/>
    </xf>
    <xf numFmtId="1" fontId="15" fillId="2" borderId="5" xfId="0" applyNumberFormat="1" applyFont="1" applyFill="1" applyBorder="1" applyAlignment="1">
      <alignment horizontal="center" vertical="top" wrapText="1"/>
    </xf>
    <xf numFmtId="0" fontId="16" fillId="2" borderId="0" xfId="0" applyFont="1" applyFill="1" applyBorder="1"/>
    <xf numFmtId="0" fontId="0" fillId="0" borderId="0" xfId="0" applyBorder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053769"/>
      <color rgb="FFB9CDE5"/>
      <color rgb="FFA4C7F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8.xml"/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9.xml"/><Relationship Id="rId1" Type="http://schemas.openxmlformats.org/officeDocument/2006/relationships/themeOverride" Target="../theme/themeOverride14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15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16.xml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2.xml"/><Relationship Id="rId1" Type="http://schemas.openxmlformats.org/officeDocument/2006/relationships/themeOverride" Target="../theme/themeOverride17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18.xml"/></Relationships>
</file>

<file path=xl/charts/_rels/chart1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4.xml"/><Relationship Id="rId1" Type="http://schemas.openxmlformats.org/officeDocument/2006/relationships/themeOverride" Target="../theme/themeOverride19.xml"/></Relationships>
</file>

<file path=xl/charts/_rels/chart2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5.xml"/><Relationship Id="rId1" Type="http://schemas.openxmlformats.org/officeDocument/2006/relationships/themeOverride" Target="../theme/themeOverride20.xml"/></Relationships>
</file>

<file path=xl/charts/_rels/chart2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6.xml"/><Relationship Id="rId1" Type="http://schemas.openxmlformats.org/officeDocument/2006/relationships/themeOverride" Target="../theme/themeOverrid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2270464"/>
        <c:axId val="10405299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70464"/>
        <c:axId val="104052992"/>
      </c:lineChart>
      <c:dateAx>
        <c:axId val="1022704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052992"/>
        <c:crosses val="autoZero"/>
        <c:auto val="1"/>
        <c:lblOffset val="100"/>
        <c:baseTimeUnit val="months"/>
        <c:majorUnit val="1"/>
        <c:majorTimeUnit val="years"/>
      </c:dateAx>
      <c:valAx>
        <c:axId val="104052992"/>
        <c:scaling>
          <c:orientation val="minMax"/>
          <c:max val="70"/>
          <c:min val="-15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27046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1868192257217847"/>
          <c:y val="0.14357549056367949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1163604549431315E-2"/>
          <c:y val="0.15939163854518185"/>
          <c:w val="0.85324584426946637"/>
          <c:h val="0.64582427196600434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20672"/>
        <c:axId val="111022464"/>
      </c:lineChart>
      <c:dateAx>
        <c:axId val="1110206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1022464"/>
        <c:crosses val="autoZero"/>
        <c:auto val="1"/>
        <c:lblOffset val="100"/>
        <c:baseTimeUnit val="months"/>
        <c:majorUnit val="1"/>
        <c:majorTimeUnit val="years"/>
      </c:dateAx>
      <c:valAx>
        <c:axId val="111022464"/>
        <c:scaling>
          <c:orientation val="minMax"/>
          <c:max val="320"/>
          <c:min val="220"/>
        </c:scaling>
        <c:delete val="0"/>
        <c:axPos val="l"/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102067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26728448"/>
        <c:axId val="12674816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28448"/>
        <c:axId val="126748160"/>
      </c:lineChart>
      <c:dateAx>
        <c:axId val="1267284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6748160"/>
        <c:crosses val="autoZero"/>
        <c:auto val="1"/>
        <c:lblOffset val="100"/>
        <c:baseTimeUnit val="months"/>
        <c:majorUnit val="1"/>
        <c:majorTimeUnit val="years"/>
      </c:dateAx>
      <c:valAx>
        <c:axId val="126748160"/>
        <c:scaling>
          <c:orientation val="minMax"/>
          <c:max val="25"/>
          <c:min val="-20"/>
        </c:scaling>
        <c:delete val="0"/>
        <c:axPos val="l"/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6728448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672930336832896"/>
          <c:y val="0.1475437445319335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53120"/>
        <c:axId val="277644800"/>
      </c:lineChart>
      <c:dateAx>
        <c:axId val="2516531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644800"/>
        <c:crossesAt val="0"/>
        <c:auto val="1"/>
        <c:lblOffset val="100"/>
        <c:baseTimeUnit val="months"/>
        <c:majorUnit val="1"/>
        <c:majorTimeUnit val="years"/>
      </c:dateAx>
      <c:valAx>
        <c:axId val="277644800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5165312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4664064"/>
        <c:axId val="10466585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4064"/>
        <c:axId val="104665856"/>
      </c:lineChart>
      <c:dateAx>
        <c:axId val="1046640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65856"/>
        <c:crosses val="autoZero"/>
        <c:auto val="1"/>
        <c:lblOffset val="100"/>
        <c:baseTimeUnit val="months"/>
        <c:majorUnit val="1"/>
        <c:majorTimeUnit val="years"/>
      </c:dateAx>
      <c:valAx>
        <c:axId val="104665856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6406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4680064"/>
        <c:axId val="1046859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80064"/>
        <c:axId val="104685952"/>
      </c:lineChart>
      <c:dateAx>
        <c:axId val="1046800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85952"/>
        <c:crosses val="autoZero"/>
        <c:auto val="1"/>
        <c:lblOffset val="100"/>
        <c:baseTimeUnit val="months"/>
        <c:majorUnit val="1"/>
        <c:majorTimeUnit val="years"/>
      </c:dateAx>
      <c:valAx>
        <c:axId val="104685952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80064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03872"/>
        <c:axId val="104705408"/>
      </c:lineChart>
      <c:dateAx>
        <c:axId val="1047038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705408"/>
        <c:crossesAt val="0"/>
        <c:auto val="1"/>
        <c:lblOffset val="100"/>
        <c:baseTimeUnit val="months"/>
        <c:majorUnit val="1"/>
        <c:majorTimeUnit val="years"/>
      </c:dateAx>
      <c:valAx>
        <c:axId val="10470540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70387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70656"/>
        <c:axId val="104872192"/>
      </c:lineChart>
      <c:dateAx>
        <c:axId val="104870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72192"/>
        <c:crosses val="autoZero"/>
        <c:auto val="1"/>
        <c:lblOffset val="100"/>
        <c:baseTimeUnit val="months"/>
        <c:majorUnit val="1"/>
        <c:majorTimeUnit val="years"/>
      </c:dateAx>
      <c:valAx>
        <c:axId val="10487219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70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09440"/>
        <c:axId val="104628608"/>
      </c:lineChart>
      <c:dateAx>
        <c:axId val="1049094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28608"/>
        <c:crosses val="autoZero"/>
        <c:auto val="1"/>
        <c:lblOffset val="100"/>
        <c:baseTimeUnit val="months"/>
        <c:majorUnit val="5"/>
        <c:majorTimeUnit val="years"/>
      </c:dateAx>
      <c:valAx>
        <c:axId val="104628608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094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17632"/>
        <c:axId val="104927616"/>
      </c:lineChart>
      <c:dateAx>
        <c:axId val="10491763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27616"/>
        <c:crosses val="autoZero"/>
        <c:auto val="1"/>
        <c:lblOffset val="100"/>
        <c:baseTimeUnit val="months"/>
        <c:majorUnit val="5"/>
        <c:majorTimeUnit val="years"/>
      </c:dateAx>
      <c:valAx>
        <c:axId val="1049276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17632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50784"/>
        <c:axId val="104952576"/>
      </c:lineChart>
      <c:dateAx>
        <c:axId val="10495078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52576"/>
        <c:crossesAt val="-1500"/>
        <c:auto val="1"/>
        <c:lblOffset val="100"/>
        <c:baseTimeUnit val="months"/>
        <c:majorUnit val="5"/>
        <c:majorTimeUnit val="years"/>
      </c:dateAx>
      <c:valAx>
        <c:axId val="10495257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50784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00960"/>
        <c:axId val="105002496"/>
      </c:lineChart>
      <c:dateAx>
        <c:axId val="105000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5002496"/>
        <c:crosses val="autoZero"/>
        <c:auto val="1"/>
        <c:lblOffset val="100"/>
        <c:baseTimeUnit val="months"/>
        <c:majorUnit val="5"/>
        <c:majorTimeUnit val="years"/>
      </c:dateAx>
      <c:valAx>
        <c:axId val="105002496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500096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76823424"/>
        <c:axId val="27758707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823424"/>
        <c:axId val="277587072"/>
      </c:lineChart>
      <c:dateAx>
        <c:axId val="27682342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587072"/>
        <c:crosses val="autoZero"/>
        <c:auto val="1"/>
        <c:lblOffset val="100"/>
        <c:baseTimeUnit val="months"/>
        <c:majorUnit val="1"/>
        <c:majorTimeUnit val="years"/>
      </c:dateAx>
      <c:valAx>
        <c:axId val="277587072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682342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77857792"/>
        <c:axId val="27795980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57792"/>
        <c:axId val="277959808"/>
      </c:lineChart>
      <c:dateAx>
        <c:axId val="27785779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959808"/>
        <c:crosses val="autoZero"/>
        <c:auto val="1"/>
        <c:lblOffset val="100"/>
        <c:baseTimeUnit val="months"/>
        <c:majorUnit val="1"/>
        <c:majorTimeUnit val="years"/>
      </c:dateAx>
      <c:valAx>
        <c:axId val="277959808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857792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12608"/>
        <c:axId val="278214144"/>
      </c:lineChart>
      <c:dateAx>
        <c:axId val="2782126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14144"/>
        <c:crossesAt val="0"/>
        <c:auto val="1"/>
        <c:lblOffset val="100"/>
        <c:baseTimeUnit val="months"/>
        <c:majorUnit val="1"/>
        <c:majorTimeUnit val="years"/>
      </c:dateAx>
      <c:valAx>
        <c:axId val="2782141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126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31680"/>
        <c:axId val="278233472"/>
      </c:lineChart>
      <c:dateAx>
        <c:axId val="278231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33472"/>
        <c:crosses val="autoZero"/>
        <c:auto val="1"/>
        <c:lblOffset val="100"/>
        <c:baseTimeUnit val="months"/>
        <c:majorUnit val="1"/>
        <c:majorTimeUnit val="years"/>
      </c:dateAx>
      <c:valAx>
        <c:axId val="27823347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3168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42048"/>
        <c:axId val="278243584"/>
      </c:lineChart>
      <c:dateAx>
        <c:axId val="2782420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43584"/>
        <c:crosses val="autoZero"/>
        <c:auto val="1"/>
        <c:lblOffset val="100"/>
        <c:baseTimeUnit val="months"/>
        <c:majorUnit val="5"/>
        <c:majorTimeUnit val="years"/>
      </c:dateAx>
      <c:valAx>
        <c:axId val="278243584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4204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430080"/>
        <c:axId val="278431616"/>
      </c:lineChart>
      <c:dateAx>
        <c:axId val="27843008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431616"/>
        <c:crosses val="autoZero"/>
        <c:auto val="1"/>
        <c:lblOffset val="100"/>
        <c:baseTimeUnit val="months"/>
        <c:majorUnit val="5"/>
        <c:majorTimeUnit val="years"/>
      </c:dateAx>
      <c:valAx>
        <c:axId val="2784316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430080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987520"/>
        <c:axId val="278989056"/>
      </c:lineChart>
      <c:dateAx>
        <c:axId val="2789875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989056"/>
        <c:crossesAt val="-1500"/>
        <c:auto val="1"/>
        <c:lblOffset val="100"/>
        <c:baseTimeUnit val="months"/>
        <c:majorUnit val="5"/>
        <c:majorTimeUnit val="years"/>
      </c:dateAx>
      <c:valAx>
        <c:axId val="27898905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98752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16576"/>
        <c:axId val="279018112"/>
      </c:lineChart>
      <c:dateAx>
        <c:axId val="279016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18112"/>
        <c:crosses val="autoZero"/>
        <c:auto val="1"/>
        <c:lblOffset val="100"/>
        <c:baseTimeUnit val="months"/>
        <c:majorUnit val="5"/>
        <c:majorTimeUnit val="years"/>
      </c:dateAx>
      <c:valAx>
        <c:axId val="279018112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16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="0" i="0" u="none" strike="noStrike" baseline="0">
                <a:effectLst/>
              </a:rPr>
              <a:t>Fiscal Impetus (Dummy Chart)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8703715103382773"/>
          <c:w val="0.87450459317585305"/>
          <c:h val="0.58577152959072842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Federal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0.75</c:v>
                </c:pt>
                <c:pt idx="1">
                  <c:v>0.25</c:v>
                </c:pt>
                <c:pt idx="2">
                  <c:v>0.3</c:v>
                </c:pt>
                <c:pt idx="3">
                  <c:v>0.2</c:v>
                </c:pt>
                <c:pt idx="4">
                  <c:v>0.85</c:v>
                </c:pt>
                <c:pt idx="5">
                  <c:v>1</c:v>
                </c:pt>
                <c:pt idx="6">
                  <c:v>0.6</c:v>
                </c:pt>
                <c:pt idx="7">
                  <c:v>0.4</c:v>
                </c:pt>
                <c:pt idx="8">
                  <c:v>0.75</c:v>
                </c:pt>
                <c:pt idx="9">
                  <c:v>0.8</c:v>
                </c:pt>
                <c:pt idx="10">
                  <c:v>1.1000000000000001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State and Local</c:v>
                </c:pt>
              </c:strCache>
            </c:strRef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-0.1</c:v>
                </c:pt>
                <c:pt idx="1">
                  <c:v>-0.05</c:v>
                </c:pt>
                <c:pt idx="2">
                  <c:v>0.05</c:v>
                </c:pt>
                <c:pt idx="3">
                  <c:v>0.25</c:v>
                </c:pt>
                <c:pt idx="4">
                  <c:v>0.05</c:v>
                </c:pt>
                <c:pt idx="5">
                  <c:v>-0.35</c:v>
                </c:pt>
                <c:pt idx="6">
                  <c:v>-0.25</c:v>
                </c:pt>
                <c:pt idx="7">
                  <c:v>-0.05</c:v>
                </c:pt>
                <c:pt idx="8">
                  <c:v>0.1</c:v>
                </c:pt>
                <c:pt idx="9">
                  <c:v>0.05</c:v>
                </c:pt>
                <c:pt idx="10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45248"/>
        <c:axId val="279046784"/>
      </c:lineChart>
      <c:catAx>
        <c:axId val="27904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46784"/>
        <c:crossesAt val="-1"/>
        <c:auto val="1"/>
        <c:lblAlgn val="ctr"/>
        <c:lblOffset val="100"/>
        <c:tickLblSkip val="1"/>
        <c:noMultiLvlLbl val="0"/>
      </c:catAx>
      <c:valAx>
        <c:axId val="279046784"/>
        <c:scaling>
          <c:orientation val="minMax"/>
          <c:max val="2"/>
          <c:min val="-1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#,##0.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45248"/>
        <c:crosses val="autoZero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05"/>
          <c:y val="0.8619619900424339"/>
          <c:w val="0.89769226104873912"/>
          <c:h val="6.859367453689799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12</xdr:col>
      <xdr:colOff>593035</xdr:colOff>
      <xdr:row>17</xdr:row>
      <xdr:rowOff>144118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12</xdr:col>
      <xdr:colOff>593035</xdr:colOff>
      <xdr:row>35</xdr:row>
      <xdr:rowOff>152400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19</xdr:row>
      <xdr:rowOff>0</xdr:rowOff>
    </xdr:from>
    <xdr:to>
      <xdr:col>6</xdr:col>
      <xdr:colOff>294861</xdr:colOff>
      <xdr:row>35</xdr:row>
      <xdr:rowOff>152400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0.93685</cdr:y>
    </cdr:from>
    <cdr:to>
      <cdr:x>0.21513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998304"/>
          <a:ext cx="786847" cy="2020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</cdr:x>
      <cdr:y>0.07472</cdr:y>
    </cdr:from>
    <cdr:to>
      <cdr:x>0.70313</cdr:x>
      <cdr:y>0.1459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9127"/>
          <a:ext cx="2571768" cy="227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7" name="Picture 6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8" name="Picture 7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0.94462</cdr:y>
    </cdr:from>
    <cdr:to>
      <cdr:x>0.32156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023152"/>
          <a:ext cx="1176130" cy="177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0.0016</cdr:x>
      <cdr:y>0.0647</cdr:y>
    </cdr:from>
    <cdr:to>
      <cdr:x>0.7654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51" y="207066"/>
          <a:ext cx="2793669" cy="3096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6" name="Picture 5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7" name="Picture 6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2.73403E-7</cdr:x>
      <cdr:y>0.94203</cdr:y>
    </cdr:from>
    <cdr:to>
      <cdr:x>0.43931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3014870"/>
          <a:ext cx="1606825" cy="1729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</cdr:x>
      <cdr:y>0.07627</cdr:y>
    </cdr:from>
    <cdr:to>
      <cdr:x>0.69391</cdr:x>
      <cdr:y>0.1544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094"/>
          <a:ext cx="2538045" cy="2500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0.87436</cdr:y>
    </cdr:from>
    <cdr:to>
      <cdr:x>0.75861</cdr:x>
      <cdr:y>0.94232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798289"/>
          <a:ext cx="2774674" cy="217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*Excluding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8" name="Picture 7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9" name="Picture 8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261731</xdr:colOff>
      <xdr:row>17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67235</xdr:colOff>
      <xdr:row>1</xdr:row>
      <xdr:rowOff>123264</xdr:rowOff>
    </xdr:from>
    <xdr:to>
      <xdr:col>9</xdr:col>
      <xdr:colOff>319026</xdr:colOff>
      <xdr:row>16</xdr:row>
      <xdr:rowOff>8964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 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0.00588</cdr:x>
      <cdr:y>0.05178</cdr:y>
    </cdr:from>
    <cdr:to>
      <cdr:x>0.46326</cdr:x>
      <cdr:y>0.16126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5952" y="125343"/>
          <a:ext cx="2017783" cy="264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0.70652</cdr:x>
      <cdr:y>0.90615</cdr:y>
    </cdr:from>
    <cdr:to>
      <cdr:x>0.93128</cdr:x>
      <cdr:y>1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626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utchins/Projects/YellenDash/Yellen's%20Dashboard_9.5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Inflation"/>
      <sheetName val="Growth"/>
      <sheetName val="Jobs"/>
      <sheetName val="Markets"/>
      <sheetName val="CMEDATA"/>
      <sheetName val="Haver_raw"/>
      <sheetName val="Wages_raw"/>
      <sheetName val="FRED_raw"/>
      <sheetName val="Maximum Employment Data"/>
      <sheetName val="Growth Data"/>
      <sheetName val="Inflation1"/>
      <sheetName val="Inflation2"/>
      <sheetName val="Inflation3d"/>
      <sheetName val="Growth1"/>
      <sheetName val="Growth2"/>
      <sheetName val="Growth3"/>
      <sheetName val="Jobs1"/>
      <sheetName val="Jobs2"/>
      <sheetName val="Jobs3"/>
      <sheetName val="Markets1"/>
      <sheetName val="Markets2"/>
      <sheetName val="Markets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F2" t="str">
            <v>S&amp;P 500</v>
          </cell>
        </row>
        <row r="8">
          <cell r="B8">
            <v>38230</v>
          </cell>
          <cell r="G8">
            <v>100</v>
          </cell>
          <cell r="H8">
            <v>100</v>
          </cell>
        </row>
        <row r="9">
          <cell r="B9">
            <v>38260</v>
          </cell>
          <cell r="G9">
            <v>102.63742722280382</v>
          </cell>
          <cell r="H9">
            <v>100.97454373634163</v>
          </cell>
        </row>
        <row r="10">
          <cell r="B10">
            <v>38291</v>
          </cell>
          <cell r="G10">
            <v>102.67507851672268</v>
          </cell>
          <cell r="H10">
            <v>101.83096095918729</v>
          </cell>
        </row>
        <row r="11">
          <cell r="B11">
            <v>38321</v>
          </cell>
          <cell r="G11">
            <v>107.34659393538671</v>
          </cell>
          <cell r="H11">
            <v>102.56334534286221</v>
          </cell>
        </row>
        <row r="12">
          <cell r="B12">
            <v>38352</v>
          </cell>
          <cell r="G12">
            <v>110.12636141568865</v>
          </cell>
          <cell r="H12">
            <v>103.26029177248834</v>
          </cell>
        </row>
        <row r="13">
          <cell r="B13">
            <v>38383</v>
          </cell>
          <cell r="G13">
            <v>108.49174426506511</v>
          </cell>
          <cell r="H13">
            <v>104.21121020613076</v>
          </cell>
        </row>
        <row r="14">
          <cell r="B14">
            <v>38411</v>
          </cell>
          <cell r="G14">
            <v>110.16493103384943</v>
          </cell>
          <cell r="H14">
            <v>105.42791329513909</v>
          </cell>
        </row>
        <row r="15">
          <cell r="B15">
            <v>38442</v>
          </cell>
          <cell r="G15">
            <v>109.73056366741969</v>
          </cell>
          <cell r="H15">
            <v>107.08168448408246</v>
          </cell>
        </row>
        <row r="16">
          <cell r="B16">
            <v>38472</v>
          </cell>
          <cell r="G16">
            <v>106.93151137803736</v>
          </cell>
          <cell r="H16">
            <v>108.81814423247297</v>
          </cell>
        </row>
        <row r="17">
          <cell r="B17">
            <v>38503</v>
          </cell>
          <cell r="G17">
            <v>108.2043087773431</v>
          </cell>
          <cell r="H17">
            <v>110.57232295788791</v>
          </cell>
        </row>
        <row r="18">
          <cell r="B18">
            <v>38533</v>
          </cell>
          <cell r="G18">
            <v>110.40645030947528</v>
          </cell>
          <cell r="H18">
            <v>112.27925107790443</v>
          </cell>
        </row>
        <row r="19">
          <cell r="B19">
            <v>38564</v>
          </cell>
          <cell r="G19">
            <v>112.24126214483809</v>
          </cell>
          <cell r="H19">
            <v>113.79717677632743</v>
          </cell>
        </row>
        <row r="20">
          <cell r="B20">
            <v>38595</v>
          </cell>
          <cell r="G20">
            <v>112.42768196594852</v>
          </cell>
          <cell r="H20">
            <v>115.16153800720571</v>
          </cell>
        </row>
        <row r="21">
          <cell r="B21">
            <v>38625</v>
          </cell>
          <cell r="G21">
            <v>112.57828714162397</v>
          </cell>
          <cell r="H21">
            <v>116.56724351780758</v>
          </cell>
        </row>
        <row r="22">
          <cell r="B22">
            <v>38656</v>
          </cell>
          <cell r="G22">
            <v>109.46057634029422</v>
          </cell>
          <cell r="H22">
            <v>117.7721339554663</v>
          </cell>
        </row>
        <row r="23">
          <cell r="B23">
            <v>38686</v>
          </cell>
          <cell r="G23">
            <v>113.63068672286809</v>
          </cell>
          <cell r="H23">
            <v>118.69942708640954</v>
          </cell>
        </row>
        <row r="24">
          <cell r="B24">
            <v>38717</v>
          </cell>
          <cell r="G24">
            <v>115.89894760041875</v>
          </cell>
          <cell r="H24">
            <v>119.2900596538893</v>
          </cell>
        </row>
        <row r="25">
          <cell r="B25">
            <v>38748</v>
          </cell>
          <cell r="G25">
            <v>117.42795746322111</v>
          </cell>
          <cell r="H25">
            <v>119.56765696060481</v>
          </cell>
        </row>
        <row r="26">
          <cell r="B26">
            <v>38776</v>
          </cell>
          <cell r="G26">
            <v>117.23786434514298</v>
          </cell>
          <cell r="H26">
            <v>120.01063138621464</v>
          </cell>
        </row>
        <row r="27">
          <cell r="B27">
            <v>38807</v>
          </cell>
          <cell r="G27">
            <v>118.80728047458997</v>
          </cell>
          <cell r="H27">
            <v>120.28232236725533</v>
          </cell>
        </row>
        <row r="28">
          <cell r="B28">
            <v>38837</v>
          </cell>
          <cell r="G28">
            <v>119.58234613477327</v>
          </cell>
          <cell r="H28">
            <v>120.97336247120664</v>
          </cell>
        </row>
        <row r="29">
          <cell r="B29">
            <v>38868</v>
          </cell>
          <cell r="G29">
            <v>118.46382720811064</v>
          </cell>
          <cell r="H29">
            <v>121.58762034138564</v>
          </cell>
        </row>
        <row r="30">
          <cell r="B30">
            <v>38898</v>
          </cell>
          <cell r="G30">
            <v>115.07704740389735</v>
          </cell>
          <cell r="H30">
            <v>121.8947492764751</v>
          </cell>
        </row>
        <row r="31">
          <cell r="B31">
            <v>38929</v>
          </cell>
          <cell r="G31">
            <v>115.73089426414678</v>
          </cell>
          <cell r="H31">
            <v>121.97743783592227</v>
          </cell>
        </row>
        <row r="32">
          <cell r="B32">
            <v>38960</v>
          </cell>
          <cell r="G32">
            <v>118.20210479916248</v>
          </cell>
          <cell r="H32">
            <v>121.77662276297916</v>
          </cell>
        </row>
        <row r="33">
          <cell r="B33">
            <v>38990</v>
          </cell>
          <cell r="G33">
            <v>121.01768692489942</v>
          </cell>
          <cell r="H33">
            <v>121.55218238733684</v>
          </cell>
        </row>
        <row r="34">
          <cell r="B34">
            <v>39021</v>
          </cell>
          <cell r="G34">
            <v>125.20249049534411</v>
          </cell>
          <cell r="H34">
            <v>121.32183568601972</v>
          </cell>
        </row>
        <row r="35">
          <cell r="B35">
            <v>39051</v>
          </cell>
          <cell r="G35">
            <v>127.52125920620053</v>
          </cell>
          <cell r="H35">
            <v>120.87295493473511</v>
          </cell>
        </row>
        <row r="36">
          <cell r="B36">
            <v>39082</v>
          </cell>
          <cell r="G36">
            <v>130.07328227450549</v>
          </cell>
          <cell r="H36">
            <v>120.09331994566182</v>
          </cell>
        </row>
        <row r="37">
          <cell r="B37">
            <v>39113</v>
          </cell>
          <cell r="G37">
            <v>130.78406523775413</v>
          </cell>
          <cell r="H37">
            <v>119.49087472683244</v>
          </cell>
        </row>
        <row r="38">
          <cell r="B38">
            <v>39141</v>
          </cell>
          <cell r="G38">
            <v>132.67856814884198</v>
          </cell>
          <cell r="H38">
            <v>119.0538066268974</v>
          </cell>
        </row>
        <row r="39">
          <cell r="B39">
            <v>39172</v>
          </cell>
          <cell r="G39">
            <v>129.20362921740406</v>
          </cell>
          <cell r="H39">
            <v>118.72305238910872</v>
          </cell>
        </row>
        <row r="40">
          <cell r="B40">
            <v>39202</v>
          </cell>
          <cell r="G40">
            <v>134.41052766910943</v>
          </cell>
          <cell r="H40">
            <v>118.44545508239324</v>
          </cell>
        </row>
        <row r="41">
          <cell r="B41">
            <v>39233</v>
          </cell>
          <cell r="G41">
            <v>138.77164949400333</v>
          </cell>
          <cell r="H41">
            <v>118.19738940405173</v>
          </cell>
        </row>
        <row r="42">
          <cell r="B42">
            <v>39263</v>
          </cell>
          <cell r="G42">
            <v>139.07928811504766</v>
          </cell>
          <cell r="H42">
            <v>117.7957592581655</v>
          </cell>
        </row>
        <row r="43">
          <cell r="B43">
            <v>39294</v>
          </cell>
          <cell r="G43">
            <v>139.64956746928206</v>
          </cell>
          <cell r="H43">
            <v>117.37050380958006</v>
          </cell>
        </row>
        <row r="44">
          <cell r="B44">
            <v>39325</v>
          </cell>
          <cell r="G44">
            <v>133.58128087865262</v>
          </cell>
          <cell r="H44">
            <v>116.57314984348237</v>
          </cell>
        </row>
        <row r="45">
          <cell r="B45">
            <v>39355</v>
          </cell>
          <cell r="G45">
            <v>137.48415890682682</v>
          </cell>
          <cell r="H45">
            <v>115.58088713011637</v>
          </cell>
        </row>
        <row r="46">
          <cell r="B46">
            <v>39386</v>
          </cell>
          <cell r="G46">
            <v>141.39071023196868</v>
          </cell>
          <cell r="H46">
            <v>113.98027287224618</v>
          </cell>
        </row>
        <row r="47">
          <cell r="B47">
            <v>39416</v>
          </cell>
          <cell r="G47">
            <v>134.38665123881941</v>
          </cell>
          <cell r="H47">
            <v>111.5941172996279</v>
          </cell>
        </row>
        <row r="48">
          <cell r="B48">
            <v>39447</v>
          </cell>
          <cell r="G48">
            <v>135.84127683802595</v>
          </cell>
          <cell r="H48">
            <v>109.24930600673322</v>
          </cell>
        </row>
        <row r="49">
          <cell r="B49">
            <v>39478</v>
          </cell>
          <cell r="G49">
            <v>126.61487317942219</v>
          </cell>
          <cell r="H49">
            <v>106.71549229224499</v>
          </cell>
        </row>
        <row r="50">
          <cell r="B50">
            <v>39507</v>
          </cell>
          <cell r="G50">
            <v>124.42099656546732</v>
          </cell>
          <cell r="H50">
            <v>103.92770657374048</v>
          </cell>
        </row>
        <row r="51">
          <cell r="B51">
            <v>39538</v>
          </cell>
          <cell r="G51">
            <v>120.93779271585213</v>
          </cell>
          <cell r="H51">
            <v>101.70692812001654</v>
          </cell>
        </row>
        <row r="52">
          <cell r="B52">
            <v>39568</v>
          </cell>
          <cell r="G52">
            <v>125.85358238286774</v>
          </cell>
          <cell r="H52">
            <v>100.39572382021144</v>
          </cell>
        </row>
        <row r="53">
          <cell r="B53">
            <v>39599</v>
          </cell>
          <cell r="G53">
            <v>128.86109427516666</v>
          </cell>
          <cell r="H53">
            <v>99.580650877089354</v>
          </cell>
        </row>
        <row r="54">
          <cell r="B54">
            <v>39629</v>
          </cell>
          <cell r="G54">
            <v>123.17023894796775</v>
          </cell>
          <cell r="H54">
            <v>99.096332171755947</v>
          </cell>
        </row>
        <row r="55">
          <cell r="B55">
            <v>39660</v>
          </cell>
          <cell r="G55">
            <v>115.46366190974709</v>
          </cell>
          <cell r="H55">
            <v>98.257633925934684</v>
          </cell>
        </row>
        <row r="56">
          <cell r="B56">
            <v>39691</v>
          </cell>
          <cell r="G56">
            <v>117.68049662975002</v>
          </cell>
          <cell r="H56">
            <v>97.247652235544265</v>
          </cell>
        </row>
        <row r="57">
          <cell r="B57">
            <v>39721</v>
          </cell>
          <cell r="G57">
            <v>111.76097856631219</v>
          </cell>
          <cell r="H57">
            <v>95.469848207430147</v>
          </cell>
        </row>
        <row r="58">
          <cell r="B58">
            <v>39752</v>
          </cell>
          <cell r="G58">
            <v>88.967252557533001</v>
          </cell>
          <cell r="H58">
            <v>93.373102592876961</v>
          </cell>
        </row>
        <row r="59">
          <cell r="B59">
            <v>39782</v>
          </cell>
          <cell r="G59">
            <v>81.091703858798454</v>
          </cell>
          <cell r="H59">
            <v>91.252731675624588</v>
          </cell>
        </row>
        <row r="60">
          <cell r="B60">
            <v>39813</v>
          </cell>
          <cell r="G60">
            <v>80.58846217422446</v>
          </cell>
          <cell r="H60">
            <v>88.913826708404699</v>
          </cell>
        </row>
        <row r="61">
          <cell r="B61">
            <v>39844</v>
          </cell>
          <cell r="G61">
            <v>79.488309732400324</v>
          </cell>
          <cell r="H61">
            <v>86.433169924989656</v>
          </cell>
        </row>
        <row r="62">
          <cell r="B62">
            <v>39872</v>
          </cell>
          <cell r="G62">
            <v>73.946222932392971</v>
          </cell>
          <cell r="H62">
            <v>84.525426732030013</v>
          </cell>
        </row>
        <row r="63">
          <cell r="B63">
            <v>39903</v>
          </cell>
          <cell r="G63">
            <v>69.529083328741706</v>
          </cell>
          <cell r="H63">
            <v>82.723997401216693</v>
          </cell>
        </row>
        <row r="64">
          <cell r="B64">
            <v>39933</v>
          </cell>
          <cell r="G64">
            <v>77.887670578727935</v>
          </cell>
          <cell r="H64">
            <v>82.251491347232871</v>
          </cell>
        </row>
        <row r="65">
          <cell r="B65">
            <v>39964</v>
          </cell>
          <cell r="G65">
            <v>82.870497915403959</v>
          </cell>
          <cell r="H65">
            <v>82.676746795818318</v>
          </cell>
        </row>
        <row r="66">
          <cell r="B66">
            <v>39994</v>
          </cell>
          <cell r="G66">
            <v>85.047844693004208</v>
          </cell>
          <cell r="H66">
            <v>83.852105605103063</v>
          </cell>
        </row>
        <row r="67">
          <cell r="B67">
            <v>40025</v>
          </cell>
          <cell r="G67">
            <v>85.938619207669845</v>
          </cell>
          <cell r="H67">
            <v>85.240092138680524</v>
          </cell>
        </row>
        <row r="68">
          <cell r="B68">
            <v>40056</v>
          </cell>
          <cell r="G68">
            <v>92.725035355483314</v>
          </cell>
          <cell r="H68">
            <v>86.297324434469331</v>
          </cell>
        </row>
        <row r="69">
          <cell r="B69">
            <v>40086</v>
          </cell>
          <cell r="G69">
            <v>95.923558690102297</v>
          </cell>
          <cell r="H69">
            <v>86.604453369558797</v>
          </cell>
        </row>
        <row r="70">
          <cell r="B70">
            <v>40117</v>
          </cell>
          <cell r="G70">
            <v>98.045806013187146</v>
          </cell>
          <cell r="H70">
            <v>86.521764810111634</v>
          </cell>
        </row>
        <row r="71">
          <cell r="B71">
            <v>40147</v>
          </cell>
          <cell r="G71">
            <v>99.920105790952661</v>
          </cell>
          <cell r="H71">
            <v>86.332762388518091</v>
          </cell>
        </row>
        <row r="72">
          <cell r="B72">
            <v>40178</v>
          </cell>
          <cell r="G72">
            <v>101.96888717468364</v>
          </cell>
          <cell r="H72">
            <v>86.16738526962375</v>
          </cell>
        </row>
        <row r="73">
          <cell r="B73">
            <v>40209</v>
          </cell>
          <cell r="G73">
            <v>103.18107517402244</v>
          </cell>
          <cell r="H73">
            <v>85.824818380485496</v>
          </cell>
        </row>
        <row r="74">
          <cell r="B74">
            <v>40237</v>
          </cell>
          <cell r="G74">
            <v>100.02020313332231</v>
          </cell>
          <cell r="H74">
            <v>85.086527671135798</v>
          </cell>
        </row>
        <row r="75">
          <cell r="B75">
            <v>40268</v>
          </cell>
          <cell r="G75">
            <v>105.79554429077818</v>
          </cell>
          <cell r="H75">
            <v>84.661272222550352</v>
          </cell>
        </row>
        <row r="76">
          <cell r="B76">
            <v>40298</v>
          </cell>
          <cell r="G76">
            <v>109.95279813396512</v>
          </cell>
          <cell r="H76">
            <v>85.381843954875663</v>
          </cell>
        </row>
        <row r="77">
          <cell r="B77">
            <v>40329</v>
          </cell>
          <cell r="G77">
            <v>103.31698716182709</v>
          </cell>
          <cell r="H77">
            <v>86.504045833087247</v>
          </cell>
        </row>
        <row r="78">
          <cell r="B78">
            <v>40359</v>
          </cell>
          <cell r="G78">
            <v>99.487575073006767</v>
          </cell>
          <cell r="H78">
            <v>87.407713661331286</v>
          </cell>
        </row>
        <row r="79">
          <cell r="B79">
            <v>40390</v>
          </cell>
          <cell r="G79">
            <v>99.160651642882058</v>
          </cell>
          <cell r="H79">
            <v>87.933376646388268</v>
          </cell>
        </row>
        <row r="80">
          <cell r="B80">
            <v>40421</v>
          </cell>
          <cell r="G80">
            <v>99.847558175840717</v>
          </cell>
          <cell r="H80">
            <v>87.703029945071179</v>
          </cell>
        </row>
        <row r="81">
          <cell r="B81">
            <v>40451</v>
          </cell>
          <cell r="G81">
            <v>103.04332653773393</v>
          </cell>
          <cell r="H81">
            <v>86.976551887071054</v>
          </cell>
        </row>
        <row r="82">
          <cell r="B82">
            <v>40482</v>
          </cell>
          <cell r="G82">
            <v>107.58903153525445</v>
          </cell>
          <cell r="H82">
            <v>85.783474100761921</v>
          </cell>
        </row>
        <row r="83">
          <cell r="B83">
            <v>40512</v>
          </cell>
          <cell r="G83">
            <v>110.09697503994711</v>
          </cell>
          <cell r="H83">
            <v>84.915244226566656</v>
          </cell>
        </row>
        <row r="84">
          <cell r="B84">
            <v>40543</v>
          </cell>
          <cell r="G84">
            <v>114.0127096075082</v>
          </cell>
          <cell r="H84">
            <v>84.100171283444553</v>
          </cell>
        </row>
        <row r="85">
          <cell r="B85">
            <v>40574</v>
          </cell>
          <cell r="G85">
            <v>117.78610391757121</v>
          </cell>
          <cell r="H85">
            <v>83.149252849802139</v>
          </cell>
        </row>
        <row r="86">
          <cell r="B86">
            <v>40602</v>
          </cell>
          <cell r="G86">
            <v>121.32165224897604</v>
          </cell>
          <cell r="H86">
            <v>82.127458508062148</v>
          </cell>
        </row>
        <row r="87">
          <cell r="B87">
            <v>40633</v>
          </cell>
          <cell r="G87">
            <v>119.79447903465754</v>
          </cell>
          <cell r="H87">
            <v>81.294666587915657</v>
          </cell>
        </row>
        <row r="88">
          <cell r="B88">
            <v>40663</v>
          </cell>
          <cell r="G88">
            <v>122.2757911363344</v>
          </cell>
          <cell r="H88">
            <v>81.761266316224678</v>
          </cell>
        </row>
        <row r="89">
          <cell r="B89">
            <v>40694</v>
          </cell>
          <cell r="G89">
            <v>122.90025162084228</v>
          </cell>
          <cell r="H89">
            <v>82.617683539070342</v>
          </cell>
        </row>
        <row r="90">
          <cell r="B90">
            <v>40724</v>
          </cell>
          <cell r="G90">
            <v>118.2149613385494</v>
          </cell>
          <cell r="H90">
            <v>83.57450829838757</v>
          </cell>
        </row>
        <row r="91">
          <cell r="B91">
            <v>40755</v>
          </cell>
          <cell r="G91">
            <v>121.69449189119695</v>
          </cell>
          <cell r="H91">
            <v>84.395487567184446</v>
          </cell>
        </row>
        <row r="92">
          <cell r="B92">
            <v>40786</v>
          </cell>
          <cell r="G92">
            <v>108.8498907194152</v>
          </cell>
          <cell r="H92">
            <v>84.442738172582835</v>
          </cell>
        </row>
        <row r="93">
          <cell r="B93">
            <v>40816</v>
          </cell>
          <cell r="G93">
            <v>107.80024611089685</v>
          </cell>
          <cell r="H93">
            <v>83.852105605103063</v>
          </cell>
        </row>
        <row r="94">
          <cell r="B94">
            <v>40847</v>
          </cell>
          <cell r="G94">
            <v>110.86193913346925</v>
          </cell>
          <cell r="H94">
            <v>82.718091075541906</v>
          </cell>
        </row>
        <row r="95">
          <cell r="B95">
            <v>40877</v>
          </cell>
          <cell r="G95">
            <v>112.62420335372015</v>
          </cell>
          <cell r="H95">
            <v>81.613608174354738</v>
          </cell>
        </row>
        <row r="96">
          <cell r="B96">
            <v>40908</v>
          </cell>
          <cell r="G96">
            <v>114.17708964681248</v>
          </cell>
          <cell r="H96">
            <v>80.680408717736697</v>
          </cell>
        </row>
        <row r="97">
          <cell r="B97">
            <v>40939</v>
          </cell>
          <cell r="G97">
            <v>119.43541425606551</v>
          </cell>
          <cell r="H97">
            <v>79.859429448939821</v>
          </cell>
        </row>
        <row r="98">
          <cell r="B98">
            <v>40968</v>
          </cell>
          <cell r="G98">
            <v>124.20243539588958</v>
          </cell>
          <cell r="H98">
            <v>79.192014647687685</v>
          </cell>
        </row>
        <row r="99">
          <cell r="B99">
            <v>40999</v>
          </cell>
          <cell r="G99">
            <v>127.57727698495785</v>
          </cell>
          <cell r="H99">
            <v>79.186108322012871</v>
          </cell>
        </row>
        <row r="100">
          <cell r="B100">
            <v>41029</v>
          </cell>
          <cell r="G100">
            <v>127.31922787297738</v>
          </cell>
          <cell r="H100">
            <v>80.314216525899226</v>
          </cell>
        </row>
        <row r="101">
          <cell r="B101">
            <v>41060</v>
          </cell>
          <cell r="G101">
            <v>123.17207559645158</v>
          </cell>
          <cell r="H101">
            <v>82.216053393184097</v>
          </cell>
        </row>
        <row r="102">
          <cell r="B102">
            <v>41090</v>
          </cell>
          <cell r="G102">
            <v>121.53837677006997</v>
          </cell>
          <cell r="H102">
            <v>84.08245230642018</v>
          </cell>
        </row>
        <row r="103">
          <cell r="B103">
            <v>41121</v>
          </cell>
          <cell r="G103">
            <v>124.8718937682517</v>
          </cell>
          <cell r="H103">
            <v>85.393656606225278</v>
          </cell>
        </row>
        <row r="104">
          <cell r="B104">
            <v>41152</v>
          </cell>
          <cell r="G104">
            <v>128.88129740848899</v>
          </cell>
          <cell r="H104">
            <v>86.126040989900176</v>
          </cell>
        </row>
        <row r="105">
          <cell r="B105">
            <v>41182</v>
          </cell>
          <cell r="G105">
            <v>132.55275772769849</v>
          </cell>
          <cell r="H105">
            <v>86.36820034256688</v>
          </cell>
        </row>
        <row r="106">
          <cell r="B106">
            <v>41213</v>
          </cell>
          <cell r="G106">
            <v>132.0384961522214</v>
          </cell>
          <cell r="H106">
            <v>86.255980154745728</v>
          </cell>
        </row>
        <row r="107">
          <cell r="B107">
            <v>41243</v>
          </cell>
          <cell r="G107">
            <v>128.06123386045144</v>
          </cell>
          <cell r="H107">
            <v>86.126040989900176</v>
          </cell>
        </row>
        <row r="108">
          <cell r="B108">
            <v>41274</v>
          </cell>
          <cell r="G108">
            <v>130.61233860451446</v>
          </cell>
          <cell r="H108">
            <v>86.27960545744493</v>
          </cell>
        </row>
        <row r="109">
          <cell r="B109">
            <v>41305</v>
          </cell>
          <cell r="G109">
            <v>135.94872077433101</v>
          </cell>
          <cell r="H109">
            <v>86.320949737168505</v>
          </cell>
        </row>
        <row r="110">
          <cell r="B110">
            <v>41333</v>
          </cell>
          <cell r="G110">
            <v>138.87909343030836</v>
          </cell>
          <cell r="H110">
            <v>86.533577461461221</v>
          </cell>
        </row>
        <row r="111">
          <cell r="B111">
            <v>41364</v>
          </cell>
          <cell r="G111">
            <v>142.41647841019707</v>
          </cell>
          <cell r="H111">
            <v>87.673498316697192</v>
          </cell>
        </row>
        <row r="112">
          <cell r="B112">
            <v>41394</v>
          </cell>
          <cell r="G112">
            <v>144.24118867889874</v>
          </cell>
          <cell r="H112">
            <v>89.917902073120317</v>
          </cell>
        </row>
        <row r="113">
          <cell r="B113">
            <v>41425</v>
          </cell>
          <cell r="G113">
            <v>150.5904824875567</v>
          </cell>
          <cell r="H113">
            <v>92.174118480893043</v>
          </cell>
        </row>
        <row r="114">
          <cell r="B114">
            <v>41455</v>
          </cell>
          <cell r="G114">
            <v>148.65557330982421</v>
          </cell>
          <cell r="H114">
            <v>94.182269210324264</v>
          </cell>
        </row>
        <row r="115">
          <cell r="B115">
            <v>41486</v>
          </cell>
          <cell r="G115">
            <v>153.23892960126361</v>
          </cell>
          <cell r="H115">
            <v>95.906916307365179</v>
          </cell>
        </row>
        <row r="116">
          <cell r="B116">
            <v>41517</v>
          </cell>
          <cell r="G116">
            <v>153.36841331937478</v>
          </cell>
          <cell r="H116">
            <v>97.153151024747501</v>
          </cell>
        </row>
        <row r="117">
          <cell r="B117">
            <v>41547</v>
          </cell>
          <cell r="G117">
            <v>154.93691112457986</v>
          </cell>
          <cell r="H117">
            <v>97.808753174650036</v>
          </cell>
        </row>
        <row r="118">
          <cell r="B118">
            <v>41578</v>
          </cell>
          <cell r="G118">
            <v>157.95452458353995</v>
          </cell>
          <cell r="H118">
            <v>97.985942944893992</v>
          </cell>
        </row>
        <row r="119">
          <cell r="B119">
            <v>41608</v>
          </cell>
          <cell r="G119">
            <v>163.78680184399505</v>
          </cell>
          <cell r="H119">
            <v>97.926879688146002</v>
          </cell>
        </row>
        <row r="120">
          <cell r="B120">
            <v>41639</v>
          </cell>
          <cell r="G120">
            <v>166.01281980641724</v>
          </cell>
          <cell r="H120">
            <v>97.826472151674437</v>
          </cell>
        </row>
        <row r="121">
          <cell r="B121">
            <v>41670</v>
          </cell>
          <cell r="G121">
            <v>167.35173655114147</v>
          </cell>
          <cell r="H121">
            <v>97.690626661154099</v>
          </cell>
        </row>
        <row r="122">
          <cell r="B122">
            <v>41698</v>
          </cell>
          <cell r="G122">
            <v>166.86226973019635</v>
          </cell>
          <cell r="H122">
            <v>97.661095032780096</v>
          </cell>
        </row>
        <row r="123">
          <cell r="B123">
            <v>41729</v>
          </cell>
          <cell r="G123">
            <v>171.13155913089793</v>
          </cell>
          <cell r="H123">
            <v>98.517512255625789</v>
          </cell>
        </row>
        <row r="124">
          <cell r="B124">
            <v>41759</v>
          </cell>
          <cell r="G124">
            <v>171.19951512480026</v>
          </cell>
          <cell r="H124">
            <v>99.657433110861732</v>
          </cell>
        </row>
        <row r="125">
          <cell r="B125">
            <v>41790</v>
          </cell>
          <cell r="G125">
            <v>173.54216026594668</v>
          </cell>
          <cell r="H125">
            <v>100.8091666174473</v>
          </cell>
        </row>
        <row r="126">
          <cell r="B126">
            <v>41820</v>
          </cell>
          <cell r="G126">
            <v>178.80599482065125</v>
          </cell>
          <cell r="H126">
            <v>101.7837103537889</v>
          </cell>
        </row>
        <row r="127">
          <cell r="B127">
            <v>41851</v>
          </cell>
          <cell r="G127">
            <v>181.19455617389386</v>
          </cell>
          <cell r="H127" t="e">
            <v>#N/A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G39" sqref="G3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="70" zoomScaleNormal="70" zoomScalePageLayoutView="85" workbookViewId="0">
      <selection activeCell="B40" sqref="B40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214</v>
      </c>
    </row>
    <row r="17" spans="10:10" ht="15.75">
      <c r="J17" s="42"/>
    </row>
    <row r="106" s="43" customFormat="1"/>
  </sheetData>
  <pageMargins left="0.7" right="0.7" top="0.75" bottom="0.75" header="0.3" footer="0.3"/>
  <pageSetup scale="58" fitToHeight="0" orientation="portrait" r:id="rId1"/>
  <rowBreaks count="1" manualBreakCount="1">
    <brk id="13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51"/>
  <sheetViews>
    <sheetView tabSelected="1" topLeftCell="A7" zoomScale="115" zoomScaleNormal="115" zoomScalePageLayoutView="85" workbookViewId="0">
      <selection activeCell="L22" sqref="L22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5" width="12.5703125" style="33" customWidth="1"/>
    <col min="6" max="6" width="5.7109375" style="33" customWidth="1"/>
    <col min="7" max="7" width="13.28515625" style="33" customWidth="1"/>
    <col min="8" max="8" width="5" style="33" customWidth="1"/>
    <col min="9" max="16384" width="9.140625" style="33"/>
  </cols>
  <sheetData>
    <row r="1" spans="1:1" s="70" customFormat="1" ht="15.75">
      <c r="A1" s="69" t="s">
        <v>215</v>
      </c>
    </row>
    <row r="18" spans="1:7" s="43" customFormat="1"/>
    <row r="19" spans="1:7" s="43" customFormat="1" ht="16.5" thickBot="1">
      <c r="A19" s="116"/>
    </row>
    <row r="20" spans="1:7" s="43" customFormat="1">
      <c r="A20" s="44" t="s">
        <v>453</v>
      </c>
      <c r="B20" s="45"/>
      <c r="C20" s="45"/>
      <c r="D20" s="45"/>
      <c r="E20" s="45"/>
      <c r="F20" s="117"/>
      <c r="G20" s="118"/>
    </row>
    <row r="21" spans="1:7" ht="15.75" thickBot="1">
      <c r="A21" s="48" t="s">
        <v>217</v>
      </c>
      <c r="B21" s="49"/>
      <c r="C21" s="49"/>
      <c r="D21" s="49"/>
      <c r="E21" s="49"/>
      <c r="F21" s="119"/>
      <c r="G21" s="120"/>
    </row>
    <row r="22" spans="1:7" ht="84.75">
      <c r="A22" s="121"/>
      <c r="B22" s="122"/>
      <c r="C22" s="122"/>
      <c r="D22" s="122"/>
      <c r="E22" s="123" t="s">
        <v>218</v>
      </c>
      <c r="F22" s="124"/>
      <c r="G22" s="125" t="s">
        <v>454</v>
      </c>
    </row>
    <row r="23" spans="1:7">
      <c r="A23" s="126" t="s">
        <v>187</v>
      </c>
      <c r="B23" s="127"/>
      <c r="C23" s="127"/>
      <c r="D23" s="127"/>
      <c r="E23" s="128">
        <v>302</v>
      </c>
      <c r="F23" s="129"/>
      <c r="G23" s="130">
        <v>-88.949871935601905</v>
      </c>
    </row>
    <row r="24" spans="1:7">
      <c r="A24" s="57"/>
      <c r="B24" s="54" t="s">
        <v>188</v>
      </c>
      <c r="C24" s="55"/>
      <c r="D24" s="55"/>
      <c r="E24" s="128">
        <v>220</v>
      </c>
      <c r="F24" s="129"/>
      <c r="G24" s="130">
        <v>-90.121239335428825</v>
      </c>
    </row>
    <row r="25" spans="1:7">
      <c r="A25" s="57"/>
      <c r="B25" s="58" t="s">
        <v>189</v>
      </c>
      <c r="C25" s="58"/>
      <c r="D25" s="58"/>
      <c r="E25" s="128">
        <v>82</v>
      </c>
      <c r="F25" s="129"/>
      <c r="G25" s="130">
        <v>-83.730158730158735</v>
      </c>
    </row>
    <row r="26" spans="1:7">
      <c r="A26" s="57"/>
      <c r="B26" s="58"/>
      <c r="C26" s="58"/>
      <c r="D26" s="58"/>
      <c r="E26" s="129"/>
      <c r="F26" s="129"/>
      <c r="G26" s="131"/>
    </row>
    <row r="27" spans="1:7">
      <c r="A27" s="62" t="s">
        <v>190</v>
      </c>
      <c r="B27" s="63"/>
      <c r="C27" s="63"/>
      <c r="D27" s="63"/>
      <c r="E27" s="128">
        <v>229</v>
      </c>
      <c r="F27" s="129"/>
      <c r="G27" s="130">
        <v>11.089550790724822</v>
      </c>
    </row>
    <row r="28" spans="1:7">
      <c r="A28" s="57"/>
      <c r="B28" s="58" t="s">
        <v>195</v>
      </c>
      <c r="C28" s="58"/>
      <c r="D28" s="58"/>
      <c r="E28" s="128">
        <v>49</v>
      </c>
      <c r="F28" s="129"/>
      <c r="G28" s="130">
        <v>-2.0000000000000018</v>
      </c>
    </row>
    <row r="29" spans="1:7">
      <c r="A29" s="57"/>
      <c r="B29" s="58" t="s">
        <v>192</v>
      </c>
      <c r="C29" s="58"/>
      <c r="D29" s="58"/>
      <c r="E29" s="128">
        <v>68</v>
      </c>
      <c r="F29" s="129"/>
      <c r="G29" s="130">
        <v>3.0303030303030276</v>
      </c>
    </row>
    <row r="30" spans="1:7">
      <c r="A30" s="57"/>
      <c r="B30" s="58" t="s">
        <v>191</v>
      </c>
      <c r="C30" s="58"/>
      <c r="D30" s="58"/>
      <c r="E30" s="128">
        <v>21</v>
      </c>
      <c r="F30" s="129"/>
      <c r="G30" s="130">
        <v>5.0000000000000044</v>
      </c>
    </row>
    <row r="31" spans="1:7">
      <c r="A31" s="57"/>
      <c r="B31" s="58" t="s">
        <v>183</v>
      </c>
      <c r="C31" s="58"/>
      <c r="D31" s="58"/>
      <c r="E31" s="128">
        <v>5</v>
      </c>
      <c r="F31" s="129"/>
      <c r="G31" s="130">
        <v>-28.571428571428569</v>
      </c>
    </row>
    <row r="32" spans="1:7">
      <c r="A32" s="57"/>
      <c r="B32" s="58" t="s">
        <v>184</v>
      </c>
      <c r="C32" s="58"/>
      <c r="D32" s="58"/>
      <c r="E32" s="128">
        <v>19</v>
      </c>
      <c r="F32" s="129"/>
      <c r="G32" s="130">
        <v>11.764705882352944</v>
      </c>
    </row>
    <row r="33" spans="1:7" ht="15.75" thickBot="1">
      <c r="A33" s="132"/>
      <c r="B33" s="66" t="s">
        <v>194</v>
      </c>
      <c r="C33" s="66"/>
      <c r="D33" s="66"/>
      <c r="E33" s="133">
        <v>67</v>
      </c>
      <c r="F33" s="134"/>
      <c r="G33" s="135">
        <v>39.583333333333329</v>
      </c>
    </row>
    <row r="34" spans="1:7">
      <c r="A34" s="58" t="s">
        <v>420</v>
      </c>
      <c r="B34" s="58"/>
      <c r="C34" s="58"/>
      <c r="D34" s="58"/>
      <c r="E34" s="58"/>
      <c r="F34" s="52"/>
      <c r="G34" s="52"/>
    </row>
    <row r="35" spans="1:7">
      <c r="A35" s="58" t="s">
        <v>220</v>
      </c>
      <c r="B35" s="136"/>
      <c r="C35" s="136"/>
      <c r="D35" s="43"/>
      <c r="E35" s="137"/>
      <c r="F35" s="43"/>
      <c r="G35" s="60"/>
    </row>
    <row r="36" spans="1:7">
      <c r="A36" s="58" t="s">
        <v>193</v>
      </c>
      <c r="B36" s="136"/>
      <c r="C36" s="136"/>
      <c r="D36" s="136"/>
      <c r="E36" s="136"/>
      <c r="F36" s="136"/>
      <c r="G36" s="60"/>
    </row>
    <row r="37" spans="1:7">
      <c r="A37" s="58" t="s">
        <v>421</v>
      </c>
      <c r="B37" s="137"/>
      <c r="C37" s="137"/>
      <c r="D37" s="137"/>
      <c r="E37" s="137"/>
      <c r="F37" s="137"/>
      <c r="G37" s="23"/>
    </row>
    <row r="51" s="43" customFormat="1"/>
  </sheetData>
  <pageMargins left="0.7" right="0.7" top="0.75" bottom="0.75" header="0.3" footer="0.3"/>
  <pageSetup scale="58" fitToHeight="0" orientation="portrait" r:id="rId1"/>
  <rowBreaks count="2" manualBreakCount="2">
    <brk id="18" max="16383" man="1"/>
    <brk id="8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31"/>
  <sheetViews>
    <sheetView topLeftCell="A154" zoomScale="115" zoomScaleNormal="115" zoomScalePageLayoutView="85" workbookViewId="0">
      <selection activeCell="L102" sqref="L102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/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1"/>
  <sheetViews>
    <sheetView zoomScale="115" zoomScaleNormal="115" zoomScalePageLayoutView="85" workbookViewId="0">
      <selection activeCell="L16" sqref="L16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221</v>
      </c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/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4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7" t="s">
        <v>288</v>
      </c>
      <c r="L2" s="104" t="s">
        <v>222</v>
      </c>
      <c r="O2" s="9"/>
    </row>
    <row r="3" spans="1:21">
      <c r="A3" s="25" t="s">
        <v>291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4" t="s">
        <v>207</v>
      </c>
      <c r="M4" s="74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72"/>
      <c r="L5" s="75" t="s">
        <v>206</v>
      </c>
      <c r="M5" s="75" t="s">
        <v>205</v>
      </c>
      <c r="O5" t="s">
        <v>146</v>
      </c>
    </row>
    <row r="6" spans="1:21">
      <c r="A6" s="9" t="s">
        <v>26</v>
      </c>
      <c r="C6" t="s">
        <v>289</v>
      </c>
      <c r="D6" t="s">
        <v>289</v>
      </c>
      <c r="E6" t="s">
        <v>289</v>
      </c>
      <c r="F6" t="s">
        <v>290</v>
      </c>
      <c r="O6" t="s">
        <v>449</v>
      </c>
    </row>
    <row r="7" spans="1:21">
      <c r="A7" s="9" t="s">
        <v>292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/>
      <c r="L7" s="76" t="e">
        <v>#N/A</v>
      </c>
      <c r="M7" s="76" t="e">
        <v>#N/A</v>
      </c>
      <c r="O7" s="15">
        <v>-1</v>
      </c>
      <c r="S7" s="15"/>
      <c r="T7" s="15"/>
      <c r="U7" s="15"/>
    </row>
    <row r="8" spans="1:21">
      <c r="A8" s="9" t="s">
        <v>293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(C8+D8)-(C7+D7)</f>
        <v>13</v>
      </c>
      <c r="L8" s="76">
        <f t="shared" ref="L8:L39" si="1">(E8-F8)-(E7-F7)</f>
        <v>0.29999999999995453</v>
      </c>
      <c r="M8" s="76" t="e">
        <v>#N/A</v>
      </c>
      <c r="O8" s="15">
        <v>-1</v>
      </c>
      <c r="S8" s="26"/>
      <c r="U8" s="16"/>
    </row>
    <row r="9" spans="1:21">
      <c r="A9" s="9" t="s">
        <v>294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</v>
      </c>
      <c r="K9" s="73"/>
      <c r="L9" s="76">
        <f t="shared" si="1"/>
        <v>2.9000000000000909</v>
      </c>
      <c r="M9" s="76" t="e">
        <v>#N/A</v>
      </c>
      <c r="O9" s="15">
        <v>-1</v>
      </c>
      <c r="S9" s="15"/>
      <c r="U9" s="16"/>
    </row>
    <row r="10" spans="1:21">
      <c r="A10" s="9" t="s">
        <v>295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</v>
      </c>
      <c r="J10" s="41">
        <f>AVERAGE(I8:I10)</f>
        <v>18.333333333333332</v>
      </c>
      <c r="K10" s="73"/>
      <c r="L10" s="76">
        <f t="shared" si="1"/>
        <v>23.299999999999955</v>
      </c>
      <c r="M10" s="112">
        <f>AVERAGE(L8:L10)</f>
        <v>8.8333333333333339</v>
      </c>
      <c r="N10" s="16"/>
      <c r="O10" s="15">
        <v>-1</v>
      </c>
      <c r="S10" s="26"/>
    </row>
    <row r="11" spans="1:21">
      <c r="A11" s="9" t="s">
        <v>296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</v>
      </c>
      <c r="J11" s="41">
        <f t="shared" ref="J11:J74" si="2">AVERAGE(I9:I11)</f>
        <v>21.666666666666668</v>
      </c>
      <c r="K11" s="73"/>
      <c r="L11" s="76">
        <f t="shared" si="1"/>
        <v>-18</v>
      </c>
      <c r="M11" s="76">
        <f t="shared" ref="M11:M74" si="3">AVERAGE(L9:L11)</f>
        <v>2.7333333333333485</v>
      </c>
      <c r="N11" s="16"/>
      <c r="O11" s="15">
        <v>-1</v>
      </c>
      <c r="S11" s="15"/>
    </row>
    <row r="12" spans="1:21">
      <c r="A12" s="9" t="s">
        <v>297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>(C12+D12)-(C11+D11)</f>
        <v>-13</v>
      </c>
      <c r="J12" s="41">
        <f t="shared" si="2"/>
        <v>4.666666666666667</v>
      </c>
      <c r="L12" s="76">
        <f t="shared" si="1"/>
        <v>1</v>
      </c>
      <c r="M12" s="76">
        <f t="shared" si="3"/>
        <v>2.099999999999985</v>
      </c>
      <c r="N12" s="16"/>
      <c r="O12" s="15">
        <v>-1</v>
      </c>
      <c r="S12" s="26"/>
    </row>
    <row r="13" spans="1:21">
      <c r="A13" s="9" t="s">
        <v>298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</v>
      </c>
      <c r="J13" s="41">
        <f>AVERAGE(I11:I13)</f>
        <v>5.333333333333333</v>
      </c>
      <c r="K13" s="73"/>
      <c r="L13" s="76">
        <f t="shared" si="1"/>
        <v>0.90000000000009095</v>
      </c>
      <c r="M13" s="76">
        <f t="shared" si="3"/>
        <v>-5.3666666666666361</v>
      </c>
      <c r="N13" s="16"/>
      <c r="O13" s="15">
        <v>-1</v>
      </c>
      <c r="S13" s="15"/>
    </row>
    <row r="14" spans="1:21">
      <c r="A14" s="9" t="s">
        <v>299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</v>
      </c>
      <c r="J14" s="41">
        <f t="shared" si="2"/>
        <v>4.333333333333333</v>
      </c>
      <c r="K14" s="73"/>
      <c r="L14" s="76">
        <f>(E14-F14)-(E13-F13)</f>
        <v>0.79999999999995453</v>
      </c>
      <c r="M14" s="76">
        <f t="shared" si="3"/>
        <v>0.90000000000001512</v>
      </c>
      <c r="N14" s="16"/>
      <c r="O14" s="15">
        <v>-1</v>
      </c>
      <c r="S14" s="26"/>
    </row>
    <row r="15" spans="1:21">
      <c r="A15" s="9" t="s">
        <v>300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</v>
      </c>
      <c r="J15" s="41">
        <f t="shared" si="2"/>
        <v>11.666666666666666</v>
      </c>
      <c r="K15" s="73"/>
      <c r="L15" s="76">
        <f t="shared" si="1"/>
        <v>1.3999999999998636</v>
      </c>
      <c r="M15" s="76">
        <f t="shared" si="3"/>
        <v>1.033333333333303</v>
      </c>
      <c r="N15" s="16"/>
      <c r="O15" s="15">
        <v>-1</v>
      </c>
      <c r="S15" s="15"/>
    </row>
    <row r="16" spans="1:21">
      <c r="A16" s="9" t="s">
        <v>301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</v>
      </c>
      <c r="J16" s="41">
        <f t="shared" si="2"/>
        <v>18.333333333333332</v>
      </c>
      <c r="K16" s="73"/>
      <c r="L16" s="76">
        <f t="shared" si="1"/>
        <v>-3.1999999999998181</v>
      </c>
      <c r="M16" s="76">
        <f t="shared" si="3"/>
        <v>-0.33333333333333331</v>
      </c>
      <c r="N16" s="16"/>
      <c r="O16" s="15">
        <v>-1</v>
      </c>
      <c r="S16" s="26"/>
    </row>
    <row r="17" spans="1:19">
      <c r="A17" s="9" t="s">
        <v>302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</v>
      </c>
      <c r="J17" s="41">
        <f t="shared" si="2"/>
        <v>22.666666666666668</v>
      </c>
      <c r="K17" s="73"/>
      <c r="L17" s="76">
        <f t="shared" si="1"/>
        <v>4.0999999999999091</v>
      </c>
      <c r="M17" s="76">
        <f t="shared" si="3"/>
        <v>0.76666666666665151</v>
      </c>
      <c r="N17" s="16"/>
      <c r="O17" s="15">
        <v>-1</v>
      </c>
      <c r="S17" s="15"/>
    </row>
    <row r="18" spans="1:19">
      <c r="A18" s="9" t="s">
        <v>303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1">
        <f t="shared" si="2"/>
        <v>19.666666666666668</v>
      </c>
      <c r="K18" s="73"/>
      <c r="L18" s="76">
        <f t="shared" si="1"/>
        <v>9.9999999999909051E-2</v>
      </c>
      <c r="M18" s="76">
        <f t="shared" si="3"/>
        <v>0.33333333333333331</v>
      </c>
      <c r="N18" s="16"/>
      <c r="O18" s="15">
        <v>-1</v>
      </c>
      <c r="S18" s="26"/>
    </row>
    <row r="19" spans="1:19">
      <c r="A19" s="9" t="s">
        <v>304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</v>
      </c>
      <c r="J19" s="41">
        <f t="shared" si="2"/>
        <v>25.333333333333332</v>
      </c>
      <c r="K19" s="73"/>
      <c r="L19" s="76">
        <f t="shared" si="1"/>
        <v>-1.2999999999999545</v>
      </c>
      <c r="M19" s="76">
        <f t="shared" si="3"/>
        <v>0.96666666666662115</v>
      </c>
      <c r="N19" s="16"/>
      <c r="O19" s="15">
        <v>-1</v>
      </c>
      <c r="S19" s="15"/>
    </row>
    <row r="20" spans="1:19">
      <c r="A20" s="9" t="s">
        <v>305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</v>
      </c>
      <c r="J20" s="41">
        <f t="shared" si="2"/>
        <v>17</v>
      </c>
      <c r="K20" s="73"/>
      <c r="L20" s="76">
        <f t="shared" si="1"/>
        <v>2.7999999999999545</v>
      </c>
      <c r="M20" s="76">
        <f t="shared" si="3"/>
        <v>0.53333333333330302</v>
      </c>
      <c r="N20" s="16"/>
      <c r="O20" s="15">
        <v>-1</v>
      </c>
      <c r="S20" s="26"/>
    </row>
    <row r="21" spans="1:19">
      <c r="A21" s="9" t="s">
        <v>306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</v>
      </c>
      <c r="J21" s="41">
        <f t="shared" si="2"/>
        <v>14</v>
      </c>
      <c r="K21" s="73"/>
      <c r="L21" s="76">
        <f t="shared" si="1"/>
        <v>4.8000000000001819</v>
      </c>
      <c r="M21" s="76">
        <f t="shared" si="3"/>
        <v>2.1000000000000605</v>
      </c>
      <c r="N21" s="16"/>
      <c r="O21" s="15">
        <v>-1</v>
      </c>
      <c r="S21" s="15"/>
    </row>
    <row r="22" spans="1:19">
      <c r="A22" s="9" t="s">
        <v>307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</v>
      </c>
      <c r="J22" s="41">
        <f t="shared" si="2"/>
        <v>7</v>
      </c>
      <c r="K22" s="73"/>
      <c r="L22" s="76">
        <f t="shared" si="1"/>
        <v>-2.5</v>
      </c>
      <c r="M22" s="76">
        <f t="shared" si="3"/>
        <v>1.7000000000000455</v>
      </c>
      <c r="N22" s="16"/>
      <c r="O22" s="15">
        <v>-1</v>
      </c>
      <c r="S22" s="26"/>
    </row>
    <row r="23" spans="1:19">
      <c r="A23" s="9" t="s">
        <v>308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</v>
      </c>
      <c r="J23" s="41">
        <f t="shared" si="2"/>
        <v>10.333333333333334</v>
      </c>
      <c r="K23" s="73"/>
      <c r="L23" s="76">
        <f t="shared" si="1"/>
        <v>1.8999999999998636</v>
      </c>
      <c r="M23" s="76">
        <f t="shared" si="3"/>
        <v>1.4000000000000152</v>
      </c>
      <c r="N23" s="16"/>
      <c r="O23" s="15">
        <v>-1</v>
      </c>
      <c r="S23" s="15"/>
    </row>
    <row r="24" spans="1:19">
      <c r="A24" s="9" t="s">
        <v>309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</v>
      </c>
      <c r="J24" s="41">
        <f t="shared" si="2"/>
        <v>7.666666666666667</v>
      </c>
      <c r="K24" s="73"/>
      <c r="L24" s="76">
        <f t="shared" si="1"/>
        <v>-1</v>
      </c>
      <c r="M24" s="76">
        <f t="shared" si="3"/>
        <v>-0.53333333333337885</v>
      </c>
      <c r="N24" s="16"/>
      <c r="O24" s="15">
        <v>-1</v>
      </c>
      <c r="S24" s="26"/>
    </row>
    <row r="25" spans="1:19">
      <c r="A25" s="9" t="s">
        <v>310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</v>
      </c>
      <c r="J25" s="41">
        <f t="shared" si="2"/>
        <v>33.333333333333336</v>
      </c>
      <c r="K25" s="73"/>
      <c r="L25" s="76">
        <f t="shared" si="1"/>
        <v>-2.2999999999999545</v>
      </c>
      <c r="M25" s="76">
        <f t="shared" si="3"/>
        <v>-0.46666666666669698</v>
      </c>
      <c r="N25" s="16"/>
      <c r="O25" s="15">
        <v>-1</v>
      </c>
      <c r="S25" s="15"/>
    </row>
    <row r="26" spans="1:19">
      <c r="A26" s="9" t="s">
        <v>311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</v>
      </c>
      <c r="J26" s="41">
        <f t="shared" si="2"/>
        <v>28.333333333333332</v>
      </c>
      <c r="K26" s="73"/>
      <c r="L26" s="76">
        <f t="shared" si="1"/>
        <v>1.5999999999999091</v>
      </c>
      <c r="M26" s="76">
        <f t="shared" si="3"/>
        <v>-0.56666666666668186</v>
      </c>
      <c r="N26" s="16"/>
      <c r="O26" s="15">
        <v>-1</v>
      </c>
      <c r="S26" s="26"/>
    </row>
    <row r="27" spans="1:19">
      <c r="A27" s="9" t="s">
        <v>312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</v>
      </c>
      <c r="J27" s="41">
        <f t="shared" si="2"/>
        <v>27.666666666666668</v>
      </c>
      <c r="K27" s="73"/>
      <c r="L27" s="76">
        <f t="shared" si="1"/>
        <v>1.2000000000000455</v>
      </c>
      <c r="M27" s="76">
        <f t="shared" si="3"/>
        <v>0.16666666666666666</v>
      </c>
      <c r="N27" s="16"/>
      <c r="O27" s="15">
        <v>-1</v>
      </c>
      <c r="S27" s="15"/>
    </row>
    <row r="28" spans="1:19">
      <c r="A28" s="9" t="s">
        <v>313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</v>
      </c>
      <c r="J28" s="41">
        <f t="shared" si="2"/>
        <v>-11.666666666666666</v>
      </c>
      <c r="K28" s="73"/>
      <c r="L28" s="76">
        <f t="shared" si="1"/>
        <v>3.7999999999999545</v>
      </c>
      <c r="M28" s="76">
        <f t="shared" si="3"/>
        <v>2.1999999999999695</v>
      </c>
      <c r="N28" s="16"/>
      <c r="O28" s="15">
        <v>-1</v>
      </c>
      <c r="S28" s="26"/>
    </row>
    <row r="29" spans="1:19">
      <c r="A29" s="9" t="s">
        <v>314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</v>
      </c>
      <c r="J29" s="41">
        <f t="shared" si="2"/>
        <v>-4</v>
      </c>
      <c r="K29" s="73"/>
      <c r="L29" s="76">
        <f t="shared" si="1"/>
        <v>3.2000000000000455</v>
      </c>
      <c r="M29" s="76">
        <f t="shared" si="3"/>
        <v>2.7333333333333485</v>
      </c>
      <c r="N29" s="16"/>
      <c r="O29" s="15">
        <v>-1</v>
      </c>
      <c r="S29" s="15"/>
    </row>
    <row r="30" spans="1:19">
      <c r="A30" s="9" t="s">
        <v>315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</v>
      </c>
      <c r="J30" s="41">
        <f t="shared" si="2"/>
        <v>11</v>
      </c>
      <c r="K30" s="73"/>
      <c r="L30" s="76">
        <f t="shared" si="1"/>
        <v>-5.8999999999998636</v>
      </c>
      <c r="M30" s="76">
        <f t="shared" si="3"/>
        <v>0.36666666666671216</v>
      </c>
      <c r="N30" s="16"/>
      <c r="O30" s="15">
        <v>-1</v>
      </c>
      <c r="S30" s="26"/>
    </row>
    <row r="31" spans="1:19">
      <c r="A31" s="9" t="s">
        <v>316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</v>
      </c>
      <c r="J31" s="41">
        <f t="shared" si="2"/>
        <v>8.6666666666666661</v>
      </c>
      <c r="K31" s="73"/>
      <c r="L31" s="76">
        <f t="shared" si="1"/>
        <v>-4.1000000000001364</v>
      </c>
      <c r="M31" s="76">
        <f t="shared" si="3"/>
        <v>-2.2666666666666515</v>
      </c>
      <c r="N31" s="16"/>
      <c r="O31" s="15">
        <v>-1</v>
      </c>
      <c r="S31" s="15"/>
    </row>
    <row r="32" spans="1:19">
      <c r="A32" s="9" t="s">
        <v>317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>(C32+D32)-(C31+D31)</f>
        <v>25</v>
      </c>
      <c r="J32" s="41">
        <f t="shared" si="2"/>
        <v>8.3333333333333339</v>
      </c>
      <c r="K32" s="73"/>
      <c r="L32" s="76">
        <f t="shared" si="1"/>
        <v>5.1000000000001364</v>
      </c>
      <c r="M32" s="76">
        <f t="shared" si="3"/>
        <v>-1.6333333333332878</v>
      </c>
      <c r="N32" s="16"/>
      <c r="O32" s="15">
        <v>-1</v>
      </c>
      <c r="S32" s="26"/>
    </row>
    <row r="33" spans="1:19">
      <c r="A33" s="9" t="s">
        <v>318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</v>
      </c>
      <c r="J33" s="41">
        <f t="shared" si="2"/>
        <v>8</v>
      </c>
      <c r="K33" s="73"/>
      <c r="L33" s="76">
        <f t="shared" si="1"/>
        <v>1.5</v>
      </c>
      <c r="M33" s="76">
        <f t="shared" si="3"/>
        <v>0.83333333333333337</v>
      </c>
      <c r="N33" s="16"/>
      <c r="O33" s="15">
        <v>-1</v>
      </c>
      <c r="S33" s="15"/>
    </row>
    <row r="34" spans="1:19">
      <c r="A34" s="9" t="s">
        <v>319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</v>
      </c>
      <c r="J34" s="41">
        <f>AVERAGE(I32:I34)</f>
        <v>22</v>
      </c>
      <c r="K34" s="73"/>
      <c r="L34" s="76">
        <f t="shared" si="1"/>
        <v>1.6999999999998181</v>
      </c>
      <c r="M34" s="76">
        <f t="shared" si="3"/>
        <v>2.7666666666666515</v>
      </c>
      <c r="N34" s="16"/>
      <c r="O34" s="15">
        <v>-1</v>
      </c>
      <c r="S34" s="26"/>
    </row>
    <row r="35" spans="1:19">
      <c r="A35" s="9" t="s">
        <v>320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</v>
      </c>
      <c r="J35" s="41">
        <f t="shared" si="2"/>
        <v>15.666666666666666</v>
      </c>
      <c r="K35" s="73"/>
      <c r="L35" s="76">
        <f t="shared" si="1"/>
        <v>1.2000000000000455</v>
      </c>
      <c r="M35" s="76">
        <f t="shared" si="3"/>
        <v>1.4666666666666213</v>
      </c>
      <c r="N35" s="16"/>
      <c r="O35" s="15">
        <v>-1</v>
      </c>
      <c r="S35" s="15"/>
    </row>
    <row r="36" spans="1:19">
      <c r="A36" s="9" t="s">
        <v>321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</v>
      </c>
      <c r="J36" s="41">
        <f t="shared" si="2"/>
        <v>5.333333333333333</v>
      </c>
      <c r="K36" s="73"/>
      <c r="L36" s="76">
        <f t="shared" si="1"/>
        <v>1</v>
      </c>
      <c r="M36" s="76">
        <f t="shared" si="3"/>
        <v>1.2999999999999545</v>
      </c>
      <c r="N36" s="16"/>
      <c r="O36" s="15">
        <v>-1</v>
      </c>
      <c r="S36" s="26"/>
    </row>
    <row r="37" spans="1:19">
      <c r="A37" s="9" t="s">
        <v>322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</v>
      </c>
      <c r="J37" s="41">
        <f t="shared" si="2"/>
        <v>15.666666666666666</v>
      </c>
      <c r="K37" s="73"/>
      <c r="L37" s="76">
        <f t="shared" si="1"/>
        <v>1.6000000000001364</v>
      </c>
      <c r="M37" s="76">
        <f t="shared" si="3"/>
        <v>1.2666666666667272</v>
      </c>
      <c r="N37" s="16"/>
      <c r="O37" s="15">
        <v>-1</v>
      </c>
      <c r="S37" s="15"/>
    </row>
    <row r="38" spans="1:19">
      <c r="A38" s="9" t="s">
        <v>323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</v>
      </c>
      <c r="J38" s="41">
        <f t="shared" si="2"/>
        <v>28.666666666666668</v>
      </c>
      <c r="K38" s="73"/>
      <c r="L38" s="76">
        <f t="shared" si="1"/>
        <v>-2.1000000000001364</v>
      </c>
      <c r="M38" s="76">
        <f t="shared" si="3"/>
        <v>0.16666666666666666</v>
      </c>
      <c r="N38" s="16"/>
      <c r="O38" s="15">
        <v>-1</v>
      </c>
      <c r="S38" s="26"/>
    </row>
    <row r="39" spans="1:19">
      <c r="A39" s="9" t="s">
        <v>324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</v>
      </c>
      <c r="J39" s="41">
        <f t="shared" si="2"/>
        <v>54.666666666666664</v>
      </c>
      <c r="K39" s="73"/>
      <c r="L39" s="76">
        <f t="shared" si="1"/>
        <v>-0.5</v>
      </c>
      <c r="M39" s="76">
        <f t="shared" si="3"/>
        <v>-0.33333333333333331</v>
      </c>
      <c r="N39" s="16"/>
      <c r="O39" s="15">
        <v>-1</v>
      </c>
      <c r="S39" s="15"/>
    </row>
    <row r="40" spans="1:19">
      <c r="A40" s="9" t="s">
        <v>325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(C40+D40)-(C39+D39)</f>
        <v>-13</v>
      </c>
      <c r="J40" s="41">
        <f t="shared" si="2"/>
        <v>34.666666666666664</v>
      </c>
      <c r="K40" s="73"/>
      <c r="L40" s="76">
        <f t="shared" ref="L40:L71" si="5">(E40-F40)-(E39-F39)</f>
        <v>-0.20000000000004547</v>
      </c>
      <c r="M40" s="76">
        <f t="shared" si="3"/>
        <v>-0.93333333333339397</v>
      </c>
      <c r="N40" s="16"/>
      <c r="O40" s="15">
        <v>-1</v>
      </c>
      <c r="S40" s="26"/>
    </row>
    <row r="41" spans="1:19">
      <c r="A41" s="9" t="s">
        <v>326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</v>
      </c>
      <c r="J41" s="41">
        <f t="shared" si="2"/>
        <v>25.333333333333332</v>
      </c>
      <c r="K41" s="73"/>
      <c r="L41" s="76">
        <f t="shared" si="5"/>
        <v>-1.2999999999999545</v>
      </c>
      <c r="M41" s="76">
        <f t="shared" si="3"/>
        <v>-0.66666666666666663</v>
      </c>
      <c r="N41" s="16"/>
      <c r="O41" s="15">
        <v>-1</v>
      </c>
      <c r="S41" s="15"/>
    </row>
    <row r="42" spans="1:19">
      <c r="A42" s="9" t="s">
        <v>327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</v>
      </c>
      <c r="J42" s="41">
        <f t="shared" si="2"/>
        <v>2.6666666666666665</v>
      </c>
      <c r="K42" s="73"/>
      <c r="L42" s="76">
        <f t="shared" si="5"/>
        <v>0.40000000000009095</v>
      </c>
      <c r="M42" s="76">
        <f t="shared" si="3"/>
        <v>-0.36666666666663633</v>
      </c>
      <c r="N42" s="16"/>
      <c r="O42" s="15">
        <v>-1</v>
      </c>
      <c r="S42" s="26"/>
    </row>
    <row r="43" spans="1:19">
      <c r="A43" s="9" t="s">
        <v>328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</v>
      </c>
      <c r="J43" s="41">
        <f t="shared" si="2"/>
        <v>9</v>
      </c>
      <c r="K43" s="73"/>
      <c r="L43" s="76">
        <f t="shared" si="5"/>
        <v>1.7999999999999545</v>
      </c>
      <c r="M43" s="76">
        <f t="shared" si="3"/>
        <v>0.3000000000000303</v>
      </c>
      <c r="N43" s="16"/>
      <c r="O43" s="15">
        <v>-1</v>
      </c>
      <c r="S43" s="15"/>
    </row>
    <row r="44" spans="1:19">
      <c r="A44" s="9" t="s">
        <v>329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</v>
      </c>
      <c r="J44" s="41">
        <f t="shared" si="2"/>
        <v>15</v>
      </c>
      <c r="K44" s="73"/>
      <c r="L44" s="76">
        <f t="shared" si="5"/>
        <v>0.40000000000009095</v>
      </c>
      <c r="M44" s="76">
        <f t="shared" si="3"/>
        <v>0.8666666666667121</v>
      </c>
      <c r="N44" s="16"/>
      <c r="O44" s="15">
        <v>-1</v>
      </c>
      <c r="S44" s="26"/>
    </row>
    <row r="45" spans="1:19">
      <c r="A45" s="9" t="s">
        <v>330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</v>
      </c>
      <c r="J45" s="41">
        <f t="shared" si="2"/>
        <v>20</v>
      </c>
      <c r="K45" s="73"/>
      <c r="L45" s="76">
        <f t="shared" si="5"/>
        <v>0.6999999999998181</v>
      </c>
      <c r="M45" s="76">
        <f t="shared" si="3"/>
        <v>0.96666666666662115</v>
      </c>
      <c r="N45" s="16"/>
      <c r="O45" s="15">
        <v>-1</v>
      </c>
      <c r="S45" s="15"/>
    </row>
    <row r="46" spans="1:19">
      <c r="A46" s="9" t="s">
        <v>331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</v>
      </c>
      <c r="J46" s="41">
        <f t="shared" si="2"/>
        <v>26.333333333333332</v>
      </c>
      <c r="K46" s="73"/>
      <c r="L46" s="76">
        <f t="shared" si="5"/>
        <v>0.20000000000004547</v>
      </c>
      <c r="M46" s="76">
        <f t="shared" si="3"/>
        <v>0.43333333333331819</v>
      </c>
      <c r="N46" s="16"/>
      <c r="O46" s="15">
        <v>-1</v>
      </c>
      <c r="S46" s="26"/>
    </row>
    <row r="47" spans="1:19">
      <c r="A47" s="9" t="s">
        <v>332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</v>
      </c>
      <c r="J47" s="41">
        <f t="shared" si="2"/>
        <v>20.333333333333332</v>
      </c>
      <c r="K47" s="73"/>
      <c r="L47" s="76">
        <f t="shared" si="5"/>
        <v>-2.3999999999998636</v>
      </c>
      <c r="M47" s="76">
        <f t="shared" si="3"/>
        <v>-0.5</v>
      </c>
      <c r="N47" s="16"/>
      <c r="O47" s="15">
        <v>-1</v>
      </c>
      <c r="S47" s="15"/>
    </row>
    <row r="48" spans="1:19">
      <c r="A48" s="9" t="s">
        <v>333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</v>
      </c>
      <c r="J48" s="41">
        <f t="shared" si="2"/>
        <v>20</v>
      </c>
      <c r="K48" s="73"/>
      <c r="L48" s="76">
        <f t="shared" si="5"/>
        <v>-2.9000000000000909</v>
      </c>
      <c r="M48" s="76">
        <f t="shared" si="3"/>
        <v>-1.6999999999999698</v>
      </c>
      <c r="N48" s="16"/>
      <c r="O48" s="15">
        <v>-1</v>
      </c>
      <c r="S48" s="26"/>
    </row>
    <row r="49" spans="1:19">
      <c r="A49" s="9" t="s">
        <v>334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</v>
      </c>
      <c r="J49" s="41">
        <f t="shared" si="2"/>
        <v>0.33333333333333331</v>
      </c>
      <c r="K49" s="73"/>
      <c r="L49" s="76">
        <f t="shared" si="5"/>
        <v>4.5</v>
      </c>
      <c r="M49" s="76">
        <f t="shared" si="3"/>
        <v>-0.26666666666665151</v>
      </c>
      <c r="N49" s="16"/>
      <c r="O49" s="15">
        <v>-1</v>
      </c>
      <c r="S49" s="15"/>
    </row>
    <row r="50" spans="1:19">
      <c r="A50" s="9" t="s">
        <v>335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</v>
      </c>
      <c r="J50" s="41">
        <f t="shared" si="2"/>
        <v>9.3333333333333339</v>
      </c>
      <c r="K50" s="73"/>
      <c r="L50" s="76">
        <f t="shared" si="5"/>
        <v>2.2999999999999545</v>
      </c>
      <c r="M50" s="76">
        <f t="shared" si="3"/>
        <v>1.2999999999999545</v>
      </c>
      <c r="N50" s="16"/>
      <c r="O50" s="15">
        <v>-1</v>
      </c>
      <c r="S50" s="26"/>
    </row>
    <row r="51" spans="1:19">
      <c r="A51" s="9" t="s">
        <v>336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</v>
      </c>
      <c r="J51" s="41">
        <f t="shared" si="2"/>
        <v>21.333333333333332</v>
      </c>
      <c r="K51" s="73"/>
      <c r="L51" s="76">
        <f t="shared" si="5"/>
        <v>-0.79999999999995453</v>
      </c>
      <c r="M51" s="76">
        <f t="shared" si="3"/>
        <v>2</v>
      </c>
      <c r="N51" s="16"/>
      <c r="O51" s="15">
        <v>-1</v>
      </c>
      <c r="S51" s="15"/>
    </row>
    <row r="52" spans="1:19">
      <c r="A52" s="9" t="s">
        <v>337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</v>
      </c>
      <c r="J52" s="41">
        <f t="shared" si="2"/>
        <v>39.666666666666664</v>
      </c>
      <c r="K52" s="73"/>
      <c r="L52" s="76">
        <f t="shared" si="5"/>
        <v>-0.29999999999995453</v>
      </c>
      <c r="M52" s="76">
        <f t="shared" si="3"/>
        <v>0.40000000000001518</v>
      </c>
      <c r="N52" s="16"/>
      <c r="O52" s="15">
        <v>-1</v>
      </c>
      <c r="S52" s="26"/>
    </row>
    <row r="53" spans="1:19">
      <c r="A53" s="9" t="s">
        <v>338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</v>
      </c>
      <c r="J53" s="41">
        <f t="shared" si="2"/>
        <v>34</v>
      </c>
      <c r="K53" s="73"/>
      <c r="L53" s="76">
        <f t="shared" si="5"/>
        <v>4.0999999999999091</v>
      </c>
      <c r="M53" s="76">
        <f t="shared" si="3"/>
        <v>1</v>
      </c>
      <c r="N53" s="16"/>
      <c r="O53" s="15">
        <v>-1</v>
      </c>
      <c r="S53" s="15"/>
    </row>
    <row r="54" spans="1:19">
      <c r="A54" s="9" t="s">
        <v>339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</v>
      </c>
      <c r="J54" s="41">
        <f t="shared" si="2"/>
        <v>26</v>
      </c>
      <c r="K54" s="73"/>
      <c r="L54" s="76">
        <f t="shared" si="5"/>
        <v>4.6000000000001364</v>
      </c>
      <c r="M54" s="76">
        <f t="shared" si="3"/>
        <v>2.8000000000000305</v>
      </c>
      <c r="N54" s="16"/>
      <c r="O54" s="15">
        <v>1</v>
      </c>
      <c r="S54" s="26"/>
    </row>
    <row r="55" spans="1:19">
      <c r="A55" s="9" t="s">
        <v>340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</v>
      </c>
      <c r="J55" s="41">
        <f t="shared" si="2"/>
        <v>29</v>
      </c>
      <c r="K55" s="73"/>
      <c r="L55" s="76">
        <f t="shared" si="5"/>
        <v>6.5999999999999091</v>
      </c>
      <c r="M55" s="76">
        <f t="shared" si="3"/>
        <v>5.0999999999999845</v>
      </c>
      <c r="N55" s="16"/>
      <c r="O55" s="15">
        <v>1</v>
      </c>
      <c r="S55" s="15"/>
    </row>
    <row r="56" spans="1:19">
      <c r="A56" s="9" t="s">
        <v>341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</v>
      </c>
      <c r="J56" s="41">
        <f t="shared" si="2"/>
        <v>26.666666666666668</v>
      </c>
      <c r="K56" s="73"/>
      <c r="L56" s="76">
        <f t="shared" si="5"/>
        <v>5.9000000000000909</v>
      </c>
      <c r="M56" s="76">
        <f t="shared" si="3"/>
        <v>5.7000000000000455</v>
      </c>
      <c r="N56" s="16"/>
      <c r="O56" s="15">
        <v>1</v>
      </c>
      <c r="S56" s="26"/>
    </row>
    <row r="57" spans="1:19">
      <c r="A57" s="9" t="s">
        <v>342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</v>
      </c>
      <c r="J57" s="41">
        <f t="shared" si="2"/>
        <v>23.666666666666668</v>
      </c>
      <c r="K57" s="73"/>
      <c r="L57" s="76">
        <f t="shared" si="5"/>
        <v>4.5</v>
      </c>
      <c r="M57" s="76">
        <f t="shared" si="3"/>
        <v>5.666666666666667</v>
      </c>
      <c r="N57" s="16"/>
      <c r="O57" s="15">
        <v>1</v>
      </c>
      <c r="S57" s="15"/>
    </row>
    <row r="58" spans="1:19">
      <c r="A58" s="9" t="s">
        <v>343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</v>
      </c>
      <c r="J58" s="41">
        <f t="shared" si="2"/>
        <v>15</v>
      </c>
      <c r="K58" s="73"/>
      <c r="L58" s="76">
        <f t="shared" si="5"/>
        <v>5.6999999999998181</v>
      </c>
      <c r="M58" s="76">
        <f t="shared" si="3"/>
        <v>5.3666666666666361</v>
      </c>
      <c r="N58" s="16"/>
      <c r="O58" s="15">
        <v>1</v>
      </c>
      <c r="S58" s="26"/>
    </row>
    <row r="59" spans="1:19">
      <c r="A59" s="9" t="s">
        <v>344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</v>
      </c>
      <c r="J59" s="41">
        <f t="shared" si="2"/>
        <v>18.666666666666668</v>
      </c>
      <c r="K59" s="73"/>
      <c r="L59" s="76">
        <f t="shared" si="5"/>
        <v>5.7000000000000455</v>
      </c>
      <c r="M59" s="76">
        <f t="shared" si="3"/>
        <v>5.2999999999999545</v>
      </c>
      <c r="N59" s="16"/>
      <c r="O59" s="15">
        <v>1</v>
      </c>
      <c r="S59" s="15"/>
    </row>
    <row r="60" spans="1:19">
      <c r="A60" s="9" t="s">
        <v>345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</v>
      </c>
      <c r="J60" s="41">
        <f t="shared" si="2"/>
        <v>22.333333333333332</v>
      </c>
      <c r="K60" s="73"/>
      <c r="L60" s="76">
        <f t="shared" si="5"/>
        <v>4.9000000000000909</v>
      </c>
      <c r="M60" s="76">
        <f t="shared" si="3"/>
        <v>5.4333333333333185</v>
      </c>
      <c r="N60" s="16"/>
      <c r="O60" s="15">
        <v>1</v>
      </c>
      <c r="S60" s="26"/>
    </row>
    <row r="61" spans="1:19">
      <c r="A61" s="9" t="s">
        <v>346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</v>
      </c>
      <c r="J61" s="41">
        <f t="shared" si="2"/>
        <v>35.333333333333336</v>
      </c>
      <c r="K61" s="73"/>
      <c r="L61" s="76">
        <f t="shared" si="5"/>
        <v>9</v>
      </c>
      <c r="M61" s="76">
        <f t="shared" si="3"/>
        <v>6.5333333333333785</v>
      </c>
      <c r="N61" s="16"/>
      <c r="O61" s="15">
        <v>1</v>
      </c>
      <c r="S61" s="15"/>
    </row>
    <row r="62" spans="1:19">
      <c r="A62" s="9" t="s">
        <v>347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1">
        <f t="shared" si="2"/>
        <v>25</v>
      </c>
      <c r="K62" s="73"/>
      <c r="L62" s="76">
        <f t="shared" si="5"/>
        <v>6.5999999999999091</v>
      </c>
      <c r="M62" s="76">
        <f t="shared" si="3"/>
        <v>6.833333333333333</v>
      </c>
      <c r="N62" s="16"/>
      <c r="O62" s="15">
        <v>1</v>
      </c>
      <c r="S62" s="26"/>
    </row>
    <row r="63" spans="1:19">
      <c r="A63" s="9" t="s">
        <v>348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</v>
      </c>
      <c r="J63" s="41">
        <f t="shared" si="2"/>
        <v>3.6666666666666665</v>
      </c>
      <c r="K63" s="73"/>
      <c r="L63" s="76">
        <f t="shared" si="5"/>
        <v>5.1000000000001364</v>
      </c>
      <c r="M63" s="76">
        <f t="shared" si="3"/>
        <v>6.9000000000000155</v>
      </c>
      <c r="N63" s="16"/>
      <c r="O63" s="15">
        <v>1</v>
      </c>
      <c r="S63" s="15"/>
    </row>
    <row r="64" spans="1:19">
      <c r="A64" s="9" t="s">
        <v>349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</v>
      </c>
      <c r="J64" s="41">
        <f t="shared" si="2"/>
        <v>-8</v>
      </c>
      <c r="K64" s="73"/>
      <c r="L64" s="76">
        <f t="shared" si="5"/>
        <v>6.5999999999999091</v>
      </c>
      <c r="M64" s="76">
        <f t="shared" si="3"/>
        <v>6.0999999999999845</v>
      </c>
      <c r="N64" s="16"/>
      <c r="O64" s="15">
        <v>1</v>
      </c>
      <c r="S64" s="26"/>
    </row>
    <row r="65" spans="1:19">
      <c r="A65" s="9" t="s">
        <v>350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</v>
      </c>
      <c r="J65" s="41">
        <f t="shared" si="2"/>
        <v>-6.333333333333333</v>
      </c>
      <c r="K65" s="73"/>
      <c r="L65" s="76">
        <f t="shared" si="5"/>
        <v>8.7000000000000455</v>
      </c>
      <c r="M65" s="76">
        <f t="shared" si="3"/>
        <v>6.80000000000003</v>
      </c>
      <c r="N65" s="16"/>
      <c r="O65" s="15">
        <v>1</v>
      </c>
      <c r="S65" s="15"/>
    </row>
    <row r="66" spans="1:19">
      <c r="A66" s="9" t="s">
        <v>351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</v>
      </c>
      <c r="J66" s="41">
        <f t="shared" si="2"/>
        <v>4</v>
      </c>
      <c r="K66" s="73"/>
      <c r="L66" s="76">
        <f t="shared" si="5"/>
        <v>2.8999999999998636</v>
      </c>
      <c r="M66" s="76">
        <f t="shared" si="3"/>
        <v>6.066666666666606</v>
      </c>
      <c r="N66" s="16"/>
      <c r="O66" s="15">
        <v>1</v>
      </c>
      <c r="S66" s="26"/>
    </row>
    <row r="67" spans="1:19">
      <c r="A67" s="9" t="s">
        <v>352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</v>
      </c>
      <c r="J67" s="41">
        <f t="shared" si="2"/>
        <v>5.333333333333333</v>
      </c>
      <c r="K67" s="73"/>
      <c r="L67" s="76">
        <f t="shared" si="5"/>
        <v>7.9000000000000909</v>
      </c>
      <c r="M67" s="76">
        <f t="shared" si="3"/>
        <v>6.5</v>
      </c>
      <c r="N67" s="16"/>
      <c r="O67" s="15">
        <v>1</v>
      </c>
      <c r="S67" s="15"/>
    </row>
    <row r="68" spans="1:19">
      <c r="A68" s="9" t="s">
        <v>353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</v>
      </c>
      <c r="J68" s="41">
        <f t="shared" si="2"/>
        <v>-0.33333333333333331</v>
      </c>
      <c r="K68" s="73"/>
      <c r="L68" s="76">
        <f t="shared" si="5"/>
        <v>7.6999999999998181</v>
      </c>
      <c r="M68" s="76">
        <f t="shared" si="3"/>
        <v>6.1666666666665906</v>
      </c>
      <c r="N68" s="16"/>
      <c r="O68" s="15">
        <v>1</v>
      </c>
      <c r="S68" s="26"/>
    </row>
    <row r="69" spans="1:19">
      <c r="A69" s="9" t="s">
        <v>354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</v>
      </c>
      <c r="J69" s="41">
        <f t="shared" si="2"/>
        <v>-6</v>
      </c>
      <c r="K69" s="73"/>
      <c r="L69" s="76">
        <f t="shared" si="5"/>
        <v>0.8000000000001819</v>
      </c>
      <c r="M69" s="76">
        <f t="shared" si="3"/>
        <v>5.466666666666697</v>
      </c>
      <c r="N69" s="16"/>
      <c r="O69" s="15">
        <v>1</v>
      </c>
      <c r="S69" s="15"/>
    </row>
    <row r="70" spans="1:19">
      <c r="A70" s="9" t="s">
        <v>355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</v>
      </c>
      <c r="J70" s="41">
        <f t="shared" si="2"/>
        <v>-12.666666666666666</v>
      </c>
      <c r="K70" s="73"/>
      <c r="L70" s="76">
        <f t="shared" si="5"/>
        <v>11.800000000000182</v>
      </c>
      <c r="M70" s="76">
        <f t="shared" si="3"/>
        <v>6.766666666666727</v>
      </c>
      <c r="N70" s="16"/>
      <c r="O70" s="15">
        <v>1</v>
      </c>
      <c r="S70" s="26"/>
    </row>
    <row r="71" spans="1:19">
      <c r="A71" s="9" t="s">
        <v>356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</v>
      </c>
      <c r="J71" s="41">
        <f t="shared" si="2"/>
        <v>-8</v>
      </c>
      <c r="K71" s="73"/>
      <c r="L71" s="76">
        <f t="shared" si="5"/>
        <v>7.7999999999997272</v>
      </c>
      <c r="M71" s="76">
        <f t="shared" si="3"/>
        <v>6.80000000000003</v>
      </c>
      <c r="N71" s="16"/>
      <c r="O71" s="15">
        <v>1</v>
      </c>
      <c r="S71" s="15"/>
    </row>
    <row r="72" spans="1:19">
      <c r="A72" s="9" t="s">
        <v>357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(C72+D72)-(C71+D71)</f>
        <v>5</v>
      </c>
      <c r="J72" s="41">
        <f t="shared" si="2"/>
        <v>-0.33333333333333331</v>
      </c>
      <c r="K72" s="73"/>
      <c r="L72" s="76">
        <f t="shared" ref="L72:L103" si="7">(E72-F72)-(E71-F71)</f>
        <v>17.400000000000091</v>
      </c>
      <c r="M72" s="76">
        <f t="shared" si="3"/>
        <v>12.333333333333334</v>
      </c>
      <c r="N72" s="16"/>
      <c r="O72" s="15">
        <v>1</v>
      </c>
      <c r="S72" s="26"/>
    </row>
    <row r="73" spans="1:19">
      <c r="A73" s="9" t="s">
        <v>358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</v>
      </c>
      <c r="J73" s="41">
        <f t="shared" si="2"/>
        <v>-20</v>
      </c>
      <c r="K73" s="73"/>
      <c r="L73" s="76">
        <f t="shared" si="7"/>
        <v>15.800000000000182</v>
      </c>
      <c r="M73" s="76">
        <f t="shared" si="3"/>
        <v>13.666666666666666</v>
      </c>
      <c r="N73" s="16"/>
      <c r="O73" s="15">
        <v>-1</v>
      </c>
      <c r="S73" s="15"/>
    </row>
    <row r="74" spans="1:19">
      <c r="A74" s="9" t="s">
        <v>359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</v>
      </c>
      <c r="J74" s="41">
        <f t="shared" si="2"/>
        <v>-15</v>
      </c>
      <c r="K74" s="73"/>
      <c r="L74" s="76">
        <f t="shared" si="7"/>
        <v>8.8999999999996362</v>
      </c>
      <c r="M74" s="76">
        <f t="shared" si="3"/>
        <v>14.033333333333303</v>
      </c>
      <c r="N74" s="16"/>
      <c r="O74" s="15">
        <v>-1</v>
      </c>
      <c r="S74" s="26"/>
    </row>
    <row r="75" spans="1:19">
      <c r="A75" s="9" t="s">
        <v>360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</v>
      </c>
      <c r="J75" s="41">
        <f t="shared" ref="J75:J133" si="8">AVERAGE(I73:I75)</f>
        <v>-45.666666666666664</v>
      </c>
      <c r="K75" s="73"/>
      <c r="L75" s="76">
        <f t="shared" si="7"/>
        <v>3.9000000000000909</v>
      </c>
      <c r="M75" s="76">
        <f t="shared" ref="M75:M132" si="9">AVERAGE(L73:L75)</f>
        <v>9.533333333333303</v>
      </c>
      <c r="N75" s="16"/>
      <c r="O75" s="15">
        <v>-1</v>
      </c>
      <c r="S75" s="15"/>
    </row>
    <row r="76" spans="1:19">
      <c r="A76" s="9" t="s">
        <v>361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</v>
      </c>
      <c r="J76" s="41">
        <f t="shared" si="8"/>
        <v>-4.666666666666667</v>
      </c>
      <c r="K76" s="73"/>
      <c r="L76" s="76">
        <f t="shared" si="7"/>
        <v>11</v>
      </c>
      <c r="M76" s="76">
        <f t="shared" si="9"/>
        <v>7.9333333333332421</v>
      </c>
      <c r="N76" s="16"/>
      <c r="O76" s="15">
        <v>-1</v>
      </c>
      <c r="S76" s="26"/>
    </row>
    <row r="77" spans="1:19">
      <c r="A77" s="9" t="s">
        <v>362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</v>
      </c>
      <c r="J77" s="41">
        <f t="shared" si="8"/>
        <v>-7</v>
      </c>
      <c r="K77" s="73"/>
      <c r="L77" s="76">
        <f t="shared" si="7"/>
        <v>6.4000000000000909</v>
      </c>
      <c r="M77" s="76">
        <f t="shared" si="9"/>
        <v>7.1000000000000609</v>
      </c>
      <c r="N77" s="16"/>
      <c r="O77" s="15">
        <v>-1</v>
      </c>
      <c r="S77" s="15"/>
    </row>
    <row r="78" spans="1:19">
      <c r="A78" s="9" t="s">
        <v>363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</v>
      </c>
      <c r="J78" s="41">
        <f t="shared" si="8"/>
        <v>8.6666666666666661</v>
      </c>
      <c r="K78" s="73"/>
      <c r="L78" s="76">
        <f t="shared" si="7"/>
        <v>9.1999999999998181</v>
      </c>
      <c r="M78" s="76">
        <f t="shared" si="9"/>
        <v>8.8666666666666369</v>
      </c>
      <c r="N78" s="16"/>
      <c r="O78" s="15">
        <v>-1</v>
      </c>
      <c r="S78" s="26"/>
    </row>
    <row r="79" spans="1:19">
      <c r="A79" s="9" t="s">
        <v>364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</v>
      </c>
      <c r="J79" s="41">
        <f t="shared" si="8"/>
        <v>-20.333333333333332</v>
      </c>
      <c r="K79" s="73"/>
      <c r="L79" s="76">
        <f t="shared" si="7"/>
        <v>5.4000000000000909</v>
      </c>
      <c r="M79" s="76">
        <f t="shared" si="9"/>
        <v>7</v>
      </c>
      <c r="N79" s="16"/>
      <c r="O79" s="15">
        <v>-1</v>
      </c>
      <c r="S79" s="15"/>
    </row>
    <row r="80" spans="1:19">
      <c r="A80" s="9" t="s">
        <v>365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</v>
      </c>
      <c r="J80" s="41">
        <f t="shared" si="8"/>
        <v>-31.333333333333332</v>
      </c>
      <c r="K80" s="73"/>
      <c r="L80" s="76">
        <f t="shared" si="7"/>
        <v>3.7000000000002728</v>
      </c>
      <c r="M80" s="76">
        <f t="shared" si="9"/>
        <v>6.1000000000000609</v>
      </c>
      <c r="N80" s="16"/>
      <c r="O80" s="15">
        <v>-1</v>
      </c>
      <c r="S80" s="26"/>
    </row>
    <row r="81" spans="1:19">
      <c r="A81" s="9" t="s">
        <v>366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</v>
      </c>
      <c r="J81" s="41">
        <f t="shared" si="8"/>
        <v>-20.666666666666668</v>
      </c>
      <c r="K81" s="73"/>
      <c r="L81" s="76">
        <f t="shared" si="7"/>
        <v>6.0999999999999091</v>
      </c>
      <c r="M81" s="76">
        <f t="shared" si="9"/>
        <v>5.0666666666667579</v>
      </c>
      <c r="N81" s="16"/>
      <c r="O81" s="15">
        <v>-1</v>
      </c>
      <c r="S81" s="15"/>
    </row>
    <row r="82" spans="1:19">
      <c r="A82" s="9" t="s">
        <v>367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</v>
      </c>
      <c r="J82" s="41">
        <f t="shared" si="8"/>
        <v>-12</v>
      </c>
      <c r="K82" s="73"/>
      <c r="L82" s="76">
        <f t="shared" si="7"/>
        <v>0.40000000000009095</v>
      </c>
      <c r="M82" s="76">
        <f t="shared" si="9"/>
        <v>3.4000000000000909</v>
      </c>
      <c r="N82" s="16"/>
      <c r="O82" s="15">
        <v>-1</v>
      </c>
      <c r="S82" s="26"/>
    </row>
    <row r="83" spans="1:19">
      <c r="A83" s="9" t="s">
        <v>368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</v>
      </c>
      <c r="J83" s="41">
        <f t="shared" si="8"/>
        <v>-6.666666666666667</v>
      </c>
      <c r="K83" s="73"/>
      <c r="L83" s="76">
        <f t="shared" si="7"/>
        <v>21.299999999999727</v>
      </c>
      <c r="M83" s="76">
        <f t="shared" si="9"/>
        <v>9.2666666666665751</v>
      </c>
      <c r="N83" s="16"/>
      <c r="O83" s="15">
        <v>-1</v>
      </c>
      <c r="S83" s="15"/>
    </row>
    <row r="84" spans="1:19">
      <c r="A84" s="9" t="s">
        <v>369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</v>
      </c>
      <c r="J84" s="41">
        <f t="shared" si="8"/>
        <v>-7.333333333333333</v>
      </c>
      <c r="K84" s="73"/>
      <c r="L84" s="76">
        <f t="shared" si="7"/>
        <v>3.0999999999999091</v>
      </c>
      <c r="M84" s="76">
        <f t="shared" si="9"/>
        <v>8.2666666666665751</v>
      </c>
      <c r="N84" s="16"/>
      <c r="O84" s="15">
        <v>-1</v>
      </c>
      <c r="S84" s="26"/>
    </row>
    <row r="85" spans="1:19">
      <c r="A85" s="9" t="s">
        <v>370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</v>
      </c>
      <c r="J85" s="41">
        <f t="shared" si="8"/>
        <v>-19.666666666666668</v>
      </c>
      <c r="K85" s="73"/>
      <c r="L85" s="76">
        <f t="shared" si="7"/>
        <v>6</v>
      </c>
      <c r="M85" s="76">
        <f t="shared" si="9"/>
        <v>10.133333333333212</v>
      </c>
      <c r="N85" s="16"/>
      <c r="O85" s="15">
        <v>-1</v>
      </c>
      <c r="S85" s="15"/>
    </row>
    <row r="86" spans="1:19">
      <c r="A86" s="9" t="s">
        <v>371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</v>
      </c>
      <c r="J86" s="41">
        <f t="shared" si="8"/>
        <v>-34</v>
      </c>
      <c r="K86" s="73"/>
      <c r="L86" s="76">
        <f t="shared" si="7"/>
        <v>5.7000000000002728</v>
      </c>
      <c r="M86" s="76">
        <f t="shared" si="9"/>
        <v>4.933333333333394</v>
      </c>
      <c r="N86" s="16"/>
      <c r="O86" s="15">
        <v>-1</v>
      </c>
      <c r="S86" s="26"/>
    </row>
    <row r="87" spans="1:19">
      <c r="A87" s="9" t="s">
        <v>372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</v>
      </c>
      <c r="J87" s="41">
        <f t="shared" si="8"/>
        <v>-60</v>
      </c>
      <c r="K87" s="73"/>
      <c r="L87" s="76">
        <f t="shared" si="7"/>
        <v>1.0999999999999091</v>
      </c>
      <c r="M87" s="76">
        <f t="shared" si="9"/>
        <v>4.266666666666727</v>
      </c>
      <c r="N87" s="16"/>
      <c r="O87" s="15">
        <v>-1</v>
      </c>
      <c r="S87" s="15"/>
    </row>
    <row r="88" spans="1:19">
      <c r="A88" s="9" t="s">
        <v>373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</v>
      </c>
      <c r="J88" s="41">
        <f t="shared" si="8"/>
        <v>-31</v>
      </c>
      <c r="K88" s="73"/>
      <c r="L88" s="76">
        <f t="shared" si="7"/>
        <v>4.5999999999999091</v>
      </c>
      <c r="M88" s="76">
        <f t="shared" si="9"/>
        <v>3.8000000000000305</v>
      </c>
      <c r="N88" s="16"/>
      <c r="O88" s="15">
        <v>-1</v>
      </c>
      <c r="S88" s="26"/>
    </row>
    <row r="89" spans="1:19">
      <c r="A89" s="9" t="s">
        <v>374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</v>
      </c>
      <c r="J89" s="41">
        <f t="shared" si="8"/>
        <v>-18.333333333333332</v>
      </c>
      <c r="K89" s="73"/>
      <c r="L89" s="76">
        <f t="shared" si="7"/>
        <v>2.5999999999999091</v>
      </c>
      <c r="M89" s="76">
        <f t="shared" si="9"/>
        <v>2.7666666666665756</v>
      </c>
      <c r="N89" s="16"/>
      <c r="O89" s="15">
        <v>-1</v>
      </c>
      <c r="S89" s="15"/>
    </row>
    <row r="90" spans="1:19">
      <c r="A90" s="9" t="s">
        <v>375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</v>
      </c>
      <c r="J90" s="41">
        <f t="shared" si="8"/>
        <v>2</v>
      </c>
      <c r="K90" s="73"/>
      <c r="L90" s="76">
        <f t="shared" si="7"/>
        <v>6.1000000000003638</v>
      </c>
      <c r="M90" s="76">
        <f t="shared" si="9"/>
        <v>4.433333333333394</v>
      </c>
      <c r="N90" s="16"/>
      <c r="O90" s="15">
        <v>-1</v>
      </c>
      <c r="S90" s="26"/>
    </row>
    <row r="91" spans="1:19">
      <c r="A91" s="9" t="s">
        <v>376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</v>
      </c>
      <c r="J91" s="41">
        <f t="shared" si="8"/>
        <v>-15</v>
      </c>
      <c r="K91" s="73"/>
      <c r="L91" s="76">
        <f t="shared" si="7"/>
        <v>5.8999999999996362</v>
      </c>
      <c r="M91" s="76">
        <f t="shared" si="9"/>
        <v>4.8666666666666361</v>
      </c>
      <c r="N91" s="16"/>
      <c r="O91" s="15">
        <v>-1</v>
      </c>
      <c r="S91" s="15"/>
    </row>
    <row r="92" spans="1:19">
      <c r="A92" s="9" t="s">
        <v>377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</v>
      </c>
      <c r="J92" s="41">
        <f t="shared" si="8"/>
        <v>-29.666666666666668</v>
      </c>
      <c r="K92" s="73"/>
      <c r="L92" s="76">
        <f t="shared" si="7"/>
        <v>2.6000000000003638</v>
      </c>
      <c r="M92" s="76">
        <f t="shared" si="9"/>
        <v>4.8666666666667879</v>
      </c>
      <c r="N92" s="16"/>
      <c r="O92" s="15">
        <v>-1</v>
      </c>
      <c r="S92" s="26"/>
    </row>
    <row r="93" spans="1:19">
      <c r="A93" s="9" t="s">
        <v>378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</v>
      </c>
      <c r="J93" s="41">
        <f t="shared" si="8"/>
        <v>-27.333333333333332</v>
      </c>
      <c r="K93" s="73"/>
      <c r="L93" s="76">
        <f t="shared" si="7"/>
        <v>3.5</v>
      </c>
      <c r="M93" s="76">
        <f t="shared" si="9"/>
        <v>4</v>
      </c>
      <c r="N93" s="16"/>
      <c r="O93" s="15">
        <v>-1</v>
      </c>
      <c r="S93" s="15"/>
    </row>
    <row r="94" spans="1:19">
      <c r="A94" s="9" t="s">
        <v>379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</v>
      </c>
      <c r="J94" s="41">
        <f t="shared" si="8"/>
        <v>-23.333333333333332</v>
      </c>
      <c r="K94" s="73"/>
      <c r="L94" s="76">
        <f t="shared" si="7"/>
        <v>1.5999999999999091</v>
      </c>
      <c r="M94" s="76">
        <f t="shared" si="9"/>
        <v>2.5666666666667575</v>
      </c>
      <c r="N94" s="16"/>
      <c r="O94" s="15">
        <v>-1</v>
      </c>
      <c r="S94" s="26"/>
    </row>
    <row r="95" spans="1:19">
      <c r="A95" s="9" t="s">
        <v>380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</v>
      </c>
      <c r="J95" s="41">
        <f t="shared" si="8"/>
        <v>-26</v>
      </c>
      <c r="K95" s="73"/>
      <c r="L95" s="76">
        <f t="shared" si="7"/>
        <v>1.5</v>
      </c>
      <c r="M95" s="76">
        <f t="shared" si="9"/>
        <v>2.1999999999999695</v>
      </c>
      <c r="N95" s="16"/>
      <c r="O95" s="15">
        <v>-1</v>
      </c>
      <c r="S95" s="15"/>
    </row>
    <row r="96" spans="1:19">
      <c r="A96" s="9" t="s">
        <v>381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</v>
      </c>
      <c r="J96" s="41">
        <f t="shared" si="8"/>
        <v>-4.666666666666667</v>
      </c>
      <c r="K96" s="73"/>
      <c r="L96" s="76">
        <f t="shared" si="7"/>
        <v>-8.8000000000001819</v>
      </c>
      <c r="M96" s="76">
        <f t="shared" si="9"/>
        <v>-1.9000000000000909</v>
      </c>
      <c r="N96" s="16"/>
      <c r="O96" s="15">
        <v>-1</v>
      </c>
      <c r="S96" s="26"/>
    </row>
    <row r="97" spans="1:19">
      <c r="A97" s="9" t="s">
        <v>382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</v>
      </c>
      <c r="J97" s="41">
        <f t="shared" si="8"/>
        <v>-44.666666666666664</v>
      </c>
      <c r="K97" s="73"/>
      <c r="L97" s="76">
        <f t="shared" si="7"/>
        <v>-2.2999999999997272</v>
      </c>
      <c r="M97" s="76">
        <f t="shared" si="9"/>
        <v>-3.1999999999999695</v>
      </c>
      <c r="N97" s="16"/>
      <c r="O97" s="15">
        <v>-1</v>
      </c>
      <c r="S97" s="15"/>
    </row>
    <row r="98" spans="1:19">
      <c r="A98" s="9" t="s">
        <v>383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</v>
      </c>
      <c r="J98" s="41">
        <f t="shared" si="8"/>
        <v>-21.666666666666668</v>
      </c>
      <c r="K98" s="73"/>
      <c r="L98" s="76">
        <f t="shared" si="7"/>
        <v>-1.1000000000003638</v>
      </c>
      <c r="M98" s="76">
        <f t="shared" si="9"/>
        <v>-4.0666666666667579</v>
      </c>
      <c r="N98" s="16"/>
      <c r="O98" s="15">
        <v>-1</v>
      </c>
      <c r="S98" s="26"/>
    </row>
    <row r="99" spans="1:19">
      <c r="A99" s="9" t="s">
        <v>384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</v>
      </c>
      <c r="J99" s="41">
        <f t="shared" si="8"/>
        <v>-50</v>
      </c>
      <c r="K99" s="73"/>
      <c r="L99" s="76">
        <f t="shared" si="7"/>
        <v>-9.9999999999909051E-2</v>
      </c>
      <c r="M99" s="76">
        <f t="shared" si="9"/>
        <v>-1.1666666666666667</v>
      </c>
      <c r="N99" s="16"/>
      <c r="O99" s="15">
        <v>-1</v>
      </c>
      <c r="S99" s="15"/>
    </row>
    <row r="100" spans="1:19">
      <c r="A100" s="9" t="s">
        <v>385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</v>
      </c>
      <c r="J100" s="41">
        <f t="shared" si="8"/>
        <v>-11</v>
      </c>
      <c r="K100" s="73"/>
      <c r="L100" s="76">
        <f t="shared" si="7"/>
        <v>-0.6999999999998181</v>
      </c>
      <c r="M100" s="76">
        <f t="shared" si="9"/>
        <v>-0.63333333333336361</v>
      </c>
      <c r="N100" s="16"/>
      <c r="O100" s="15">
        <v>-1</v>
      </c>
      <c r="S100" s="26"/>
    </row>
    <row r="101" spans="1:19">
      <c r="A101" s="9" t="s">
        <v>386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</v>
      </c>
      <c r="J101" s="41">
        <f t="shared" si="8"/>
        <v>-19.666666666666668</v>
      </c>
      <c r="K101" s="73"/>
      <c r="L101" s="76">
        <f t="shared" si="7"/>
        <v>-3</v>
      </c>
      <c r="M101" s="76">
        <f t="shared" si="9"/>
        <v>-1.2666666666665758</v>
      </c>
      <c r="N101" s="16"/>
      <c r="O101" s="15">
        <v>-1</v>
      </c>
      <c r="S101" s="15"/>
    </row>
    <row r="102" spans="1:19">
      <c r="A102" s="9" t="s">
        <v>387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</v>
      </c>
      <c r="J102" s="41">
        <f t="shared" si="8"/>
        <v>-13.333333333333334</v>
      </c>
      <c r="K102" s="73"/>
      <c r="L102" s="76">
        <f t="shared" si="7"/>
        <v>-1.5</v>
      </c>
      <c r="M102" s="76">
        <f t="shared" si="9"/>
        <v>-1.7333333333332728</v>
      </c>
      <c r="N102" s="16"/>
      <c r="O102" s="15">
        <v>-1</v>
      </c>
      <c r="S102" s="26"/>
    </row>
    <row r="103" spans="1:19">
      <c r="A103" s="9" t="s">
        <v>388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</v>
      </c>
      <c r="J103" s="41">
        <f t="shared" si="8"/>
        <v>-13.666666666666666</v>
      </c>
      <c r="K103" s="73"/>
      <c r="L103" s="76">
        <f t="shared" si="7"/>
        <v>-5.8000000000001819</v>
      </c>
      <c r="M103" s="76">
        <f t="shared" si="9"/>
        <v>-3.433333333333394</v>
      </c>
      <c r="N103" s="16"/>
      <c r="O103" s="15">
        <v>-1</v>
      </c>
      <c r="S103" s="15"/>
    </row>
    <row r="104" spans="1:19">
      <c r="A104" s="9" t="s">
        <v>389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(C104+D104)-(C103+D103)</f>
        <v>4</v>
      </c>
      <c r="J104" s="41">
        <f t="shared" si="8"/>
        <v>-5.333333333333333</v>
      </c>
      <c r="K104" s="73"/>
      <c r="L104" s="76">
        <f t="shared" ref="L104:L132" si="11">(E104-F104)-(E103-F103)</f>
        <v>-3.6999999999998181</v>
      </c>
      <c r="M104" s="76">
        <f t="shared" si="9"/>
        <v>-3.6666666666666665</v>
      </c>
      <c r="N104" s="16"/>
      <c r="O104" s="15">
        <v>-1</v>
      </c>
      <c r="S104" s="26"/>
    </row>
    <row r="105" spans="1:19">
      <c r="A105" s="9" t="s">
        <v>390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</v>
      </c>
      <c r="J105" s="41">
        <f t="shared" si="8"/>
        <v>1.3333333333333333</v>
      </c>
      <c r="K105" s="73"/>
      <c r="L105" s="76">
        <f t="shared" si="11"/>
        <v>1.4000000000000909</v>
      </c>
      <c r="M105" s="76">
        <f t="shared" si="9"/>
        <v>-2.6999999999999695</v>
      </c>
      <c r="N105" s="16"/>
      <c r="O105" s="15">
        <v>-1</v>
      </c>
      <c r="S105" s="15"/>
    </row>
    <row r="106" spans="1:19">
      <c r="A106" s="9" t="s">
        <v>391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</v>
      </c>
      <c r="J106" s="41">
        <f t="shared" si="8"/>
        <v>-1.3333333333333333</v>
      </c>
      <c r="K106" s="73"/>
      <c r="L106" s="76">
        <f t="shared" si="11"/>
        <v>-0.70000000000027285</v>
      </c>
      <c r="M106" s="76">
        <f t="shared" si="9"/>
        <v>-1</v>
      </c>
      <c r="N106" s="16"/>
      <c r="O106" s="15">
        <v>-1</v>
      </c>
      <c r="S106" s="26"/>
    </row>
    <row r="107" spans="1:19">
      <c r="A107" s="9" t="s">
        <v>392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</v>
      </c>
      <c r="J107" s="41">
        <f t="shared" si="8"/>
        <v>-9.3333333333333339</v>
      </c>
      <c r="K107" s="73"/>
      <c r="L107" s="76">
        <f t="shared" si="11"/>
        <v>0.90000000000009095</v>
      </c>
      <c r="M107" s="76">
        <f t="shared" si="9"/>
        <v>0.53333333333330302</v>
      </c>
      <c r="N107" s="16"/>
      <c r="O107" s="15">
        <v>-1</v>
      </c>
      <c r="S107" s="15"/>
    </row>
    <row r="108" spans="1:19">
      <c r="A108" s="9" t="s">
        <v>393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</v>
      </c>
      <c r="J108" s="41">
        <f t="shared" si="8"/>
        <v>-4</v>
      </c>
      <c r="K108" s="73"/>
      <c r="L108" s="76">
        <f t="shared" si="11"/>
        <v>-0.1999999999998181</v>
      </c>
      <c r="M108" s="76">
        <f t="shared" si="9"/>
        <v>0</v>
      </c>
      <c r="N108" s="16"/>
      <c r="O108" s="15">
        <v>-1</v>
      </c>
      <c r="S108" s="26"/>
    </row>
    <row r="109" spans="1:19">
      <c r="A109" s="9" t="s">
        <v>394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</v>
      </c>
      <c r="J109" s="41">
        <f t="shared" si="8"/>
        <v>-2.6666666666666665</v>
      </c>
      <c r="K109" s="73"/>
      <c r="L109" s="76">
        <f t="shared" si="11"/>
        <v>-8.4000000000000909</v>
      </c>
      <c r="M109" s="76">
        <f t="shared" si="9"/>
        <v>-2.566666666666606</v>
      </c>
      <c r="N109" s="16"/>
      <c r="O109" s="15">
        <v>-1</v>
      </c>
      <c r="S109" s="15"/>
    </row>
    <row r="110" spans="1:19">
      <c r="A110" s="9" t="s">
        <v>395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</v>
      </c>
      <c r="J110" s="41">
        <f t="shared" si="8"/>
        <v>7</v>
      </c>
      <c r="K110" s="73"/>
      <c r="L110" s="76">
        <f t="shared" si="11"/>
        <v>7.1999999999998181</v>
      </c>
      <c r="M110" s="76">
        <f t="shared" si="9"/>
        <v>-0.46666666666669698</v>
      </c>
      <c r="N110" s="16"/>
      <c r="O110" s="15">
        <v>-1</v>
      </c>
      <c r="S110" s="26"/>
    </row>
    <row r="111" spans="1:19">
      <c r="A111" s="9" t="s">
        <v>396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</v>
      </c>
      <c r="J111" s="41">
        <f t="shared" si="8"/>
        <v>3</v>
      </c>
      <c r="K111" s="73"/>
      <c r="L111" s="76">
        <f t="shared" si="11"/>
        <v>6.3000000000001819</v>
      </c>
      <c r="M111" s="76">
        <f t="shared" si="9"/>
        <v>1.6999999999999698</v>
      </c>
      <c r="N111" s="16"/>
      <c r="O111" s="15">
        <v>-1</v>
      </c>
      <c r="S111" s="15"/>
    </row>
    <row r="112" spans="1:19">
      <c r="A112" s="9" t="s">
        <v>397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</v>
      </c>
      <c r="J112" s="41">
        <f t="shared" si="8"/>
        <v>-7</v>
      </c>
      <c r="K112" s="73"/>
      <c r="L112" s="76">
        <f t="shared" si="11"/>
        <v>-3.9000000000000909</v>
      </c>
      <c r="M112" s="76">
        <f t="shared" si="9"/>
        <v>3.1999999999999695</v>
      </c>
      <c r="N112" s="16"/>
      <c r="O112" s="15">
        <v>-1</v>
      </c>
      <c r="S112" s="26"/>
    </row>
    <row r="113" spans="1:19">
      <c r="A113" s="9" t="s">
        <v>398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</v>
      </c>
      <c r="J113" s="41">
        <f t="shared" si="8"/>
        <v>-11</v>
      </c>
      <c r="K113" s="73"/>
      <c r="L113" s="76">
        <f t="shared" si="11"/>
        <v>-0.59999999999990905</v>
      </c>
      <c r="M113" s="76">
        <f t="shared" si="9"/>
        <v>0.6000000000000606</v>
      </c>
      <c r="N113" s="16"/>
      <c r="O113" s="15">
        <v>-1</v>
      </c>
      <c r="S113" s="15"/>
    </row>
    <row r="114" spans="1:19">
      <c r="A114" s="9" t="s">
        <v>399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</v>
      </c>
      <c r="J114" s="41">
        <f t="shared" si="8"/>
        <v>-11.333333333333334</v>
      </c>
      <c r="K114" s="73"/>
      <c r="L114" s="76">
        <f t="shared" si="11"/>
        <v>-1.5</v>
      </c>
      <c r="M114" s="76">
        <f t="shared" si="9"/>
        <v>-2</v>
      </c>
      <c r="N114" s="16"/>
      <c r="O114" s="15">
        <v>-1</v>
      </c>
      <c r="S114" s="26"/>
    </row>
    <row r="115" spans="1:19">
      <c r="A115" s="9" t="s">
        <v>400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</v>
      </c>
      <c r="J115" s="41">
        <f t="shared" si="8"/>
        <v>-6.333333333333333</v>
      </c>
      <c r="K115" s="73"/>
      <c r="L115" s="76">
        <f t="shared" si="11"/>
        <v>-3.9000000000000909</v>
      </c>
      <c r="M115" s="76">
        <f t="shared" si="9"/>
        <v>-2</v>
      </c>
      <c r="N115" s="16"/>
      <c r="O115" s="15">
        <v>-1</v>
      </c>
      <c r="S115" s="15"/>
    </row>
    <row r="116" spans="1:19">
      <c r="A116" s="9" t="s">
        <v>401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</v>
      </c>
      <c r="J116" s="41">
        <f t="shared" si="8"/>
        <v>0</v>
      </c>
      <c r="K116" s="73"/>
      <c r="L116" s="76">
        <f t="shared" si="11"/>
        <v>-2.4000000000000909</v>
      </c>
      <c r="M116" s="76">
        <f t="shared" si="9"/>
        <v>-2.6000000000000605</v>
      </c>
      <c r="N116" s="16"/>
      <c r="O116" s="15">
        <v>-1</v>
      </c>
      <c r="S116" s="26"/>
    </row>
    <row r="117" spans="1:19">
      <c r="A117" s="9" t="s">
        <v>402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</v>
      </c>
      <c r="J117" s="41">
        <f t="shared" si="8"/>
        <v>-1</v>
      </c>
      <c r="K117" s="73"/>
      <c r="L117" s="76">
        <f t="shared" si="11"/>
        <v>-4.0999999999999091</v>
      </c>
      <c r="M117" s="76">
        <f t="shared" si="9"/>
        <v>-3.466666666666697</v>
      </c>
      <c r="N117" s="16"/>
      <c r="O117" s="15">
        <v>-1</v>
      </c>
      <c r="S117" s="15"/>
    </row>
    <row r="118" spans="1:19">
      <c r="A118" s="9" t="s">
        <v>403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</v>
      </c>
      <c r="J118" s="41">
        <f t="shared" si="8"/>
        <v>9</v>
      </c>
      <c r="K118" s="73"/>
      <c r="L118" s="76">
        <f t="shared" si="11"/>
        <v>-9.3000000000001819</v>
      </c>
      <c r="M118" s="76">
        <f t="shared" si="9"/>
        <v>-5.266666666666727</v>
      </c>
      <c r="N118" s="16"/>
      <c r="O118" s="15">
        <v>-1</v>
      </c>
      <c r="S118" s="26"/>
    </row>
    <row r="119" spans="1:19">
      <c r="A119" s="9" t="s">
        <v>404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1">
        <f t="shared" si="8"/>
        <v>3.6666666666666665</v>
      </c>
      <c r="K119" s="73"/>
      <c r="L119" s="76">
        <f t="shared" si="11"/>
        <v>-10.699999999999818</v>
      </c>
      <c r="M119" s="76">
        <f t="shared" si="9"/>
        <v>-8.033333333333303</v>
      </c>
      <c r="N119" s="16"/>
      <c r="O119" s="15">
        <v>-1</v>
      </c>
      <c r="S119" s="15"/>
    </row>
    <row r="120" spans="1:19">
      <c r="A120" s="9" t="s">
        <v>405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</v>
      </c>
      <c r="J120" s="41">
        <f t="shared" si="8"/>
        <v>4.666666666666667</v>
      </c>
      <c r="K120" s="73"/>
      <c r="L120" s="76">
        <f t="shared" si="11"/>
        <v>-6.8000000000001819</v>
      </c>
      <c r="M120" s="76">
        <f t="shared" si="9"/>
        <v>-8.933333333333394</v>
      </c>
      <c r="N120" s="16"/>
      <c r="O120" s="15">
        <v>-1</v>
      </c>
      <c r="S120" s="26"/>
    </row>
    <row r="121" spans="1:19">
      <c r="A121" s="9" t="s">
        <v>406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</v>
      </c>
      <c r="J121" s="41">
        <f t="shared" si="8"/>
        <v>-3</v>
      </c>
      <c r="K121" s="73"/>
      <c r="L121" s="76">
        <f t="shared" si="11"/>
        <v>-7.1999999999998181</v>
      </c>
      <c r="M121" s="76">
        <f t="shared" si="9"/>
        <v>-8.2333333333332721</v>
      </c>
      <c r="N121" s="16"/>
      <c r="O121" s="15">
        <v>-1</v>
      </c>
      <c r="S121" s="15"/>
    </row>
    <row r="122" spans="1:19">
      <c r="A122" s="9" t="s">
        <v>407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</v>
      </c>
      <c r="J122" s="41">
        <f t="shared" si="8"/>
        <v>6.666666666666667</v>
      </c>
      <c r="K122" s="73"/>
      <c r="L122" s="76">
        <f t="shared" si="11"/>
        <v>-7.9000000000000909</v>
      </c>
      <c r="M122" s="76">
        <f t="shared" si="9"/>
        <v>-7.30000000000003</v>
      </c>
      <c r="N122" s="16"/>
      <c r="O122" s="15">
        <v>-1</v>
      </c>
      <c r="S122" s="26"/>
    </row>
    <row r="123" spans="1:19">
      <c r="A123" s="9" t="s">
        <v>408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</v>
      </c>
      <c r="J123" s="41">
        <f t="shared" si="8"/>
        <v>11.666666666666666</v>
      </c>
      <c r="K123" s="73"/>
      <c r="L123" s="76">
        <f t="shared" si="11"/>
        <v>-4.9000000000000909</v>
      </c>
      <c r="M123" s="76">
        <f t="shared" si="9"/>
        <v>-6.666666666666667</v>
      </c>
      <c r="N123" s="16"/>
      <c r="O123" s="15">
        <v>-1</v>
      </c>
      <c r="S123" s="15"/>
    </row>
    <row r="124" spans="1:19">
      <c r="A124" s="9" t="s">
        <v>409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>(C124+D124)-(C123+D123)</f>
        <v>2</v>
      </c>
      <c r="J124" s="41">
        <f t="shared" si="8"/>
        <v>15.666666666666666</v>
      </c>
      <c r="K124" s="73"/>
      <c r="L124" s="76">
        <f t="shared" si="11"/>
        <v>-9.2999999999997272</v>
      </c>
      <c r="M124" s="76">
        <f t="shared" si="9"/>
        <v>-7.3666666666666361</v>
      </c>
      <c r="N124" s="16"/>
      <c r="O124" s="15">
        <v>-1</v>
      </c>
      <c r="S124" s="26"/>
    </row>
    <row r="125" spans="1:19">
      <c r="A125" s="9" t="s">
        <v>410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</v>
      </c>
      <c r="J125" s="41">
        <f t="shared" si="8"/>
        <v>4.333333333333333</v>
      </c>
      <c r="K125" s="73"/>
      <c r="L125" s="76">
        <f t="shared" si="11"/>
        <v>4.1999999999998181</v>
      </c>
      <c r="M125" s="76">
        <f t="shared" si="9"/>
        <v>-3.3333333333333335</v>
      </c>
      <c r="N125" s="16"/>
      <c r="O125" s="15">
        <v>-1</v>
      </c>
      <c r="S125" s="15"/>
    </row>
    <row r="126" spans="1:19">
      <c r="A126" s="9" t="s">
        <v>411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</v>
      </c>
      <c r="J126" s="41">
        <f t="shared" si="8"/>
        <v>-0.66666666666666663</v>
      </c>
      <c r="K126" s="73"/>
      <c r="L126" s="76">
        <f t="shared" si="11"/>
        <v>-6.2999999999997272</v>
      </c>
      <c r="M126" s="76">
        <f t="shared" si="9"/>
        <v>-3.7999999999998786</v>
      </c>
      <c r="N126" s="16"/>
      <c r="O126" s="15">
        <v>-1</v>
      </c>
      <c r="S126" s="26"/>
    </row>
    <row r="127" spans="1:19">
      <c r="A127" s="9" t="s">
        <v>412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</v>
      </c>
      <c r="J127" s="41">
        <f t="shared" si="8"/>
        <v>-3.6666666666666665</v>
      </c>
      <c r="K127" s="73"/>
      <c r="L127" s="76">
        <f t="shared" si="11"/>
        <v>-5.6000000000003638</v>
      </c>
      <c r="M127" s="76">
        <f t="shared" si="9"/>
        <v>-2.5666666666667575</v>
      </c>
      <c r="N127" s="16"/>
      <c r="O127" s="15">
        <v>-1</v>
      </c>
      <c r="S127" s="15"/>
    </row>
    <row r="128" spans="1:19">
      <c r="A128" s="9" t="s">
        <v>413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</v>
      </c>
      <c r="J128" s="41">
        <f t="shared" si="8"/>
        <v>6</v>
      </c>
      <c r="K128" s="73"/>
      <c r="L128" s="76">
        <f t="shared" si="11"/>
        <v>-6.2999999999997272</v>
      </c>
      <c r="M128" s="76">
        <f t="shared" si="9"/>
        <v>-6.066666666666606</v>
      </c>
      <c r="N128" s="16"/>
      <c r="O128" s="15">
        <v>-1</v>
      </c>
      <c r="S128" s="26"/>
    </row>
    <row r="129" spans="1:19">
      <c r="A129" s="9" t="s">
        <v>414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</v>
      </c>
      <c r="J129" s="41">
        <f t="shared" si="8"/>
        <v>8.3333333333333339</v>
      </c>
      <c r="K129" s="73"/>
      <c r="L129" s="76">
        <f t="shared" si="11"/>
        <v>-4</v>
      </c>
      <c r="M129" s="76">
        <f t="shared" si="9"/>
        <v>-5.30000000000003</v>
      </c>
      <c r="N129" s="16"/>
      <c r="O129" s="15">
        <v>-1</v>
      </c>
      <c r="S129" s="15"/>
    </row>
    <row r="130" spans="1:19">
      <c r="A130" s="9" t="s">
        <v>415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</v>
      </c>
      <c r="J130" s="41">
        <f t="shared" si="8"/>
        <v>19.333333333333332</v>
      </c>
      <c r="K130" s="73"/>
      <c r="L130" s="76">
        <f t="shared" si="11"/>
        <v>-2.8000000000001819</v>
      </c>
      <c r="M130" s="76">
        <f t="shared" si="9"/>
        <v>-4.3666666666666361</v>
      </c>
      <c r="N130" s="16"/>
      <c r="O130" s="15">
        <v>-1</v>
      </c>
      <c r="S130" s="26"/>
    </row>
    <row r="131" spans="1:19">
      <c r="A131" s="9" t="s">
        <v>416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</v>
      </c>
      <c r="J131" s="41">
        <f t="shared" si="8"/>
        <v>12</v>
      </c>
      <c r="K131" s="73"/>
      <c r="L131" s="76">
        <f t="shared" si="11"/>
        <v>0.20000000000027285</v>
      </c>
      <c r="M131" s="76">
        <f t="shared" si="9"/>
        <v>-2.1999999999999695</v>
      </c>
      <c r="N131" s="16"/>
      <c r="O131" s="15">
        <v>-1</v>
      </c>
      <c r="S131" s="15"/>
    </row>
    <row r="132" spans="1:19">
      <c r="A132" s="9" t="s">
        <v>417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</v>
      </c>
      <c r="J132" s="41">
        <f t="shared" si="8"/>
        <v>18</v>
      </c>
      <c r="K132" s="73"/>
      <c r="L132" s="76">
        <f t="shared" si="11"/>
        <v>0</v>
      </c>
      <c r="M132" s="76">
        <f t="shared" si="9"/>
        <v>-0.86666666666663639</v>
      </c>
      <c r="O132" s="15">
        <v>-1</v>
      </c>
      <c r="S132" s="26"/>
    </row>
    <row r="133" spans="1:19">
      <c r="A133" s="9" t="s">
        <v>418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</v>
      </c>
      <c r="J133" s="41">
        <f t="shared" si="8"/>
        <v>13</v>
      </c>
      <c r="K133" s="73"/>
      <c r="L133" s="76">
        <f t="shared" ref="L133" si="12">(E133-F133)-(E132-F132)</f>
        <v>1.5999999999999091</v>
      </c>
      <c r="M133" s="76">
        <f t="shared" ref="M133" si="13">AVERAGE(L131:L133)</f>
        <v>0.6000000000000606</v>
      </c>
      <c r="N133" s="26"/>
      <c r="O133" s="15">
        <v>-1</v>
      </c>
    </row>
    <row r="134" spans="1:19">
      <c r="A134" s="9" t="s">
        <v>266</v>
      </c>
      <c r="B134" s="14" t="s">
        <v>266</v>
      </c>
      <c r="C134" t="s">
        <v>266</v>
      </c>
      <c r="D134" t="s">
        <v>266</v>
      </c>
      <c r="E134" t="s">
        <v>266</v>
      </c>
      <c r="F134" t="s">
        <v>266</v>
      </c>
      <c r="I134" s="40"/>
      <c r="J134" s="41"/>
      <c r="K134" s="73"/>
      <c r="L134" s="76"/>
      <c r="M134" s="76"/>
      <c r="N134" s="26"/>
      <c r="O134" s="15" t="s">
        <v>266</v>
      </c>
    </row>
    <row r="135" spans="1:19">
      <c r="A135" s="9" t="s">
        <v>266</v>
      </c>
      <c r="B135" s="14" t="s">
        <v>266</v>
      </c>
      <c r="C135" t="s">
        <v>266</v>
      </c>
      <c r="D135" t="s">
        <v>266</v>
      </c>
      <c r="E135" t="s">
        <v>266</v>
      </c>
      <c r="F135" t="s">
        <v>266</v>
      </c>
      <c r="I135" s="40"/>
      <c r="J135" s="41"/>
      <c r="K135" s="73"/>
      <c r="L135" s="76"/>
      <c r="M135" s="76"/>
      <c r="N135" s="26"/>
      <c r="O135" s="15" t="s">
        <v>266</v>
      </c>
    </row>
    <row r="136" spans="1:19">
      <c r="A136" s="9" t="s">
        <v>266</v>
      </c>
      <c r="B136" s="14" t="s">
        <v>266</v>
      </c>
      <c r="C136" t="s">
        <v>266</v>
      </c>
      <c r="D136" t="s">
        <v>266</v>
      </c>
      <c r="E136" t="s">
        <v>266</v>
      </c>
      <c r="F136" t="s">
        <v>266</v>
      </c>
      <c r="I136" s="40"/>
      <c r="J136" s="41"/>
      <c r="K136" s="73"/>
      <c r="L136" s="76"/>
      <c r="M136" s="76"/>
      <c r="N136" s="26"/>
      <c r="O136" s="15" t="s">
        <v>266</v>
      </c>
    </row>
    <row r="137" spans="1:19">
      <c r="A137" s="9" t="s">
        <v>266</v>
      </c>
      <c r="B137" s="14" t="s">
        <v>266</v>
      </c>
      <c r="C137" t="s">
        <v>266</v>
      </c>
      <c r="D137" t="s">
        <v>266</v>
      </c>
      <c r="E137" t="s">
        <v>266</v>
      </c>
      <c r="F137" t="s">
        <v>266</v>
      </c>
      <c r="I137" s="40"/>
      <c r="J137" s="41"/>
      <c r="K137" s="73"/>
      <c r="L137" s="76"/>
      <c r="M137" s="76"/>
      <c r="N137" s="26"/>
      <c r="O137" s="15" t="s">
        <v>266</v>
      </c>
    </row>
    <row r="138" spans="1:19">
      <c r="A138" s="9" t="s">
        <v>266</v>
      </c>
      <c r="B138" s="14" t="s">
        <v>266</v>
      </c>
      <c r="C138" t="s">
        <v>266</v>
      </c>
      <c r="D138" t="s">
        <v>266</v>
      </c>
      <c r="E138" t="s">
        <v>266</v>
      </c>
      <c r="F138" t="s">
        <v>266</v>
      </c>
      <c r="I138" s="40"/>
      <c r="J138" s="41"/>
      <c r="K138" s="73"/>
      <c r="L138" s="76"/>
      <c r="M138" s="76"/>
      <c r="N138" s="26"/>
      <c r="O138" s="15" t="s">
        <v>266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workbookViewId="0">
      <selection activeCell="B8" sqref="B8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8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419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8"/>
      <c r="B46" s="41"/>
    </row>
    <row r="47" spans="1:2">
      <c r="A47" s="78"/>
      <c r="B47" s="41"/>
    </row>
    <row r="48" spans="1:2">
      <c r="A48" s="78"/>
      <c r="B48" s="41"/>
    </row>
    <row r="49" spans="1:2">
      <c r="A49" s="78"/>
      <c r="B49" s="41"/>
    </row>
    <row r="50" spans="1:2">
      <c r="A50" s="78"/>
      <c r="B50" s="41"/>
    </row>
    <row r="51" spans="1:2">
      <c r="A51" s="78"/>
      <c r="B51" s="41"/>
    </row>
    <row r="52" spans="1:2">
      <c r="A52" s="78"/>
      <c r="B52" s="41"/>
    </row>
    <row r="53" spans="1:2">
      <c r="A53" s="78"/>
      <c r="B53" s="41"/>
    </row>
    <row r="54" spans="1:2">
      <c r="A54" s="78"/>
      <c r="B54" s="41"/>
    </row>
    <row r="55" spans="1:2">
      <c r="A55" s="78"/>
      <c r="B55" s="41"/>
    </row>
    <row r="56" spans="1:2">
      <c r="A56" s="78"/>
      <c r="B56" s="41"/>
    </row>
    <row r="57" spans="1:2">
      <c r="A57" s="78"/>
      <c r="B57" s="41"/>
    </row>
    <row r="58" spans="1:2">
      <c r="A58" s="78"/>
      <c r="B58" s="41"/>
    </row>
    <row r="59" spans="1:2">
      <c r="A59" s="78"/>
      <c r="B59" s="41"/>
    </row>
    <row r="60" spans="1:2">
      <c r="A60" s="78"/>
      <c r="B60" s="41"/>
    </row>
    <row r="61" spans="1:2">
      <c r="A61" s="78"/>
      <c r="B61" s="41"/>
    </row>
    <row r="62" spans="1:2">
      <c r="A62" s="78"/>
      <c r="B62" s="41"/>
    </row>
    <row r="63" spans="1:2">
      <c r="A63" s="78"/>
      <c r="B63" s="41"/>
    </row>
    <row r="64" spans="1:2">
      <c r="A64" s="78"/>
      <c r="B64" s="41"/>
    </row>
    <row r="65" spans="1:2">
      <c r="A65" s="78"/>
      <c r="B65" s="41"/>
    </row>
    <row r="66" spans="1:2">
      <c r="A66" s="78"/>
      <c r="B66" s="41"/>
    </row>
    <row r="67" spans="1:2">
      <c r="A67" s="78"/>
      <c r="B67" s="41"/>
    </row>
    <row r="68" spans="1:2">
      <c r="A68" s="94"/>
      <c r="B68" s="73"/>
    </row>
    <row r="69" spans="1:2">
      <c r="A69" s="94"/>
      <c r="B69" s="73"/>
    </row>
  </sheetData>
  <hyperlinks>
    <hyperlink ref="A5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282</v>
      </c>
      <c r="B2" s="13" t="s">
        <v>0</v>
      </c>
      <c r="C2" s="71" t="s">
        <v>223</v>
      </c>
      <c r="D2" s="71" t="s">
        <v>224</v>
      </c>
      <c r="E2" s="71" t="s">
        <v>225</v>
      </c>
      <c r="F2" s="71" t="s">
        <v>226</v>
      </c>
    </row>
    <row r="3" spans="1:9">
      <c r="A3" s="12" t="s">
        <v>7</v>
      </c>
      <c r="C3" t="s">
        <v>271</v>
      </c>
      <c r="D3" t="s">
        <v>272</v>
      </c>
      <c r="E3" t="s">
        <v>273</v>
      </c>
      <c r="F3" t="s">
        <v>274</v>
      </c>
    </row>
    <row r="4" spans="1:9">
      <c r="A4" s="12" t="s">
        <v>22</v>
      </c>
      <c r="C4" t="s">
        <v>270</v>
      </c>
      <c r="D4" t="s">
        <v>270</v>
      </c>
      <c r="E4" t="s">
        <v>270</v>
      </c>
      <c r="F4" t="s">
        <v>270</v>
      </c>
      <c r="G4" s="22" t="s">
        <v>276</v>
      </c>
      <c r="I4" t="s">
        <v>287</v>
      </c>
    </row>
    <row r="5" spans="1:9">
      <c r="A5" s="12" t="s">
        <v>26</v>
      </c>
      <c r="C5" t="s">
        <v>269</v>
      </c>
      <c r="D5" t="s">
        <v>269</v>
      </c>
      <c r="E5" t="s">
        <v>269</v>
      </c>
      <c r="F5" t="s">
        <v>269</v>
      </c>
      <c r="H5" s="105" t="s">
        <v>281</v>
      </c>
    </row>
    <row r="6" spans="1:9">
      <c r="A6" s="12" t="s">
        <v>16</v>
      </c>
      <c r="B6" s="14"/>
      <c r="C6" s="15" t="s">
        <v>268</v>
      </c>
      <c r="D6" s="15" t="s">
        <v>268</v>
      </c>
      <c r="E6" s="15" t="s">
        <v>268</v>
      </c>
      <c r="F6" t="s">
        <v>268</v>
      </c>
    </row>
    <row r="7" spans="1:9">
      <c r="A7" s="12" t="s">
        <v>19</v>
      </c>
      <c r="B7" s="14"/>
      <c r="C7" s="15" t="s">
        <v>267</v>
      </c>
      <c r="D7" s="15" t="s">
        <v>267</v>
      </c>
      <c r="E7" s="15" t="s">
        <v>267</v>
      </c>
      <c r="F7" t="s">
        <v>267</v>
      </c>
    </row>
    <row r="8" spans="1:9">
      <c r="A8" s="12" t="s">
        <v>284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9">
        <f>SUM(C8:F8)/1000</f>
        <v>186.52</v>
      </c>
    </row>
    <row r="9" spans="1:9">
      <c r="A9" s="12" t="s">
        <v>283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9">
        <f t="shared" ref="G9:G60" si="0">SUM(C9:F9)/1000</f>
        <v>161.21100000000001</v>
      </c>
    </row>
    <row r="10" spans="1:9">
      <c r="A10" s="12" t="s">
        <v>285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9">
        <f t="shared" si="0"/>
        <v>211.60400000000001</v>
      </c>
    </row>
    <row r="11" spans="1:9">
      <c r="A11" s="12" t="s">
        <v>286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9">
        <f t="shared" si="0"/>
        <v>186.81</v>
      </c>
    </row>
    <row r="12" spans="1:9">
      <c r="A12" s="12" t="s">
        <v>280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9">
        <f t="shared" si="0"/>
        <v>182.95599999999999</v>
      </c>
      <c r="H12">
        <f>G12/G8-1</f>
        <v>-1.9107870469654897E-2</v>
      </c>
    </row>
    <row r="13" spans="1:9">
      <c r="A13" s="12" t="s">
        <v>277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9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278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9">
        <f t="shared" si="0"/>
        <v>226.303</v>
      </c>
      <c r="H14" s="23">
        <f t="shared" si="1"/>
        <v>6.9464660403395051E-2</v>
      </c>
    </row>
    <row r="15" spans="1:9">
      <c r="A15" s="12" t="s">
        <v>279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9">
        <f t="shared" si="0"/>
        <v>200.739</v>
      </c>
      <c r="H15" s="23">
        <f t="shared" si="1"/>
        <v>7.456238959370487E-2</v>
      </c>
    </row>
    <row r="16" spans="1:9">
      <c r="A16" s="12" t="s">
        <v>275</v>
      </c>
      <c r="B16" s="80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9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227</v>
      </c>
      <c r="B17" s="80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9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228</v>
      </c>
      <c r="B18" s="80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9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229</v>
      </c>
      <c r="B19" s="80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9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230</v>
      </c>
      <c r="B20" s="80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9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231</v>
      </c>
      <c r="B21" s="80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9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232</v>
      </c>
      <c r="B22" s="80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9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233</v>
      </c>
      <c r="B23" s="80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9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234</v>
      </c>
      <c r="B24" s="80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9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235</v>
      </c>
      <c r="B25" s="80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9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236</v>
      </c>
      <c r="B26" s="80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9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237</v>
      </c>
      <c r="B27" s="80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9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238</v>
      </c>
      <c r="B28" s="80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9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239</v>
      </c>
      <c r="B29" s="80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9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240</v>
      </c>
      <c r="B30" s="80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9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241</v>
      </c>
      <c r="B31" s="80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9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242</v>
      </c>
      <c r="B32" s="80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9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243</v>
      </c>
      <c r="B33" s="80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9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244</v>
      </c>
      <c r="B34" s="80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9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245</v>
      </c>
      <c r="B35" s="80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9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246</v>
      </c>
      <c r="B36" s="80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9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247</v>
      </c>
      <c r="B37" s="80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9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248</v>
      </c>
      <c r="B38" s="80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9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249</v>
      </c>
      <c r="B39" s="80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9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250</v>
      </c>
      <c r="B40" s="80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9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251</v>
      </c>
      <c r="B41" s="80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9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252</v>
      </c>
      <c r="B42" s="80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9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253</v>
      </c>
      <c r="B43" s="80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9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254</v>
      </c>
      <c r="B44" s="80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9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255</v>
      </c>
      <c r="B45" s="80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9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256</v>
      </c>
      <c r="B46" s="80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9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257</v>
      </c>
      <c r="B47" s="80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9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258</v>
      </c>
      <c r="B48" s="80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9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259</v>
      </c>
      <c r="B49" s="80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9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260</v>
      </c>
      <c r="B50" s="80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9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261</v>
      </c>
      <c r="B51" s="80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9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262</v>
      </c>
      <c r="B52" s="80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9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263</v>
      </c>
      <c r="B53" s="80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9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264</v>
      </c>
      <c r="B54" s="80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9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265</v>
      </c>
      <c r="B55" s="80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9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266</v>
      </c>
      <c r="B56" s="14" t="s">
        <v>266</v>
      </c>
      <c r="C56" t="s">
        <v>266</v>
      </c>
      <c r="D56" t="s">
        <v>266</v>
      </c>
      <c r="E56" t="s">
        <v>266</v>
      </c>
      <c r="F56" t="s">
        <v>266</v>
      </c>
      <c r="G56" s="79">
        <f t="shared" si="0"/>
        <v>0</v>
      </c>
      <c r="H56" s="23"/>
      <c r="I56" s="23"/>
    </row>
    <row r="57" spans="1:9">
      <c r="A57" s="12" t="s">
        <v>266</v>
      </c>
      <c r="B57" s="14" t="s">
        <v>266</v>
      </c>
      <c r="C57" t="s">
        <v>266</v>
      </c>
      <c r="D57" t="s">
        <v>266</v>
      </c>
      <c r="E57" t="s">
        <v>266</v>
      </c>
      <c r="F57" t="s">
        <v>266</v>
      </c>
      <c r="G57" s="79">
        <f t="shared" si="0"/>
        <v>0</v>
      </c>
      <c r="H57" s="23"/>
      <c r="I57" s="23"/>
    </row>
    <row r="58" spans="1:9">
      <c r="A58" s="12" t="s">
        <v>266</v>
      </c>
      <c r="B58" s="14" t="s">
        <v>266</v>
      </c>
      <c r="C58" t="s">
        <v>266</v>
      </c>
      <c r="D58" t="s">
        <v>266</v>
      </c>
      <c r="E58" t="s">
        <v>266</v>
      </c>
      <c r="F58" t="s">
        <v>266</v>
      </c>
      <c r="G58" s="79">
        <f t="shared" si="0"/>
        <v>0</v>
      </c>
      <c r="H58" s="23"/>
      <c r="I58" s="23"/>
    </row>
    <row r="59" spans="1:9">
      <c r="A59" s="12" t="s">
        <v>266</v>
      </c>
      <c r="B59" s="14" t="s">
        <v>266</v>
      </c>
      <c r="C59" t="s">
        <v>266</v>
      </c>
      <c r="D59" t="s">
        <v>266</v>
      </c>
      <c r="E59" t="s">
        <v>266</v>
      </c>
      <c r="F59" t="s">
        <v>266</v>
      </c>
      <c r="G59" s="79">
        <f t="shared" si="0"/>
        <v>0</v>
      </c>
      <c r="H59" s="23"/>
      <c r="I59" s="23"/>
    </row>
    <row r="60" spans="1:9">
      <c r="A60" s="12" t="s">
        <v>266</v>
      </c>
      <c r="B60" s="14" t="s">
        <v>266</v>
      </c>
      <c r="C60" t="s">
        <v>266</v>
      </c>
      <c r="D60" t="s">
        <v>266</v>
      </c>
      <c r="E60" t="s">
        <v>266</v>
      </c>
      <c r="F60" t="s">
        <v>266</v>
      </c>
      <c r="G60" s="79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>
      <selection activeCell="I14" sqref="I14"/>
    </sheetView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4" t="s">
        <v>422</v>
      </c>
      <c r="B8" s="45"/>
      <c r="C8" s="45"/>
      <c r="D8" s="45"/>
      <c r="E8" s="45"/>
      <c r="F8" s="45"/>
      <c r="G8" s="46"/>
      <c r="H8" s="46"/>
      <c r="I8" s="47"/>
    </row>
    <row r="9" spans="1:9" ht="15.75" thickBot="1">
      <c r="A9" s="48" t="s">
        <v>217</v>
      </c>
      <c r="B9" s="49"/>
      <c r="C9" s="49"/>
      <c r="D9" s="49"/>
      <c r="E9" s="49"/>
      <c r="F9" s="49"/>
      <c r="G9" s="50"/>
      <c r="H9" s="50"/>
      <c r="I9" s="51"/>
    </row>
    <row r="10" spans="1:9" ht="15.75" customHeight="1" thickBot="1">
      <c r="A10" s="97"/>
      <c r="B10" s="98"/>
      <c r="C10" s="98"/>
      <c r="D10" s="98"/>
      <c r="E10" s="113" t="s">
        <v>218</v>
      </c>
      <c r="F10" s="114"/>
      <c r="G10" s="96"/>
      <c r="H10" s="113" t="s">
        <v>219</v>
      </c>
      <c r="I10" s="115"/>
    </row>
    <row r="11" spans="1:9">
      <c r="A11" s="99" t="s">
        <v>187</v>
      </c>
      <c r="B11" s="100"/>
      <c r="C11" s="100"/>
      <c r="D11" s="100"/>
      <c r="E11" s="100"/>
      <c r="F11" s="101">
        <v>487</v>
      </c>
      <c r="G11" s="102"/>
      <c r="H11" s="102"/>
      <c r="I11" s="103">
        <v>-82.870207527259936</v>
      </c>
    </row>
    <row r="12" spans="1:9">
      <c r="A12" s="53"/>
      <c r="B12" s="54" t="s">
        <v>188</v>
      </c>
      <c r="C12" s="55"/>
      <c r="D12" s="55"/>
      <c r="E12" s="55"/>
      <c r="F12" s="43">
        <v>-290</v>
      </c>
      <c r="G12" s="52"/>
      <c r="H12" s="52"/>
      <c r="I12" s="56">
        <v>-117.2927847346452</v>
      </c>
    </row>
    <row r="13" spans="1:9">
      <c r="A13" s="53"/>
      <c r="B13" s="58" t="s">
        <v>189</v>
      </c>
      <c r="C13" s="58"/>
      <c r="D13" s="58"/>
      <c r="E13" s="58"/>
      <c r="F13" s="43">
        <v>778</v>
      </c>
      <c r="G13" s="52"/>
      <c r="H13" s="52"/>
      <c r="I13" s="61">
        <v>-33.104041272570939</v>
      </c>
    </row>
    <row r="14" spans="1:9">
      <c r="A14" s="57"/>
      <c r="B14" s="58"/>
      <c r="C14" s="58"/>
      <c r="D14" s="58"/>
      <c r="E14" s="58"/>
      <c r="F14" s="58"/>
      <c r="G14" s="52"/>
      <c r="H14" s="52"/>
      <c r="I14" s="59"/>
    </row>
    <row r="15" spans="1:9">
      <c r="A15" s="62" t="s">
        <v>190</v>
      </c>
      <c r="B15" s="63"/>
      <c r="C15" s="63"/>
      <c r="D15" s="63"/>
      <c r="E15" s="63"/>
      <c r="F15" s="43">
        <v>564.86000000000013</v>
      </c>
      <c r="G15" s="52"/>
      <c r="H15" s="52"/>
      <c r="I15" s="64">
        <v>-83.651172530404054</v>
      </c>
    </row>
    <row r="16" spans="1:9">
      <c r="A16" s="53"/>
      <c r="B16" s="58" t="s">
        <v>195</v>
      </c>
      <c r="C16" s="58"/>
      <c r="D16" s="58"/>
      <c r="E16" s="58"/>
      <c r="F16" s="43">
        <v>100</v>
      </c>
      <c r="G16" s="52"/>
      <c r="H16" s="52"/>
      <c r="I16" s="59">
        <v>-83.844911147011317</v>
      </c>
    </row>
    <row r="17" spans="1:9">
      <c r="A17" s="57"/>
      <c r="B17" s="58" t="s">
        <v>192</v>
      </c>
      <c r="C17" s="52"/>
      <c r="D17" s="52"/>
      <c r="E17" s="52"/>
      <c r="F17" s="43">
        <v>135</v>
      </c>
      <c r="G17" s="52"/>
      <c r="H17" s="52"/>
      <c r="I17" s="59">
        <v>-83.061480552070265</v>
      </c>
    </row>
    <row r="18" spans="1:9">
      <c r="A18" s="53"/>
      <c r="B18" s="58" t="s">
        <v>191</v>
      </c>
      <c r="C18" s="58"/>
      <c r="D18" s="58"/>
      <c r="E18" s="58"/>
      <c r="F18" s="43">
        <v>46</v>
      </c>
      <c r="G18" s="52"/>
      <c r="H18" s="52"/>
      <c r="I18" s="59">
        <v>-82.509505703422064</v>
      </c>
    </row>
    <row r="19" spans="1:9">
      <c r="A19" s="57"/>
      <c r="B19" s="58" t="s">
        <v>183</v>
      </c>
      <c r="C19" s="58"/>
      <c r="D19" s="58"/>
      <c r="E19" s="58"/>
      <c r="F19" s="43">
        <v>10</v>
      </c>
      <c r="G19" s="52"/>
      <c r="H19" s="52"/>
      <c r="I19" s="59">
        <v>-86.842105263157904</v>
      </c>
    </row>
    <row r="20" spans="1:9">
      <c r="A20" s="53"/>
      <c r="B20" s="58" t="s">
        <v>184</v>
      </c>
      <c r="C20" s="58"/>
      <c r="D20" s="58"/>
      <c r="E20" s="58"/>
      <c r="F20" s="43">
        <v>42</v>
      </c>
      <c r="G20" s="52"/>
      <c r="H20" s="52"/>
      <c r="I20" s="59">
        <v>-83.464566929133852</v>
      </c>
    </row>
    <row r="21" spans="1:9" ht="15.75" thickBot="1">
      <c r="A21" s="65"/>
      <c r="B21" s="66" t="s">
        <v>194</v>
      </c>
      <c r="C21" s="66"/>
      <c r="D21" s="66"/>
      <c r="E21" s="66"/>
      <c r="F21" s="95">
        <v>229</v>
      </c>
      <c r="G21" s="67"/>
      <c r="H21" s="67"/>
      <c r="I21" s="68">
        <v>-84.185082872928177</v>
      </c>
    </row>
    <row r="22" spans="1:9">
      <c r="A22" s="33" t="s">
        <v>420</v>
      </c>
      <c r="B22" s="58"/>
      <c r="C22" s="58"/>
      <c r="D22" s="58"/>
      <c r="E22" s="58"/>
      <c r="F22" s="58"/>
      <c r="G22" s="52"/>
      <c r="H22" s="52"/>
      <c r="I22" s="58"/>
    </row>
    <row r="23" spans="1:9">
      <c r="A23" s="33" t="s">
        <v>220</v>
      </c>
      <c r="B23" s="60"/>
      <c r="C23" s="60"/>
      <c r="D23" s="33"/>
      <c r="E23" s="33"/>
      <c r="F23" s="60"/>
      <c r="G23" s="33"/>
      <c r="H23" s="60"/>
      <c r="I23" s="60"/>
    </row>
    <row r="24" spans="1:9">
      <c r="A24" s="33" t="s">
        <v>193</v>
      </c>
      <c r="B24" s="60"/>
      <c r="C24" s="60"/>
      <c r="D24" s="60"/>
      <c r="E24" s="60"/>
      <c r="F24" s="60"/>
      <c r="G24" s="60"/>
      <c r="H24" s="60"/>
      <c r="I24" s="60"/>
    </row>
    <row r="25" spans="1:9">
      <c r="A25" s="33" t="s">
        <v>421</v>
      </c>
      <c r="B25" s="60"/>
      <c r="C25" s="60"/>
      <c r="D25" s="60"/>
      <c r="E25" s="60"/>
      <c r="F25" s="60"/>
      <c r="G25" s="60"/>
      <c r="H25" s="60"/>
      <c r="I25" s="60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topLeftCell="A16" workbookViewId="0">
      <selection activeCell="C45" sqref="C45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448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439</v>
      </c>
      <c r="D7" t="s">
        <v>439</v>
      </c>
      <c r="E7" t="s">
        <v>447</v>
      </c>
      <c r="F7" t="s">
        <v>447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82">
        <v>28125</v>
      </c>
      <c r="C9" s="41" t="e">
        <v>#N/A</v>
      </c>
      <c r="D9" s="41" t="e">
        <v>#N/A</v>
      </c>
      <c r="E9" s="83">
        <v>16.649000000000001</v>
      </c>
      <c r="F9" s="83">
        <v>20.766999999999999</v>
      </c>
    </row>
    <row r="10" spans="1:14">
      <c r="A10" s="17" t="s">
        <v>33</v>
      </c>
      <c r="B10" s="82">
        <v>28490</v>
      </c>
      <c r="C10" s="41" t="e">
        <v>#N/A</v>
      </c>
      <c r="D10" s="41" t="e">
        <v>#N/A</v>
      </c>
      <c r="E10" s="83">
        <v>17.529</v>
      </c>
      <c r="F10" s="83">
        <v>20.175000000000001</v>
      </c>
    </row>
    <row r="11" spans="1:14">
      <c r="A11" s="17" t="s">
        <v>34</v>
      </c>
      <c r="B11" s="82">
        <v>28855</v>
      </c>
      <c r="C11" s="41" t="e">
        <v>#N/A</v>
      </c>
      <c r="D11" s="41" t="e">
        <v>#N/A</v>
      </c>
      <c r="E11" s="83">
        <v>17.538</v>
      </c>
      <c r="F11" s="83">
        <v>20.135999999999999</v>
      </c>
    </row>
    <row r="12" spans="1:14">
      <c r="A12" s="17" t="s">
        <v>35</v>
      </c>
      <c r="B12" s="82">
        <v>29220</v>
      </c>
      <c r="C12" s="41" t="e">
        <v>#N/A</v>
      </c>
      <c r="D12" s="41" t="e">
        <v>#N/A</v>
      </c>
      <c r="E12" s="83">
        <v>18.027000000000001</v>
      </c>
      <c r="F12" s="83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82">
        <v>29586</v>
      </c>
      <c r="C13" s="41" t="e">
        <v>#N/A</v>
      </c>
      <c r="D13" s="41" t="e">
        <v>#N/A</v>
      </c>
      <c r="E13" s="83">
        <v>18.489999999999998</v>
      </c>
      <c r="F13" s="83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82">
        <v>29951</v>
      </c>
      <c r="C14" s="41" t="e">
        <v>#N/A</v>
      </c>
      <c r="D14" s="41" t="e">
        <v>#N/A</v>
      </c>
      <c r="E14" s="83">
        <v>19.094999999999999</v>
      </c>
      <c r="F14" s="83">
        <v>21.611000000000001</v>
      </c>
    </row>
    <row r="15" spans="1:14">
      <c r="A15" s="17" t="s">
        <v>38</v>
      </c>
      <c r="B15" s="82">
        <v>30316</v>
      </c>
      <c r="C15" s="41" t="e">
        <v>#N/A</v>
      </c>
      <c r="D15" s="41" t="e">
        <v>#N/A</v>
      </c>
      <c r="E15" s="83">
        <v>18.641999999999999</v>
      </c>
      <c r="F15" s="83">
        <v>22.503</v>
      </c>
    </row>
    <row r="16" spans="1:14">
      <c r="A16" s="17" t="s">
        <v>39</v>
      </c>
      <c r="B16" s="82">
        <v>30681</v>
      </c>
      <c r="C16" s="41" t="e">
        <v>#N/A</v>
      </c>
      <c r="D16" s="41" t="e">
        <v>#N/A</v>
      </c>
      <c r="E16" s="83">
        <v>16.96</v>
      </c>
      <c r="F16" s="83">
        <v>22.827999999999999</v>
      </c>
    </row>
    <row r="17" spans="1:6">
      <c r="A17" s="17" t="s">
        <v>40</v>
      </c>
      <c r="B17" s="82">
        <v>31047</v>
      </c>
      <c r="C17" s="41" t="e">
        <v>#N/A</v>
      </c>
      <c r="D17" s="41" t="e">
        <v>#N/A</v>
      </c>
      <c r="E17" s="83">
        <v>16.86</v>
      </c>
      <c r="F17" s="83">
        <v>21.548999999999999</v>
      </c>
    </row>
    <row r="18" spans="1:6">
      <c r="A18" s="17" t="s">
        <v>41</v>
      </c>
      <c r="B18" s="82">
        <v>31412</v>
      </c>
      <c r="C18" s="41" t="e">
        <v>#N/A</v>
      </c>
      <c r="D18" s="41" t="e">
        <v>#N/A</v>
      </c>
      <c r="E18" s="83">
        <v>17.189</v>
      </c>
      <c r="F18" s="83">
        <v>22.161000000000001</v>
      </c>
    </row>
    <row r="19" spans="1:6">
      <c r="A19" s="17" t="s">
        <v>42</v>
      </c>
      <c r="B19" s="82">
        <v>31777</v>
      </c>
      <c r="C19" s="41" t="e">
        <v>#N/A</v>
      </c>
      <c r="D19" s="41" t="e">
        <v>#N/A</v>
      </c>
      <c r="E19" s="83">
        <v>16.956</v>
      </c>
      <c r="F19" s="83">
        <v>21.834</v>
      </c>
    </row>
    <row r="20" spans="1:6">
      <c r="A20" s="17" t="s">
        <v>43</v>
      </c>
      <c r="B20" s="82">
        <v>32142</v>
      </c>
      <c r="C20" s="41" t="e">
        <v>#N/A</v>
      </c>
      <c r="D20" s="41" t="e">
        <v>#N/A</v>
      </c>
      <c r="E20" s="83">
        <v>17.864999999999998</v>
      </c>
      <c r="F20" s="83">
        <v>20.995999999999999</v>
      </c>
    </row>
    <row r="21" spans="1:6">
      <c r="A21" s="17" t="s">
        <v>44</v>
      </c>
      <c r="B21" s="82">
        <v>32508</v>
      </c>
      <c r="C21" s="41" t="e">
        <v>#N/A</v>
      </c>
      <c r="D21" s="41" t="e">
        <v>#N/A</v>
      </c>
      <c r="E21" s="83">
        <v>17.638000000000002</v>
      </c>
      <c r="F21" s="83">
        <v>20.648</v>
      </c>
    </row>
    <row r="22" spans="1:6">
      <c r="A22" s="17" t="s">
        <v>45</v>
      </c>
      <c r="B22" s="82">
        <v>32873</v>
      </c>
      <c r="C22" s="41" t="e">
        <v>#N/A</v>
      </c>
      <c r="D22" s="41" t="e">
        <v>#N/A</v>
      </c>
      <c r="E22" s="83">
        <v>17.794</v>
      </c>
      <c r="F22" s="83">
        <v>20.533999999999999</v>
      </c>
    </row>
    <row r="23" spans="1:6">
      <c r="A23" s="17" t="s">
        <v>46</v>
      </c>
      <c r="B23" s="82">
        <v>33238</v>
      </c>
      <c r="C23" s="41" t="e">
        <v>#N/A</v>
      </c>
      <c r="D23" s="41" t="e">
        <v>#N/A</v>
      </c>
      <c r="E23" s="83">
        <v>17.448</v>
      </c>
      <c r="F23" s="83">
        <v>21.184999999999999</v>
      </c>
    </row>
    <row r="24" spans="1:6">
      <c r="A24" s="17" t="s">
        <v>47</v>
      </c>
      <c r="B24" s="82">
        <v>33603</v>
      </c>
      <c r="C24" s="41" t="e">
        <v>#N/A</v>
      </c>
      <c r="D24" s="41" t="e">
        <v>#N/A</v>
      </c>
      <c r="E24" s="83">
        <v>17.266999999999999</v>
      </c>
      <c r="F24" s="83">
        <v>21.672999999999998</v>
      </c>
    </row>
    <row r="25" spans="1:6">
      <c r="A25" s="17" t="s">
        <v>48</v>
      </c>
      <c r="B25" s="82">
        <v>33969</v>
      </c>
      <c r="C25" s="41" t="e">
        <v>#N/A</v>
      </c>
      <c r="D25" s="41" t="e">
        <v>#N/A</v>
      </c>
      <c r="E25" s="83">
        <v>16.957999999999998</v>
      </c>
      <c r="F25" s="83">
        <v>21.47</v>
      </c>
    </row>
    <row r="26" spans="1:6">
      <c r="A26" s="17" t="s">
        <v>49</v>
      </c>
      <c r="B26" s="82">
        <v>34334</v>
      </c>
      <c r="C26" s="41" t="e">
        <v>#N/A</v>
      </c>
      <c r="D26" s="41" t="e">
        <v>#N/A</v>
      </c>
      <c r="E26" s="83">
        <v>16.988</v>
      </c>
      <c r="F26" s="83">
        <v>20.742000000000001</v>
      </c>
    </row>
    <row r="27" spans="1:6">
      <c r="A27" s="17" t="s">
        <v>50</v>
      </c>
      <c r="B27" s="82">
        <v>34699</v>
      </c>
      <c r="C27" s="41" t="e">
        <v>#N/A</v>
      </c>
      <c r="D27" s="41" t="e">
        <v>#N/A</v>
      </c>
      <c r="E27" s="83">
        <v>17.486000000000001</v>
      </c>
      <c r="F27" s="83">
        <v>20.308</v>
      </c>
    </row>
    <row r="28" spans="1:6">
      <c r="A28" s="17" t="s">
        <v>51</v>
      </c>
      <c r="B28" s="82">
        <v>35064</v>
      </c>
      <c r="C28" s="41" t="e">
        <v>#N/A</v>
      </c>
      <c r="D28" s="41" t="e">
        <v>#N/A</v>
      </c>
      <c r="E28" s="83">
        <v>17.826000000000001</v>
      </c>
      <c r="F28" s="83">
        <v>19.988</v>
      </c>
    </row>
    <row r="29" spans="1:6">
      <c r="A29" s="17" t="s">
        <v>52</v>
      </c>
      <c r="B29" s="82">
        <v>35430</v>
      </c>
      <c r="C29" s="41" t="e">
        <v>#N/A</v>
      </c>
      <c r="D29" s="41" t="e">
        <v>#N/A</v>
      </c>
      <c r="E29" s="83">
        <v>18.213000000000001</v>
      </c>
      <c r="F29" s="83">
        <v>19.559000000000001</v>
      </c>
    </row>
    <row r="30" spans="1:6">
      <c r="A30" s="17" t="s">
        <v>53</v>
      </c>
      <c r="B30" s="82">
        <v>35795</v>
      </c>
      <c r="C30" s="41" t="e">
        <v>#N/A</v>
      </c>
      <c r="D30" s="41" t="e">
        <v>#N/A</v>
      </c>
      <c r="E30" s="83">
        <v>18.616</v>
      </c>
      <c r="F30" s="83">
        <v>18.873999999999999</v>
      </c>
    </row>
    <row r="31" spans="1:6">
      <c r="A31" s="17" t="s">
        <v>54</v>
      </c>
      <c r="B31" s="82">
        <v>36160</v>
      </c>
      <c r="C31" s="41" t="e">
        <v>#N/A</v>
      </c>
      <c r="D31" s="41" t="e">
        <v>#N/A</v>
      </c>
      <c r="E31" s="83">
        <v>19.227</v>
      </c>
      <c r="F31" s="83">
        <v>18.452999999999999</v>
      </c>
    </row>
    <row r="32" spans="1:6">
      <c r="A32" s="17" t="s">
        <v>55</v>
      </c>
      <c r="B32" s="82">
        <v>36525</v>
      </c>
      <c r="C32" s="41" t="e">
        <v>#N/A</v>
      </c>
      <c r="D32" s="41" t="e">
        <v>#N/A</v>
      </c>
      <c r="E32" s="83">
        <v>19.207999999999998</v>
      </c>
      <c r="F32" s="83">
        <v>17.888000000000002</v>
      </c>
    </row>
    <row r="33" spans="1:6">
      <c r="A33" s="17" t="s">
        <v>56</v>
      </c>
      <c r="B33" s="82">
        <v>36891</v>
      </c>
      <c r="C33" s="41" t="e">
        <v>#N/A</v>
      </c>
      <c r="D33" s="41" t="e">
        <v>#N/A</v>
      </c>
      <c r="E33" s="83">
        <v>19.945</v>
      </c>
      <c r="F33" s="83">
        <v>17.617999999999999</v>
      </c>
    </row>
    <row r="34" spans="1:6">
      <c r="A34" s="17" t="s">
        <v>57</v>
      </c>
      <c r="B34" s="82">
        <v>37256</v>
      </c>
      <c r="C34" s="41" t="e">
        <v>#N/A</v>
      </c>
      <c r="D34" s="41" t="e">
        <v>#N/A</v>
      </c>
      <c r="E34" s="83">
        <v>18.84</v>
      </c>
      <c r="F34" s="83">
        <v>17.626999999999999</v>
      </c>
    </row>
    <row r="35" spans="1:6">
      <c r="A35" s="17" t="s">
        <v>58</v>
      </c>
      <c r="B35" s="82">
        <v>37621</v>
      </c>
      <c r="C35" s="41" t="e">
        <v>#N/A</v>
      </c>
      <c r="D35" s="41" t="e">
        <v>#N/A</v>
      </c>
      <c r="E35" s="83">
        <v>17.033000000000001</v>
      </c>
      <c r="F35" s="83">
        <v>18.483000000000001</v>
      </c>
    </row>
    <row r="36" spans="1:6">
      <c r="A36" s="17" t="s">
        <v>59</v>
      </c>
      <c r="B36" s="82">
        <v>37986</v>
      </c>
      <c r="C36" s="41" t="e">
        <v>#N/A</v>
      </c>
      <c r="D36" s="41" t="e">
        <v>#N/A</v>
      </c>
      <c r="E36" s="83">
        <v>15.725</v>
      </c>
      <c r="F36" s="83">
        <v>19.056999999999999</v>
      </c>
    </row>
    <row r="37" spans="1:6">
      <c r="A37" s="17" t="s">
        <v>60</v>
      </c>
      <c r="B37" s="82">
        <v>38352</v>
      </c>
      <c r="C37" s="41" t="e">
        <v>#N/A</v>
      </c>
      <c r="D37" s="41" t="e">
        <v>#N/A</v>
      </c>
      <c r="E37" s="83">
        <v>15.55</v>
      </c>
      <c r="F37" s="83">
        <v>18.963999999999999</v>
      </c>
    </row>
    <row r="38" spans="1:6">
      <c r="A38" s="17" t="s">
        <v>61</v>
      </c>
      <c r="B38" s="82">
        <v>38717</v>
      </c>
      <c r="C38" s="41" t="e">
        <v>#N/A</v>
      </c>
      <c r="D38" s="41" t="e">
        <v>#N/A</v>
      </c>
      <c r="E38" s="83">
        <v>16.707000000000001</v>
      </c>
      <c r="F38" s="83">
        <v>19.177</v>
      </c>
    </row>
    <row r="39" spans="1:6">
      <c r="A39" s="17" t="s">
        <v>62</v>
      </c>
      <c r="B39" s="82">
        <v>39082</v>
      </c>
      <c r="C39" s="41" t="e">
        <v>#N/A</v>
      </c>
      <c r="D39" s="41" t="e">
        <v>#N/A</v>
      </c>
      <c r="E39" s="83">
        <v>17.585999999999999</v>
      </c>
      <c r="F39" s="83">
        <v>19.399000000000001</v>
      </c>
    </row>
    <row r="40" spans="1:6">
      <c r="A40" s="17" t="s">
        <v>63</v>
      </c>
      <c r="B40" s="82">
        <v>39447</v>
      </c>
      <c r="C40" s="41" t="e">
        <v>#N/A</v>
      </c>
      <c r="D40" s="41" t="e">
        <v>#N/A</v>
      </c>
      <c r="E40" s="83">
        <v>17.927</v>
      </c>
      <c r="F40" s="83">
        <v>19.047999999999998</v>
      </c>
    </row>
    <row r="41" spans="1:6">
      <c r="A41" s="17" t="s">
        <v>64</v>
      </c>
      <c r="B41" s="82">
        <v>39813</v>
      </c>
      <c r="C41" s="41" t="e">
        <v>#N/A</v>
      </c>
      <c r="D41" s="41" t="e">
        <v>#N/A</v>
      </c>
      <c r="E41" s="83">
        <v>17.105</v>
      </c>
      <c r="F41" s="83">
        <v>20.212</v>
      </c>
    </row>
    <row r="42" spans="1:6">
      <c r="A42" s="17" t="s">
        <v>65</v>
      </c>
      <c r="B42" s="82">
        <v>40178</v>
      </c>
      <c r="C42" s="41" t="e">
        <v>#N/A</v>
      </c>
      <c r="D42" s="41" t="e">
        <v>#N/A</v>
      </c>
      <c r="E42" s="83">
        <v>14.603999999999999</v>
      </c>
      <c r="F42" s="83">
        <v>24.405000000000001</v>
      </c>
    </row>
    <row r="43" spans="1:6">
      <c r="A43" s="17" t="s">
        <v>66</v>
      </c>
      <c r="B43" s="82">
        <v>40543</v>
      </c>
      <c r="C43" s="41" t="e">
        <v>#N/A</v>
      </c>
      <c r="D43" s="41" t="e">
        <v>#N/A</v>
      </c>
      <c r="E43" s="83">
        <v>14.621</v>
      </c>
      <c r="F43" s="83">
        <v>23.372</v>
      </c>
    </row>
    <row r="44" spans="1:6">
      <c r="A44" s="17" t="s">
        <v>67</v>
      </c>
      <c r="B44" s="82">
        <v>40908</v>
      </c>
      <c r="C44" s="41" t="e">
        <v>#N/A</v>
      </c>
      <c r="D44" s="41" t="e">
        <v>#N/A</v>
      </c>
      <c r="E44" s="83">
        <v>14.97</v>
      </c>
      <c r="F44" s="83">
        <v>23.416</v>
      </c>
    </row>
    <row r="45" spans="1:6">
      <c r="A45" s="17" t="s">
        <v>68</v>
      </c>
      <c r="B45" s="82">
        <v>41274</v>
      </c>
      <c r="C45" s="41">
        <v>15.2</v>
      </c>
      <c r="D45" s="41">
        <v>22</v>
      </c>
      <c r="E45" s="83">
        <v>15.224</v>
      </c>
      <c r="F45" s="83">
        <v>21.978000000000002</v>
      </c>
    </row>
    <row r="46" spans="1:6">
      <c r="A46" s="17" t="s">
        <v>69</v>
      </c>
      <c r="B46" s="82">
        <v>41639</v>
      </c>
      <c r="C46" s="41">
        <v>16.7</v>
      </c>
      <c r="D46" s="41">
        <v>20.8</v>
      </c>
      <c r="E46" s="83">
        <v>16.684999999999999</v>
      </c>
      <c r="F46" s="83">
        <v>20.77</v>
      </c>
    </row>
    <row r="47" spans="1:6">
      <c r="A47" s="17" t="s">
        <v>70</v>
      </c>
      <c r="B47" s="82">
        <v>42004</v>
      </c>
      <c r="C47" s="41">
        <v>17.5</v>
      </c>
      <c r="D47" s="41">
        <v>20.399999999999999</v>
      </c>
      <c r="E47" s="83" t="e">
        <v>#N/A</v>
      </c>
      <c r="F47" s="83" t="e">
        <v>#N/A</v>
      </c>
    </row>
    <row r="48" spans="1:6">
      <c r="A48" s="17" t="s">
        <v>71</v>
      </c>
      <c r="B48" s="82">
        <v>42369</v>
      </c>
      <c r="C48" s="41">
        <v>18.3</v>
      </c>
      <c r="D48" s="41">
        <v>20.9</v>
      </c>
      <c r="E48" s="83" t="e">
        <v>#N/A</v>
      </c>
      <c r="F48" s="83" t="e">
        <v>#N/A</v>
      </c>
    </row>
    <row r="49" spans="1:6">
      <c r="A49" s="17" t="s">
        <v>72</v>
      </c>
      <c r="B49" s="82">
        <v>42735</v>
      </c>
      <c r="C49" s="41">
        <v>18.100000000000001</v>
      </c>
      <c r="D49" s="41">
        <v>21</v>
      </c>
      <c r="E49" s="83" t="e">
        <v>#N/A</v>
      </c>
      <c r="F49" s="83" t="e">
        <v>#N/A</v>
      </c>
    </row>
    <row r="50" spans="1:6">
      <c r="A50" s="17" t="s">
        <v>73</v>
      </c>
      <c r="B50" s="82">
        <v>43100</v>
      </c>
      <c r="C50" s="41">
        <v>18.100000000000001</v>
      </c>
      <c r="D50" s="41">
        <v>20.8</v>
      </c>
      <c r="E50" s="83" t="e">
        <v>#N/A</v>
      </c>
      <c r="F50" s="83" t="e">
        <v>#N/A</v>
      </c>
    </row>
    <row r="51" spans="1:6">
      <c r="A51" s="17" t="s">
        <v>74</v>
      </c>
      <c r="B51" s="82">
        <v>43465</v>
      </c>
      <c r="C51" s="41">
        <v>18</v>
      </c>
      <c r="D51" s="41">
        <v>20.7</v>
      </c>
      <c r="E51" s="83" t="e">
        <v>#N/A</v>
      </c>
      <c r="F51" s="83" t="e">
        <v>#N/A</v>
      </c>
    </row>
    <row r="52" spans="1:6">
      <c r="A52" s="17" t="s">
        <v>75</v>
      </c>
      <c r="B52" s="82">
        <v>43830</v>
      </c>
      <c r="C52" s="41">
        <v>18</v>
      </c>
      <c r="D52" s="41">
        <v>21.1</v>
      </c>
      <c r="E52" s="83" t="e">
        <v>#N/A</v>
      </c>
      <c r="F52" s="83" t="e">
        <v>#N/A</v>
      </c>
    </row>
    <row r="53" spans="1:6">
      <c r="A53" s="17" t="s">
        <v>76</v>
      </c>
      <c r="B53" s="82">
        <v>44196</v>
      </c>
      <c r="C53" s="41">
        <v>18.100000000000001</v>
      </c>
      <c r="D53" s="41">
        <v>21.3</v>
      </c>
      <c r="E53" s="83" t="e">
        <v>#N/A</v>
      </c>
      <c r="F53" s="83" t="e">
        <v>#N/A</v>
      </c>
    </row>
    <row r="54" spans="1:6">
      <c r="A54" s="17" t="s">
        <v>77</v>
      </c>
      <c r="B54" s="82">
        <v>44561</v>
      </c>
      <c r="C54" s="41">
        <v>18.100000000000001</v>
      </c>
      <c r="D54" s="41">
        <v>21.5</v>
      </c>
      <c r="E54" s="83" t="e">
        <v>#N/A</v>
      </c>
      <c r="F54" s="83" t="e">
        <v>#N/A</v>
      </c>
    </row>
    <row r="55" spans="1:6">
      <c r="A55" s="17" t="s">
        <v>78</v>
      </c>
      <c r="B55" s="82">
        <v>44926</v>
      </c>
      <c r="C55" s="41">
        <v>18.100000000000001</v>
      </c>
      <c r="D55" s="41">
        <v>21.9</v>
      </c>
      <c r="E55" s="83" t="e">
        <v>#N/A</v>
      </c>
      <c r="F55" s="83" t="e">
        <v>#N/A</v>
      </c>
    </row>
    <row r="56" spans="1:6">
      <c r="A56" s="17" t="s">
        <v>79</v>
      </c>
      <c r="B56" s="82">
        <v>45291</v>
      </c>
      <c r="C56" s="41">
        <v>18.2</v>
      </c>
      <c r="D56" s="41">
        <v>21.9</v>
      </c>
      <c r="E56" s="83" t="e">
        <v>#N/A</v>
      </c>
      <c r="F56" s="83" t="e">
        <v>#N/A</v>
      </c>
    </row>
    <row r="57" spans="1:6">
      <c r="A57" s="17" t="s">
        <v>80</v>
      </c>
      <c r="B57" s="82">
        <v>45657</v>
      </c>
      <c r="C57" s="41">
        <v>18.2</v>
      </c>
      <c r="D57" s="41">
        <v>21.8</v>
      </c>
      <c r="E57" s="83" t="e">
        <v>#N/A</v>
      </c>
      <c r="F57" s="83" t="e">
        <v>#N/A</v>
      </c>
    </row>
    <row r="58" spans="1:6">
      <c r="A58" s="17" t="s">
        <v>266</v>
      </c>
      <c r="B58" s="27" t="s">
        <v>266</v>
      </c>
      <c r="C58" t="s">
        <v>266</v>
      </c>
      <c r="D58" t="s">
        <v>266</v>
      </c>
      <c r="E58" t="s">
        <v>266</v>
      </c>
      <c r="F58" t="s">
        <v>266</v>
      </c>
    </row>
    <row r="59" spans="1:6">
      <c r="A59" s="17" t="s">
        <v>266</v>
      </c>
      <c r="B59" s="27" t="s">
        <v>266</v>
      </c>
      <c r="C59" t="s">
        <v>266</v>
      </c>
      <c r="D59" t="s">
        <v>266</v>
      </c>
      <c r="E59" t="s">
        <v>266</v>
      </c>
      <c r="F59" t="s">
        <v>266</v>
      </c>
    </row>
    <row r="60" spans="1:6">
      <c r="A60" s="17" t="s">
        <v>266</v>
      </c>
      <c r="B60" s="27" t="s">
        <v>266</v>
      </c>
      <c r="C60" t="s">
        <v>266</v>
      </c>
      <c r="D60" t="s">
        <v>266</v>
      </c>
      <c r="E60" t="s">
        <v>266</v>
      </c>
      <c r="F60" t="s">
        <v>266</v>
      </c>
    </row>
    <row r="61" spans="1:6">
      <c r="A61" s="17" t="s">
        <v>266</v>
      </c>
      <c r="B61" s="27" t="s">
        <v>266</v>
      </c>
      <c r="C61" t="s">
        <v>266</v>
      </c>
      <c r="D61" t="s">
        <v>266</v>
      </c>
      <c r="E61" t="s">
        <v>266</v>
      </c>
      <c r="F61" t="s">
        <v>266</v>
      </c>
    </row>
    <row r="62" spans="1:6">
      <c r="A62" s="17" t="s">
        <v>266</v>
      </c>
      <c r="B62" s="27" t="s">
        <v>266</v>
      </c>
      <c r="C62" t="s">
        <v>266</v>
      </c>
      <c r="D62" t="s">
        <v>266</v>
      </c>
      <c r="E62" t="s">
        <v>266</v>
      </c>
      <c r="F62" t="s">
        <v>266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workbookViewId="0"/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448</v>
      </c>
      <c r="B3" s="19" t="s">
        <v>0</v>
      </c>
      <c r="C3" s="84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434</v>
      </c>
      <c r="D6" s="23" t="s">
        <v>210</v>
      </c>
      <c r="E6" t="s">
        <v>211</v>
      </c>
    </row>
    <row r="7" spans="1:9">
      <c r="A7" s="17" t="s">
        <v>31</v>
      </c>
      <c r="B7" s="82">
        <v>27759</v>
      </c>
      <c r="C7" s="81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H7" s="20"/>
      <c r="I7" s="20"/>
    </row>
    <row r="8" spans="1:9">
      <c r="A8" s="17" t="s">
        <v>32</v>
      </c>
      <c r="B8" s="82">
        <v>28125</v>
      </c>
      <c r="C8" s="81">
        <v>-74</v>
      </c>
      <c r="D8" s="40">
        <f t="shared" si="0"/>
        <v>-74</v>
      </c>
      <c r="E8" s="40" t="e">
        <f t="shared" si="1"/>
        <v>#N/A</v>
      </c>
      <c r="H8" s="20"/>
      <c r="I8" s="20"/>
    </row>
    <row r="9" spans="1:9">
      <c r="A9" s="17" t="s">
        <v>33</v>
      </c>
      <c r="B9" s="82">
        <v>28490</v>
      </c>
      <c r="C9" s="81">
        <v>-54</v>
      </c>
      <c r="D9" s="40">
        <f t="shared" si="0"/>
        <v>-54</v>
      </c>
      <c r="E9" s="40" t="e">
        <f t="shared" si="1"/>
        <v>#N/A</v>
      </c>
      <c r="H9" s="20"/>
      <c r="I9" s="20"/>
    </row>
    <row r="10" spans="1:9">
      <c r="A10" s="17" t="s">
        <v>34</v>
      </c>
      <c r="B10" s="82">
        <v>28855</v>
      </c>
      <c r="C10" s="81">
        <v>-59</v>
      </c>
      <c r="D10" s="40">
        <f t="shared" si="0"/>
        <v>-59</v>
      </c>
      <c r="E10" s="40" t="e">
        <f t="shared" si="1"/>
        <v>#N/A</v>
      </c>
      <c r="H10" s="20"/>
      <c r="I10" s="20"/>
    </row>
    <row r="11" spans="1:9">
      <c r="A11" s="17" t="s">
        <v>35</v>
      </c>
      <c r="B11" s="82">
        <v>29220</v>
      </c>
      <c r="C11" s="81">
        <v>-41</v>
      </c>
      <c r="D11" s="40">
        <f t="shared" si="0"/>
        <v>-41</v>
      </c>
      <c r="E11" s="40" t="e">
        <f t="shared" si="1"/>
        <v>#N/A</v>
      </c>
      <c r="H11" s="20"/>
      <c r="I11" s="20"/>
    </row>
    <row r="12" spans="1:9">
      <c r="A12" s="17" t="s">
        <v>36</v>
      </c>
      <c r="B12" s="82">
        <v>29586</v>
      </c>
      <c r="C12" s="81">
        <v>-74</v>
      </c>
      <c r="D12" s="40">
        <f t="shared" si="0"/>
        <v>-74</v>
      </c>
      <c r="E12" s="40" t="e">
        <f t="shared" si="1"/>
        <v>#N/A</v>
      </c>
      <c r="H12" s="20"/>
      <c r="I12" s="20"/>
    </row>
    <row r="13" spans="1:9">
      <c r="A13" s="17" t="s">
        <v>37</v>
      </c>
      <c r="B13" s="82">
        <v>29951</v>
      </c>
      <c r="C13" s="81">
        <v>-79</v>
      </c>
      <c r="D13" s="40">
        <f t="shared" si="0"/>
        <v>-79</v>
      </c>
      <c r="E13" s="40" t="e">
        <f t="shared" si="1"/>
        <v>#N/A</v>
      </c>
      <c r="H13" s="20"/>
      <c r="I13" s="20"/>
    </row>
    <row r="14" spans="1:9">
      <c r="A14" s="17" t="s">
        <v>38</v>
      </c>
      <c r="B14" s="82">
        <v>30316</v>
      </c>
      <c r="C14" s="81">
        <v>-128</v>
      </c>
      <c r="D14" s="40">
        <f t="shared" si="0"/>
        <v>-128</v>
      </c>
      <c r="E14" s="40" t="e">
        <f t="shared" si="1"/>
        <v>#N/A</v>
      </c>
      <c r="H14" s="20"/>
      <c r="I14" s="20"/>
    </row>
    <row r="15" spans="1:9">
      <c r="A15" s="17" t="s">
        <v>39</v>
      </c>
      <c r="B15" s="82">
        <v>30681</v>
      </c>
      <c r="C15" s="81">
        <v>-208</v>
      </c>
      <c r="D15" s="40">
        <f t="shared" si="0"/>
        <v>-208</v>
      </c>
      <c r="E15" s="40" t="e">
        <f t="shared" si="1"/>
        <v>#N/A</v>
      </c>
      <c r="H15" s="20"/>
      <c r="I15" s="20"/>
    </row>
    <row r="16" spans="1:9">
      <c r="A16" s="17" t="s">
        <v>40</v>
      </c>
      <c r="B16" s="82">
        <v>31047</v>
      </c>
      <c r="C16" s="81">
        <v>-185</v>
      </c>
      <c r="D16" s="40">
        <f t="shared" si="0"/>
        <v>-185</v>
      </c>
      <c r="E16" s="40" t="e">
        <f t="shared" si="1"/>
        <v>#N/A</v>
      </c>
      <c r="H16" s="20"/>
      <c r="I16" s="20"/>
    </row>
    <row r="17" spans="1:9">
      <c r="A17" s="17" t="s">
        <v>41</v>
      </c>
      <c r="B17" s="82">
        <v>31412</v>
      </c>
      <c r="C17" s="81">
        <v>-212</v>
      </c>
      <c r="D17" s="40">
        <f t="shared" si="0"/>
        <v>-212</v>
      </c>
      <c r="E17" s="40" t="e">
        <f t="shared" si="1"/>
        <v>#N/A</v>
      </c>
      <c r="H17" s="20"/>
      <c r="I17" s="20"/>
    </row>
    <row r="18" spans="1:9">
      <c r="A18" s="17" t="s">
        <v>42</v>
      </c>
      <c r="B18" s="82">
        <v>31777</v>
      </c>
      <c r="C18" s="81">
        <v>-221</v>
      </c>
      <c r="D18" s="40">
        <f t="shared" si="0"/>
        <v>-221</v>
      </c>
      <c r="E18" s="40" t="e">
        <f t="shared" si="1"/>
        <v>#N/A</v>
      </c>
      <c r="H18" s="20"/>
      <c r="I18" s="20"/>
    </row>
    <row r="19" spans="1:9">
      <c r="A19" s="17" t="s">
        <v>43</v>
      </c>
      <c r="B19" s="82">
        <v>32142</v>
      </c>
      <c r="C19" s="81">
        <v>-150</v>
      </c>
      <c r="D19" s="40">
        <f t="shared" si="0"/>
        <v>-150</v>
      </c>
      <c r="E19" s="40" t="e">
        <f t="shared" si="1"/>
        <v>#N/A</v>
      </c>
      <c r="H19" s="20"/>
      <c r="I19" s="20"/>
    </row>
    <row r="20" spans="1:9">
      <c r="A20" s="17" t="s">
        <v>44</v>
      </c>
      <c r="B20" s="82">
        <v>32508</v>
      </c>
      <c r="C20" s="81">
        <v>-155</v>
      </c>
      <c r="D20" s="40">
        <f t="shared" si="0"/>
        <v>-155</v>
      </c>
      <c r="E20" s="40" t="e">
        <f t="shared" si="1"/>
        <v>#N/A</v>
      </c>
      <c r="H20" s="20"/>
      <c r="I20" s="20"/>
    </row>
    <row r="21" spans="1:9">
      <c r="A21" s="17" t="s">
        <v>45</v>
      </c>
      <c r="B21" s="82">
        <v>32873</v>
      </c>
      <c r="C21" s="81">
        <v>-153</v>
      </c>
      <c r="D21" s="40">
        <f t="shared" si="0"/>
        <v>-153</v>
      </c>
      <c r="E21" s="40" t="e">
        <f t="shared" si="1"/>
        <v>#N/A</v>
      </c>
      <c r="H21" s="20"/>
      <c r="I21" s="20"/>
    </row>
    <row r="22" spans="1:9">
      <c r="A22" s="17" t="s">
        <v>46</v>
      </c>
      <c r="B22" s="82">
        <v>33238</v>
      </c>
      <c r="C22" s="81">
        <v>-221</v>
      </c>
      <c r="D22" s="40">
        <f t="shared" si="0"/>
        <v>-221</v>
      </c>
      <c r="E22" s="40" t="e">
        <f t="shared" si="1"/>
        <v>#N/A</v>
      </c>
      <c r="H22" s="20"/>
      <c r="I22" s="20"/>
    </row>
    <row r="23" spans="1:9">
      <c r="A23" s="17" t="s">
        <v>47</v>
      </c>
      <c r="B23" s="82">
        <v>33603</v>
      </c>
      <c r="C23" s="81">
        <v>-269</v>
      </c>
      <c r="D23" s="40">
        <f t="shared" si="0"/>
        <v>-269</v>
      </c>
      <c r="E23" s="40" t="e">
        <f t="shared" si="1"/>
        <v>#N/A</v>
      </c>
      <c r="H23" s="20"/>
      <c r="I23" s="20"/>
    </row>
    <row r="24" spans="1:9">
      <c r="A24" s="17" t="s">
        <v>48</v>
      </c>
      <c r="B24" s="82">
        <v>33969</v>
      </c>
      <c r="C24" s="81">
        <v>-290</v>
      </c>
      <c r="D24" s="40">
        <f t="shared" si="0"/>
        <v>-290</v>
      </c>
      <c r="E24" s="40" t="e">
        <f t="shared" si="1"/>
        <v>#N/A</v>
      </c>
      <c r="H24" s="20"/>
      <c r="I24" s="20"/>
    </row>
    <row r="25" spans="1:9">
      <c r="A25" s="17" t="s">
        <v>49</v>
      </c>
      <c r="B25" s="82">
        <v>34334</v>
      </c>
      <c r="C25" s="81">
        <v>-255</v>
      </c>
      <c r="D25" s="40">
        <f t="shared" si="0"/>
        <v>-255</v>
      </c>
      <c r="E25" s="40" t="e">
        <f t="shared" si="1"/>
        <v>#N/A</v>
      </c>
      <c r="H25" s="20"/>
      <c r="I25" s="20"/>
    </row>
    <row r="26" spans="1:9">
      <c r="A26" s="17" t="s">
        <v>50</v>
      </c>
      <c r="B26" s="82">
        <v>34699</v>
      </c>
      <c r="C26" s="81">
        <v>-203</v>
      </c>
      <c r="D26" s="40">
        <f t="shared" si="0"/>
        <v>-203</v>
      </c>
      <c r="E26" s="40" t="e">
        <f t="shared" si="1"/>
        <v>#N/A</v>
      </c>
      <c r="H26" s="20"/>
      <c r="I26" s="20"/>
    </row>
    <row r="27" spans="1:9">
      <c r="A27" s="17" t="s">
        <v>51</v>
      </c>
      <c r="B27" s="82">
        <v>35064</v>
      </c>
      <c r="C27" s="81">
        <v>-164</v>
      </c>
      <c r="D27" s="40">
        <f t="shared" si="0"/>
        <v>-164</v>
      </c>
      <c r="E27" s="40" t="e">
        <f t="shared" si="1"/>
        <v>#N/A</v>
      </c>
      <c r="H27" s="20"/>
      <c r="I27" s="20"/>
    </row>
    <row r="28" spans="1:9">
      <c r="A28" s="17" t="s">
        <v>52</v>
      </c>
      <c r="B28" s="82">
        <v>35430</v>
      </c>
      <c r="C28" s="81">
        <v>-107</v>
      </c>
      <c r="D28" s="40">
        <f t="shared" si="0"/>
        <v>-107</v>
      </c>
      <c r="E28" s="40" t="e">
        <f t="shared" si="1"/>
        <v>#N/A</v>
      </c>
      <c r="H28" s="20"/>
      <c r="I28" s="20"/>
    </row>
    <row r="29" spans="1:9">
      <c r="A29" s="17" t="s">
        <v>53</v>
      </c>
      <c r="B29" s="82">
        <v>35795</v>
      </c>
      <c r="C29" s="81">
        <v>-22</v>
      </c>
      <c r="D29" s="40">
        <f t="shared" si="0"/>
        <v>-22</v>
      </c>
      <c r="E29" s="40" t="e">
        <f t="shared" si="1"/>
        <v>#N/A</v>
      </c>
      <c r="H29" s="20"/>
      <c r="I29" s="20"/>
    </row>
    <row r="30" spans="1:9">
      <c r="A30" s="17" t="s">
        <v>54</v>
      </c>
      <c r="B30" s="82">
        <v>36160</v>
      </c>
      <c r="C30" s="81">
        <v>69</v>
      </c>
      <c r="D30" s="40">
        <f t="shared" si="0"/>
        <v>69</v>
      </c>
      <c r="E30" s="40" t="e">
        <f t="shared" si="1"/>
        <v>#N/A</v>
      </c>
      <c r="H30" s="20"/>
      <c r="I30" s="20"/>
    </row>
    <row r="31" spans="1:9">
      <c r="A31" s="17" t="s">
        <v>55</v>
      </c>
      <c r="B31" s="82">
        <v>36525</v>
      </c>
      <c r="C31" s="81">
        <v>126</v>
      </c>
      <c r="D31" s="40">
        <f t="shared" si="0"/>
        <v>126</v>
      </c>
      <c r="E31" s="40" t="e">
        <f t="shared" si="1"/>
        <v>#N/A</v>
      </c>
      <c r="H31" s="20"/>
      <c r="I31" s="20"/>
    </row>
    <row r="32" spans="1:9">
      <c r="A32" s="17" t="s">
        <v>56</v>
      </c>
      <c r="B32" s="82">
        <v>36891</v>
      </c>
      <c r="C32" s="81">
        <v>236</v>
      </c>
      <c r="D32" s="40">
        <f t="shared" si="0"/>
        <v>236</v>
      </c>
      <c r="E32" s="40" t="e">
        <f t="shared" si="1"/>
        <v>#N/A</v>
      </c>
      <c r="H32" s="20"/>
      <c r="I32" s="20"/>
    </row>
    <row r="33" spans="1:9">
      <c r="A33" s="17" t="s">
        <v>57</v>
      </c>
      <c r="B33" s="82">
        <v>37256</v>
      </c>
      <c r="C33" s="81">
        <v>128</v>
      </c>
      <c r="D33" s="40">
        <f t="shared" si="0"/>
        <v>128</v>
      </c>
      <c r="E33" s="40" t="e">
        <f t="shared" si="1"/>
        <v>#N/A</v>
      </c>
      <c r="H33" s="20"/>
      <c r="I33" s="20"/>
    </row>
    <row r="34" spans="1:9">
      <c r="A34" s="17" t="s">
        <v>58</v>
      </c>
      <c r="B34" s="82">
        <v>37621</v>
      </c>
      <c r="C34" s="81">
        <v>-158</v>
      </c>
      <c r="D34" s="40">
        <f t="shared" si="0"/>
        <v>-158</v>
      </c>
      <c r="E34" s="40" t="e">
        <f t="shared" si="1"/>
        <v>#N/A</v>
      </c>
      <c r="H34" s="20"/>
      <c r="I34" s="20"/>
    </row>
    <row r="35" spans="1:9">
      <c r="A35" s="17" t="s">
        <v>59</v>
      </c>
      <c r="B35" s="82">
        <v>37986</v>
      </c>
      <c r="C35" s="81">
        <v>-378</v>
      </c>
      <c r="D35" s="40">
        <f t="shared" si="0"/>
        <v>-378</v>
      </c>
      <c r="E35" s="40" t="e">
        <f t="shared" si="1"/>
        <v>#N/A</v>
      </c>
      <c r="H35" s="20"/>
      <c r="I35" s="20"/>
    </row>
    <row r="36" spans="1:9">
      <c r="A36" s="17" t="s">
        <v>60</v>
      </c>
      <c r="B36" s="82">
        <v>38352</v>
      </c>
      <c r="C36" s="81">
        <v>-413</v>
      </c>
      <c r="D36" s="40">
        <f t="shared" si="0"/>
        <v>-413</v>
      </c>
      <c r="E36" s="40" t="e">
        <f t="shared" si="1"/>
        <v>#N/A</v>
      </c>
      <c r="H36" s="20"/>
      <c r="I36" s="20"/>
    </row>
    <row r="37" spans="1:9">
      <c r="A37" s="17" t="s">
        <v>61</v>
      </c>
      <c r="B37" s="82">
        <v>38717</v>
      </c>
      <c r="C37" s="81">
        <v>-318</v>
      </c>
      <c r="D37" s="40">
        <f t="shared" si="0"/>
        <v>-318</v>
      </c>
      <c r="E37" s="40" t="e">
        <f t="shared" si="1"/>
        <v>#N/A</v>
      </c>
      <c r="H37" s="20"/>
      <c r="I37" s="20"/>
    </row>
    <row r="38" spans="1:9">
      <c r="A38" s="17" t="s">
        <v>62</v>
      </c>
      <c r="B38" s="82">
        <v>39082</v>
      </c>
      <c r="C38" s="81">
        <v>-248</v>
      </c>
      <c r="D38" s="40">
        <f t="shared" si="0"/>
        <v>-248</v>
      </c>
      <c r="E38" s="40" t="e">
        <f t="shared" si="1"/>
        <v>#N/A</v>
      </c>
      <c r="H38" s="20"/>
      <c r="I38" s="20"/>
    </row>
    <row r="39" spans="1:9">
      <c r="A39" s="17" t="s">
        <v>63</v>
      </c>
      <c r="B39" s="82">
        <v>39447</v>
      </c>
      <c r="C39" s="81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H39" s="20"/>
      <c r="I39" s="20"/>
    </row>
    <row r="40" spans="1:9">
      <c r="A40" s="17" t="s">
        <v>64</v>
      </c>
      <c r="B40" s="82">
        <v>39813</v>
      </c>
      <c r="C40" s="81">
        <v>-459</v>
      </c>
      <c r="D40" s="40">
        <f t="shared" si="2"/>
        <v>-459</v>
      </c>
      <c r="E40" s="40" t="e">
        <f t="shared" si="3"/>
        <v>#N/A</v>
      </c>
      <c r="H40" s="20"/>
      <c r="I40" s="20"/>
    </row>
    <row r="41" spans="1:9">
      <c r="A41" s="17" t="s">
        <v>65</v>
      </c>
      <c r="B41" s="82">
        <v>40178</v>
      </c>
      <c r="C41" s="81">
        <v>-1413</v>
      </c>
      <c r="D41" s="40">
        <f t="shared" si="2"/>
        <v>-1413</v>
      </c>
      <c r="E41" s="40" t="e">
        <f t="shared" si="3"/>
        <v>#N/A</v>
      </c>
      <c r="H41" s="20"/>
      <c r="I41" s="20"/>
    </row>
    <row r="42" spans="1:9">
      <c r="A42" s="17" t="s">
        <v>66</v>
      </c>
      <c r="B42" s="82">
        <v>40543</v>
      </c>
      <c r="C42" s="81">
        <v>-1294</v>
      </c>
      <c r="D42" s="40">
        <f t="shared" si="2"/>
        <v>-1294</v>
      </c>
      <c r="E42" s="40" t="e">
        <f t="shared" si="3"/>
        <v>#N/A</v>
      </c>
      <c r="H42" s="20"/>
      <c r="I42" s="20"/>
    </row>
    <row r="43" spans="1:9">
      <c r="A43" s="17" t="s">
        <v>67</v>
      </c>
      <c r="B43" s="82">
        <v>40908</v>
      </c>
      <c r="C43" s="81">
        <v>-1300</v>
      </c>
      <c r="D43" s="40">
        <f t="shared" si="2"/>
        <v>-1300</v>
      </c>
      <c r="E43" s="40" t="e">
        <f t="shared" si="3"/>
        <v>#N/A</v>
      </c>
      <c r="H43" s="20"/>
      <c r="I43" s="20"/>
    </row>
    <row r="44" spans="1:9">
      <c r="A44" s="17" t="s">
        <v>68</v>
      </c>
      <c r="B44" s="82">
        <v>41274</v>
      </c>
      <c r="C44" s="81">
        <v>-1087</v>
      </c>
      <c r="D44" s="40">
        <f t="shared" si="2"/>
        <v>-1087</v>
      </c>
      <c r="E44" s="40" t="e">
        <f t="shared" si="3"/>
        <v>#N/A</v>
      </c>
      <c r="H44" s="20"/>
      <c r="I44" s="20"/>
    </row>
    <row r="45" spans="1:9">
      <c r="A45" s="17" t="s">
        <v>69</v>
      </c>
      <c r="B45" s="82">
        <v>41639</v>
      </c>
      <c r="C45" s="81">
        <v>-680</v>
      </c>
      <c r="D45" s="40">
        <f t="shared" si="2"/>
        <v>-680</v>
      </c>
      <c r="E45" s="40" t="e">
        <f t="shared" si="3"/>
        <v>#N/A</v>
      </c>
      <c r="H45" s="20"/>
      <c r="I45" s="20"/>
    </row>
    <row r="46" spans="1:9">
      <c r="A46" s="17" t="s">
        <v>70</v>
      </c>
      <c r="B46" s="82">
        <v>42004</v>
      </c>
      <c r="C46" s="81">
        <v>-506</v>
      </c>
      <c r="D46" s="40">
        <f t="shared" si="2"/>
        <v>-506</v>
      </c>
      <c r="E46" s="40">
        <f t="shared" si="3"/>
        <v>-506</v>
      </c>
      <c r="H46" s="20"/>
      <c r="I46" s="20"/>
    </row>
    <row r="47" spans="1:9">
      <c r="A47" s="17" t="s">
        <v>71</v>
      </c>
      <c r="B47" s="82">
        <v>42369</v>
      </c>
      <c r="C47" s="81">
        <v>-469</v>
      </c>
      <c r="D47" s="40" t="e">
        <f t="shared" si="2"/>
        <v>#N/A</v>
      </c>
      <c r="E47" s="40">
        <f t="shared" si="3"/>
        <v>-469</v>
      </c>
      <c r="H47" s="20"/>
      <c r="I47" s="20"/>
    </row>
    <row r="48" spans="1:9">
      <c r="A48" s="17" t="s">
        <v>72</v>
      </c>
      <c r="B48" s="82">
        <v>42735</v>
      </c>
      <c r="C48" s="81">
        <v>-556</v>
      </c>
      <c r="D48" s="40" t="e">
        <f t="shared" si="2"/>
        <v>#N/A</v>
      </c>
      <c r="E48" s="40">
        <f t="shared" si="3"/>
        <v>-556</v>
      </c>
      <c r="H48" s="20"/>
      <c r="I48" s="20"/>
    </row>
    <row r="49" spans="1:9">
      <c r="A49" s="17" t="s">
        <v>73</v>
      </c>
      <c r="B49" s="82">
        <v>43100</v>
      </c>
      <c r="C49" s="81">
        <v>-530</v>
      </c>
      <c r="D49" s="40" t="e">
        <f t="shared" si="2"/>
        <v>#N/A</v>
      </c>
      <c r="E49" s="40">
        <f t="shared" si="3"/>
        <v>-530</v>
      </c>
      <c r="H49" s="20"/>
      <c r="I49" s="20"/>
    </row>
    <row r="50" spans="1:9">
      <c r="A50" s="17" t="s">
        <v>74</v>
      </c>
      <c r="B50" s="82">
        <v>43465</v>
      </c>
      <c r="C50" s="81">
        <v>-560</v>
      </c>
      <c r="D50" s="40" t="e">
        <f t="shared" si="2"/>
        <v>#N/A</v>
      </c>
      <c r="E50" s="40">
        <f t="shared" si="3"/>
        <v>-560</v>
      </c>
      <c r="H50" s="20"/>
      <c r="I50" s="20"/>
    </row>
    <row r="51" spans="1:9">
      <c r="A51" s="17" t="s">
        <v>75</v>
      </c>
      <c r="B51" s="82">
        <v>43830</v>
      </c>
      <c r="C51" s="81">
        <v>-661</v>
      </c>
      <c r="D51" s="40" t="e">
        <f t="shared" si="2"/>
        <v>#N/A</v>
      </c>
      <c r="E51" s="40">
        <f t="shared" si="3"/>
        <v>-661</v>
      </c>
      <c r="H51" s="20"/>
      <c r="I51" s="20"/>
    </row>
    <row r="52" spans="1:9">
      <c r="A52" s="17" t="s">
        <v>76</v>
      </c>
      <c r="B52" s="82">
        <v>44196</v>
      </c>
      <c r="C52" s="81">
        <v>-737</v>
      </c>
      <c r="D52" s="40" t="e">
        <f t="shared" si="2"/>
        <v>#N/A</v>
      </c>
      <c r="E52" s="40">
        <f t="shared" si="3"/>
        <v>-737</v>
      </c>
      <c r="H52" s="20"/>
      <c r="I52" s="20"/>
    </row>
    <row r="53" spans="1:9">
      <c r="A53" s="17" t="s">
        <v>77</v>
      </c>
      <c r="B53" s="82">
        <v>44561</v>
      </c>
      <c r="C53" s="81">
        <v>-820</v>
      </c>
      <c r="D53" s="40" t="e">
        <f t="shared" si="2"/>
        <v>#N/A</v>
      </c>
      <c r="E53" s="40">
        <f t="shared" si="3"/>
        <v>-820</v>
      </c>
      <c r="H53" s="20"/>
      <c r="I53" s="20"/>
    </row>
    <row r="54" spans="1:9">
      <c r="A54" s="17" t="s">
        <v>78</v>
      </c>
      <c r="B54" s="82">
        <v>44926</v>
      </c>
      <c r="C54" s="81">
        <v>-946</v>
      </c>
      <c r="D54" s="40" t="e">
        <f t="shared" si="2"/>
        <v>#N/A</v>
      </c>
      <c r="E54" s="40">
        <f t="shared" si="3"/>
        <v>-946</v>
      </c>
      <c r="H54" s="20"/>
      <c r="I54" s="20"/>
    </row>
    <row r="55" spans="1:9">
      <c r="A55" s="17" t="s">
        <v>79</v>
      </c>
      <c r="B55" s="82">
        <v>45291</v>
      </c>
      <c r="C55" s="81">
        <v>-957</v>
      </c>
      <c r="D55" s="40" t="e">
        <f t="shared" si="2"/>
        <v>#N/A</v>
      </c>
      <c r="E55" s="40">
        <f t="shared" si="3"/>
        <v>-957</v>
      </c>
      <c r="H55" s="20"/>
      <c r="I55" s="20"/>
    </row>
    <row r="56" spans="1:9">
      <c r="A56" s="17" t="s">
        <v>80</v>
      </c>
      <c r="B56" s="82">
        <v>45657</v>
      </c>
      <c r="C56" s="81">
        <v>-960</v>
      </c>
      <c r="D56" s="40" t="e">
        <f t="shared" si="2"/>
        <v>#N/A</v>
      </c>
      <c r="E56" s="40">
        <f t="shared" si="3"/>
        <v>-960</v>
      </c>
      <c r="H56" s="20"/>
      <c r="I56" s="20"/>
    </row>
    <row r="57" spans="1:9">
      <c r="B57" s="82"/>
      <c r="C57" s="81"/>
      <c r="D57" s="40"/>
      <c r="E57" s="40"/>
      <c r="H57" s="20"/>
      <c r="I57" s="20"/>
    </row>
    <row r="58" spans="1:9">
      <c r="A58" s="17" t="s">
        <v>266</v>
      </c>
      <c r="B58" s="82" t="s">
        <v>266</v>
      </c>
      <c r="C58" s="81" t="s">
        <v>266</v>
      </c>
      <c r="D58" s="40"/>
      <c r="E58" s="40"/>
      <c r="H58" s="20"/>
      <c r="I58" s="20"/>
    </row>
    <row r="59" spans="1:9">
      <c r="A59" s="17" t="s">
        <v>266</v>
      </c>
      <c r="B59" s="82" t="s">
        <v>266</v>
      </c>
      <c r="C59" s="81" t="s">
        <v>266</v>
      </c>
      <c r="D59" s="40"/>
      <c r="E59" s="40"/>
      <c r="H59" s="20"/>
      <c r="I59" s="20"/>
    </row>
    <row r="60" spans="1:9">
      <c r="A60" s="17" t="s">
        <v>266</v>
      </c>
      <c r="B60" s="82" t="s">
        <v>266</v>
      </c>
      <c r="C60" s="81" t="s">
        <v>266</v>
      </c>
      <c r="D60" s="40"/>
      <c r="E60" s="40"/>
      <c r="H60" s="20"/>
      <c r="I60" s="20"/>
    </row>
    <row r="61" spans="1:9">
      <c r="A61" s="17" t="s">
        <v>266</v>
      </c>
      <c r="B61" s="82" t="s">
        <v>266</v>
      </c>
      <c r="C61" s="81" t="s">
        <v>266</v>
      </c>
      <c r="D61" s="40"/>
      <c r="E61" s="40"/>
      <c r="H61" s="20"/>
      <c r="I61" s="20"/>
    </row>
    <row r="62" spans="1:9">
      <c r="B62" s="82"/>
      <c r="C62" s="81"/>
      <c r="D62" s="40"/>
      <c r="E62" s="40"/>
      <c r="H62" s="20"/>
      <c r="I62" s="20"/>
    </row>
    <row r="63" spans="1:9">
      <c r="B63" s="82"/>
      <c r="C63" s="81"/>
      <c r="D63" s="40"/>
      <c r="E63" s="40"/>
      <c r="H63" s="20"/>
      <c r="I63" s="20"/>
    </row>
    <row r="64" spans="1:9">
      <c r="B64" s="82"/>
      <c r="C64" s="81"/>
      <c r="D64" s="40"/>
      <c r="E64" s="40"/>
      <c r="H64" s="20"/>
      <c r="I64" s="20"/>
    </row>
    <row r="65" spans="1:9">
      <c r="B65" s="82"/>
      <c r="C65" s="81"/>
      <c r="D65" s="40"/>
      <c r="E65" s="40"/>
      <c r="H65" s="20"/>
      <c r="I65" s="20"/>
    </row>
    <row r="66" spans="1:9">
      <c r="B66" s="82"/>
      <c r="C66" s="81"/>
      <c r="D66" s="40"/>
      <c r="E66" s="40"/>
      <c r="I66" s="20"/>
    </row>
    <row r="67" spans="1:9">
      <c r="B67" s="82"/>
      <c r="C67" s="81"/>
      <c r="D67" s="40"/>
      <c r="E67" s="40"/>
      <c r="I67" s="20"/>
    </row>
    <row r="68" spans="1:9">
      <c r="B68" s="82"/>
      <c r="C68" s="81"/>
      <c r="D68" s="40"/>
      <c r="E68" s="40"/>
      <c r="I68" s="20"/>
    </row>
    <row r="69" spans="1:9">
      <c r="B69" s="82"/>
      <c r="C69" s="81"/>
      <c r="D69" s="40"/>
      <c r="E69" s="40"/>
      <c r="I69" s="20"/>
    </row>
    <row r="70" spans="1:9">
      <c r="B70" s="82"/>
      <c r="C70" s="81"/>
      <c r="D70" s="40"/>
      <c r="E70" s="40"/>
      <c r="I70" s="20"/>
    </row>
    <row r="71" spans="1:9">
      <c r="B71" s="82"/>
      <c r="C71" s="81"/>
      <c r="D71" s="40"/>
      <c r="E71" s="40"/>
      <c r="I71" s="20"/>
    </row>
    <row r="72" spans="1:9">
      <c r="A72" s="17" t="s">
        <v>266</v>
      </c>
      <c r="B72" s="27" t="s">
        <v>266</v>
      </c>
      <c r="C72" t="s">
        <v>266</v>
      </c>
    </row>
    <row r="73" spans="1:9">
      <c r="A73" s="17" t="s">
        <v>266</v>
      </c>
      <c r="B73" s="27" t="s">
        <v>266</v>
      </c>
      <c r="C73" t="s">
        <v>266</v>
      </c>
    </row>
    <row r="74" spans="1:9">
      <c r="A74" s="17" t="s">
        <v>266</v>
      </c>
      <c r="B74" s="27" t="s">
        <v>266</v>
      </c>
      <c r="C74" t="s">
        <v>266</v>
      </c>
    </row>
    <row r="75" spans="1:9">
      <c r="A75" s="17" t="s">
        <v>266</v>
      </c>
      <c r="B75" s="27" t="s">
        <v>266</v>
      </c>
      <c r="C75" t="s">
        <v>266</v>
      </c>
    </row>
    <row r="76" spans="1:9">
      <c r="A76" s="17" t="s">
        <v>266</v>
      </c>
      <c r="B76" s="27" t="s">
        <v>266</v>
      </c>
      <c r="C76" t="s">
        <v>266</v>
      </c>
    </row>
  </sheetData>
  <hyperlinks>
    <hyperlink ref="C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5" sqref="A5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448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439</v>
      </c>
      <c r="D5" t="s">
        <v>212</v>
      </c>
      <c r="E5" t="s">
        <v>213</v>
      </c>
    </row>
    <row r="6" spans="1:5">
      <c r="A6" s="23" t="s">
        <v>31</v>
      </c>
      <c r="B6" s="82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82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82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82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82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82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82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82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82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82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82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82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82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82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82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82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82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82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82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82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82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82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82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82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82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82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82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82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82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82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82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82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82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82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82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82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82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82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82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82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82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82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82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82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82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82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82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82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82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82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266</v>
      </c>
      <c r="B56" s="82" t="s">
        <v>266</v>
      </c>
      <c r="C56" s="26" t="s">
        <v>266</v>
      </c>
      <c r="D56" s="38"/>
      <c r="E56" s="40"/>
    </row>
    <row r="57" spans="1:5">
      <c r="A57" s="23" t="s">
        <v>266</v>
      </c>
      <c r="B57" s="82" t="s">
        <v>266</v>
      </c>
      <c r="C57" s="26" t="s">
        <v>266</v>
      </c>
      <c r="D57" s="38"/>
      <c r="E57" s="40"/>
    </row>
    <row r="58" spans="1:5">
      <c r="A58" s="23" t="s">
        <v>266</v>
      </c>
      <c r="B58" s="82" t="s">
        <v>266</v>
      </c>
      <c r="C58" s="26" t="s">
        <v>266</v>
      </c>
      <c r="D58" s="38"/>
      <c r="E58" s="40"/>
    </row>
    <row r="59" spans="1:5">
      <c r="A59" s="23" t="s">
        <v>266</v>
      </c>
      <c r="B59" s="82" t="s">
        <v>266</v>
      </c>
      <c r="C59" s="26" t="s">
        <v>266</v>
      </c>
      <c r="D59" s="38"/>
      <c r="E59" s="40"/>
    </row>
    <row r="60" spans="1:5">
      <c r="A60" s="23" t="s">
        <v>266</v>
      </c>
      <c r="B60" s="82" t="s">
        <v>266</v>
      </c>
      <c r="C60" s="26" t="s">
        <v>266</v>
      </c>
      <c r="D60" s="38"/>
      <c r="E60" s="40"/>
    </row>
    <row r="61" spans="1:5">
      <c r="B61" s="82"/>
      <c r="C61" s="26"/>
      <c r="D61" s="38"/>
      <c r="E61" s="40"/>
    </row>
    <row r="62" spans="1:5">
      <c r="B62" s="82"/>
      <c r="C62" s="26"/>
      <c r="D62" s="38"/>
      <c r="E62" s="40"/>
    </row>
    <row r="63" spans="1:5">
      <c r="B63" s="82"/>
      <c r="C63" s="26"/>
      <c r="D63" s="38"/>
      <c r="E63" s="40"/>
    </row>
    <row r="64" spans="1:5">
      <c r="B64" s="82"/>
      <c r="C64" s="26"/>
      <c r="D64" s="38"/>
      <c r="E64" s="40"/>
    </row>
    <row r="65" spans="2:5">
      <c r="B65" s="82"/>
      <c r="C65" s="26"/>
      <c r="D65" s="38"/>
      <c r="E65" s="40"/>
    </row>
    <row r="66" spans="2:5">
      <c r="B66" s="82"/>
      <c r="C66" s="26"/>
      <c r="D66" s="38"/>
      <c r="E66" s="40"/>
    </row>
    <row r="67" spans="2:5">
      <c r="B67" s="82"/>
      <c r="C67" s="26"/>
      <c r="D67" s="38"/>
      <c r="E67" s="40"/>
    </row>
    <row r="68" spans="2:5">
      <c r="B68" s="82"/>
      <c r="C68" s="26"/>
      <c r="D68" s="38"/>
      <c r="E68" s="40"/>
    </row>
    <row r="69" spans="2:5">
      <c r="B69" s="82"/>
      <c r="C69" s="26"/>
      <c r="D69" s="38"/>
      <c r="E69" s="40"/>
    </row>
    <row r="70" spans="2:5">
      <c r="B70" s="82"/>
      <c r="C70" s="26"/>
      <c r="D70" s="38"/>
      <c r="E70" s="40"/>
    </row>
    <row r="71" spans="2:5">
      <c r="B71" s="82"/>
      <c r="C71" s="26"/>
      <c r="D71" s="38"/>
      <c r="E71" s="40"/>
    </row>
    <row r="72" spans="2:5">
      <c r="B72" s="82"/>
      <c r="C72" s="26"/>
      <c r="D72" s="38"/>
      <c r="E72" s="40"/>
    </row>
    <row r="73" spans="2:5">
      <c r="B73" s="82"/>
      <c r="C73" s="26"/>
      <c r="D73" s="38"/>
      <c r="E73" s="40"/>
    </row>
    <row r="74" spans="2:5">
      <c r="B74" s="82"/>
      <c r="C74" s="26"/>
      <c r="D74" s="38"/>
      <c r="E74" s="40"/>
    </row>
    <row r="75" spans="2:5">
      <c r="B75" s="82"/>
      <c r="C75" s="26"/>
      <c r="D75" s="38"/>
      <c r="E75" s="40"/>
    </row>
    <row r="76" spans="2:5">
      <c r="B76" s="82"/>
      <c r="C76" s="26"/>
      <c r="D76" s="38"/>
      <c r="E76" s="40"/>
    </row>
    <row r="77" spans="2:5">
      <c r="B77" s="82"/>
      <c r="C77" s="26"/>
      <c r="D77" s="38"/>
      <c r="E77" s="40"/>
    </row>
    <row r="78" spans="2:5">
      <c r="B78" s="82"/>
      <c r="C78" s="26"/>
      <c r="D78" s="38"/>
      <c r="E78" s="40"/>
    </row>
    <row r="79" spans="2:5">
      <c r="B79" s="82"/>
      <c r="C79" s="26"/>
      <c r="D79" s="38"/>
      <c r="E79" s="40"/>
    </row>
    <row r="80" spans="2:5">
      <c r="B80" s="82"/>
      <c r="C80" s="26"/>
      <c r="D80" s="38"/>
      <c r="E80" s="40"/>
    </row>
    <row r="81" spans="2:5">
      <c r="B81" s="82"/>
      <c r="C81" s="26"/>
      <c r="D81" s="38"/>
      <c r="E81" s="40"/>
    </row>
    <row r="82" spans="2:5">
      <c r="B82" s="82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6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433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7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445</v>
      </c>
      <c r="D3" s="6" t="s">
        <v>446</v>
      </c>
      <c r="E3" s="6" t="s">
        <v>446</v>
      </c>
      <c r="F3" s="6" t="s">
        <v>446</v>
      </c>
      <c r="G3" s="108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8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8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8"/>
      <c r="H6" s="6" t="s">
        <v>447</v>
      </c>
      <c r="I6" s="7" t="s">
        <v>29</v>
      </c>
    </row>
    <row r="7" spans="1:10">
      <c r="A7" s="2" t="s">
        <v>30</v>
      </c>
      <c r="B7" s="85">
        <v>27394</v>
      </c>
      <c r="C7" s="86" t="e">
        <v>#N/A</v>
      </c>
      <c r="D7" s="87" t="e">
        <v>#N/A</v>
      </c>
      <c r="E7" s="87" t="e">
        <v>#N/A</v>
      </c>
      <c r="F7" s="87" t="e">
        <v>#N/A</v>
      </c>
      <c r="G7" s="109">
        <v>0.99515542995559136</v>
      </c>
      <c r="H7" s="88">
        <v>3.7</v>
      </c>
      <c r="I7" s="88">
        <v>1.4430000000000001</v>
      </c>
      <c r="J7" s="111">
        <v>11.985844570044407</v>
      </c>
    </row>
    <row r="8" spans="1:10">
      <c r="A8" s="2" t="s">
        <v>31</v>
      </c>
      <c r="B8" s="85">
        <v>27759</v>
      </c>
      <c r="C8" s="86" t="e">
        <v>#N/A</v>
      </c>
      <c r="D8" s="87" t="e">
        <v>#N/A</v>
      </c>
      <c r="E8" s="87" t="e">
        <v>#N/A</v>
      </c>
      <c r="F8" s="87" t="e">
        <v>#N/A</v>
      </c>
      <c r="G8" s="109">
        <v>1.1830373773748915</v>
      </c>
      <c r="H8" s="88">
        <v>3.9460000000000002</v>
      </c>
      <c r="I8" s="88">
        <v>1.4430000000000001</v>
      </c>
      <c r="J8" s="111">
        <v>14.061962622625108</v>
      </c>
    </row>
    <row r="9" spans="1:10">
      <c r="A9" s="2" t="s">
        <v>32</v>
      </c>
      <c r="B9" s="85">
        <v>28125</v>
      </c>
      <c r="C9" s="86" t="e">
        <v>#N/A</v>
      </c>
      <c r="D9" s="87" t="e">
        <v>#N/A</v>
      </c>
      <c r="E9" s="87" t="e">
        <v>#N/A</v>
      </c>
      <c r="F9" s="87" t="e">
        <v>#N/A</v>
      </c>
      <c r="G9" s="109">
        <v>1.3162782254122969</v>
      </c>
      <c r="H9" s="88">
        <v>4.0609999999999999</v>
      </c>
      <c r="I9" s="88">
        <v>1.4930000000000001</v>
      </c>
      <c r="J9" s="111">
        <v>13.896721774587704</v>
      </c>
    </row>
    <row r="10" spans="1:10">
      <c r="A10" s="2" t="s">
        <v>33</v>
      </c>
      <c r="B10" s="85">
        <v>28490</v>
      </c>
      <c r="C10" s="86" t="e">
        <v>#N/A</v>
      </c>
      <c r="D10" s="87" t="e">
        <v>#N/A</v>
      </c>
      <c r="E10" s="87" t="e">
        <v>#N/A</v>
      </c>
      <c r="F10" s="87" t="e">
        <v>#N/A</v>
      </c>
      <c r="G10" s="109">
        <v>1.4026992050286557</v>
      </c>
      <c r="H10" s="88">
        <v>4.1260000000000003</v>
      </c>
      <c r="I10" s="88">
        <v>1.474</v>
      </c>
      <c r="J10" s="111">
        <v>13.172300794971344</v>
      </c>
    </row>
    <row r="11" spans="1:10">
      <c r="A11" s="2" t="s">
        <v>34</v>
      </c>
      <c r="B11" s="85">
        <v>28855</v>
      </c>
      <c r="C11" s="86" t="e">
        <v>#N/A</v>
      </c>
      <c r="D11" s="87" t="e">
        <v>#N/A</v>
      </c>
      <c r="E11" s="87" t="e">
        <v>#N/A</v>
      </c>
      <c r="F11" s="87" t="e">
        <v>#N/A</v>
      </c>
      <c r="G11" s="109">
        <v>1.4270759033897003</v>
      </c>
      <c r="H11" s="88">
        <v>4.0579999999999998</v>
      </c>
      <c r="I11" s="88">
        <v>1.556</v>
      </c>
      <c r="J11" s="111">
        <v>13.094924096610299</v>
      </c>
    </row>
    <row r="12" spans="1:10">
      <c r="A12" s="2" t="s">
        <v>35</v>
      </c>
      <c r="B12" s="85">
        <v>29220</v>
      </c>
      <c r="C12" s="86" t="e">
        <v>#N/A</v>
      </c>
      <c r="D12" s="87" t="e">
        <v>#N/A</v>
      </c>
      <c r="E12" s="87" t="e">
        <v>#N/A</v>
      </c>
      <c r="F12" s="87" t="e">
        <v>#N/A</v>
      </c>
      <c r="G12" s="109">
        <v>1.4752385677182129</v>
      </c>
      <c r="H12" s="88">
        <v>3.992</v>
      </c>
      <c r="I12" s="88">
        <v>1.659</v>
      </c>
      <c r="J12" s="111">
        <v>12.485761432281786</v>
      </c>
    </row>
    <row r="13" spans="1:10">
      <c r="A13" s="2" t="s">
        <v>36</v>
      </c>
      <c r="B13" s="85">
        <v>29586</v>
      </c>
      <c r="C13" s="86" t="e">
        <v>#N/A</v>
      </c>
      <c r="D13" s="87" t="e">
        <v>#N/A</v>
      </c>
      <c r="E13" s="87" t="e">
        <v>#N/A</v>
      </c>
      <c r="F13" s="87" t="e">
        <v>#N/A</v>
      </c>
      <c r="G13" s="109">
        <v>1.6078161453817341</v>
      </c>
      <c r="H13" s="88">
        <v>4.1849999999999996</v>
      </c>
      <c r="I13" s="88">
        <v>1.8779999999999999</v>
      </c>
      <c r="J13" s="111">
        <v>13.458183854618268</v>
      </c>
    </row>
    <row r="14" spans="1:10">
      <c r="A14" s="2" t="s">
        <v>37</v>
      </c>
      <c r="B14" s="85">
        <v>29951</v>
      </c>
      <c r="C14" s="86" t="e">
        <v>#N/A</v>
      </c>
      <c r="D14" s="87" t="e">
        <v>#N/A</v>
      </c>
      <c r="E14" s="87" t="e">
        <v>#N/A</v>
      </c>
      <c r="F14" s="87" t="e">
        <v>#N/A</v>
      </c>
      <c r="G14" s="109">
        <v>1.7448242350860701</v>
      </c>
      <c r="H14" s="88">
        <v>4.3929999999999998</v>
      </c>
      <c r="I14" s="88">
        <v>2.1909999999999998</v>
      </c>
      <c r="J14" s="111">
        <v>13.28217576491393</v>
      </c>
    </row>
    <row r="15" spans="1:10">
      <c r="A15" s="2" t="s">
        <v>38</v>
      </c>
      <c r="B15" s="85">
        <v>30316</v>
      </c>
      <c r="C15" s="86" t="e">
        <v>#N/A</v>
      </c>
      <c r="D15" s="87" t="e">
        <v>#N/A</v>
      </c>
      <c r="E15" s="87" t="e">
        <v>#N/A</v>
      </c>
      <c r="F15" s="87" t="e">
        <v>#N/A</v>
      </c>
      <c r="G15" s="109">
        <v>1.8921067917952274</v>
      </c>
      <c r="H15" s="88">
        <v>4.6449999999999996</v>
      </c>
      <c r="I15" s="88">
        <v>2.5659999999999998</v>
      </c>
      <c r="J15" s="111">
        <v>13.399893208204775</v>
      </c>
    </row>
    <row r="16" spans="1:10">
      <c r="A16" s="2" t="s">
        <v>39</v>
      </c>
      <c r="B16" s="85">
        <v>30681</v>
      </c>
      <c r="C16" s="86" t="e">
        <v>#N/A</v>
      </c>
      <c r="D16" s="87" t="e">
        <v>#N/A</v>
      </c>
      <c r="E16" s="87" t="e">
        <v>#N/A</v>
      </c>
      <c r="F16" s="87" t="e">
        <v>#N/A</v>
      </c>
      <c r="G16" s="109">
        <v>1.9833100351590627</v>
      </c>
      <c r="H16" s="88">
        <v>4.7590000000000003</v>
      </c>
      <c r="I16" s="88">
        <v>2.536</v>
      </c>
      <c r="J16" s="111">
        <v>13.549689964840935</v>
      </c>
    </row>
    <row r="17" spans="1:10">
      <c r="A17" s="2" t="s">
        <v>40</v>
      </c>
      <c r="B17" s="85">
        <v>31047</v>
      </c>
      <c r="C17" s="86" t="e">
        <v>#N/A</v>
      </c>
      <c r="D17" s="87" t="e">
        <v>#N/A</v>
      </c>
      <c r="E17" s="87" t="e">
        <v>#N/A</v>
      </c>
      <c r="F17" s="87" t="e">
        <v>#N/A</v>
      </c>
      <c r="G17" s="109">
        <v>1.9244464402041577</v>
      </c>
      <c r="H17" s="88">
        <v>4.4539999999999997</v>
      </c>
      <c r="I17" s="88">
        <v>2.8109999999999999</v>
      </c>
      <c r="J17" s="111">
        <v>12.359553559795842</v>
      </c>
    </row>
    <row r="18" spans="1:10">
      <c r="A18" s="2" t="s">
        <v>41</v>
      </c>
      <c r="B18" s="85">
        <v>31412</v>
      </c>
      <c r="C18" s="86" t="e">
        <v>#N/A</v>
      </c>
      <c r="D18" s="87" t="e">
        <v>#N/A</v>
      </c>
      <c r="E18" s="87" t="e">
        <v>#N/A</v>
      </c>
      <c r="F18" s="87" t="e">
        <v>#N/A</v>
      </c>
      <c r="G18" s="109">
        <v>2.0312501829464629</v>
      </c>
      <c r="H18" s="88">
        <v>4.3659999999999997</v>
      </c>
      <c r="I18" s="88">
        <v>3.032</v>
      </c>
      <c r="J18" s="111">
        <v>12.731749817053538</v>
      </c>
    </row>
    <row r="19" spans="1:10">
      <c r="A19" s="2" t="s">
        <v>42</v>
      </c>
      <c r="B19" s="85">
        <v>31777</v>
      </c>
      <c r="C19" s="86" t="e">
        <v>#N/A</v>
      </c>
      <c r="D19" s="87" t="e">
        <v>#N/A</v>
      </c>
      <c r="E19" s="87" t="e">
        <v>#N/A</v>
      </c>
      <c r="F19" s="87" t="e">
        <v>#N/A</v>
      </c>
      <c r="G19" s="109">
        <v>2.0599420200394616</v>
      </c>
      <c r="H19" s="88">
        <v>4.3330000000000002</v>
      </c>
      <c r="I19" s="88">
        <v>2.9990000000000001</v>
      </c>
      <c r="J19" s="111">
        <v>12.44205797996054</v>
      </c>
    </row>
    <row r="20" spans="1:10">
      <c r="A20" s="2" t="s">
        <v>43</v>
      </c>
      <c r="B20" s="85">
        <v>32142</v>
      </c>
      <c r="C20" s="86" t="e">
        <v>#N/A</v>
      </c>
      <c r="D20" s="87" t="e">
        <v>#N/A</v>
      </c>
      <c r="E20" s="87" t="e">
        <v>#N/A</v>
      </c>
      <c r="F20" s="87" t="e">
        <v>#N/A</v>
      </c>
      <c r="G20" s="109">
        <v>2.1085452881976217</v>
      </c>
      <c r="H20" s="88">
        <v>4.2889999999999997</v>
      </c>
      <c r="I20" s="88">
        <v>2.899</v>
      </c>
      <c r="J20" s="111">
        <v>11.699454711802376</v>
      </c>
    </row>
    <row r="21" spans="1:10">
      <c r="A21" s="2" t="s">
        <v>44</v>
      </c>
      <c r="B21" s="85">
        <v>32508</v>
      </c>
      <c r="C21" s="86" t="e">
        <v>#N/A</v>
      </c>
      <c r="D21" s="87" t="e">
        <v>#N/A</v>
      </c>
      <c r="E21" s="87" t="e">
        <v>#N/A</v>
      </c>
      <c r="F21" s="87" t="e">
        <v>#N/A</v>
      </c>
      <c r="G21" s="109">
        <v>2.0827429014815357</v>
      </c>
      <c r="H21" s="88">
        <v>4.2060000000000004</v>
      </c>
      <c r="I21" s="88">
        <v>2.9449999999999998</v>
      </c>
      <c r="J21" s="111">
        <v>11.414257098518464</v>
      </c>
    </row>
    <row r="22" spans="1:10">
      <c r="A22" s="2" t="s">
        <v>45</v>
      </c>
      <c r="B22" s="85">
        <v>32873</v>
      </c>
      <c r="C22" s="86" t="e">
        <v>#N/A</v>
      </c>
      <c r="D22" s="87" t="e">
        <v>#N/A</v>
      </c>
      <c r="E22" s="87" t="e">
        <v>#N/A</v>
      </c>
      <c r="F22" s="87" t="e">
        <v>#N/A</v>
      </c>
      <c r="G22" s="109">
        <v>2.1061853958051873</v>
      </c>
      <c r="H22" s="88">
        <v>4.1360000000000001</v>
      </c>
      <c r="I22" s="88">
        <v>3.0339999999999998</v>
      </c>
      <c r="J22" s="111">
        <v>11.257814604194813</v>
      </c>
    </row>
    <row r="23" spans="1:10">
      <c r="A23" s="2" t="s">
        <v>46</v>
      </c>
      <c r="B23" s="85">
        <v>33238</v>
      </c>
      <c r="C23" s="86" t="e">
        <v>#N/A</v>
      </c>
      <c r="D23" s="87" t="e">
        <v>#N/A</v>
      </c>
      <c r="E23" s="87" t="e">
        <v>#N/A</v>
      </c>
      <c r="F23" s="87" t="e">
        <v>#N/A</v>
      </c>
      <c r="G23" s="109">
        <v>2.2999999999999998</v>
      </c>
      <c r="H23" s="88">
        <v>4.1680000000000001</v>
      </c>
      <c r="I23" s="88">
        <v>3.117</v>
      </c>
      <c r="J23" s="111">
        <v>11.585277471331413</v>
      </c>
    </row>
    <row r="24" spans="1:10">
      <c r="A24" s="2" t="s">
        <v>47</v>
      </c>
      <c r="B24" s="85">
        <v>33603</v>
      </c>
      <c r="C24" s="86" t="e">
        <v>#N/A</v>
      </c>
      <c r="D24" s="87" t="e">
        <v>#N/A</v>
      </c>
      <c r="E24" s="87" t="e">
        <v>#N/A</v>
      </c>
      <c r="F24" s="87" t="e">
        <v>#N/A</v>
      </c>
      <c r="G24" s="109">
        <v>2.5299078154344707</v>
      </c>
      <c r="H24" s="88">
        <v>4.3659999999999997</v>
      </c>
      <c r="I24" s="88">
        <v>3.1819999999999999</v>
      </c>
      <c r="J24" s="111">
        <v>11.59509218456553</v>
      </c>
    </row>
    <row r="25" spans="1:10">
      <c r="A25" s="2" t="s">
        <v>48</v>
      </c>
      <c r="B25" s="85">
        <v>33969</v>
      </c>
      <c r="C25" s="86" t="e">
        <v>#N/A</v>
      </c>
      <c r="D25" s="87" t="e">
        <v>#N/A</v>
      </c>
      <c r="E25" s="87" t="e">
        <v>#N/A</v>
      </c>
      <c r="F25" s="87" t="e">
        <v>#N/A</v>
      </c>
      <c r="G25" s="109">
        <v>2.8595627629774385</v>
      </c>
      <c r="H25" s="88">
        <v>4.4320000000000004</v>
      </c>
      <c r="I25" s="88">
        <v>3.0979999999999999</v>
      </c>
      <c r="J25" s="111">
        <v>11.080437237022561</v>
      </c>
    </row>
    <row r="26" spans="1:10">
      <c r="A26" s="2" t="s">
        <v>49</v>
      </c>
      <c r="B26" s="85">
        <v>34334</v>
      </c>
      <c r="C26" s="86" t="e">
        <v>#N/A</v>
      </c>
      <c r="D26" s="87" t="e">
        <v>#N/A</v>
      </c>
      <c r="E26" s="87" t="e">
        <v>#N/A</v>
      </c>
      <c r="F26" s="87" t="e">
        <v>#N/A</v>
      </c>
      <c r="G26" s="109">
        <v>2.9974944351441342</v>
      </c>
      <c r="H26" s="88">
        <v>4.444</v>
      </c>
      <c r="I26" s="88">
        <v>2.9239999999999999</v>
      </c>
      <c r="J26" s="111">
        <v>10.376505564855869</v>
      </c>
    </row>
    <row r="27" spans="1:10">
      <c r="A27" s="2" t="s">
        <v>50</v>
      </c>
      <c r="B27" s="85">
        <v>34699</v>
      </c>
      <c r="C27" s="86" t="e">
        <v>#N/A</v>
      </c>
      <c r="D27" s="87" t="e">
        <v>#N/A</v>
      </c>
      <c r="E27" s="87" t="e">
        <v>#N/A</v>
      </c>
      <c r="F27" s="87" t="e">
        <v>#N/A</v>
      </c>
      <c r="G27" s="109">
        <v>3.1102358375881352</v>
      </c>
      <c r="H27" s="88">
        <v>4.4029999999999996</v>
      </c>
      <c r="I27" s="88">
        <v>2.819</v>
      </c>
      <c r="J27" s="111">
        <v>9.9757641624118669</v>
      </c>
    </row>
    <row r="28" spans="1:10">
      <c r="A28" s="2" t="s">
        <v>51</v>
      </c>
      <c r="B28" s="85">
        <v>35064</v>
      </c>
      <c r="C28" s="86" t="e">
        <v>#N/A</v>
      </c>
      <c r="D28" s="87" t="e">
        <v>#N/A</v>
      </c>
      <c r="E28" s="87" t="e">
        <v>#N/A</v>
      </c>
      <c r="F28" s="87" t="e">
        <v>#N/A</v>
      </c>
      <c r="G28" s="109">
        <v>3.2433530146736427</v>
      </c>
      <c r="H28" s="88">
        <v>4.3949999999999996</v>
      </c>
      <c r="I28" s="88">
        <v>3.0609999999999999</v>
      </c>
      <c r="J28" s="111">
        <v>9.2886469853263574</v>
      </c>
    </row>
    <row r="29" spans="1:10">
      <c r="A29" s="2" t="s">
        <v>52</v>
      </c>
      <c r="B29" s="85">
        <v>35430</v>
      </c>
      <c r="C29" s="86" t="e">
        <v>#N/A</v>
      </c>
      <c r="D29" s="87" t="e">
        <v>#N/A</v>
      </c>
      <c r="E29" s="87" t="e">
        <v>#N/A</v>
      </c>
      <c r="F29" s="87" t="e">
        <v>#N/A</v>
      </c>
      <c r="G29" s="109">
        <v>3.299735845154498</v>
      </c>
      <c r="H29" s="88">
        <v>4.3499999999999996</v>
      </c>
      <c r="I29" s="88">
        <v>3.0209999999999999</v>
      </c>
      <c r="J29" s="111">
        <v>8.888264154845503</v>
      </c>
    </row>
    <row r="30" spans="1:10">
      <c r="A30" s="2" t="s">
        <v>53</v>
      </c>
      <c r="B30" s="85">
        <v>35795</v>
      </c>
      <c r="C30" s="86" t="e">
        <v>#N/A</v>
      </c>
      <c r="D30" s="87" t="e">
        <v>#N/A</v>
      </c>
      <c r="E30" s="87" t="e">
        <v>#N/A</v>
      </c>
      <c r="F30" s="87" t="e">
        <v>#N/A</v>
      </c>
      <c r="G30" s="109">
        <v>3.335942427046557</v>
      </c>
      <c r="H30" s="88">
        <v>4.2709999999999999</v>
      </c>
      <c r="I30" s="88">
        <v>2.8759999999999999</v>
      </c>
      <c r="J30" s="111">
        <v>8.3910575729534429</v>
      </c>
    </row>
    <row r="31" spans="1:10">
      <c r="A31" s="2" t="s">
        <v>54</v>
      </c>
      <c r="B31" s="85">
        <v>36160</v>
      </c>
      <c r="C31" s="86" t="e">
        <v>#N/A</v>
      </c>
      <c r="D31" s="87" t="e">
        <v>#N/A</v>
      </c>
      <c r="E31" s="87" t="e">
        <v>#N/A</v>
      </c>
      <c r="F31" s="87" t="e">
        <v>#N/A</v>
      </c>
      <c r="G31" s="109">
        <v>3.2549247331040334</v>
      </c>
      <c r="H31" s="88">
        <v>4.2</v>
      </c>
      <c r="I31" s="88">
        <v>2.6930000000000001</v>
      </c>
      <c r="J31" s="111">
        <v>8.3050752668959653</v>
      </c>
    </row>
    <row r="32" spans="1:10">
      <c r="A32" s="2" t="s">
        <v>55</v>
      </c>
      <c r="B32" s="85">
        <v>36525</v>
      </c>
      <c r="C32" s="86" t="e">
        <v>#N/A</v>
      </c>
      <c r="D32" s="87" t="e">
        <v>#N/A</v>
      </c>
      <c r="E32" s="87" t="e">
        <v>#N/A</v>
      </c>
      <c r="F32" s="87" t="e">
        <v>#N/A</v>
      </c>
      <c r="G32" s="109">
        <v>3.1143601157238918</v>
      </c>
      <c r="H32" s="88">
        <v>4.0679999999999996</v>
      </c>
      <c r="I32" s="88">
        <v>2.415</v>
      </c>
      <c r="J32" s="111">
        <v>8.2906398842761106</v>
      </c>
    </row>
    <row r="33" spans="1:10">
      <c r="A33" s="2" t="s">
        <v>56</v>
      </c>
      <c r="B33" s="85">
        <v>36891</v>
      </c>
      <c r="C33" s="86" t="e">
        <v>#N/A</v>
      </c>
      <c r="D33" s="87" t="e">
        <v>#N/A</v>
      </c>
      <c r="E33" s="87" t="e">
        <v>#N/A</v>
      </c>
      <c r="F33" s="87" t="e">
        <v>#N/A</v>
      </c>
      <c r="G33" s="109">
        <v>3.0850578221829381</v>
      </c>
      <c r="H33" s="88">
        <v>3.9990000000000001</v>
      </c>
      <c r="I33" s="88">
        <v>2.1960000000000002</v>
      </c>
      <c r="J33" s="111">
        <v>8.3379421778170606</v>
      </c>
    </row>
    <row r="34" spans="1:10">
      <c r="A34" s="2" t="s">
        <v>57</v>
      </c>
      <c r="B34" s="85">
        <v>37256</v>
      </c>
      <c r="C34" s="86" t="e">
        <v>#N/A</v>
      </c>
      <c r="D34" s="87" t="e">
        <v>#N/A</v>
      </c>
      <c r="E34" s="87" t="e">
        <v>#N/A</v>
      </c>
      <c r="F34" s="87" t="e">
        <v>#N/A</v>
      </c>
      <c r="G34" s="109">
        <v>3.2846332353212522</v>
      </c>
      <c r="H34" s="88">
        <v>4.0629999999999997</v>
      </c>
      <c r="I34" s="88">
        <v>1.9510000000000001</v>
      </c>
      <c r="J34" s="111">
        <v>8.3283667646787478</v>
      </c>
    </row>
    <row r="35" spans="1:10">
      <c r="A35" s="2" t="s">
        <v>58</v>
      </c>
      <c r="B35" s="85">
        <v>37621</v>
      </c>
      <c r="C35" s="86" t="e">
        <v>#N/A</v>
      </c>
      <c r="D35" s="87" t="e">
        <v>#N/A</v>
      </c>
      <c r="E35" s="87" t="e">
        <v>#N/A</v>
      </c>
      <c r="F35" s="87" t="e">
        <v>#N/A</v>
      </c>
      <c r="G35" s="109">
        <v>3.482648479472767</v>
      </c>
      <c r="H35" s="88">
        <v>4.1550000000000002</v>
      </c>
      <c r="I35" s="88">
        <v>1.571</v>
      </c>
      <c r="J35" s="111">
        <v>9.2743515205272313</v>
      </c>
    </row>
    <row r="36" spans="1:10">
      <c r="A36" s="2" t="s">
        <v>59</v>
      </c>
      <c r="B36" s="85">
        <v>37986</v>
      </c>
      <c r="C36" s="86" t="e">
        <v>#N/A</v>
      </c>
      <c r="D36" s="87" t="e">
        <v>#N/A</v>
      </c>
      <c r="E36" s="87" t="e">
        <v>#N/A</v>
      </c>
      <c r="F36" s="87" t="e">
        <v>#N/A</v>
      </c>
      <c r="G36" s="109">
        <v>3.6240893059204211</v>
      </c>
      <c r="H36" s="88">
        <v>4.1509999999999998</v>
      </c>
      <c r="I36" s="88">
        <v>1.351</v>
      </c>
      <c r="J36" s="111">
        <v>9.9309106940795786</v>
      </c>
    </row>
    <row r="37" spans="1:10">
      <c r="A37" s="2" t="s">
        <v>60</v>
      </c>
      <c r="B37" s="85">
        <v>38352</v>
      </c>
      <c r="C37" s="86" t="e">
        <v>#N/A</v>
      </c>
      <c r="D37" s="87" t="e">
        <v>#N/A</v>
      </c>
      <c r="E37" s="87" t="e">
        <v>#N/A</v>
      </c>
      <c r="F37" s="87" t="e">
        <v>#N/A</v>
      </c>
      <c r="G37" s="109">
        <v>3.6865359325762777</v>
      </c>
      <c r="H37" s="88">
        <v>4.0650000000000004</v>
      </c>
      <c r="I37" s="88">
        <v>1.325</v>
      </c>
      <c r="J37" s="111">
        <v>9.8874640674237213</v>
      </c>
    </row>
    <row r="38" spans="1:10">
      <c r="A38" s="2" t="s">
        <v>61</v>
      </c>
      <c r="B38" s="85">
        <v>38717</v>
      </c>
      <c r="C38" s="86" t="e">
        <v>#N/A</v>
      </c>
      <c r="D38" s="87" t="e">
        <v>#N/A</v>
      </c>
      <c r="E38" s="87" t="e">
        <v>#N/A</v>
      </c>
      <c r="F38" s="87" t="e">
        <v>#N/A</v>
      </c>
      <c r="G38" s="109">
        <v>3.7328352940720144</v>
      </c>
      <c r="H38" s="88">
        <v>4.024</v>
      </c>
      <c r="I38" s="88">
        <v>1.427</v>
      </c>
      <c r="J38" s="111">
        <v>9.9931647059279847</v>
      </c>
    </row>
    <row r="39" spans="1:10">
      <c r="A39" s="2" t="s">
        <v>62</v>
      </c>
      <c r="B39" s="85">
        <v>39082</v>
      </c>
      <c r="C39" s="86" t="e">
        <v>#N/A</v>
      </c>
      <c r="D39" s="87" t="e">
        <v>#N/A</v>
      </c>
      <c r="E39" s="87" t="e">
        <v>#N/A</v>
      </c>
      <c r="F39" s="87" t="e">
        <v>#N/A</v>
      </c>
      <c r="G39" s="109">
        <v>3.7332432210278284</v>
      </c>
      <c r="H39" s="88">
        <v>3.9740000000000002</v>
      </c>
      <c r="I39" s="88">
        <v>1.6559999999999999</v>
      </c>
      <c r="J39" s="111">
        <v>10.035756778972173</v>
      </c>
    </row>
    <row r="40" spans="1:10">
      <c r="A40" s="2" t="s">
        <v>63</v>
      </c>
      <c r="B40" s="85">
        <v>39447</v>
      </c>
      <c r="C40" s="86" t="e">
        <v>#N/A</v>
      </c>
      <c r="D40" s="87" t="e">
        <v>#N/A</v>
      </c>
      <c r="E40" s="87" t="e">
        <v>#N/A</v>
      </c>
      <c r="F40" s="87" t="e">
        <v>#N/A</v>
      </c>
      <c r="G40" s="109">
        <v>3.9609143487411824</v>
      </c>
      <c r="H40" s="88">
        <v>4.0590000000000002</v>
      </c>
      <c r="I40" s="88">
        <v>1.655</v>
      </c>
      <c r="J40" s="111">
        <v>9.3730856512588137</v>
      </c>
    </row>
    <row r="41" spans="1:10">
      <c r="A41" s="2" t="s">
        <v>64</v>
      </c>
      <c r="B41" s="85">
        <v>39813</v>
      </c>
      <c r="C41" s="86" t="e">
        <v>#N/A</v>
      </c>
      <c r="D41" s="87" t="e">
        <v>#N/A</v>
      </c>
      <c r="E41" s="87" t="e">
        <v>#N/A</v>
      </c>
      <c r="F41" s="87" t="e">
        <v>#N/A</v>
      </c>
      <c r="G41" s="109">
        <v>4.0264297924753025</v>
      </c>
      <c r="H41" s="88">
        <v>4.1479999999999997</v>
      </c>
      <c r="I41" s="88">
        <v>1.7130000000000001</v>
      </c>
      <c r="J41" s="111">
        <v>10.324570207524697</v>
      </c>
    </row>
    <row r="42" spans="1:10">
      <c r="A42" s="2" t="s">
        <v>65</v>
      </c>
      <c r="B42" s="85">
        <v>40178</v>
      </c>
      <c r="C42" s="86" t="e">
        <v>#N/A</v>
      </c>
      <c r="D42" s="87" t="e">
        <v>#N/A</v>
      </c>
      <c r="E42" s="87" t="e">
        <v>#N/A</v>
      </c>
      <c r="F42" s="87" t="e">
        <v>#N/A</v>
      </c>
      <c r="G42" s="109">
        <v>4.7425070766498312</v>
      </c>
      <c r="H42" s="88">
        <v>4.702</v>
      </c>
      <c r="I42" s="88">
        <v>1.2969999999999999</v>
      </c>
      <c r="J42" s="111">
        <v>13.663492923350168</v>
      </c>
    </row>
    <row r="43" spans="1:10">
      <c r="A43" s="2" t="s">
        <v>66</v>
      </c>
      <c r="B43" s="85">
        <v>40543</v>
      </c>
      <c r="C43" s="86" t="e">
        <v>#N/A</v>
      </c>
      <c r="D43" s="87" t="e">
        <v>#N/A</v>
      </c>
      <c r="E43" s="87" t="e">
        <v>#N/A</v>
      </c>
      <c r="F43" s="87" t="e">
        <v>#N/A</v>
      </c>
      <c r="G43" s="109">
        <v>4.9159376394391332</v>
      </c>
      <c r="H43" s="88">
        <v>4.7380000000000004</v>
      </c>
      <c r="I43" s="88">
        <v>1.3260000000000001</v>
      </c>
      <c r="J43" s="111">
        <v>12.392062360560868</v>
      </c>
    </row>
    <row r="44" spans="1:10">
      <c r="A44" s="2" t="s">
        <v>67</v>
      </c>
      <c r="B44" s="85">
        <v>40908</v>
      </c>
      <c r="C44" s="86" t="e">
        <v>#N/A</v>
      </c>
      <c r="D44" s="87" t="e">
        <v>#N/A</v>
      </c>
      <c r="E44" s="87" t="e">
        <v>#N/A</v>
      </c>
      <c r="F44" s="87" t="e">
        <v>#N/A</v>
      </c>
      <c r="G44" s="109">
        <v>4.9622166656105851</v>
      </c>
      <c r="H44" s="88">
        <v>4.7110000000000003</v>
      </c>
      <c r="I44" s="88">
        <v>1.4950000000000001</v>
      </c>
      <c r="J44" s="111">
        <v>12.247783334389416</v>
      </c>
    </row>
    <row r="45" spans="1:10">
      <c r="A45" s="2" t="s">
        <v>68</v>
      </c>
      <c r="B45" s="85">
        <v>41274</v>
      </c>
      <c r="C45" s="86" t="e">
        <v>#N/A</v>
      </c>
      <c r="D45" s="87" t="e">
        <v>#N/A</v>
      </c>
      <c r="E45" s="87" t="e">
        <v>#N/A</v>
      </c>
      <c r="F45" s="87" t="e">
        <v>#N/A</v>
      </c>
      <c r="G45" s="109">
        <v>4.5096067365988004</v>
      </c>
      <c r="H45" s="88">
        <v>4.7699999999999996</v>
      </c>
      <c r="I45" s="88">
        <v>1.369</v>
      </c>
      <c r="J45" s="111">
        <v>11.329393263401201</v>
      </c>
    </row>
    <row r="46" spans="1:10">
      <c r="A46" s="2" t="s">
        <v>69</v>
      </c>
      <c r="B46" s="85">
        <v>41639</v>
      </c>
      <c r="C46" s="86" t="e">
        <v>#N/A</v>
      </c>
      <c r="D46" s="87" t="e">
        <v>#N/A</v>
      </c>
      <c r="E46" s="87" t="e">
        <v>#N/A</v>
      </c>
      <c r="F46" s="87" t="e">
        <v>#N/A</v>
      </c>
      <c r="G46" s="109">
        <v>4.6168276011391223</v>
      </c>
      <c r="H46" s="88">
        <v>4.8570000000000002</v>
      </c>
      <c r="I46" s="88">
        <v>1.3280000000000001</v>
      </c>
      <c r="J46" s="111">
        <v>9.9731723988608785</v>
      </c>
    </row>
    <row r="47" spans="1:10">
      <c r="A47" s="2" t="s">
        <v>70</v>
      </c>
      <c r="B47" s="85">
        <v>42004</v>
      </c>
      <c r="C47" s="86">
        <v>4.9000000000000004</v>
      </c>
      <c r="D47" s="87">
        <v>4.9000000000000004</v>
      </c>
      <c r="E47" s="87">
        <v>1.3</v>
      </c>
      <c r="F47" s="87">
        <v>9.3000000000000007</v>
      </c>
      <c r="G47" s="110">
        <v>4.9000000000000004</v>
      </c>
      <c r="H47" s="88" t="e">
        <v>#N/A</v>
      </c>
      <c r="I47" s="88" t="e">
        <v>#N/A</v>
      </c>
      <c r="J47" s="109">
        <v>9.3000000000000007</v>
      </c>
    </row>
    <row r="48" spans="1:10">
      <c r="A48" s="2" t="s">
        <v>71</v>
      </c>
      <c r="B48" s="85">
        <v>42369</v>
      </c>
      <c r="C48" s="86">
        <v>5.0999999999999996</v>
      </c>
      <c r="D48" s="87">
        <v>4.9000000000000004</v>
      </c>
      <c r="E48" s="87">
        <v>1.5</v>
      </c>
      <c r="F48" s="87">
        <v>9.4</v>
      </c>
      <c r="G48" s="110"/>
      <c r="H48" s="88" t="e">
        <v>#N/A</v>
      </c>
      <c r="I48" s="88" t="e">
        <v>#N/A</v>
      </c>
      <c r="J48" s="87"/>
    </row>
    <row r="49" spans="1:10">
      <c r="A49" s="2" t="s">
        <v>72</v>
      </c>
      <c r="B49" s="85">
        <v>42735</v>
      </c>
      <c r="C49" s="86">
        <v>5.3</v>
      </c>
      <c r="D49" s="87">
        <v>4.9000000000000004</v>
      </c>
      <c r="E49" s="87">
        <v>1.7</v>
      </c>
      <c r="F49" s="87">
        <v>9.1</v>
      </c>
      <c r="G49" s="109"/>
      <c r="H49" s="88" t="e">
        <v>#N/A</v>
      </c>
      <c r="I49" s="88" t="e">
        <v>#N/A</v>
      </c>
      <c r="J49" s="93"/>
    </row>
    <row r="50" spans="1:10">
      <c r="A50" s="2" t="s">
        <v>73</v>
      </c>
      <c r="B50" s="85">
        <v>43100</v>
      </c>
      <c r="C50" s="86">
        <v>5.3</v>
      </c>
      <c r="D50" s="87">
        <v>4.9000000000000004</v>
      </c>
      <c r="E50" s="87">
        <v>2</v>
      </c>
      <c r="F50" s="87">
        <v>8.6999999999999993</v>
      </c>
      <c r="G50" s="109"/>
      <c r="H50" s="88" t="e">
        <v>#N/A</v>
      </c>
      <c r="I50" s="88" t="e">
        <v>#N/A</v>
      </c>
      <c r="J50" s="93"/>
    </row>
    <row r="51" spans="1:10">
      <c r="A51" s="2" t="s">
        <v>74</v>
      </c>
      <c r="B51" s="85">
        <v>43465</v>
      </c>
      <c r="C51" s="86">
        <v>5.3</v>
      </c>
      <c r="D51" s="87">
        <v>5</v>
      </c>
      <c r="E51" s="87">
        <v>2.2999999999999998</v>
      </c>
      <c r="F51" s="87">
        <v>8.3000000000000007</v>
      </c>
      <c r="G51" s="109"/>
      <c r="H51" s="88" t="e">
        <v>#N/A</v>
      </c>
      <c r="I51" s="88" t="e">
        <v>#N/A</v>
      </c>
      <c r="J51" s="93"/>
    </row>
    <row r="52" spans="1:10">
      <c r="A52" s="2" t="s">
        <v>75</v>
      </c>
      <c r="B52" s="85">
        <v>43830</v>
      </c>
      <c r="C52" s="86">
        <v>5.4</v>
      </c>
      <c r="D52" s="87">
        <v>5.0999999999999996</v>
      </c>
      <c r="E52" s="87">
        <v>2.6</v>
      </c>
      <c r="F52" s="87">
        <v>8.1</v>
      </c>
      <c r="G52" s="109"/>
      <c r="H52" s="88" t="e">
        <v>#N/A</v>
      </c>
      <c r="I52" s="88" t="e">
        <v>#N/A</v>
      </c>
      <c r="J52" s="93"/>
    </row>
    <row r="53" spans="1:10">
      <c r="A53" s="2" t="s">
        <v>76</v>
      </c>
      <c r="B53" s="85">
        <v>44196</v>
      </c>
      <c r="C53" s="86">
        <v>5.6</v>
      </c>
      <c r="D53" s="87">
        <v>5.2</v>
      </c>
      <c r="E53" s="87">
        <v>2.8</v>
      </c>
      <c r="F53" s="87">
        <v>7.9</v>
      </c>
      <c r="G53" s="109"/>
      <c r="H53" s="88" t="e">
        <v>#N/A</v>
      </c>
      <c r="I53" s="88" t="e">
        <v>#N/A</v>
      </c>
      <c r="J53" s="93"/>
    </row>
    <row r="54" spans="1:10">
      <c r="A54" s="2" t="s">
        <v>77</v>
      </c>
      <c r="B54" s="85">
        <v>44561</v>
      </c>
      <c r="C54" s="86">
        <v>5.7</v>
      </c>
      <c r="D54" s="87">
        <v>5.3</v>
      </c>
      <c r="E54" s="87">
        <v>2.9</v>
      </c>
      <c r="F54" s="87">
        <v>7.8</v>
      </c>
      <c r="G54" s="109"/>
      <c r="H54" s="88" t="e">
        <v>#N/A</v>
      </c>
      <c r="I54" s="88" t="e">
        <v>#N/A</v>
      </c>
      <c r="J54" s="93"/>
    </row>
    <row r="55" spans="1:10">
      <c r="A55" s="2" t="s">
        <v>78</v>
      </c>
      <c r="B55" s="85">
        <v>44926</v>
      </c>
      <c r="C55" s="86">
        <v>5.9</v>
      </c>
      <c r="D55" s="87">
        <v>5.4</v>
      </c>
      <c r="E55" s="87">
        <v>3.1</v>
      </c>
      <c r="F55" s="87">
        <v>7.7</v>
      </c>
      <c r="G55" s="109"/>
      <c r="H55" s="88" t="e">
        <v>#N/A</v>
      </c>
      <c r="I55" s="88" t="e">
        <v>#N/A</v>
      </c>
      <c r="J55" s="93"/>
    </row>
    <row r="56" spans="1:10">
      <c r="A56" s="2" t="s">
        <v>79</v>
      </c>
      <c r="B56" s="85">
        <v>45291</v>
      </c>
      <c r="C56" s="86">
        <v>6</v>
      </c>
      <c r="D56" s="87">
        <v>5.5</v>
      </c>
      <c r="E56" s="87">
        <v>3.2</v>
      </c>
      <c r="F56" s="87">
        <v>7.5</v>
      </c>
      <c r="G56" s="109"/>
      <c r="H56" s="88" t="e">
        <v>#N/A</v>
      </c>
      <c r="I56" s="88" t="e">
        <v>#N/A</v>
      </c>
      <c r="J56" s="93"/>
    </row>
    <row r="57" spans="1:10">
      <c r="A57" s="2" t="s">
        <v>80</v>
      </c>
      <c r="B57" s="85">
        <v>45657</v>
      </c>
      <c r="C57" s="86">
        <v>5.9</v>
      </c>
      <c r="D57" s="87">
        <v>5.6</v>
      </c>
      <c r="E57" s="87">
        <v>3.3</v>
      </c>
      <c r="F57" s="87">
        <v>7.3</v>
      </c>
      <c r="G57" s="109"/>
      <c r="H57" s="88" t="e">
        <v>#N/A</v>
      </c>
      <c r="I57" s="88" t="e">
        <v>#N/A</v>
      </c>
      <c r="J57" s="93"/>
    </row>
    <row r="58" spans="1:10">
      <c r="A58" s="2" t="s">
        <v>81</v>
      </c>
      <c r="B58" s="85">
        <v>46022</v>
      </c>
      <c r="C58" s="86">
        <v>6.1</v>
      </c>
      <c r="D58" s="87">
        <v>5.7</v>
      </c>
      <c r="E58" s="87">
        <v>3.4</v>
      </c>
      <c r="F58" s="87">
        <v>7.3</v>
      </c>
      <c r="G58" s="109"/>
      <c r="H58" s="88" t="e">
        <v>#N/A</v>
      </c>
      <c r="I58" s="88" t="e">
        <v>#N/A</v>
      </c>
      <c r="J58" s="93"/>
    </row>
    <row r="59" spans="1:10">
      <c r="A59" s="2" t="s">
        <v>82</v>
      </c>
      <c r="B59" s="85">
        <v>46387</v>
      </c>
      <c r="C59" s="86">
        <v>6.3</v>
      </c>
      <c r="D59" s="87">
        <v>5.8</v>
      </c>
      <c r="E59" s="87">
        <v>3.5</v>
      </c>
      <c r="F59" s="87">
        <v>7.3</v>
      </c>
      <c r="G59" s="109"/>
      <c r="H59" s="88" t="e">
        <v>#N/A</v>
      </c>
      <c r="I59" s="88" t="e">
        <v>#N/A</v>
      </c>
      <c r="J59" s="93"/>
    </row>
    <row r="60" spans="1:10">
      <c r="A60" s="2" t="s">
        <v>83</v>
      </c>
      <c r="B60" s="85">
        <v>46752</v>
      </c>
      <c r="C60" s="86">
        <v>6.3</v>
      </c>
      <c r="D60" s="87">
        <v>5.9</v>
      </c>
      <c r="E60" s="87">
        <v>3.6</v>
      </c>
      <c r="F60" s="87">
        <v>7.3</v>
      </c>
      <c r="G60" s="109"/>
      <c r="H60" s="88" t="e">
        <v>#N/A</v>
      </c>
      <c r="I60" s="88" t="e">
        <v>#N/A</v>
      </c>
      <c r="J60" s="93"/>
    </row>
    <row r="61" spans="1:10">
      <c r="A61" s="2" t="s">
        <v>84</v>
      </c>
      <c r="B61" s="85">
        <v>47118</v>
      </c>
      <c r="C61" s="86">
        <v>6.5</v>
      </c>
      <c r="D61" s="87">
        <v>6</v>
      </c>
      <c r="E61" s="87">
        <v>3.7</v>
      </c>
      <c r="F61" s="87">
        <v>7.2</v>
      </c>
      <c r="G61" s="109"/>
      <c r="H61" s="88" t="e">
        <v>#N/A</v>
      </c>
      <c r="I61" s="88" t="e">
        <v>#N/A</v>
      </c>
      <c r="J61" s="93"/>
    </row>
    <row r="62" spans="1:10">
      <c r="A62" s="2" t="s">
        <v>85</v>
      </c>
      <c r="B62" s="85">
        <v>47483</v>
      </c>
      <c r="C62" s="86">
        <v>6.6</v>
      </c>
      <c r="D62" s="87">
        <v>6.1</v>
      </c>
      <c r="E62" s="87">
        <v>3.8</v>
      </c>
      <c r="F62" s="87">
        <v>7.2</v>
      </c>
      <c r="G62" s="109"/>
      <c r="H62" s="88" t="e">
        <v>#N/A</v>
      </c>
      <c r="I62" s="88" t="e">
        <v>#N/A</v>
      </c>
      <c r="J62" s="93"/>
    </row>
    <row r="63" spans="1:10">
      <c r="A63" s="2" t="s">
        <v>86</v>
      </c>
      <c r="B63" s="85">
        <v>47848</v>
      </c>
      <c r="C63" s="86">
        <v>6.8</v>
      </c>
      <c r="D63" s="87">
        <v>6.2</v>
      </c>
      <c r="E63" s="87">
        <v>3.9</v>
      </c>
      <c r="F63" s="87">
        <v>7.2</v>
      </c>
      <c r="G63" s="109"/>
      <c r="H63" s="88" t="e">
        <v>#N/A</v>
      </c>
      <c r="I63" s="88" t="e">
        <v>#N/A</v>
      </c>
      <c r="J63" s="93"/>
    </row>
    <row r="64" spans="1:10">
      <c r="A64" s="2" t="s">
        <v>87</v>
      </c>
      <c r="B64" s="85">
        <v>48213</v>
      </c>
      <c r="C64" s="86">
        <v>6.9</v>
      </c>
      <c r="D64" s="87">
        <v>6.2</v>
      </c>
      <c r="E64" s="87">
        <v>4</v>
      </c>
      <c r="F64" s="87">
        <v>7.1</v>
      </c>
      <c r="G64" s="109"/>
      <c r="H64" s="88" t="e">
        <v>#N/A</v>
      </c>
      <c r="I64" s="88" t="e">
        <v>#N/A</v>
      </c>
      <c r="J64" s="93"/>
    </row>
    <row r="65" spans="1:10">
      <c r="A65" s="2" t="s">
        <v>88</v>
      </c>
      <c r="B65" s="85">
        <v>48579</v>
      </c>
      <c r="C65" s="86">
        <v>7.1</v>
      </c>
      <c r="D65" s="87">
        <v>6.3</v>
      </c>
      <c r="E65" s="87">
        <v>4.0999999999999996</v>
      </c>
      <c r="F65" s="87">
        <v>7.1</v>
      </c>
      <c r="G65" s="109"/>
      <c r="H65" s="88" t="e">
        <v>#N/A</v>
      </c>
      <c r="I65" s="88" t="e">
        <v>#N/A</v>
      </c>
      <c r="J65" s="93"/>
    </row>
    <row r="66" spans="1:10">
      <c r="A66" s="2" t="s">
        <v>89</v>
      </c>
      <c r="B66" s="85">
        <v>48944</v>
      </c>
      <c r="C66" s="86">
        <v>7.1999999999999993</v>
      </c>
      <c r="D66" s="87">
        <v>6.3</v>
      </c>
      <c r="E66" s="87">
        <v>4.0999999999999996</v>
      </c>
      <c r="F66" s="87">
        <v>7.1</v>
      </c>
      <c r="G66" s="109"/>
      <c r="H66" s="88" t="e">
        <v>#N/A</v>
      </c>
      <c r="I66" s="88" t="e">
        <v>#N/A</v>
      </c>
      <c r="J66" s="93"/>
    </row>
    <row r="67" spans="1:10">
      <c r="A67" s="2" t="s">
        <v>90</v>
      </c>
      <c r="B67" s="85">
        <v>49309</v>
      </c>
      <c r="C67" s="86">
        <v>7.3000000000000007</v>
      </c>
      <c r="D67" s="87">
        <v>6.4</v>
      </c>
      <c r="E67" s="87">
        <v>4.2</v>
      </c>
      <c r="F67" s="87">
        <v>7</v>
      </c>
      <c r="G67" s="109"/>
      <c r="H67" s="88" t="e">
        <v>#N/A</v>
      </c>
      <c r="I67" s="88" t="e">
        <v>#N/A</v>
      </c>
      <c r="J67" s="93"/>
    </row>
    <row r="68" spans="1:10">
      <c r="A68" s="2" t="s">
        <v>91</v>
      </c>
      <c r="B68" s="85">
        <v>49674</v>
      </c>
      <c r="C68" s="86">
        <v>7.5</v>
      </c>
      <c r="D68" s="87">
        <v>6.4</v>
      </c>
      <c r="E68" s="87">
        <v>4.3</v>
      </c>
      <c r="F68" s="87">
        <v>7</v>
      </c>
      <c r="G68" s="109"/>
      <c r="H68" s="88" t="e">
        <v>#N/A</v>
      </c>
      <c r="I68" s="88" t="e">
        <v>#N/A</v>
      </c>
      <c r="J68" s="93"/>
    </row>
    <row r="69" spans="1:10">
      <c r="A69" s="2" t="s">
        <v>92</v>
      </c>
      <c r="B69" s="89">
        <v>50040</v>
      </c>
      <c r="C69" s="90">
        <v>7.6000000000000005</v>
      </c>
      <c r="D69" s="91">
        <v>6.4</v>
      </c>
      <c r="E69" s="91">
        <v>4.4000000000000004</v>
      </c>
      <c r="F69" s="91">
        <v>7</v>
      </c>
      <c r="G69" s="108"/>
      <c r="H69" s="7" t="e">
        <v>#N/A</v>
      </c>
      <c r="I69" s="7" t="e">
        <v>#N/A</v>
      </c>
    </row>
    <row r="70" spans="1:10">
      <c r="A70" s="2" t="s">
        <v>93</v>
      </c>
      <c r="B70" s="89">
        <v>50405</v>
      </c>
      <c r="C70" s="90">
        <v>7.8</v>
      </c>
      <c r="D70" s="91">
        <v>6.4</v>
      </c>
      <c r="E70" s="91">
        <v>4.5</v>
      </c>
      <c r="F70" s="91">
        <v>6.9</v>
      </c>
      <c r="G70" s="108"/>
      <c r="H70" s="7" t="e">
        <v>#N/A</v>
      </c>
      <c r="I70" s="7" t="e">
        <v>#N/A</v>
      </c>
    </row>
    <row r="71" spans="1:10">
      <c r="A71" s="2" t="s">
        <v>94</v>
      </c>
      <c r="B71" s="89">
        <v>50770</v>
      </c>
      <c r="C71" s="90">
        <v>7.8999999999999995</v>
      </c>
      <c r="D71" s="91">
        <v>6.4</v>
      </c>
      <c r="E71" s="91">
        <v>4.5999999999999996</v>
      </c>
      <c r="F71" s="91">
        <v>6.9</v>
      </c>
      <c r="G71" s="108"/>
      <c r="H71" s="7" t="e">
        <v>#N/A</v>
      </c>
      <c r="I71" s="7" t="e">
        <v>#N/A</v>
      </c>
    </row>
    <row r="72" spans="1:10">
      <c r="A72" s="2" t="s">
        <v>95</v>
      </c>
      <c r="B72" s="89">
        <v>51135</v>
      </c>
      <c r="C72" s="90">
        <v>8</v>
      </c>
      <c r="D72" s="91">
        <v>6.3</v>
      </c>
      <c r="E72" s="91">
        <v>4.7</v>
      </c>
      <c r="F72" s="91">
        <v>6.8</v>
      </c>
      <c r="G72" s="108"/>
      <c r="H72" s="7" t="e">
        <v>#N/A</v>
      </c>
      <c r="I72" s="7" t="e">
        <v>#N/A</v>
      </c>
    </row>
    <row r="73" spans="1:10">
      <c r="A73" s="2" t="s">
        <v>96</v>
      </c>
      <c r="B73" s="89">
        <v>51501</v>
      </c>
      <c r="C73" s="90">
        <v>8.1</v>
      </c>
      <c r="D73" s="91">
        <v>6.3</v>
      </c>
      <c r="E73" s="91">
        <v>4.8</v>
      </c>
      <c r="F73" s="91">
        <v>6.8</v>
      </c>
      <c r="G73" s="108"/>
      <c r="H73" s="7" t="e">
        <v>#N/A</v>
      </c>
      <c r="I73" s="7" t="e">
        <v>#N/A</v>
      </c>
    </row>
    <row r="74" spans="1:10">
      <c r="A74" s="2" t="s">
        <v>97</v>
      </c>
      <c r="B74" s="89">
        <v>51866</v>
      </c>
      <c r="C74" s="90">
        <v>8.1999999999999993</v>
      </c>
      <c r="D74" s="91">
        <v>6.3</v>
      </c>
      <c r="E74" s="91">
        <v>4.8</v>
      </c>
      <c r="F74" s="91">
        <v>6.8</v>
      </c>
      <c r="G74" s="108"/>
      <c r="H74" s="7" t="e">
        <v>#N/A</v>
      </c>
      <c r="I74" s="7" t="e">
        <v>#N/A</v>
      </c>
    </row>
    <row r="75" spans="1:10">
      <c r="A75" s="2" t="s">
        <v>98</v>
      </c>
      <c r="B75" s="89">
        <v>52231</v>
      </c>
      <c r="C75" s="90">
        <v>8.4</v>
      </c>
      <c r="D75" s="91">
        <v>6.2</v>
      </c>
      <c r="E75" s="91">
        <v>4.9000000000000004</v>
      </c>
      <c r="F75" s="91">
        <v>6.8</v>
      </c>
      <c r="G75" s="108"/>
      <c r="H75" s="7" t="e">
        <v>#N/A</v>
      </c>
      <c r="I75" s="7" t="e">
        <v>#N/A</v>
      </c>
    </row>
    <row r="76" spans="1:10">
      <c r="A76" s="2" t="s">
        <v>99</v>
      </c>
      <c r="B76" s="89">
        <v>52596</v>
      </c>
      <c r="C76" s="90">
        <v>8.5</v>
      </c>
      <c r="D76" s="91">
        <v>6.2</v>
      </c>
      <c r="E76" s="91">
        <v>5</v>
      </c>
      <c r="F76" s="91">
        <v>6.7</v>
      </c>
      <c r="G76" s="108"/>
      <c r="H76" s="7" t="e">
        <v>#N/A</v>
      </c>
      <c r="I76" s="7" t="e">
        <v>#N/A</v>
      </c>
    </row>
    <row r="77" spans="1:10">
      <c r="A77" s="2" t="s">
        <v>100</v>
      </c>
      <c r="B77" s="89">
        <v>52962</v>
      </c>
      <c r="C77" s="90">
        <v>8.6</v>
      </c>
      <c r="D77" s="91">
        <v>6.2</v>
      </c>
      <c r="E77" s="91">
        <v>5.0999999999999996</v>
      </c>
      <c r="F77" s="91">
        <v>6.7</v>
      </c>
      <c r="G77" s="108"/>
      <c r="H77" s="7" t="e">
        <v>#N/A</v>
      </c>
      <c r="I77" s="7" t="e">
        <v>#N/A</v>
      </c>
    </row>
    <row r="78" spans="1:10">
      <c r="A78" s="2" t="s">
        <v>101</v>
      </c>
      <c r="B78" s="89">
        <v>53327</v>
      </c>
      <c r="C78" s="90">
        <v>8.6999999999999993</v>
      </c>
      <c r="D78" s="91">
        <v>6.2</v>
      </c>
      <c r="E78" s="91">
        <v>5.2</v>
      </c>
      <c r="F78" s="91">
        <v>6.7</v>
      </c>
      <c r="G78" s="108"/>
      <c r="H78" s="7" t="e">
        <v>#N/A</v>
      </c>
      <c r="I78" s="7" t="e">
        <v>#N/A</v>
      </c>
    </row>
    <row r="79" spans="1:10">
      <c r="A79" s="2" t="s">
        <v>102</v>
      </c>
      <c r="B79" s="89">
        <v>53692</v>
      </c>
      <c r="C79" s="90">
        <v>8.8000000000000007</v>
      </c>
      <c r="D79" s="91">
        <v>6.2</v>
      </c>
      <c r="E79" s="91">
        <v>5.3</v>
      </c>
      <c r="F79" s="91">
        <v>6.6</v>
      </c>
      <c r="G79" s="108"/>
      <c r="H79" s="7" t="e">
        <v>#N/A</v>
      </c>
      <c r="I79" s="7" t="e">
        <v>#N/A</v>
      </c>
    </row>
    <row r="80" spans="1:10">
      <c r="A80" s="2" t="s">
        <v>103</v>
      </c>
      <c r="B80" s="89">
        <v>54057</v>
      </c>
      <c r="C80" s="90">
        <v>9</v>
      </c>
      <c r="D80" s="91">
        <v>6.2</v>
      </c>
      <c r="E80" s="91">
        <v>5.3</v>
      </c>
      <c r="F80" s="91">
        <v>6.6</v>
      </c>
      <c r="G80" s="108"/>
      <c r="H80" s="7" t="e">
        <v>#N/A</v>
      </c>
      <c r="I80" s="7" t="e">
        <v>#N/A</v>
      </c>
    </row>
    <row r="81" spans="1:9">
      <c r="A81" s="2" t="s">
        <v>104</v>
      </c>
      <c r="B81" s="89">
        <v>54423</v>
      </c>
      <c r="C81" s="90">
        <v>9</v>
      </c>
      <c r="D81" s="91">
        <v>6.2</v>
      </c>
      <c r="E81" s="91">
        <v>5.4</v>
      </c>
      <c r="F81" s="91">
        <v>6.6</v>
      </c>
      <c r="G81" s="108"/>
      <c r="H81" s="7" t="e">
        <v>#N/A</v>
      </c>
      <c r="I81" s="7" t="e">
        <v>#N/A</v>
      </c>
    </row>
    <row r="82" spans="1:9">
      <c r="A82" s="2" t="s">
        <v>105</v>
      </c>
      <c r="B82" s="89">
        <v>54788</v>
      </c>
      <c r="C82" s="90">
        <v>9.1000000000000014</v>
      </c>
      <c r="D82" s="91">
        <v>6.2</v>
      </c>
      <c r="E82" s="91">
        <v>5.5</v>
      </c>
      <c r="F82" s="91">
        <v>6.5</v>
      </c>
      <c r="G82" s="108"/>
      <c r="H82" s="7" t="e">
        <v>#N/A</v>
      </c>
      <c r="I82" s="7" t="e">
        <v>#N/A</v>
      </c>
    </row>
    <row r="83" spans="1:9">
      <c r="A83" s="2" t="s">
        <v>106</v>
      </c>
      <c r="B83" s="89">
        <v>55153</v>
      </c>
      <c r="C83" s="90">
        <v>9.3000000000000007</v>
      </c>
      <c r="D83" s="91">
        <v>6.2</v>
      </c>
      <c r="E83" s="91">
        <v>5.6</v>
      </c>
      <c r="F83" s="91">
        <v>6.5</v>
      </c>
      <c r="G83" s="108"/>
      <c r="H83" s="7" t="e">
        <v>#N/A</v>
      </c>
      <c r="I83" s="7" t="e">
        <v>#N/A</v>
      </c>
    </row>
    <row r="84" spans="1:9">
      <c r="A84" s="2" t="s">
        <v>107</v>
      </c>
      <c r="B84" s="89">
        <v>55518</v>
      </c>
      <c r="C84" s="90">
        <v>9.3999999999999986</v>
      </c>
      <c r="D84" s="91">
        <v>6.2</v>
      </c>
      <c r="E84" s="91">
        <v>5.7</v>
      </c>
      <c r="F84" s="91">
        <v>6.5</v>
      </c>
      <c r="G84" s="108"/>
      <c r="H84" s="7" t="e">
        <v>#N/A</v>
      </c>
      <c r="I84" s="7" t="e">
        <v>#N/A</v>
      </c>
    </row>
    <row r="85" spans="1:9">
      <c r="A85" s="2" t="s">
        <v>108</v>
      </c>
      <c r="B85" s="89">
        <v>55884</v>
      </c>
      <c r="C85" s="90">
        <v>9.3999999999999986</v>
      </c>
      <c r="D85" s="91">
        <v>6.2</v>
      </c>
      <c r="E85" s="91">
        <v>5.8</v>
      </c>
      <c r="F85" s="91">
        <v>6.5</v>
      </c>
      <c r="G85" s="108"/>
      <c r="H85" s="7" t="e">
        <v>#N/A</v>
      </c>
      <c r="I85" s="7" t="e">
        <v>#N/A</v>
      </c>
    </row>
    <row r="86" spans="1:9">
      <c r="A86" s="2" t="s">
        <v>109</v>
      </c>
      <c r="B86" s="89">
        <v>56249</v>
      </c>
      <c r="C86" s="90">
        <v>9.6</v>
      </c>
      <c r="D86" s="91">
        <v>6.2</v>
      </c>
      <c r="E86" s="91">
        <v>5.9</v>
      </c>
      <c r="F86" s="91">
        <v>6.4</v>
      </c>
      <c r="G86" s="108"/>
      <c r="H86" s="7" t="e">
        <v>#N/A</v>
      </c>
      <c r="I86" s="7" t="e">
        <v>#N/A</v>
      </c>
    </row>
    <row r="87" spans="1:9">
      <c r="A87" s="2" t="s">
        <v>110</v>
      </c>
      <c r="B87" s="89">
        <v>56614</v>
      </c>
      <c r="C87" s="90">
        <v>9.6999999999999993</v>
      </c>
      <c r="D87" s="91">
        <v>6.2</v>
      </c>
      <c r="E87" s="91">
        <v>5.9</v>
      </c>
      <c r="F87" s="91">
        <v>6.4</v>
      </c>
      <c r="G87" s="108"/>
      <c r="H87" s="7" t="e">
        <v>#N/A</v>
      </c>
      <c r="I87" s="7" t="e">
        <v>#N/A</v>
      </c>
    </row>
    <row r="88" spans="1:9">
      <c r="A88" s="2" t="s">
        <v>111</v>
      </c>
      <c r="B88" s="89">
        <v>56979</v>
      </c>
      <c r="C88" s="90">
        <v>9.8000000000000007</v>
      </c>
      <c r="D88" s="91">
        <v>6.3</v>
      </c>
      <c r="E88" s="91">
        <v>6</v>
      </c>
      <c r="F88" s="91">
        <v>6.4</v>
      </c>
      <c r="G88" s="108"/>
      <c r="H88" s="7" t="e">
        <v>#N/A</v>
      </c>
      <c r="I88" s="7" t="e">
        <v>#N/A</v>
      </c>
    </row>
    <row r="89" spans="1:9">
      <c r="A89" s="2" t="s">
        <v>112</v>
      </c>
      <c r="B89" s="89">
        <v>57345</v>
      </c>
      <c r="C89" s="90">
        <v>9.8000000000000007</v>
      </c>
      <c r="D89" s="91">
        <v>6.3</v>
      </c>
      <c r="E89" s="91">
        <v>6.1</v>
      </c>
      <c r="F89" s="91">
        <v>6.4</v>
      </c>
      <c r="G89" s="108"/>
      <c r="H89" s="7" t="e">
        <v>#N/A</v>
      </c>
      <c r="I89" s="7" t="e">
        <v>#N/A</v>
      </c>
    </row>
    <row r="90" spans="1:9">
      <c r="A90" s="2" t="s">
        <v>113</v>
      </c>
      <c r="B90" s="89">
        <v>57710</v>
      </c>
      <c r="C90" s="90">
        <v>10</v>
      </c>
      <c r="D90" s="91">
        <v>6.3</v>
      </c>
      <c r="E90" s="91">
        <v>6.2</v>
      </c>
      <c r="F90" s="91">
        <v>6.3</v>
      </c>
      <c r="G90" s="108"/>
      <c r="H90" s="7" t="e">
        <v>#N/A</v>
      </c>
      <c r="I90" s="7" t="e">
        <v>#N/A</v>
      </c>
    </row>
    <row r="91" spans="1:9">
      <c r="A91" s="2" t="s">
        <v>114</v>
      </c>
      <c r="B91" s="89">
        <v>58075</v>
      </c>
      <c r="C91" s="90">
        <v>10.1</v>
      </c>
      <c r="D91" s="91">
        <v>6.4</v>
      </c>
      <c r="E91" s="91">
        <v>6.3</v>
      </c>
      <c r="F91" s="91">
        <v>6.3</v>
      </c>
      <c r="G91" s="108"/>
      <c r="H91" s="7" t="e">
        <v>#N/A</v>
      </c>
      <c r="I91" s="7" t="e">
        <v>#N/A</v>
      </c>
    </row>
    <row r="92" spans="1:9">
      <c r="A92" s="2" t="s">
        <v>115</v>
      </c>
      <c r="B92" s="89">
        <v>58440</v>
      </c>
      <c r="C92" s="90">
        <v>10.199999999999999</v>
      </c>
      <c r="D92" s="91">
        <v>6.4</v>
      </c>
      <c r="E92" s="91">
        <v>6.4</v>
      </c>
      <c r="F92" s="91">
        <v>6.3</v>
      </c>
      <c r="G92" s="108"/>
      <c r="H92" s="7" t="e">
        <v>#N/A</v>
      </c>
      <c r="I92" s="7" t="e">
        <v>#N/A</v>
      </c>
    </row>
    <row r="93" spans="1:9">
      <c r="A93" s="2" t="s">
        <v>116</v>
      </c>
      <c r="B93" s="89">
        <v>58806</v>
      </c>
      <c r="C93" s="90">
        <v>10.3</v>
      </c>
      <c r="D93" s="91">
        <v>6.4</v>
      </c>
      <c r="E93" s="91">
        <v>6.5</v>
      </c>
      <c r="F93" s="91">
        <v>6.3</v>
      </c>
      <c r="G93" s="108"/>
      <c r="H93" s="7" t="e">
        <v>#N/A</v>
      </c>
      <c r="I93" s="7" t="e">
        <v>#N/A</v>
      </c>
    </row>
    <row r="94" spans="1:9">
      <c r="A94" s="2" t="s">
        <v>117</v>
      </c>
      <c r="B94" s="89">
        <v>59171</v>
      </c>
      <c r="C94" s="90">
        <v>10.5</v>
      </c>
      <c r="D94" s="91">
        <v>6.5</v>
      </c>
      <c r="E94" s="91">
        <v>6.6</v>
      </c>
      <c r="F94" s="91">
        <v>6.3</v>
      </c>
      <c r="G94" s="108"/>
      <c r="H94" s="7" t="e">
        <v>#N/A</v>
      </c>
      <c r="I94" s="7" t="e">
        <v>#N/A</v>
      </c>
    </row>
    <row r="95" spans="1:9">
      <c r="A95" s="2" t="s">
        <v>118</v>
      </c>
      <c r="B95" s="89">
        <v>59536</v>
      </c>
      <c r="C95" s="90">
        <v>10.6</v>
      </c>
      <c r="D95" s="91">
        <v>6.5</v>
      </c>
      <c r="E95" s="91">
        <v>6.7</v>
      </c>
      <c r="F95" s="91">
        <v>6.2</v>
      </c>
      <c r="G95" s="108"/>
      <c r="H95" s="7" t="e">
        <v>#N/A</v>
      </c>
      <c r="I95" s="7" t="e">
        <v>#N/A</v>
      </c>
    </row>
    <row r="96" spans="1:9">
      <c r="A96" s="2" t="s">
        <v>119</v>
      </c>
      <c r="B96" s="89">
        <v>59901</v>
      </c>
      <c r="C96" s="90">
        <v>10.7</v>
      </c>
      <c r="D96" s="91">
        <v>6.5</v>
      </c>
      <c r="E96" s="91">
        <v>6.8</v>
      </c>
      <c r="F96" s="91">
        <v>6.2</v>
      </c>
      <c r="G96" s="108"/>
      <c r="H96" s="7" t="e">
        <v>#N/A</v>
      </c>
      <c r="I96" s="7" t="e">
        <v>#N/A</v>
      </c>
    </row>
    <row r="97" spans="1:9">
      <c r="A97" s="2" t="s">
        <v>120</v>
      </c>
      <c r="B97" s="89">
        <v>60267</v>
      </c>
      <c r="C97" s="90">
        <v>10.8</v>
      </c>
      <c r="D97" s="91">
        <v>6.6</v>
      </c>
      <c r="E97" s="91">
        <v>6.9</v>
      </c>
      <c r="F97" s="91">
        <v>6.2</v>
      </c>
      <c r="G97" s="108"/>
      <c r="H97" s="7" t="e">
        <v>#N/A</v>
      </c>
      <c r="I97" s="7" t="e">
        <v>#N/A</v>
      </c>
    </row>
    <row r="98" spans="1:9">
      <c r="A98" s="2" t="s">
        <v>121</v>
      </c>
      <c r="B98" s="89">
        <v>60632</v>
      </c>
      <c r="C98" s="90">
        <v>11</v>
      </c>
      <c r="D98" s="91">
        <v>6.5</v>
      </c>
      <c r="E98" s="91">
        <v>7</v>
      </c>
      <c r="F98" s="91">
        <v>6.2</v>
      </c>
      <c r="G98" s="108"/>
      <c r="H98" s="7" t="e">
        <v>#N/A</v>
      </c>
      <c r="I98" s="7" t="e">
        <v>#N/A</v>
      </c>
    </row>
    <row r="99" spans="1:9">
      <c r="A99" s="2" t="s">
        <v>122</v>
      </c>
      <c r="B99" s="89">
        <v>60997</v>
      </c>
      <c r="C99" s="90">
        <v>11.100000000000001</v>
      </c>
      <c r="D99" s="91">
        <v>6.6</v>
      </c>
      <c r="E99" s="91">
        <v>7.1</v>
      </c>
      <c r="F99" s="91">
        <v>6.2</v>
      </c>
      <c r="G99" s="108"/>
      <c r="H99" s="7" t="e">
        <v>#N/A</v>
      </c>
      <c r="I99" s="7" t="e">
        <v>#N/A</v>
      </c>
    </row>
    <row r="100" spans="1:9">
      <c r="A100" s="2" t="s">
        <v>123</v>
      </c>
      <c r="B100" s="89">
        <v>61362</v>
      </c>
      <c r="C100" s="90">
        <v>11.2</v>
      </c>
      <c r="D100" s="91">
        <v>6.6</v>
      </c>
      <c r="E100" s="91">
        <v>7.3</v>
      </c>
      <c r="F100" s="91">
        <v>6.1</v>
      </c>
      <c r="G100" s="108"/>
      <c r="H100" s="7" t="e">
        <v>#N/A</v>
      </c>
      <c r="I100" s="7" t="e">
        <v>#N/A</v>
      </c>
    </row>
    <row r="101" spans="1:9">
      <c r="A101" s="2" t="s">
        <v>124</v>
      </c>
      <c r="B101" s="89">
        <v>61728</v>
      </c>
      <c r="C101" s="90">
        <v>11.3</v>
      </c>
      <c r="D101" s="91">
        <v>6.6</v>
      </c>
      <c r="E101" s="91">
        <v>7.4</v>
      </c>
      <c r="F101" s="91">
        <v>6.1</v>
      </c>
      <c r="G101" s="108"/>
      <c r="H101" s="7" t="e">
        <v>#N/A</v>
      </c>
      <c r="I101" s="7" t="e">
        <v>#N/A</v>
      </c>
    </row>
    <row r="102" spans="1:9">
      <c r="A102" s="2" t="s">
        <v>125</v>
      </c>
      <c r="B102" s="89">
        <v>62093</v>
      </c>
      <c r="C102" s="90">
        <v>11.5</v>
      </c>
      <c r="D102" s="91">
        <v>6.6</v>
      </c>
      <c r="E102" s="91">
        <v>7.5</v>
      </c>
      <c r="F102" s="91">
        <v>6.1</v>
      </c>
      <c r="G102" s="108"/>
      <c r="H102" s="7" t="e">
        <v>#N/A</v>
      </c>
      <c r="I102" s="7" t="e">
        <v>#N/A</v>
      </c>
    </row>
    <row r="103" spans="1:9">
      <c r="A103" s="2" t="s">
        <v>126</v>
      </c>
      <c r="B103" s="89">
        <v>62458</v>
      </c>
      <c r="C103" s="90">
        <v>11.6</v>
      </c>
      <c r="D103" s="91">
        <v>6.6</v>
      </c>
      <c r="E103" s="91">
        <v>7.6</v>
      </c>
      <c r="F103" s="91">
        <v>6.1</v>
      </c>
      <c r="G103" s="108"/>
      <c r="H103" s="7" t="e">
        <v>#N/A</v>
      </c>
      <c r="I103" s="7" t="e">
        <v>#N/A</v>
      </c>
    </row>
    <row r="104" spans="1:9">
      <c r="A104" s="2" t="s">
        <v>127</v>
      </c>
      <c r="B104" s="89">
        <v>62823</v>
      </c>
      <c r="C104" s="90">
        <v>11.7</v>
      </c>
      <c r="D104" s="91">
        <v>6.6</v>
      </c>
      <c r="E104" s="91">
        <v>7.7</v>
      </c>
      <c r="F104" s="91">
        <v>6.1</v>
      </c>
      <c r="G104" s="108"/>
      <c r="H104" s="7" t="e">
        <v>#N/A</v>
      </c>
      <c r="I104" s="7" t="e">
        <v>#N/A</v>
      </c>
    </row>
    <row r="105" spans="1:9">
      <c r="A105" s="2" t="s">
        <v>128</v>
      </c>
      <c r="B105" s="89">
        <v>63189</v>
      </c>
      <c r="C105" s="90">
        <v>11.8</v>
      </c>
      <c r="D105" s="91">
        <v>6.6</v>
      </c>
      <c r="E105" s="91">
        <v>7.8</v>
      </c>
      <c r="F105" s="91">
        <v>6.1</v>
      </c>
      <c r="G105" s="108"/>
      <c r="H105" s="7" t="e">
        <v>#N/A</v>
      </c>
      <c r="I105" s="7" t="e">
        <v>#N/A</v>
      </c>
    </row>
    <row r="106" spans="1:9">
      <c r="A106" s="2" t="s">
        <v>129</v>
      </c>
      <c r="B106" s="89">
        <v>63554</v>
      </c>
      <c r="C106" s="90">
        <v>12</v>
      </c>
      <c r="D106" s="91">
        <v>6.6</v>
      </c>
      <c r="E106" s="91">
        <v>7.9</v>
      </c>
      <c r="F106" s="91">
        <v>6</v>
      </c>
      <c r="G106" s="108"/>
      <c r="H106" s="7" t="e">
        <v>#N/A</v>
      </c>
      <c r="I106" s="7" t="e">
        <v>#N/A</v>
      </c>
    </row>
    <row r="107" spans="1:9">
      <c r="A107" s="2" t="s">
        <v>130</v>
      </c>
      <c r="B107" s="89">
        <v>63919</v>
      </c>
      <c r="C107" s="90">
        <v>12.100000000000001</v>
      </c>
      <c r="D107" s="91">
        <v>6.6</v>
      </c>
      <c r="E107" s="91">
        <v>8</v>
      </c>
      <c r="F107" s="91">
        <v>6</v>
      </c>
      <c r="G107" s="108"/>
      <c r="H107" s="7" t="e">
        <v>#N/A</v>
      </c>
      <c r="I107" s="7" t="e">
        <v>#N/A</v>
      </c>
    </row>
    <row r="108" spans="1:9">
      <c r="A108" s="2" t="s">
        <v>131</v>
      </c>
      <c r="B108" s="89">
        <v>64284</v>
      </c>
      <c r="C108" s="90">
        <v>12.2</v>
      </c>
      <c r="D108" s="91">
        <v>6.7</v>
      </c>
      <c r="E108" s="91">
        <v>8.1</v>
      </c>
      <c r="F108" s="91">
        <v>6</v>
      </c>
      <c r="G108" s="108"/>
      <c r="H108" s="7" t="e">
        <v>#N/A</v>
      </c>
      <c r="I108" s="7" t="e">
        <v>#N/A</v>
      </c>
    </row>
    <row r="109" spans="1:9">
      <c r="A109" s="2" t="s">
        <v>132</v>
      </c>
      <c r="B109" s="89">
        <v>64650</v>
      </c>
      <c r="C109" s="90">
        <v>12.3</v>
      </c>
      <c r="D109" s="91">
        <v>6.6</v>
      </c>
      <c r="E109" s="91">
        <v>8.3000000000000007</v>
      </c>
      <c r="F109" s="91">
        <v>6</v>
      </c>
      <c r="G109" s="108"/>
      <c r="H109" s="7" t="e">
        <v>#N/A</v>
      </c>
      <c r="I109" s="7" t="e">
        <v>#N/A</v>
      </c>
    </row>
    <row r="110" spans="1:9">
      <c r="A110" s="2" t="s">
        <v>133</v>
      </c>
      <c r="B110" s="89">
        <v>65015</v>
      </c>
      <c r="C110" s="90">
        <v>12.4</v>
      </c>
      <c r="D110" s="91">
        <v>6.7</v>
      </c>
      <c r="E110" s="91">
        <v>8.3000000000000007</v>
      </c>
      <c r="F110" s="91">
        <v>6</v>
      </c>
      <c r="G110" s="108"/>
      <c r="H110" s="7" t="e">
        <v>#N/A</v>
      </c>
      <c r="I110" s="7" t="e">
        <v>#N/A</v>
      </c>
    </row>
    <row r="111" spans="1:9">
      <c r="A111" s="2" t="s">
        <v>134</v>
      </c>
      <c r="B111" s="89">
        <v>65380</v>
      </c>
      <c r="C111" s="90">
        <v>12.6</v>
      </c>
      <c r="D111" s="91">
        <v>6.7</v>
      </c>
      <c r="E111" s="91">
        <v>8.5</v>
      </c>
      <c r="F111" s="91">
        <v>6</v>
      </c>
      <c r="G111" s="108"/>
      <c r="H111" s="7" t="e">
        <v>#N/A</v>
      </c>
      <c r="I111" s="7" t="e">
        <v>#N/A</v>
      </c>
    </row>
    <row r="112" spans="1:9">
      <c r="A112" s="2" t="s">
        <v>135</v>
      </c>
      <c r="B112" s="89">
        <v>65745</v>
      </c>
      <c r="C112" s="90">
        <v>12.7</v>
      </c>
      <c r="D112" s="91">
        <v>6.7</v>
      </c>
      <c r="E112" s="91">
        <v>8.6</v>
      </c>
      <c r="F112" s="91">
        <v>5.9</v>
      </c>
      <c r="G112" s="108"/>
      <c r="H112" s="7" t="e">
        <v>#N/A</v>
      </c>
      <c r="I112" s="7" t="e">
        <v>#N/A</v>
      </c>
    </row>
    <row r="113" spans="1:9">
      <c r="A113" s="2" t="s">
        <v>136</v>
      </c>
      <c r="B113" s="89">
        <v>66111</v>
      </c>
      <c r="C113" s="90">
        <v>12.8</v>
      </c>
      <c r="D113" s="91">
        <v>6.7</v>
      </c>
      <c r="E113" s="91">
        <v>8.8000000000000007</v>
      </c>
      <c r="F113" s="91">
        <v>5.9</v>
      </c>
      <c r="G113" s="108"/>
      <c r="H113" s="7" t="e">
        <v>#N/A</v>
      </c>
      <c r="I113" s="7" t="e">
        <v>#N/A</v>
      </c>
    </row>
    <row r="114" spans="1:9">
      <c r="A114" s="2" t="s">
        <v>137</v>
      </c>
      <c r="B114" s="89">
        <v>66476</v>
      </c>
      <c r="C114" s="90">
        <v>12.9</v>
      </c>
      <c r="D114" s="91">
        <v>6.7</v>
      </c>
      <c r="E114" s="91">
        <v>8.9</v>
      </c>
      <c r="F114" s="91">
        <v>5.9</v>
      </c>
      <c r="G114" s="108"/>
      <c r="H114" s="7" t="e">
        <v>#N/A</v>
      </c>
      <c r="I114" s="7" t="e">
        <v>#N/A</v>
      </c>
    </row>
    <row r="115" spans="1:9">
      <c r="A115" s="2" t="s">
        <v>138</v>
      </c>
      <c r="B115" s="89">
        <v>66841</v>
      </c>
      <c r="C115" s="90">
        <v>13.1</v>
      </c>
      <c r="D115" s="91">
        <v>6.7</v>
      </c>
      <c r="E115" s="91">
        <v>9</v>
      </c>
      <c r="F115" s="91">
        <v>5.9</v>
      </c>
      <c r="G115" s="108"/>
      <c r="H115" s="7" t="e">
        <v>#N/A</v>
      </c>
      <c r="I115" s="7" t="e">
        <v>#N/A</v>
      </c>
    </row>
    <row r="116" spans="1:9">
      <c r="A116" s="2" t="s">
        <v>139</v>
      </c>
      <c r="B116" s="89">
        <v>67206</v>
      </c>
      <c r="C116" s="90">
        <v>13.2</v>
      </c>
      <c r="D116" s="91">
        <v>6.7</v>
      </c>
      <c r="E116" s="91">
        <v>9.1999999999999993</v>
      </c>
      <c r="F116" s="91">
        <v>5.9</v>
      </c>
      <c r="G116" s="108"/>
      <c r="H116" s="7" t="e">
        <v>#N/A</v>
      </c>
      <c r="I116" s="7" t="e">
        <v>#N/A</v>
      </c>
    </row>
    <row r="117" spans="1:9">
      <c r="A117" s="2" t="s">
        <v>140</v>
      </c>
      <c r="B117" s="89">
        <v>67572</v>
      </c>
      <c r="C117" s="90">
        <v>13.299999999999999</v>
      </c>
      <c r="D117" s="91">
        <v>6.8</v>
      </c>
      <c r="E117" s="91">
        <v>9.3000000000000007</v>
      </c>
      <c r="F117" s="91">
        <v>5.9</v>
      </c>
      <c r="G117" s="108"/>
      <c r="H117" s="7" t="e">
        <v>#N/A</v>
      </c>
      <c r="I117" s="7" t="e">
        <v>#N/A</v>
      </c>
    </row>
    <row r="118" spans="1:9">
      <c r="A118" s="2" t="s">
        <v>141</v>
      </c>
      <c r="B118" s="89">
        <v>67937</v>
      </c>
      <c r="C118" s="90">
        <v>13.4</v>
      </c>
      <c r="D118" s="91">
        <v>6.8</v>
      </c>
      <c r="E118" s="91">
        <v>9.4</v>
      </c>
      <c r="F118" s="91">
        <v>5.9</v>
      </c>
      <c r="G118" s="108"/>
      <c r="H118" s="7" t="e">
        <v>#N/A</v>
      </c>
      <c r="I118" s="7" t="e">
        <v>#N/A</v>
      </c>
    </row>
    <row r="119" spans="1:9">
      <c r="A119" s="2" t="s">
        <v>142</v>
      </c>
      <c r="B119" s="89">
        <v>68302</v>
      </c>
      <c r="C119" s="90">
        <v>13.6</v>
      </c>
      <c r="D119" s="91">
        <v>6.8</v>
      </c>
      <c r="E119" s="91">
        <v>9.6</v>
      </c>
      <c r="F119" s="91">
        <v>5.9</v>
      </c>
      <c r="G119" s="108"/>
      <c r="H119" s="7" t="e">
        <v>#N/A</v>
      </c>
      <c r="I119" s="7" t="e">
        <v>#N/A</v>
      </c>
    </row>
    <row r="120" spans="1:9">
      <c r="A120" s="2" t="s">
        <v>143</v>
      </c>
      <c r="B120" s="89">
        <v>68667</v>
      </c>
      <c r="C120" s="90">
        <v>13.6</v>
      </c>
      <c r="D120" s="91">
        <v>6.8</v>
      </c>
      <c r="E120" s="91">
        <v>9.6999999999999993</v>
      </c>
      <c r="F120" s="91">
        <v>5.8</v>
      </c>
      <c r="G120" s="108"/>
      <c r="H120" s="7" t="e">
        <v>#N/A</v>
      </c>
      <c r="I120" s="7" t="e">
        <v>#N/A</v>
      </c>
    </row>
    <row r="121" spans="1:9">
      <c r="A121" s="2" t="s">
        <v>144</v>
      </c>
      <c r="B121" s="89">
        <v>69033</v>
      </c>
      <c r="C121" s="90">
        <v>13.799999999999999</v>
      </c>
      <c r="D121" s="91">
        <v>6.8</v>
      </c>
      <c r="E121" s="91">
        <v>9.9</v>
      </c>
      <c r="F121" s="91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9">
        <v>69398</v>
      </c>
      <c r="C122" s="90">
        <v>14</v>
      </c>
      <c r="D122" s="91">
        <v>6.9</v>
      </c>
      <c r="E122" s="91">
        <v>10</v>
      </c>
      <c r="F122" s="91">
        <v>5.8</v>
      </c>
      <c r="H122" s="7" t="e">
        <v>#N/A</v>
      </c>
      <c r="I122" s="7" t="e">
        <v>#N/A</v>
      </c>
    </row>
    <row r="123" spans="1:9">
      <c r="A123" s="2" t="s">
        <v>266</v>
      </c>
      <c r="B123" s="89" t="s">
        <v>266</v>
      </c>
      <c r="C123" s="90" t="s">
        <v>266</v>
      </c>
      <c r="D123" s="91" t="s">
        <v>266</v>
      </c>
      <c r="E123" s="91" t="s">
        <v>266</v>
      </c>
      <c r="F123" s="91" t="s">
        <v>266</v>
      </c>
      <c r="H123" s="7" t="s">
        <v>266</v>
      </c>
      <c r="I123" s="7" t="s">
        <v>266</v>
      </c>
    </row>
    <row r="124" spans="1:9">
      <c r="A124" s="2" t="s">
        <v>266</v>
      </c>
      <c r="B124" s="89" t="s">
        <v>266</v>
      </c>
      <c r="C124" s="92" t="s">
        <v>266</v>
      </c>
      <c r="D124" s="92" t="s">
        <v>266</v>
      </c>
      <c r="E124" s="92" t="s">
        <v>266</v>
      </c>
      <c r="F124" s="92" t="s">
        <v>266</v>
      </c>
      <c r="H124" s="2" t="s">
        <v>266</v>
      </c>
      <c r="I124" s="2" t="s">
        <v>266</v>
      </c>
    </row>
    <row r="125" spans="1:9">
      <c r="A125" s="2" t="s">
        <v>266</v>
      </c>
      <c r="B125" s="89" t="s">
        <v>266</v>
      </c>
      <c r="C125" s="92" t="s">
        <v>266</v>
      </c>
      <c r="D125" s="92" t="s">
        <v>266</v>
      </c>
      <c r="E125" s="92" t="s">
        <v>266</v>
      </c>
      <c r="F125" s="92" t="s">
        <v>266</v>
      </c>
      <c r="H125" s="2" t="s">
        <v>266</v>
      </c>
      <c r="I125" s="2" t="s">
        <v>266</v>
      </c>
    </row>
    <row r="126" spans="1:9">
      <c r="A126" s="2" t="s">
        <v>266</v>
      </c>
      <c r="B126" s="8" t="s">
        <v>266</v>
      </c>
      <c r="C126" s="2" t="s">
        <v>266</v>
      </c>
      <c r="D126" s="2" t="s">
        <v>266</v>
      </c>
      <c r="E126" s="2" t="s">
        <v>266</v>
      </c>
      <c r="F126" s="2" t="s">
        <v>266</v>
      </c>
      <c r="H126" s="2" t="s">
        <v>266</v>
      </c>
      <c r="I126" s="2" t="s">
        <v>266</v>
      </c>
    </row>
    <row r="127" spans="1:9">
      <c r="A127" s="2" t="s">
        <v>266</v>
      </c>
      <c r="B127" s="8" t="s">
        <v>266</v>
      </c>
      <c r="C127" s="2" t="s">
        <v>266</v>
      </c>
      <c r="D127" s="2" t="s">
        <v>266</v>
      </c>
      <c r="E127" s="2" t="s">
        <v>266</v>
      </c>
      <c r="F127" s="2" t="s">
        <v>266</v>
      </c>
      <c r="H127" s="2" t="s">
        <v>266</v>
      </c>
      <c r="I127" s="2" t="s">
        <v>266</v>
      </c>
    </row>
    <row r="128" spans="1:9">
      <c r="A128" s="2" t="s">
        <v>266</v>
      </c>
      <c r="B128" s="8" t="s">
        <v>266</v>
      </c>
      <c r="C128" s="2" t="s">
        <v>266</v>
      </c>
      <c r="D128" s="2" t="s">
        <v>266</v>
      </c>
      <c r="E128" s="2" t="s">
        <v>266</v>
      </c>
      <c r="F128" s="2" t="s">
        <v>266</v>
      </c>
      <c r="H128" s="2" t="s">
        <v>266</v>
      </c>
      <c r="I128" s="2" t="s">
        <v>266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423</v>
      </c>
      <c r="C1" t="s">
        <v>424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13.00</v>
      </c>
      <c r="C2" s="25" t="str">
        <f>IF('Change in Employment'!J8&lt;&gt;"",TEXT('Change in Employment'!J8, "0.00"),"")</f>
        <v/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38.00</v>
      </c>
      <c r="C3" s="25" t="str">
        <f>IF('Change in Employment'!J9&lt;&gt;"",TEXT('Change in Employment'!J9, "0.00"),"")</f>
        <v/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4.00</v>
      </c>
      <c r="C4" s="25" t="str">
        <f>IF('Change in Employment'!J10&lt;&gt;"",TEXT('Change in Employment'!J10, "0.00"),"")</f>
        <v>18.33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23.00</v>
      </c>
      <c r="C5" s="25" t="str">
        <f>IF('Change in Employment'!J11&lt;&gt;"",TEXT('Change in Employment'!J11, "0.00"),"")</f>
        <v>21.67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-13.00</v>
      </c>
      <c r="C6" s="25" t="str">
        <f>IF('Change in Employment'!J12&lt;&gt;"",TEXT('Change in Employment'!J12, "0.00"),"")</f>
        <v>4.67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6.00</v>
      </c>
      <c r="C7" s="25" t="str">
        <f>IF('Change in Employment'!J13&lt;&gt;"",TEXT('Change in Employment'!J13, "0.00"),"")</f>
        <v>5.33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20.00</v>
      </c>
      <c r="C8" s="25" t="str">
        <f>IF('Change in Employment'!J14&lt;&gt;"",TEXT('Change in Employment'!J14, "0.00"),"")</f>
        <v>4.33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9.00</v>
      </c>
      <c r="C9" s="25" t="str">
        <f>IF('Change in Employment'!J15&lt;&gt;"",TEXT('Change in Employment'!J15, "0.00"),"")</f>
        <v>11.67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26.00</v>
      </c>
      <c r="C10" s="25" t="str">
        <f>IF('Change in Employment'!J16&lt;&gt;"",TEXT('Change in Employment'!J16, "0.00"),"")</f>
        <v>18.33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33.00</v>
      </c>
      <c r="C11" s="25" t="str">
        <f>IF('Change in Employment'!J17&lt;&gt;"",TEXT('Change in Employment'!J17, "0.00"),"")</f>
        <v>22.67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43.00</v>
      </c>
      <c r="C13" s="25" t="str">
        <f>IF('Change in Employment'!J19&lt;&gt;"",TEXT('Change in Employment'!J19, "0.00"),"")</f>
        <v>25.33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8.00</v>
      </c>
      <c r="C14" s="25" t="str">
        <f>IF('Change in Employment'!J20&lt;&gt;"",TEXT('Change in Employment'!J20, "0.00"),"")</f>
        <v>17.00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-9.00</v>
      </c>
      <c r="C15" s="25" t="str">
        <f>IF('Change in Employment'!J21&lt;&gt;"",TEXT('Change in Employment'!J21, "0.00"),"")</f>
        <v>14.00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22.00</v>
      </c>
      <c r="C16" s="25" t="str">
        <f>IF('Change in Employment'!J22&lt;&gt;"",TEXT('Change in Employment'!J22, "0.00"),"")</f>
        <v>7.00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18.00</v>
      </c>
      <c r="C17" s="25" t="str">
        <f>IF('Change in Employment'!J23&lt;&gt;"",TEXT('Change in Employment'!J23, "0.00"),"")</f>
        <v>10.33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-17.00</v>
      </c>
      <c r="C18" s="25" t="str">
        <f>IF('Change in Employment'!J24&lt;&gt;"",TEXT('Change in Employment'!J24, "0.00"),"")</f>
        <v>7.67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99.00</v>
      </c>
      <c r="C19" s="25" t="str">
        <f>IF('Change in Employment'!J25&lt;&gt;"",TEXT('Change in Employment'!J25, "0.00"),"")</f>
        <v>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3.00</v>
      </c>
      <c r="C20" s="25" t="str">
        <f>IF('Change in Employment'!J26&lt;&gt;"",TEXT('Change in Employment'!J26, "0.00"),"")</f>
        <v>28.33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-19.00</v>
      </c>
      <c r="C21" s="25" t="str">
        <f>IF('Change in Employment'!J27&lt;&gt;"",TEXT('Change in Employment'!J27, "0.00"),"")</f>
        <v>27.67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-19.00</v>
      </c>
      <c r="C22" s="25" t="str">
        <f>IF('Change in Employment'!J28&lt;&gt;"",TEXT('Change in Employment'!J28, "0.00"),"")</f>
        <v>-11.67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26.00</v>
      </c>
      <c r="C23" s="25" t="str">
        <f>IF('Change in Employment'!J29&lt;&gt;"",TEXT('Change in Employment'!J29, "0.00"),"")</f>
        <v>-4.00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26.00</v>
      </c>
      <c r="C24" s="25" t="str">
        <f>IF('Change in Employment'!J30&lt;&gt;"",TEXT('Change in Employment'!J30, "0.00"),"")</f>
        <v>11.00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-26.00</v>
      </c>
      <c r="C25" s="25" t="str">
        <f>IF('Change in Employment'!J31&lt;&gt;"",TEXT('Change in Employment'!J31, "0.00"),"")</f>
        <v>8.67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25.00</v>
      </c>
      <c r="C26" s="25" t="str">
        <f>IF('Change in Employment'!J32&lt;&gt;"",TEXT('Change in Employment'!J32, "0.00"),"")</f>
        <v>8.33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25.00</v>
      </c>
      <c r="C27" s="25" t="str">
        <f>IF('Change in Employment'!J33&lt;&gt;"",TEXT('Change in Employment'!J33, "0.00"),"")</f>
        <v>8.00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16.00</v>
      </c>
      <c r="C28" s="25" t="str">
        <f>IF('Change in Employment'!J34&lt;&gt;"",TEXT('Change in Employment'!J34, "0.00"),"")</f>
        <v>22.00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6.00</v>
      </c>
      <c r="C29" s="25" t="str">
        <f>IF('Change in Employment'!J35&lt;&gt;"",TEXT('Change in Employment'!J35, "0.00"),"")</f>
        <v>15.67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-6.00</v>
      </c>
      <c r="C30" s="25" t="str">
        <f>IF('Change in Employment'!J36&lt;&gt;"",TEXT('Change in Employment'!J36, "0.00"),"")</f>
        <v>5.33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47.00</v>
      </c>
      <c r="C31" s="25" t="str">
        <f>IF('Change in Employment'!J37&lt;&gt;"",TEXT('Change in Employment'!J37, "0.00"),"")</f>
        <v>15.67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45.00</v>
      </c>
      <c r="C32" s="25" t="str">
        <f>IF('Change in Employment'!J38&lt;&gt;"",TEXT('Change in Employment'!J38, "0.00"),"")</f>
        <v>28.67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72.00</v>
      </c>
      <c r="C33" s="25" t="str">
        <f>IF('Change in Employment'!J39&lt;&gt;"",TEXT('Change in Employment'!J39, "0.00"),"")</f>
        <v>54.67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-13.00</v>
      </c>
      <c r="C34" s="25" t="str">
        <f>IF('Change in Employment'!J40&lt;&gt;"",TEXT('Change in Employment'!J40, "0.00"),"")</f>
        <v>34.67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17.00</v>
      </c>
      <c r="C35" s="25" t="str">
        <f>IF('Change in Employment'!J41&lt;&gt;"",TEXT('Change in Employment'!J41, "0.00"),"")</f>
        <v>25.33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4.00</v>
      </c>
      <c r="C36" s="25" t="str">
        <f>IF('Change in Employment'!J42&lt;&gt;"",TEXT('Change in Employment'!J42, "0.00"),"")</f>
        <v>2.67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6.00</v>
      </c>
      <c r="C37" s="25" t="str">
        <f>IF('Change in Employment'!J43&lt;&gt;"",TEXT('Change in Employment'!J43, "0.00"),"")</f>
        <v>9.00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35.00</v>
      </c>
      <c r="C38" s="25" t="str">
        <f>IF('Change in Employment'!J44&lt;&gt;"",TEXT('Change in Employment'!J44, "0.00"),"")</f>
        <v>15.00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19.00</v>
      </c>
      <c r="C39" s="25" t="str">
        <f>IF('Change in Employment'!J45&lt;&gt;"",TEXT('Change in Employment'!J45, "0.00"),"")</f>
        <v>20.00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25.00</v>
      </c>
      <c r="C40" s="25" t="str">
        <f>IF('Change in Employment'!J46&lt;&gt;"",TEXT('Change in Employment'!J46, "0.00"),"")</f>
        <v>26.33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17.00</v>
      </c>
      <c r="C41" s="25" t="str">
        <f>IF('Change in Employment'!J47&lt;&gt;"",TEXT('Change in Employment'!J47, "0.00"),"")</f>
        <v>20.33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18.00</v>
      </c>
      <c r="C42" s="25" t="str">
        <f>IF('Change in Employment'!J48&lt;&gt;"",TEXT('Change in Employment'!J48, "0.00"),"")</f>
        <v>20.00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-34.00</v>
      </c>
      <c r="C43" s="25" t="str">
        <f>IF('Change in Employment'!J49&lt;&gt;"",TEXT('Change in Employment'!J49, "0.00"),"")</f>
        <v>0.33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44.00</v>
      </c>
      <c r="C44" s="25" t="str">
        <f>IF('Change in Employment'!J50&lt;&gt;"",TEXT('Change in Employment'!J50, "0.00"),"")</f>
        <v>9.33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54.00</v>
      </c>
      <c r="C45" s="25" t="str">
        <f>IF('Change in Employment'!J51&lt;&gt;"",TEXT('Change in Employment'!J51, "0.00"),"")</f>
        <v>21.33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21.00</v>
      </c>
      <c r="C46" s="25" t="str">
        <f>IF('Change in Employment'!J52&lt;&gt;"",TEXT('Change in Employment'!J52, "0.00"),"")</f>
        <v>39.67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27.00</v>
      </c>
      <c r="C47" s="25" t="str">
        <f>IF('Change in Employment'!J53&lt;&gt;"",TEXT('Change in Employment'!J53, "0.00"),"")</f>
        <v>34.00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30.00</v>
      </c>
      <c r="C48" s="25" t="str">
        <f>IF('Change in Employment'!J54&lt;&gt;"",TEXT('Change in Employment'!J54, "0.00"),"")</f>
        <v>26.00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30.00</v>
      </c>
      <c r="C49" s="25" t="str">
        <f>IF('Change in Employment'!J55&lt;&gt;"",TEXT('Change in Employment'!J55, "0.00"),"")</f>
        <v>29.00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20.00</v>
      </c>
      <c r="C50" s="25" t="str">
        <f>IF('Change in Employment'!J56&lt;&gt;"",TEXT('Change in Employment'!J56, "0.00"),"")</f>
        <v>26.67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21.00</v>
      </c>
      <c r="C51" s="25" t="str">
        <f>IF('Change in Employment'!J57&lt;&gt;"",TEXT('Change in Employment'!J57, "0.00"),"")</f>
        <v>23.67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4.00</v>
      </c>
      <c r="C52" s="25" t="str">
        <f>IF('Change in Employment'!J58&lt;&gt;"",TEXT('Change in Employment'!J58, "0.00"),"")</f>
        <v>15.00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31.00</v>
      </c>
      <c r="C53" s="25" t="str">
        <f>IF('Change in Employment'!J59&lt;&gt;"",TEXT('Change in Employment'!J59, "0.00"),"")</f>
        <v>18.67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32.00</v>
      </c>
      <c r="C54" s="25" t="str">
        <f>IF('Change in Employment'!J60&lt;&gt;"",TEXT('Change in Employment'!J60, "0.00"),"")</f>
        <v>22.33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43.00</v>
      </c>
      <c r="C55" s="25" t="str">
        <f>IF('Change in Employment'!J61&lt;&gt;"",TEXT('Change in Employment'!J61, "0.00"),"")</f>
        <v>35.33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-32.00</v>
      </c>
      <c r="C57" s="25" t="str">
        <f>IF('Change in Employment'!J63&lt;&gt;"",TEXT('Change in Employment'!J63, "0.00"),"")</f>
        <v>3.67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8.00</v>
      </c>
      <c r="C58" s="25" t="str">
        <f>IF('Change in Employment'!J64&lt;&gt;"",TEXT('Change in Employment'!J64, "0.00"),"")</f>
        <v>-8.00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5.00</v>
      </c>
      <c r="C59" s="25" t="str">
        <f>IF('Change in Employment'!J65&lt;&gt;"",TEXT('Change in Employment'!J65, "0.00"),"")</f>
        <v>-6.33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-1.00</v>
      </c>
      <c r="C60" s="25" t="str">
        <f>IF('Change in Employment'!J66&lt;&gt;"",TEXT('Change in Employment'!J66, "0.00"),"")</f>
        <v>4.00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12.00</v>
      </c>
      <c r="C61" s="25" t="str">
        <f>IF('Change in Employment'!J67&lt;&gt;"",TEXT('Change in Employment'!J67, "0.00"),"")</f>
        <v>5.33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-12.00</v>
      </c>
      <c r="C62" s="25" t="str">
        <f>IF('Change in Employment'!J68&lt;&gt;"",TEXT('Change in Employment'!J68, "0.00"),"")</f>
        <v>-0.33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-18.00</v>
      </c>
      <c r="C63" s="25" t="str">
        <f>IF('Change in Employment'!J69&lt;&gt;"",TEXT('Change in Employment'!J69, "0.00"),"")</f>
        <v>-6.00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-8.00</v>
      </c>
      <c r="C64" s="25" t="str">
        <f>IF('Change in Employment'!J70&lt;&gt;"",TEXT('Change in Employment'!J70, "0.00"),"")</f>
        <v>-12.67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2.00</v>
      </c>
      <c r="C65" s="25" t="str">
        <f>IF('Change in Employment'!J71&lt;&gt;"",TEXT('Change in Employment'!J71, "0.00"),"")</f>
        <v>-8.00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5.00</v>
      </c>
      <c r="C66" s="25" t="str">
        <f>IF('Change in Employment'!J72&lt;&gt;"",TEXT('Change in Employment'!J72, "0.00"),"")</f>
        <v>-0.33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-67.00</v>
      </c>
      <c r="C67" s="25" t="str">
        <f>IF('Change in Employment'!J73&lt;&gt;"",TEXT('Change in Employment'!J73, "0.00"),"")</f>
        <v>-20.00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17.00</v>
      </c>
      <c r="C68" s="25" t="str">
        <f>IF('Change in Employment'!J74&lt;&gt;"",TEXT('Change in Employment'!J74, "0.00"),"")</f>
        <v>-15.00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-87.00</v>
      </c>
      <c r="C69" s="25" t="str">
        <f>IF('Change in Employment'!J75&lt;&gt;"",TEXT('Change in Employment'!J75, "0.00"),"")</f>
        <v>-45.67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56.00</v>
      </c>
      <c r="C70" s="25" t="str">
        <f>IF('Change in Employment'!J76&lt;&gt;"",TEXT('Change in Employment'!J76, "0.00"),"")</f>
        <v>-4.67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10.00</v>
      </c>
      <c r="C71" s="25" t="str">
        <f>IF('Change in Employment'!J77&lt;&gt;"",TEXT('Change in Employment'!J77, "0.00"),"")</f>
        <v>-7.00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-40.00</v>
      </c>
      <c r="C72" s="25" t="str">
        <f>IF('Change in Employment'!J78&lt;&gt;"",TEXT('Change in Employment'!J78, "0.00"),"")</f>
        <v>8.67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-31.00</v>
      </c>
      <c r="C73" s="25" t="str">
        <f>IF('Change in Employment'!J79&lt;&gt;"",TEXT('Change in Employment'!J79, "0.00"),"")</f>
        <v>-20.33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-23.00</v>
      </c>
      <c r="C74" s="25" t="str">
        <f>IF('Change in Employment'!J80&lt;&gt;"",TEXT('Change in Employment'!J80, "0.00"),"")</f>
        <v>-31.33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-8.00</v>
      </c>
      <c r="C75" s="25" t="str">
        <f>IF('Change in Employment'!J81&lt;&gt;"",TEXT('Change in Employment'!J81, "0.00"),"")</f>
        <v>-20.67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-5.00</v>
      </c>
      <c r="C76" s="25" t="str">
        <f>IF('Change in Employment'!J82&lt;&gt;"",TEXT('Change in Employment'!J82, "0.00"),"")</f>
        <v>-12.00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-7.00</v>
      </c>
      <c r="C77" s="25" t="str">
        <f>IF('Change in Employment'!J83&lt;&gt;"",TEXT('Change in Employment'!J83, "0.00"),"")</f>
        <v>-6.67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-10.00</v>
      </c>
      <c r="C78" s="25" t="str">
        <f>IF('Change in Employment'!J84&lt;&gt;"",TEXT('Change in Employment'!J84, "0.00"),"")</f>
        <v>-7.33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-42.00</v>
      </c>
      <c r="C79" s="25" t="str">
        <f>IF('Change in Employment'!J85&lt;&gt;"",TEXT('Change in Employment'!J85, "0.00"),"")</f>
        <v>-19.67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-50.00</v>
      </c>
      <c r="C80" s="25" t="str">
        <f>IF('Change in Employment'!J86&lt;&gt;"",TEXT('Change in Employment'!J86, "0.00"),"")</f>
        <v>-34.00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-88.00</v>
      </c>
      <c r="C81" s="25" t="str">
        <f>IF('Change in Employment'!J87&lt;&gt;"",TEXT('Change in Employment'!J87, "0.00"),"")</f>
        <v>-60.00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45.00</v>
      </c>
      <c r="C82" s="25" t="str">
        <f>IF('Change in Employment'!J88&lt;&gt;"",TEXT('Change in Employment'!J88, "0.00"),"")</f>
        <v>-31.00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-12.00</v>
      </c>
      <c r="C83" s="25" t="str">
        <f>IF('Change in Employment'!J89&lt;&gt;"",TEXT('Change in Employment'!J89, "0.00"),"")</f>
        <v>-18.33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-27.00</v>
      </c>
      <c r="C84" s="25" t="str">
        <f>IF('Change in Employment'!J90&lt;&gt;"",TEXT('Change in Employment'!J90, "0.00"),"")</f>
        <v>2.00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-6.00</v>
      </c>
      <c r="C85" s="25" t="str">
        <f>IF('Change in Employment'!J91&lt;&gt;"",TEXT('Change in Employment'!J91, "0.00"),"")</f>
        <v>-15.00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-56.00</v>
      </c>
      <c r="C86" s="25" t="str">
        <f>IF('Change in Employment'!J92&lt;&gt;"",TEXT('Change in Employment'!J92, "0.00"),"")</f>
        <v>-29.67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-20.00</v>
      </c>
      <c r="C87" s="25" t="str">
        <f>IF('Change in Employment'!J93&lt;&gt;"",TEXT('Change in Employment'!J93, "0.00"),"")</f>
        <v>-27.33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6.00</v>
      </c>
      <c r="C88" s="25" t="str">
        <f>IF('Change in Employment'!J94&lt;&gt;"",TEXT('Change in Employment'!J94, "0.00"),"")</f>
        <v>-23.33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-64.00</v>
      </c>
      <c r="C89" s="25" t="str">
        <f>IF('Change in Employment'!J95&lt;&gt;"",TEXT('Change in Employment'!J95, "0.00"),"")</f>
        <v>-26.00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44.00</v>
      </c>
      <c r="C90" s="25" t="str">
        <f>IF('Change in Employment'!J96&lt;&gt;"",TEXT('Change in Employment'!J96, "0.00"),"")</f>
        <v>-4.67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-114.00</v>
      </c>
      <c r="C91" s="25" t="str">
        <f>IF('Change in Employment'!J97&lt;&gt;"",TEXT('Change in Employment'!J97, "0.00"),"")</f>
        <v>-44.67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5.00</v>
      </c>
      <c r="C92" s="25" t="str">
        <f>IF('Change in Employment'!J98&lt;&gt;"",TEXT('Change in Employment'!J98, "0.00"),"")</f>
        <v>-21.67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-41.00</v>
      </c>
      <c r="C93" s="25" t="str">
        <f>IF('Change in Employment'!J99&lt;&gt;"",TEXT('Change in Employment'!J99, "0.00"),"")</f>
        <v>-50.00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3.00</v>
      </c>
      <c r="C94" s="25" t="str">
        <f>IF('Change in Employment'!J100&lt;&gt;"",TEXT('Change in Employment'!J100, "0.00"),"")</f>
        <v>-11.00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-21.00</v>
      </c>
      <c r="C95" s="25" t="str">
        <f>IF('Change in Employment'!J101&lt;&gt;"",TEXT('Change in Employment'!J101, "0.00"),"")</f>
        <v>-19.67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-22.00</v>
      </c>
      <c r="C96" s="25" t="str">
        <f>IF('Change in Employment'!J102&lt;&gt;"",TEXT('Change in Employment'!J102, "0.00"),"")</f>
        <v>-13.33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2.00</v>
      </c>
      <c r="C97" s="25" t="str">
        <f>IF('Change in Employment'!J103&lt;&gt;"",TEXT('Change in Employment'!J103, "0.00"),"")</f>
        <v>-13.67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4.00</v>
      </c>
      <c r="C98" s="25" t="str">
        <f>IF('Change in Employment'!J104&lt;&gt;"",TEXT('Change in Employment'!J104, "0.00"),"")</f>
        <v>-5.33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-2.00</v>
      </c>
      <c r="C99" s="25" t="str">
        <f>IF('Change in Employment'!J105&lt;&gt;"",TEXT('Change in Employment'!J105, "0.00"),"")</f>
        <v>1.33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-6.00</v>
      </c>
      <c r="C100" s="25" t="str">
        <f>IF('Change in Employment'!J106&lt;&gt;"",TEXT('Change in Employment'!J106, "0.00"),"")</f>
        <v>-1.33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-20.00</v>
      </c>
      <c r="C101" s="25" t="str">
        <f>IF('Change in Employment'!J107&lt;&gt;"",TEXT('Change in Employment'!J107, "0.00"),"")</f>
        <v>-9.33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14.00</v>
      </c>
      <c r="C102" s="25" t="str">
        <f>IF('Change in Employment'!J108&lt;&gt;"",TEXT('Change in Employment'!J108, "0.00"),"")</f>
        <v>-4.00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-2.00</v>
      </c>
      <c r="C103" s="25" t="str">
        <f>IF('Change in Employment'!J109&lt;&gt;"",TEXT('Change in Employment'!J109, "0.00"),"")</f>
        <v>-2.67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9.00</v>
      </c>
      <c r="C104" s="25" t="str">
        <f>IF('Change in Employment'!J110&lt;&gt;"",TEXT('Change in Employment'!J110, "0.00"),"")</f>
        <v>7.00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2.00</v>
      </c>
      <c r="C105" s="25" t="str">
        <f>IF('Change in Employment'!J111&lt;&gt;"",TEXT('Change in Employment'!J111, "0.00"),"")</f>
        <v>3.00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-32.00</v>
      </c>
      <c r="C106" s="25" t="str">
        <f>IF('Change in Employment'!J112&lt;&gt;"",TEXT('Change in Employment'!J112, "0.00"),"")</f>
        <v>-7.00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-3.00</v>
      </c>
      <c r="C107" s="25" t="str">
        <f>IF('Change in Employment'!J113&lt;&gt;"",TEXT('Change in Employment'!J113, "0.00"),"")</f>
        <v>-11.00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1.00</v>
      </c>
      <c r="C108" s="25" t="str">
        <f>IF('Change in Employment'!J114&lt;&gt;"",TEXT('Change in Employment'!J114, "0.00"),"")</f>
        <v>-11.33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-17.00</v>
      </c>
      <c r="C109" s="25" t="str">
        <f>IF('Change in Employment'!J115&lt;&gt;"",TEXT('Change in Employment'!J115, "0.00"),"")</f>
        <v>-6.33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-2.00</v>
      </c>
      <c r="C111" s="25" t="str">
        <f>IF('Change in Employment'!J117&lt;&gt;"",TEXT('Change in Employment'!J117, "0.00"),"")</f>
        <v>-1.00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13.00</v>
      </c>
      <c r="C112" s="25" t="str">
        <f>IF('Change in Employment'!J118&lt;&gt;"",TEXT('Change in Employment'!J118, "0.00"),"")</f>
        <v>9.00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1.00</v>
      </c>
      <c r="C114" s="25" t="str">
        <f>IF('Change in Employment'!J120&lt;&gt;"",TEXT('Change in Employment'!J120, "0.00"),"")</f>
        <v>4.67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-10.00</v>
      </c>
      <c r="C115" s="25" t="str">
        <f>IF('Change in Employment'!J121&lt;&gt;"",TEXT('Change in Employment'!J121, "0.00"),"")</f>
        <v>-3.00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29.00</v>
      </c>
      <c r="C116" s="25" t="str">
        <f>IF('Change in Employment'!J122&lt;&gt;"",TEXT('Change in Employment'!J122, "0.00"),"")</f>
        <v>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16.00</v>
      </c>
      <c r="C117" s="25" t="str">
        <f>IF('Change in Employment'!J123&lt;&gt;"",TEXT('Change in Employment'!J123, "0.00"),"")</f>
        <v>11.67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2.00</v>
      </c>
      <c r="C118" s="25" t="str">
        <f>IF('Change in Employment'!J124&lt;&gt;"",TEXT('Change in Employment'!J124, "0.00"),"")</f>
        <v>15.67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-5.00</v>
      </c>
      <c r="C119" s="25" t="str">
        <f>IF('Change in Employment'!J125&lt;&gt;"",TEXT('Change in Employment'!J125, "0.00"),"")</f>
        <v>4.33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1.00</v>
      </c>
      <c r="C120" s="25" t="str">
        <f>IF('Change in Employment'!J126&lt;&gt;"",TEXT('Change in Employment'!J126, "0.00"),"")</f>
        <v>-0.67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-7.00</v>
      </c>
      <c r="C121" s="25" t="str">
        <f>IF('Change in Employment'!J127&lt;&gt;"",TEXT('Change in Employment'!J127, "0.00"),"")</f>
        <v>-3.67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24.00</v>
      </c>
      <c r="C122" s="25" t="str">
        <f>IF('Change in Employment'!J128&lt;&gt;"",TEXT('Change in Employment'!J128, "0.00"),"")</f>
        <v>6.00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8.00</v>
      </c>
      <c r="C123" s="25" t="str">
        <f>IF('Change in Employment'!J129&lt;&gt;"",TEXT('Change in Employment'!J129, "0.00"),"")</f>
        <v>8.33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26.00</v>
      </c>
      <c r="C124" s="25" t="str">
        <f>IF('Change in Employment'!J130&lt;&gt;"",TEXT('Change in Employment'!J130, "0.00"),"")</f>
        <v>19.33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2.00</v>
      </c>
      <c r="C125" s="25" t="str">
        <f>IF('Change in Employment'!J131&lt;&gt;"",TEXT('Change in Employment'!J131, "0.00"),"")</f>
        <v>12.00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26.00</v>
      </c>
      <c r="C126" s="25" t="str">
        <f>IF('Change in Employment'!J132&lt;&gt;"",TEXT('Change in Employment'!J132, "0.00"),"")</f>
        <v>18.00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11.00</v>
      </c>
      <c r="C127" s="25" t="str">
        <f>IF('Change in Employment'!J133&lt;&gt;"",TEXT('Change in Employment'!J133, "0.00"),"")</f>
        <v>13.00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>
      <selection activeCell="C4" sqref="C4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425</v>
      </c>
      <c r="C1" s="23" t="s">
        <v>426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0.29999999999995453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2.9000000000000909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23.299999999999955</v>
      </c>
      <c r="C4" s="23" t="str">
        <f>IFERROR(IF('Change in Employment'!M10&lt;&gt;0,TEXT('Change in Employment'!M10, "0.00"), ""), "")</f>
        <v>8.83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</v>
      </c>
      <c r="C5" s="23" t="str">
        <f>IFERROR(IF('Change in Employment'!M11&lt;&gt;0,TEXT('Change in Employment'!M11, "0.00"), ""), "")</f>
        <v>2.73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</v>
      </c>
      <c r="C6" s="23" t="str">
        <f>IFERROR(IF('Change in Employment'!M12&lt;&gt;0,TEXT('Change in Employment'!M12, "0.00"), ""), "")</f>
        <v>2.10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0.90000000000009095</v>
      </c>
      <c r="C7" s="23" t="str">
        <f>IFERROR(IF('Change in Employment'!M13&lt;&gt;0,TEXT('Change in Employment'!M13, "0.00"), ""), "")</f>
        <v>-5.37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0.79999999999995453</v>
      </c>
      <c r="C8" s="23" t="str">
        <f>IFERROR(IF('Change in Employment'!M14&lt;&gt;0,TEXT('Change in Employment'!M14, "0.00"), ""), "")</f>
        <v>0.90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1.3999999999998636</v>
      </c>
      <c r="C9" s="23" t="str">
        <f>IFERROR(IF('Change in Employment'!M15&lt;&gt;0,TEXT('Change in Employment'!M15, "0.00"), ""), "")</f>
        <v>1.03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-3.1999999999998181</v>
      </c>
      <c r="C10" s="23" t="str">
        <f>IFERROR(IF('Change in Employment'!M16&lt;&gt;0,TEXT('Change in Employment'!M16, "0.00"), ""), "")</f>
        <v>-0.33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4.0999999999999091</v>
      </c>
      <c r="C11" s="23" t="str">
        <f>IFERROR(IF('Change in Employment'!M17&lt;&gt;0,TEXT('Change in Employment'!M17, "0.00"), ""), "")</f>
        <v>0.77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9.9999999999909051E-2</v>
      </c>
      <c r="C12" s="23" t="str">
        <f>IFERROR(IF('Change in Employment'!M18&lt;&gt;0,TEXT('Change in Employment'!M18, "0.00"), ""), "")</f>
        <v>0.33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-1.2999999999999545</v>
      </c>
      <c r="C13" s="23" t="str">
        <f>IFERROR(IF('Change in Employment'!M19&lt;&gt;0,TEXT('Change in Employment'!M19, "0.00"), ""), "")</f>
        <v>0.97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2.7999999999999545</v>
      </c>
      <c r="C14" s="23" t="str">
        <f>IFERROR(IF('Change in Employment'!M20&lt;&gt;0,TEXT('Change in Employment'!M20, "0.00"), ""), "")</f>
        <v>0.53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4.8000000000001819</v>
      </c>
      <c r="C15" s="23" t="str">
        <f>IFERROR(IF('Change in Employment'!M21&lt;&gt;0,TEXT('Change in Employment'!M21, "0.00"), ""), "")</f>
        <v>2.10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-2.5</v>
      </c>
      <c r="C16" s="23" t="str">
        <f>IFERROR(IF('Change in Employment'!M22&lt;&gt;0,TEXT('Change in Employment'!M22, "0.00"), ""), "")</f>
        <v>1.70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1.8999999999998636</v>
      </c>
      <c r="C17" s="23" t="str">
        <f>IFERROR(IF('Change in Employment'!M23&lt;&gt;0,TEXT('Change in Employment'!M23, "0.00"), ""), "")</f>
        <v>1.40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</v>
      </c>
      <c r="C18" s="23" t="str">
        <f>IFERROR(IF('Change in Employment'!M24&lt;&gt;0,TEXT('Change in Employment'!M24, "0.00"), ""), "")</f>
        <v>-0.53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-2.2999999999999545</v>
      </c>
      <c r="C19" s="23" t="str">
        <f>IFERROR(IF('Change in Employment'!M25&lt;&gt;0,TEXT('Change in Employment'!M25, "0.00"), ""), "")</f>
        <v>-0.47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1.5999999999999091</v>
      </c>
      <c r="C20" s="23" t="str">
        <f>IFERROR(IF('Change in Employment'!M26&lt;&gt;0,TEXT('Change in Employment'!M26, "0.00"), ""), "")</f>
        <v>-0.57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1.2000000000000455</v>
      </c>
      <c r="C21" s="23" t="str">
        <f>IFERROR(IF('Change in Employment'!M27&lt;&gt;0,TEXT('Change in Employment'!M27, "0.00"), ""), "")</f>
        <v>0.17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3.7999999999999545</v>
      </c>
      <c r="C22" s="23" t="str">
        <f>IFERROR(IF('Change in Employment'!M28&lt;&gt;0,TEXT('Change in Employment'!M28, "0.00"), ""), "")</f>
        <v>2.20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3.2000000000000455</v>
      </c>
      <c r="C23" s="23" t="str">
        <f>IFERROR(IF('Change in Employment'!M29&lt;&gt;0,TEXT('Change in Employment'!M29, "0.00"), ""), "")</f>
        <v>2.73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-5.8999999999998636</v>
      </c>
      <c r="C24" s="23" t="str">
        <f>IFERROR(IF('Change in Employment'!M30&lt;&gt;0,TEXT('Change in Employment'!M30, "0.00"), ""), "")</f>
        <v>0.37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-4.1000000000001364</v>
      </c>
      <c r="C25" s="23" t="str">
        <f>IFERROR(IF('Change in Employment'!M31&lt;&gt;0,TEXT('Change in Employment'!M31, "0.00"), ""), "")</f>
        <v>-2.27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5.1000000000001364</v>
      </c>
      <c r="C26" s="23" t="str">
        <f>IFERROR(IF('Change in Employment'!M32&lt;&gt;0,TEXT('Change in Employment'!M32, "0.00"), ""), "")</f>
        <v>-1.63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1.5</v>
      </c>
      <c r="C27" s="23" t="str">
        <f>IFERROR(IF('Change in Employment'!M33&lt;&gt;0,TEXT('Change in Employment'!M33, "0.00"), ""), "")</f>
        <v>0.83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1.6999999999998181</v>
      </c>
      <c r="C28" s="23" t="str">
        <f>IFERROR(IF('Change in Employment'!M34&lt;&gt;0,TEXT('Change in Employment'!M34, "0.00"), ""), "")</f>
        <v>2.77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1.2000000000000455</v>
      </c>
      <c r="C29" s="23" t="str">
        <f>IFERROR(IF('Change in Employment'!M35&lt;&gt;0,TEXT('Change in Employment'!M35, "0.00"), ""), "")</f>
        <v>1.47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</v>
      </c>
      <c r="C30" s="23" t="str">
        <f>IFERROR(IF('Change in Employment'!M36&lt;&gt;0,TEXT('Change in Employment'!M36, "0.00"), ""), "")</f>
        <v>1.30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1.6000000000001364</v>
      </c>
      <c r="C31" s="23" t="str">
        <f>IFERROR(IF('Change in Employment'!M37&lt;&gt;0,TEXT('Change in Employment'!M37, "0.00"), ""), "")</f>
        <v>1.27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-2.1000000000001364</v>
      </c>
      <c r="C32" s="23" t="str">
        <f>IFERROR(IF('Change in Employment'!M38&lt;&gt;0,TEXT('Change in Employment'!M38, "0.00"), ""), "")</f>
        <v>0.17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-0.5</v>
      </c>
      <c r="C33" s="23" t="str">
        <f>IFERROR(IF('Change in Employment'!M39&lt;&gt;0,TEXT('Change in Employment'!M39, "0.00"), ""), "")</f>
        <v>-0.33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-0.20000000000004547</v>
      </c>
      <c r="C34" s="23" t="str">
        <f>IFERROR(IF('Change in Employment'!M40&lt;&gt;0,TEXT('Change in Employment'!M40, "0.00"), ""), "")</f>
        <v>-0.93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-1.2999999999999545</v>
      </c>
      <c r="C35" s="23" t="str">
        <f>IFERROR(IF('Change in Employment'!M41&lt;&gt;0,TEXT('Change in Employment'!M41, "0.00"), ""), "")</f>
        <v>-0.67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0.40000000000009095</v>
      </c>
      <c r="C36" s="23" t="str">
        <f>IFERROR(IF('Change in Employment'!M42&lt;&gt;0,TEXT('Change in Employment'!M42, "0.00"), ""), "")</f>
        <v>-0.37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1.7999999999999545</v>
      </c>
      <c r="C37" s="23" t="str">
        <f>IFERROR(IF('Change in Employment'!M43&lt;&gt;0,TEXT('Change in Employment'!M43, "0.00"), ""), "")</f>
        <v>0.30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0.40000000000009095</v>
      </c>
      <c r="C38" s="23" t="str">
        <f>IFERROR(IF('Change in Employment'!M44&lt;&gt;0,TEXT('Change in Employment'!M44, "0.00"), ""), "")</f>
        <v>0.87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0.6999999999998181</v>
      </c>
      <c r="C39" s="23" t="str">
        <f>IFERROR(IF('Change in Employment'!M45&lt;&gt;0,TEXT('Change in Employment'!M45, "0.00"), ""), "")</f>
        <v>0.97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0.20000000000004547</v>
      </c>
      <c r="C40" s="23" t="str">
        <f>IFERROR(IF('Change in Employment'!M46&lt;&gt;0,TEXT('Change in Employment'!M46, "0.00"), ""), "")</f>
        <v>0.43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-2.3999999999998636</v>
      </c>
      <c r="C41" s="23" t="str">
        <f>IFERROR(IF('Change in Employment'!M47&lt;&gt;0,TEXT('Change in Employment'!M47, "0.00"), ""), "")</f>
        <v>-0.50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-2.9000000000000909</v>
      </c>
      <c r="C42" s="23" t="str">
        <f>IFERROR(IF('Change in Employment'!M48&lt;&gt;0,TEXT('Change in Employment'!M48, "0.00"), ""), "")</f>
        <v>-1.70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4.5</v>
      </c>
      <c r="C43" s="23" t="str">
        <f>IFERROR(IF('Change in Employment'!M49&lt;&gt;0,TEXT('Change in Employment'!M49, "0.00"), ""), "")</f>
        <v>-0.27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2.2999999999999545</v>
      </c>
      <c r="C44" s="23" t="str">
        <f>IFERROR(IF('Change in Employment'!M50&lt;&gt;0,TEXT('Change in Employment'!M50, "0.00"), ""), "")</f>
        <v>1.30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-0.79999999999995453</v>
      </c>
      <c r="C45" s="23" t="str">
        <f>IFERROR(IF('Change in Employment'!M51&lt;&gt;0,TEXT('Change in Employment'!M51, "0.00"), ""), "")</f>
        <v>2.00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-0.29999999999995453</v>
      </c>
      <c r="C46" s="23" t="str">
        <f>IFERROR(IF('Change in Employment'!M52&lt;&gt;0,TEXT('Change in Employment'!M52, "0.00"), ""), "")</f>
        <v>0.40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4.0999999999999091</v>
      </c>
      <c r="C47" s="23" t="str">
        <f>IFERROR(IF('Change in Employment'!M53&lt;&gt;0,TEXT('Change in Employment'!M53, "0.00"), ""), "")</f>
        <v>1.00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4.6000000000001364</v>
      </c>
      <c r="C48" s="23" t="str">
        <f>IFERROR(IF('Change in Employment'!M54&lt;&gt;0,TEXT('Change in Employment'!M54, "0.00"), ""), "")</f>
        <v>2.80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6.5999999999999091</v>
      </c>
      <c r="C49" s="23" t="str">
        <f>IFERROR(IF('Change in Employment'!M55&lt;&gt;0,TEXT('Change in Employment'!M55, "0.00"), ""), "")</f>
        <v>5.10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5.9000000000000909</v>
      </c>
      <c r="C50" s="23" t="str">
        <f>IFERROR(IF('Change in Employment'!M56&lt;&gt;0,TEXT('Change in Employment'!M56, "0.00"), ""), "")</f>
        <v>5.70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4.5</v>
      </c>
      <c r="C51" s="23" t="str">
        <f>IFERROR(IF('Change in Employment'!M57&lt;&gt;0,TEXT('Change in Employment'!M57, "0.00"), ""), "")</f>
        <v>5.67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5.6999999999998181</v>
      </c>
      <c r="C52" s="23" t="str">
        <f>IFERROR(IF('Change in Employment'!M58&lt;&gt;0,TEXT('Change in Employment'!M58, "0.00"), ""), "")</f>
        <v>5.37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5.7000000000000455</v>
      </c>
      <c r="C53" s="23" t="str">
        <f>IFERROR(IF('Change in Employment'!M59&lt;&gt;0,TEXT('Change in Employment'!M59, "0.00"), ""), "")</f>
        <v>5.30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4.9000000000000909</v>
      </c>
      <c r="C54" s="23" t="str">
        <f>IFERROR(IF('Change in Employment'!M60&lt;&gt;0,TEXT('Change in Employment'!M60, "0.00"), ""), "")</f>
        <v>5.43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</v>
      </c>
      <c r="C55" s="23" t="str">
        <f>IFERROR(IF('Change in Employment'!M61&lt;&gt;0,TEXT('Change in Employment'!M61, "0.00"), ""), "")</f>
        <v>6.53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6.5999999999999091</v>
      </c>
      <c r="C56" s="23" t="str">
        <f>IFERROR(IF('Change in Employment'!M62&lt;&gt;0,TEXT('Change in Employment'!M62, "0.00"), ""), "")</f>
        <v>6.83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5.1000000000001364</v>
      </c>
      <c r="C57" s="23" t="str">
        <f>IFERROR(IF('Change in Employment'!M63&lt;&gt;0,TEXT('Change in Employment'!M63, "0.00"), ""), "")</f>
        <v>6.90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6.5999999999999091</v>
      </c>
      <c r="C58" s="23" t="str">
        <f>IFERROR(IF('Change in Employment'!M64&lt;&gt;0,TEXT('Change in Employment'!M64, "0.00"), ""), "")</f>
        <v>6.10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8.7000000000000455</v>
      </c>
      <c r="C59" s="23" t="str">
        <f>IFERROR(IF('Change in Employment'!M65&lt;&gt;0,TEXT('Change in Employment'!M65, "0.00"), ""), "")</f>
        <v>6.80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2.8999999999998636</v>
      </c>
      <c r="C60" s="23" t="str">
        <f>IFERROR(IF('Change in Employment'!M66&lt;&gt;0,TEXT('Change in Employment'!M66, "0.00"), ""), "")</f>
        <v>6.07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7.9000000000000909</v>
      </c>
      <c r="C61" s="23" t="str">
        <f>IFERROR(IF('Change in Employment'!M67&lt;&gt;0,TEXT('Change in Employment'!M67, "0.00"), ""), "")</f>
        <v>6.50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7.6999999999998181</v>
      </c>
      <c r="C62" s="23" t="str">
        <f>IFERROR(IF('Change in Employment'!M68&lt;&gt;0,TEXT('Change in Employment'!M68, "0.00"), ""), "")</f>
        <v>6.17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0.8000000000001819</v>
      </c>
      <c r="C63" s="23" t="str">
        <f>IFERROR(IF('Change in Employment'!M69&lt;&gt;0,TEXT('Change in Employment'!M69, "0.00"), ""), "")</f>
        <v>5.47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11.800000000000182</v>
      </c>
      <c r="C64" s="23" t="str">
        <f>IFERROR(IF('Change in Employment'!M70&lt;&gt;0,TEXT('Change in Employment'!M70, "0.00"), ""), "")</f>
        <v>6.77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7.7999999999997272</v>
      </c>
      <c r="C65" s="23" t="str">
        <f>IFERROR(IF('Change in Employment'!M71&lt;&gt;0,TEXT('Change in Employment'!M71, "0.00"), ""), "")</f>
        <v>6.80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17.400000000000091</v>
      </c>
      <c r="C66" s="23" t="str">
        <f>IFERROR(IF('Change in Employment'!M72&lt;&gt;0,TEXT('Change in Employment'!M72, "0.00"), ""), "")</f>
        <v>12.33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15.800000000000182</v>
      </c>
      <c r="C67" s="23" t="str">
        <f>IFERROR(IF('Change in Employment'!M73&lt;&gt;0,TEXT('Change in Employment'!M73, "0.00"), ""), "")</f>
        <v>13.67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8.8999999999996362</v>
      </c>
      <c r="C68" s="23" t="str">
        <f>IFERROR(IF('Change in Employment'!M74&lt;&gt;0,TEXT('Change in Employment'!M74, "0.00"), ""), "")</f>
        <v>14.03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3.9000000000000909</v>
      </c>
      <c r="C69" s="23" t="str">
        <f>IFERROR(IF('Change in Employment'!M75&lt;&gt;0,TEXT('Change in Employment'!M75, "0.00"), ""), "")</f>
        <v>9.53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</v>
      </c>
      <c r="C70" s="23" t="str">
        <f>IFERROR(IF('Change in Employment'!M76&lt;&gt;0,TEXT('Change in Employment'!M76, "0.00"), ""), "")</f>
        <v>7.93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6.4000000000000909</v>
      </c>
      <c r="C71" s="23" t="str">
        <f>IFERROR(IF('Change in Employment'!M77&lt;&gt;0,TEXT('Change in Employment'!M77, "0.00"), ""), "")</f>
        <v>7.10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9.1999999999998181</v>
      </c>
      <c r="C72" s="23" t="str">
        <f>IFERROR(IF('Change in Employment'!M78&lt;&gt;0,TEXT('Change in Employment'!M78, "0.00"), ""), "")</f>
        <v>8.87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5.4000000000000909</v>
      </c>
      <c r="C73" s="23" t="str">
        <f>IFERROR(IF('Change in Employment'!M79&lt;&gt;0,TEXT('Change in Employment'!M79, "0.00"), ""), "")</f>
        <v>7.00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3.7000000000002728</v>
      </c>
      <c r="C74" s="23" t="str">
        <f>IFERROR(IF('Change in Employment'!M80&lt;&gt;0,TEXT('Change in Employment'!M80, "0.00"), ""), "")</f>
        <v>6.10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6.0999999999999091</v>
      </c>
      <c r="C75" s="23" t="str">
        <f>IFERROR(IF('Change in Employment'!M81&lt;&gt;0,TEXT('Change in Employment'!M81, "0.00"), ""), "")</f>
        <v>5.07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0.40000000000009095</v>
      </c>
      <c r="C76" s="23" t="str">
        <f>IFERROR(IF('Change in Employment'!M82&lt;&gt;0,TEXT('Change in Employment'!M82, "0.00"), ""), "")</f>
        <v>3.40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21.299999999999727</v>
      </c>
      <c r="C77" s="23" t="str">
        <f>IFERROR(IF('Change in Employment'!M83&lt;&gt;0,TEXT('Change in Employment'!M83, "0.00"), ""), "")</f>
        <v>9.27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3.0999999999999091</v>
      </c>
      <c r="C78" s="23" t="str">
        <f>IFERROR(IF('Change in Employment'!M84&lt;&gt;0,TEXT('Change in Employment'!M84, "0.00"), ""), "")</f>
        <v>8.27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</v>
      </c>
      <c r="C79" s="23" t="str">
        <f>IFERROR(IF('Change in Employment'!M85&lt;&gt;0,TEXT('Change in Employment'!M85, "0.00"), ""), "")</f>
        <v>10.13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5.7000000000002728</v>
      </c>
      <c r="C80" s="23" t="str">
        <f>IFERROR(IF('Change in Employment'!M86&lt;&gt;0,TEXT('Change in Employment'!M86, "0.00"), ""), "")</f>
        <v>4.93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1.0999999999999091</v>
      </c>
      <c r="C81" s="23" t="str">
        <f>IFERROR(IF('Change in Employment'!M87&lt;&gt;0,TEXT('Change in Employment'!M87, "0.00"), ""), "")</f>
        <v>4.27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4.5999999999999091</v>
      </c>
      <c r="C82" s="23" t="str">
        <f>IFERROR(IF('Change in Employment'!M88&lt;&gt;0,TEXT('Change in Employment'!M88, "0.00"), ""), "")</f>
        <v>3.80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2.5999999999999091</v>
      </c>
      <c r="C83" s="23" t="str">
        <f>IFERROR(IF('Change in Employment'!M89&lt;&gt;0,TEXT('Change in Employment'!M89, "0.00"), ""), "")</f>
        <v>2.77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6.1000000000003638</v>
      </c>
      <c r="C84" s="23" t="str">
        <f>IFERROR(IF('Change in Employment'!M90&lt;&gt;0,TEXT('Change in Employment'!M90, "0.00"), ""), "")</f>
        <v>4.43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5.8999999999996362</v>
      </c>
      <c r="C85" s="23" t="str">
        <f>IFERROR(IF('Change in Employment'!M91&lt;&gt;0,TEXT('Change in Employment'!M91, "0.00"), ""), "")</f>
        <v>4.87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2.6000000000003638</v>
      </c>
      <c r="C86" s="23" t="str">
        <f>IFERROR(IF('Change in Employment'!M92&lt;&gt;0,TEXT('Change in Employment'!M92, "0.00"), ""), "")</f>
        <v>4.87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3.5</v>
      </c>
      <c r="C87" s="23" t="str">
        <f>IFERROR(IF('Change in Employment'!M93&lt;&gt;0,TEXT('Change in Employment'!M93, "0.00"), ""), "")</f>
        <v>4.00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1.5999999999999091</v>
      </c>
      <c r="C88" s="23" t="str">
        <f>IFERROR(IF('Change in Employment'!M94&lt;&gt;0,TEXT('Change in Employment'!M94, "0.00"), ""), "")</f>
        <v>2.57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1.5</v>
      </c>
      <c r="C89" s="23" t="str">
        <f>IFERROR(IF('Change in Employment'!M95&lt;&gt;0,TEXT('Change in Employment'!M95, "0.00"), ""), "")</f>
        <v>2.20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-8.8000000000001819</v>
      </c>
      <c r="C90" s="23" t="str">
        <f>IFERROR(IF('Change in Employment'!M96&lt;&gt;0,TEXT('Change in Employment'!M96, "0.00"), ""), "")</f>
        <v>-1.90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-2.2999999999997272</v>
      </c>
      <c r="C91" s="23" t="str">
        <f>IFERROR(IF('Change in Employment'!M97&lt;&gt;0,TEXT('Change in Employment'!M97, "0.00"), ""), "")</f>
        <v>-3.20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-1.1000000000003638</v>
      </c>
      <c r="C92" s="23" t="str">
        <f>IFERROR(IF('Change in Employment'!M98&lt;&gt;0,TEXT('Change in Employment'!M98, "0.00"), ""), "")</f>
        <v>-4.07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-9.9999999999909051E-2</v>
      </c>
      <c r="C93" s="23" t="str">
        <f>IFERROR(IF('Change in Employment'!M99&lt;&gt;0,TEXT('Change in Employment'!M99, "0.00"), ""), "")</f>
        <v>-1.17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-0.6999999999998181</v>
      </c>
      <c r="C94" s="23" t="str">
        <f>IFERROR(IF('Change in Employment'!M100&lt;&gt;0,TEXT('Change in Employment'!M100, "0.00"), ""), "")</f>
        <v>-0.63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</v>
      </c>
      <c r="C95" s="23" t="str">
        <f>IFERROR(IF('Change in Employment'!M101&lt;&gt;0,TEXT('Change in Employment'!M101, "0.00"), ""), "")</f>
        <v>-1.27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-1.5</v>
      </c>
      <c r="C96" s="23" t="str">
        <f>IFERROR(IF('Change in Employment'!M102&lt;&gt;0,TEXT('Change in Employment'!M102, "0.00"), ""), "")</f>
        <v>-1.73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-5.8000000000001819</v>
      </c>
      <c r="C97" s="23" t="str">
        <f>IFERROR(IF('Change in Employment'!M103&lt;&gt;0,TEXT('Change in Employment'!M103, "0.00"), ""), "")</f>
        <v>-3.43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-3.6999999999998181</v>
      </c>
      <c r="C98" s="23" t="str">
        <f>IFERROR(IF('Change in Employment'!M104&lt;&gt;0,TEXT('Change in Employment'!M104, "0.00"), ""), "")</f>
        <v>-3.67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1.4000000000000909</v>
      </c>
      <c r="C99" s="23" t="str">
        <f>IFERROR(IF('Change in Employment'!M105&lt;&gt;0,TEXT('Change in Employment'!M105, "0.00"), ""), "")</f>
        <v>-2.70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-0.70000000000027285</v>
      </c>
      <c r="C100" s="23" t="str">
        <f>IFERROR(IF('Change in Employment'!M106&lt;&gt;0,TEXT('Change in Employment'!M106, "0.00"), ""), "")</f>
        <v>-1.00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0.90000000000009095</v>
      </c>
      <c r="C101" s="23" t="str">
        <f>IFERROR(IF('Change in Employment'!M107&lt;&gt;0,TEXT('Change in Employment'!M107, "0.00"), ""), "")</f>
        <v>0.53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-0.1999999999998181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-8.4000000000000909</v>
      </c>
      <c r="C103" s="23" t="str">
        <f>IFERROR(IF('Change in Employment'!M109&lt;&gt;0,TEXT('Change in Employment'!M109, "0.00"), ""), "")</f>
        <v>-2.57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7.1999999999998181</v>
      </c>
      <c r="C104" s="23" t="str">
        <f>IFERROR(IF('Change in Employment'!M110&lt;&gt;0,TEXT('Change in Employment'!M110, "0.00"), ""), "")</f>
        <v>-0.47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6.3000000000001819</v>
      </c>
      <c r="C105" s="23" t="str">
        <f>IFERROR(IF('Change in Employment'!M111&lt;&gt;0,TEXT('Change in Employment'!M111, "0.00"), ""), "")</f>
        <v>1.70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-3.9000000000000909</v>
      </c>
      <c r="C106" s="23" t="str">
        <f>IFERROR(IF('Change in Employment'!M112&lt;&gt;0,TEXT('Change in Employment'!M112, "0.00"), ""), "")</f>
        <v>3.20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-0.59999999999990905</v>
      </c>
      <c r="C107" s="23" t="str">
        <f>IFERROR(IF('Change in Employment'!M113&lt;&gt;0,TEXT('Change in Employment'!M113, "0.00"), ""), "")</f>
        <v>0.60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-1.5</v>
      </c>
      <c r="C108" s="23" t="str">
        <f>IFERROR(IF('Change in Employment'!M114&lt;&gt;0,TEXT('Change in Employment'!M114, "0.00"), ""), "")</f>
        <v>-2.00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-3.9000000000000909</v>
      </c>
      <c r="C109" s="23" t="str">
        <f>IFERROR(IF('Change in Employment'!M115&lt;&gt;0,TEXT('Change in Employment'!M115, "0.00"), ""), "")</f>
        <v>-2.00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-2.4000000000000909</v>
      </c>
      <c r="C110" s="23" t="str">
        <f>IFERROR(IF('Change in Employment'!M116&lt;&gt;0,TEXT('Change in Employment'!M116, "0.00"), ""), "")</f>
        <v>-2.60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-4.0999999999999091</v>
      </c>
      <c r="C111" s="23" t="str">
        <f>IFERROR(IF('Change in Employment'!M117&lt;&gt;0,TEXT('Change in Employment'!M117, "0.00"), ""), "")</f>
        <v>-3.47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-9.3000000000001819</v>
      </c>
      <c r="C112" s="23" t="str">
        <f>IFERROR(IF('Change in Employment'!M118&lt;&gt;0,TEXT('Change in Employment'!M118, "0.00"), ""), "")</f>
        <v>-5.27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-10.699999999999818</v>
      </c>
      <c r="C113" s="23" t="str">
        <f>IFERROR(IF('Change in Employment'!M119&lt;&gt;0,TEXT('Change in Employment'!M119, "0.00"), ""), "")</f>
        <v>-8.03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-6.8000000000001819</v>
      </c>
      <c r="C114" s="23" t="str">
        <f>IFERROR(IF('Change in Employment'!M120&lt;&gt;0,TEXT('Change in Employment'!M120, "0.00"), ""), "")</f>
        <v>-8.93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-7.1999999999998181</v>
      </c>
      <c r="C115" s="23" t="str">
        <f>IFERROR(IF('Change in Employment'!M121&lt;&gt;0,TEXT('Change in Employment'!M121, "0.00"), ""), "")</f>
        <v>-8.23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-7.9000000000000909</v>
      </c>
      <c r="C116" s="23" t="str">
        <f>IFERROR(IF('Change in Employment'!M122&lt;&gt;0,TEXT('Change in Employment'!M122, "0.00"), ""), "")</f>
        <v>-7.30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-4.9000000000000909</v>
      </c>
      <c r="C117" s="23" t="str">
        <f>IFERROR(IF('Change in Employment'!M123&lt;&gt;0,TEXT('Change in Employment'!M123, "0.00"), ""), "")</f>
        <v>-6.67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-9.2999999999997272</v>
      </c>
      <c r="C118" s="23" t="str">
        <f>IFERROR(IF('Change in Employment'!M124&lt;&gt;0,TEXT('Change in Employment'!M124, "0.00"), ""), "")</f>
        <v>-7.37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4.1999999999998181</v>
      </c>
      <c r="C119" s="23" t="str">
        <f>IFERROR(IF('Change in Employment'!M125&lt;&gt;0,TEXT('Change in Employment'!M125, "0.00"), ""), "")</f>
        <v>-3.33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-6.2999999999997272</v>
      </c>
      <c r="C120" s="23" t="str">
        <f>IFERROR(IF('Change in Employment'!M126&lt;&gt;0,TEXT('Change in Employment'!M126, "0.00"), ""), "")</f>
        <v>-3.80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-5.6000000000003638</v>
      </c>
      <c r="C121" s="23" t="str">
        <f>IFERROR(IF('Change in Employment'!M127&lt;&gt;0,TEXT('Change in Employment'!M127, "0.00"), ""), "")</f>
        <v>-2.57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-6.2999999999997272</v>
      </c>
      <c r="C122" s="23" t="str">
        <f>IFERROR(IF('Change in Employment'!M128&lt;&gt;0,TEXT('Change in Employment'!M128, "0.00"), ""), "")</f>
        <v>-6.07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</v>
      </c>
      <c r="C123" s="23" t="str">
        <f>IFERROR(IF('Change in Employment'!M129&lt;&gt;0,TEXT('Change in Employment'!M129, "0.00"), ""), "")</f>
        <v>-5.30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-2.8000000000001819</v>
      </c>
      <c r="C124" s="23" t="str">
        <f>IFERROR(IF('Change in Employment'!M130&lt;&gt;0,TEXT('Change in Employment'!M130, "0.00"), ""), "")</f>
        <v>-4.37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0.20000000000027285</v>
      </c>
      <c r="C125" s="23" t="str">
        <f>IFERROR(IF('Change in Employment'!M131&lt;&gt;0,TEXT('Change in Employment'!M131, "0.00"), ""), "")</f>
        <v>-2.20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-0.87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1.5999999999999091</v>
      </c>
      <c r="C127" s="23" t="str">
        <f>IFERROR(IF('Change in Employment'!M133&lt;&gt;0,TEXT('Change in Employment'!M133, "0.00"), ""), "")</f>
        <v>0.60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427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sheetData>
    <row r="1" spans="1:2">
      <c r="A1" t="s">
        <v>203</v>
      </c>
      <c r="B1" t="s">
        <v>428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/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429</v>
      </c>
      <c r="C1" s="23" t="s">
        <v>430</v>
      </c>
      <c r="D1" t="s">
        <v>431</v>
      </c>
      <c r="E1" t="s">
        <v>432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54" sqref="A54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435</v>
      </c>
      <c r="C1" s="23" t="s">
        <v>436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H34" sqref="H34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437</v>
      </c>
      <c r="C1" s="23" t="s">
        <v>438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F31" sqref="F31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440</v>
      </c>
      <c r="C1" s="23" t="s">
        <v>444</v>
      </c>
      <c r="D1" s="23" t="s">
        <v>450</v>
      </c>
      <c r="E1" s="23" t="s">
        <v>442</v>
      </c>
      <c r="F1" s="23" t="s">
        <v>451</v>
      </c>
      <c r="G1" s="23" t="s">
        <v>443</v>
      </c>
      <c r="H1" s="23" t="s">
        <v>452</v>
      </c>
      <c r="I1" s="23" t="s">
        <v>441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91AADE-0B61-4F0D-B3AD-E1308C47BBE6}"/>
</file>

<file path=customXml/itemProps2.xml><?xml version="1.0" encoding="utf-8"?>
<ds:datastoreItem xmlns:ds="http://schemas.openxmlformats.org/officeDocument/2006/customXml" ds:itemID="{7DF6A035-312F-42F7-A4DE-29C5B84CE034}"/>
</file>

<file path=customXml/itemProps3.xml><?xml version="1.0" encoding="utf-8"?>
<ds:datastoreItem xmlns:ds="http://schemas.openxmlformats.org/officeDocument/2006/customXml" ds:itemID="{7E427E22-C4F0-4363-9484-A95C901B778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10</vt:i4>
      </vt:variant>
    </vt:vector>
  </HeadingPairs>
  <TitlesOfParts>
    <vt:vector size="31" baseType="lpstr">
      <vt:lpstr>Master</vt:lpstr>
      <vt:lpstr>PanelOneCharts</vt:lpstr>
      <vt:lpstr>PanelTwoCharts</vt:lpstr>
      <vt:lpstr>PanelThreeCharts</vt:lpstr>
      <vt:lpstr>FinalCharts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FinalCharts!Print_Area</vt:lpstr>
      <vt:lpstr>PanelOneCharts!Print_Area</vt:lpstr>
      <vt:lpstr>PanelThreeCharts!Print_Area</vt:lpstr>
      <vt:lpstr>PanelTwoCharts!Print_Area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2014-07-25T14:09:32Z</cp:lastPrinted>
  <dcterms:created xsi:type="dcterms:W3CDTF">2014-07-22T13:55:17Z</dcterms:created>
  <dcterms:modified xsi:type="dcterms:W3CDTF">2014-09-19T21:56:18Z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