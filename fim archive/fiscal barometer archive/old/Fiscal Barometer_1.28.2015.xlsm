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activeTab="1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I47" i="11" l="1"/>
  <c r="H47" i="1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47" i="22"/>
  <c r="F44" i="22"/>
  <c r="F43" i="22"/>
  <c r="F39" i="22"/>
  <c r="F36" i="22"/>
  <c r="F35" i="22"/>
  <c r="F31" i="22"/>
  <c r="F28" i="22"/>
  <c r="F27" i="22"/>
  <c r="F23" i="22"/>
  <c r="F20" i="22"/>
  <c r="F19" i="22"/>
  <c r="F15" i="22"/>
  <c r="F12" i="22"/>
  <c r="F11" i="22"/>
  <c r="F7" i="22"/>
  <c r="F5" i="22"/>
  <c r="F4" i="22"/>
  <c r="F3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49" i="39"/>
  <c r="D48" i="39"/>
  <c r="D47" i="39"/>
  <c r="D41" i="39"/>
  <c r="D40" i="39"/>
  <c r="D39" i="39"/>
  <c r="D33" i="39"/>
  <c r="D32" i="39"/>
  <c r="D31" i="39"/>
  <c r="D25" i="39"/>
  <c r="D24" i="39"/>
  <c r="D23" i="39"/>
  <c r="D17" i="39"/>
  <c r="D16" i="39"/>
  <c r="D15" i="39"/>
  <c r="D9" i="39"/>
  <c r="D8" i="39"/>
  <c r="D7" i="39"/>
  <c r="H57" i="8"/>
  <c r="H56" i="8"/>
  <c r="F50" i="22" s="1"/>
  <c r="H55" i="8"/>
  <c r="F49" i="22" s="1"/>
  <c r="H54" i="8"/>
  <c r="F48" i="22" s="1"/>
  <c r="H53" i="8"/>
  <c r="H52" i="8"/>
  <c r="F46" i="22" s="1"/>
  <c r="H51" i="8"/>
  <c r="F45" i="22" s="1"/>
  <c r="H50" i="8"/>
  <c r="H49" i="8"/>
  <c r="H48" i="8"/>
  <c r="F42" i="22" s="1"/>
  <c r="H47" i="8"/>
  <c r="F41" i="22" s="1"/>
  <c r="H46" i="8"/>
  <c r="F40" i="22" s="1"/>
  <c r="H45" i="8"/>
  <c r="H44" i="8"/>
  <c r="F38" i="22" s="1"/>
  <c r="H43" i="8"/>
  <c r="F37" i="22" s="1"/>
  <c r="H42" i="8"/>
  <c r="H41" i="8"/>
  <c r="H40" i="8"/>
  <c r="F34" i="22" s="1"/>
  <c r="H39" i="8"/>
  <c r="F33" i="22" s="1"/>
  <c r="H38" i="8"/>
  <c r="F32" i="22" s="1"/>
  <c r="H37" i="8"/>
  <c r="H36" i="8"/>
  <c r="F30" i="22" s="1"/>
  <c r="H35" i="8"/>
  <c r="F29" i="22" s="1"/>
  <c r="H34" i="8"/>
  <c r="H33" i="8"/>
  <c r="H32" i="8"/>
  <c r="F26" i="22" s="1"/>
  <c r="H31" i="8"/>
  <c r="F25" i="22" s="1"/>
  <c r="H30" i="8"/>
  <c r="F24" i="22" s="1"/>
  <c r="H29" i="8"/>
  <c r="H28" i="8"/>
  <c r="F22" i="22" s="1"/>
  <c r="H27" i="8"/>
  <c r="F21" i="22" s="1"/>
  <c r="H26" i="8"/>
  <c r="H25" i="8"/>
  <c r="H24" i="8"/>
  <c r="F18" i="22" s="1"/>
  <c r="H23" i="8"/>
  <c r="F17" i="22" s="1"/>
  <c r="H22" i="8"/>
  <c r="F16" i="22" s="1"/>
  <c r="H21" i="8"/>
  <c r="H20" i="8"/>
  <c r="F14" i="22" s="1"/>
  <c r="H19" i="8"/>
  <c r="F13" i="22" s="1"/>
  <c r="H18" i="8"/>
  <c r="H17" i="8"/>
  <c r="H16" i="8"/>
  <c r="F10" i="22" s="1"/>
  <c r="H15" i="8"/>
  <c r="F9" i="22" s="1"/>
  <c r="H14" i="8"/>
  <c r="F8" i="22" s="1"/>
  <c r="H13" i="8"/>
  <c r="H12" i="8"/>
  <c r="F6" i="22" s="1"/>
  <c r="H11" i="8"/>
  <c r="H10" i="8"/>
  <c r="H9" i="8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H53" i="7"/>
  <c r="H52" i="7"/>
  <c r="H51" i="7"/>
  <c r="D46" i="39" s="1"/>
  <c r="H50" i="7"/>
  <c r="D45" i="39" s="1"/>
  <c r="H49" i="7"/>
  <c r="D44" i="39" s="1"/>
  <c r="H48" i="7"/>
  <c r="D43" i="39" s="1"/>
  <c r="H47" i="7"/>
  <c r="D42" i="39" s="1"/>
  <c r="H46" i="7"/>
  <c r="H45" i="7"/>
  <c r="H44" i="7"/>
  <c r="H43" i="7"/>
  <c r="D38" i="39" s="1"/>
  <c r="H42" i="7"/>
  <c r="D37" i="39" s="1"/>
  <c r="H41" i="7"/>
  <c r="D36" i="39" s="1"/>
  <c r="H40" i="7"/>
  <c r="D35" i="39" s="1"/>
  <c r="H39" i="7"/>
  <c r="D34" i="39" s="1"/>
  <c r="H38" i="7"/>
  <c r="H37" i="7"/>
  <c r="H36" i="7"/>
  <c r="H35" i="7"/>
  <c r="D30" i="39" s="1"/>
  <c r="H34" i="7"/>
  <c r="D29" i="39" s="1"/>
  <c r="H33" i="7"/>
  <c r="D28" i="39" s="1"/>
  <c r="H32" i="7"/>
  <c r="D27" i="39" s="1"/>
  <c r="H31" i="7"/>
  <c r="D26" i="39" s="1"/>
  <c r="H30" i="7"/>
  <c r="H29" i="7"/>
  <c r="H28" i="7"/>
  <c r="H27" i="7"/>
  <c r="D22" i="39" s="1"/>
  <c r="H26" i="7"/>
  <c r="D21" i="39" s="1"/>
  <c r="H25" i="7"/>
  <c r="D20" i="39" s="1"/>
  <c r="H24" i="7"/>
  <c r="D19" i="39" s="1"/>
  <c r="H23" i="7"/>
  <c r="D18" i="39" s="1"/>
  <c r="H22" i="7"/>
  <c r="H21" i="7"/>
  <c r="H20" i="7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H12" i="7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H15" i="4" s="1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M82" i="3" s="1"/>
  <c r="C75" i="18" s="1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C76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83" i="3"/>
  <c r="C76" i="18" s="1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<sst xmlns="http://schemas.openxmlformats.org/spreadsheetml/2006/main" count="706" uniqueCount="428">
  <si>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</si>
  <si>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</si>
  <si>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</si>
  <si>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</si>
  <si>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</si>
  <si>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</si>
  <si>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</si>
  <si>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</si>
  <si>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</si>
  <si>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</si>
  <si>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</si>
  <si>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</si>
  <si>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</si>
  <si>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</si>
  <si>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</si>
  <si>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</si>
  <si>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</si>
  <si>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</si>
  <si>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</si>
  <si>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</si>
  <si>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</si>
  <si>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</si>
  <si>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</si>
  <si>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</si>
  <si>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</si>
  <si>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</si>
  <si>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</si>
  <si>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</si>
  <si>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</si>
  <si>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</si>
  <si>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</si>
  <si>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</si>
  <si>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</si>
  <si>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</si>
  <si>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</si>
  <si>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</si>
  <si>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</si>
  <si>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</si>
  <si>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</si>
  <si>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</si>
  <si>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</si>
  <si>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</si>
  <si>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</si>
  <si>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</si>
  <si>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</si>
  <si>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</si>
  <si>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</si>
  <si>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</si>
  <si>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</si>
  <si>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</si>
  <si>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</si>
  <si>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</si>
  <si>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</si>
  <si>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</si>
  <si>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</si>
  <si>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</si>
  <si>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</si>
  <si>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</si>
  <si>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</si>
  <si>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</si>
  <si>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</si>
  <si>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</si>
  <si>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</si>
  <si>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</si>
  <si>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</si>
  <si>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</si>
  <si>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</si>
  <si>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</si>
  <si>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</si>
  <si>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</si>
  <si>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</si>
  <si>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</si>
  <si>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</si>
  <si>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</si>
  <si>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</si>
  <si>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</si>
  <si>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</si>
  <si>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</si>
  <si>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</si>
  <si>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</si>
  <si>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</si>
  <si>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</si>
  <si>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</si>
  <si>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</si>
  <si>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</si>
  <si>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</si>
  <si>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</si>
  <si>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</si>
  <si>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</si>
  <si>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</si>
  <si>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</si>
  <si>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</si>
  <si>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</si>
  <si>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</si>
  <si>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</si>
  <si>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</si>
  <si>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</si>
  <si>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</si>
  <si>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</si>
  <si>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</si>
  <si>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</si>
  <si>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</si>
  <si>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</si>
  <si>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</si>
  <si>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</si>
  <si>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</si>
  <si>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</si>
  <si>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</si>
  <si>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</si>
  <si>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</si>
  <si>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</si>
  <si>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</si>
  <si>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</si>
  <si>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</si>
  <si>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</si>
  <si>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</si>
  <si>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</si>
  <si>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</si>
  <si>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</si>
  <si>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</si>
  <si>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</si>
  <si>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</si>
  <si>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</si>
  <si>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</si>
  <si>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</si>
  <si>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</si>
  <si>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</si>
  <si>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</si>
  <si>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</si>
  <si>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</si>
  <si>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</si>
  <si>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</si>
  <si>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</si>
  <si>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</si>
  <si>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</si>
  <si>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</si>
  <si>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</si>
  <si>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</si>
  <si>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</si>
  <si>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</si>
  <si>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</si>
  <si>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</si>
  <si>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</si>
  <si>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</si>
  <si>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</si>
  <si>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</si>
  <si>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</si>
  <si>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</si>
  <si>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</si>
  <si>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</si>
  <si>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</si>
  <si>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</si>
  <si>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</si>
  <si>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</si>
  <si>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</si>
  <si>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</si>
  <si>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</si>
  <si>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</si>
  <si>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</si>
  <si>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</si>
  <si>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</si>
  <si>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</si>
  <si>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</si>
  <si>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</si>
  <si>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</si>
  <si>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</si>
  <si>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</si>
  <si>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</si>
  <si>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</si>
  <si>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</si>
  <si>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</si>
  <si>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</si>
  <si>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</si>
  <si>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</si>
  <si>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</si>
  <si>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</si>
  <si>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</si>
  <si>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</si>
  <si>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</si>
  <si>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</si>
  <si>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</si>
  <si>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</si>
  <si>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</si>
  <si>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</si>
  <si>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</si>
  <si>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</si>
  <si>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</si>
  <si>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</si>
  <si>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</si>
  <si>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</si>
  <si>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</si>
  <si>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</si>
  <si>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</si>
  <si>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</si>
  <si>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</si>
  <si>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</si>
  <si>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</si>
  <si>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</si>
  <si>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</si>
  <si>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</si>
  <si>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</si>
  <si>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</si>
  <si>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</si>
  <si>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</si>
  <si>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</si>
  <si>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</si>
  <si>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</si>
  <si>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</si>
  <si>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</si>
  <si>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</si>
  <si>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</si>
  <si>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</si>
  <si>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</si>
  <si>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</si>
  <si>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</si>
  <si>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</si>
  <si>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</si>
  <si>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</si>
  <si>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</si>
  <si>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</si>
  <si>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</si>
  <si>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</si>
  <si>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</si>
  <si>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</si>
  <si>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</si>
  <si>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</si>
  <si>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</si>
  <si>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</si>
  <si>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</si>
  <si>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</si>
  <si>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</si>
  <si>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</si>
  <si>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</si>
  <si>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</si>
  <si>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</si>
  <si>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</si>
  <si>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</si>
  <si>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</si>
  <si>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</si>
  <si>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</si>
  <si>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</si>
  <si>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</si>
  <si>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</si>
  <si>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</si>
  <si>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</si>
  <si>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</si>
  <si>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</si>
  <si>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</si>
  <si>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</si>
  <si>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</si>
  <si>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</si>
  <si>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</si>
  <si>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</si>
  <si>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</si>
  <si>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</si>
  <si>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</si>
  <si>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</si>
  <si>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</si>
  <si>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</si>
  <si>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</si>
  <si>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</si>
  <si>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</si>
  <si>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</si>
  <si>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</si>
  <si>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</si>
  <si>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</si>
  <si>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</si>
  <si>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</si>
  <si>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</si>
  <si>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</si>
  <si>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</si>
  <si>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</si>
  <si>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</si>
  <si>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</si>
  <si>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</si>
  <si>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</si>
  <si>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</si>
  <si>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</si>
  <si>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</si>
  <si>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</si>
  <si>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</si>
  <si>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</si>
  <si>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</si>
  <si>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</si>
  <si>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</si>
  <si>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</si>
  <si>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</si>
  <si>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</si>
  <si>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</si>
  <si>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</si>
  <si>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</si>
  <si>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</si>
  <si>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</si>
  <si>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</si>
  <si>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</si>
  <si>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</si>
  <si>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</si>
  <si>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</si>
  <si>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</si>
  <si>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</si>
  <si>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</si>
  <si>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</si>
  <si>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</si>
  <si>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</si>
  <si>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</si>
  <si>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</si>
  <si>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</si>
  <si>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</si>
  <si>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</si>
  <si>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</si>
  <si>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</si>
  <si>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</si>
  <si>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</si>
  <si>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</si>
  <si>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</si>
  <si>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</si>
  <si>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</si>
  <si>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</si>
  <si>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</si>
  <si>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</si>
  <si>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</si>
  <si>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</si>
  <si>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</si>
  <si>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</si>
  <si>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</si>
  <si>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</si>
  <si>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</si>
  <si>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</si>
  <si>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</si>
  <si>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</si>
  <si>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</si>
  <si>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</si>
  <si>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</si>
  <si>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</si>
  <si>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</si>
  <si>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</si>
  <si>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</si>
  <si>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</si>
  <si>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</si>
  <si>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</si>
  <si>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</si>
  <si>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</si>
  <si>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</si>
  <si>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</si>
  <si>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</si>
  <si>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</si>
  <si>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</si>
  <si>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</si>
  <si>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</si>
  <si>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</si>
  <si>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</si>
  <si>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</si>
  <si>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</si>
  <si>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</si>
  <si>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</si>
  <si>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</si>
  <si>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</si>
  <si>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</si>
  <si>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</si>
  <si>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</si>
  <si>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</si>
  <si>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</si>
  <si>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</si>
  <si>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</si>
  <si>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</si>
  <si>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</si>
  <si>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</si>
  <si>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</si>
  <si>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</si>
  <si>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16.7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</si>
  <si>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</si>
  <si>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</si>
  <si>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</si>
  <si>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</si>
  <si>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</si>
  <si>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</si>
  <si>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</si>
  <si>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</si>
  <si>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</si>
  <si>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</si>
  <si>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</si>
  <si>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</si>
  <si>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</si>
  <si>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</si>
  <si>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</si>
  <si>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</si>
  <si>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</si>
  <si>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</si>
  <si>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</si>
  <si>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</si>
  <si>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</si>
  <si>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</si>
  <si>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</si>
  <si>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</si>
  <si>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</si>
  <si>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</si>
  <si>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 xml:space="preserve">Oct-01-2014 08:35 </t>
  </si>
  <si>
    <t xml:space="preserve">Dec-01-2014 08:42 </t>
  </si>
  <si>
    <t xml:space="preserve">Dec-05-2014 08:31 </t>
  </si>
  <si>
    <t xml:space="preserve">Dec-05-2014 08:35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</si>
  <si>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</si>
  <si>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</si>
  <si>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</si>
  <si>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</si>
  <si>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</si>
  <si>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</si>
  <si>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</si>
  <si>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</si>
  <si>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</si>
  <si>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</si>
  <si>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</si>
  <si>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</si>
  <si>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</si>
  <si>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</si>
  <si>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2014 [Q3-2014] </t>
  </si>
  <si>
    <t xml:space="preserve">1920 [Q1-1920] </t>
  </si>
  <si>
    <t>8.1</t>
  </si>
  <si>
    <t>6.1</t>
  </si>
  <si>
    <t>2.7</t>
  </si>
  <si>
    <t>-3.7</t>
  </si>
  <si>
    <t>4.4</t>
  </si>
  <si>
    <t>7.3</t>
  </si>
  <si>
    <t>16.2</t>
  </si>
  <si>
    <t>5.5</t>
  </si>
  <si>
    <t>-1.4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</si>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</sst>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2000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9082880"/>
        <c:axId val="8908467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082880"/>
        <c:axId val="89084672"/>
      </c:lineChart>
      <c:dateAx>
        <c:axId val="8908288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9084672"/>
        <c:crosses val="autoZero"/>
        <c:auto val="1"/>
        <c:lblOffset val="100"/>
        <c:baseTimeUnit val="months"/>
        <c:majorUnit val="1"/>
        <c:majorTimeUnit val="years"/>
      </c:dateAx>
      <c:valAx>
        <c:axId val="89084672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908288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699.9999999998181</c:v>
                </c:pt>
                <c:pt idx="73">
                  <c:v>1100.0000000003638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9296896"/>
        <c:axId val="8929843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333.33333333333331</c:v>
                </c:pt>
                <c:pt idx="73" formatCode="0.00">
                  <c:v>33.333333333454597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96896"/>
        <c:axId val="89298432"/>
      </c:lineChart>
      <c:dateAx>
        <c:axId val="8929689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9298432"/>
        <c:crosses val="autoZero"/>
        <c:auto val="1"/>
        <c:lblOffset val="100"/>
        <c:baseTimeUnit val="months"/>
        <c:majorUnit val="1"/>
        <c:majorTimeUnit val="years"/>
      </c:dateAx>
      <c:valAx>
        <c:axId val="89298432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9296896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478528"/>
        <c:axId val="97492992"/>
      </c:lineChart>
      <c:dateAx>
        <c:axId val="9747852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7492992"/>
        <c:crosses val="autoZero"/>
        <c:auto val="1"/>
        <c:lblOffset val="100"/>
        <c:baseTimeUnit val="months"/>
        <c:majorUnit val="1"/>
        <c:majorTimeUnit val="years"/>
      </c:dateAx>
      <c:valAx>
        <c:axId val="974929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747852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072640"/>
        <c:axId val="143128448"/>
      </c:lineChart>
      <c:dateAx>
        <c:axId val="143072640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3128448"/>
        <c:crossesAt val="0"/>
        <c:auto val="1"/>
        <c:lblOffset val="100"/>
        <c:baseTimeUnit val="months"/>
        <c:majorUnit val="1"/>
        <c:majorTimeUnit val="years"/>
      </c:dateAx>
      <c:valAx>
        <c:axId val="1431284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4307264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9.3000000000000007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713536"/>
        <c:axId val="332079104"/>
      </c:lineChart>
      <c:dateAx>
        <c:axId val="32971353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32079104"/>
        <c:crosses val="autoZero"/>
        <c:auto val="1"/>
        <c:lblOffset val="100"/>
        <c:baseTimeUnit val="months"/>
        <c:majorUnit val="10"/>
        <c:majorTimeUnit val="years"/>
      </c:dateAx>
      <c:valAx>
        <c:axId val="332079104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2971353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078016"/>
        <c:axId val="89096192"/>
      </c:lineChart>
      <c:dateAx>
        <c:axId val="890780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096192"/>
        <c:crosses val="autoZero"/>
        <c:auto val="1"/>
        <c:lblOffset val="100"/>
        <c:baseTimeUnit val="months"/>
        <c:majorUnit val="5"/>
        <c:majorTimeUnit val="years"/>
      </c:dateAx>
      <c:valAx>
        <c:axId val="89096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07801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18976"/>
        <c:axId val="89260032"/>
      </c:lineChart>
      <c:dateAx>
        <c:axId val="891189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60032"/>
        <c:crossesAt val="0"/>
        <c:auto val="1"/>
        <c:lblOffset val="100"/>
        <c:baseTimeUnit val="months"/>
        <c:majorUnit val="5"/>
        <c:majorTimeUnit val="years"/>
      </c:dateAx>
      <c:valAx>
        <c:axId val="8926003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11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02144"/>
        <c:axId val="89303680"/>
      </c:lineChart>
      <c:dateAx>
        <c:axId val="893021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303680"/>
        <c:crosses val="autoZero"/>
        <c:auto val="1"/>
        <c:lblOffset val="100"/>
        <c:baseTimeUnit val="months"/>
        <c:majorUnit val="5"/>
        <c:majorTimeUnit val="years"/>
      </c:dateAx>
      <c:valAx>
        <c:axId val="89303680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302144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261</v>
      </c>
    </row>
    <row r="2" spans="1:1">
      <c r="A2" s="25" t="s">
        <v>425</v>
      </c>
    </row>
    <row r="3" spans="1:1">
      <c r="A3" s="25" t="s">
        <v>426</v>
      </c>
    </row>
    <row r="4" spans="1:1">
      <c r="A4" s="25" t="s">
        <v>360</v>
      </c>
    </row>
    <row r="5" spans="1:1">
      <c r="A5" s="25" t="s">
        <v>361</v>
      </c>
    </row>
    <row r="6" spans="1:1">
      <c r="A6" s="25" t="s">
        <v>427</v>
      </c>
    </row>
    <row r="7" spans="1:1">
      <c r="A7" s="25" t="s">
        <v>362</v>
      </c>
    </row>
    <row r="8" spans="1:1">
      <c r="A8" s="25" t="s">
        <v>363</v>
      </c>
    </row>
    <row r="9" spans="1:1">
      <c r="A9" s="25" t="s">
        <v>364</v>
      </c>
    </row>
    <row r="10" spans="1:1">
      <c r="A10" s="25" t="s">
        <v>365</v>
      </c>
    </row>
    <row r="11" spans="1:1">
      <c r="A11" s="25" t="s">
        <v>366</v>
      </c>
    </row>
    <row r="17" spans="1:3">
      <c r="B17" s="65" t="s">
        <v>262</v>
      </c>
    </row>
    <row r="18" spans="1:3">
      <c r="B18" s="25" t="s">
        <v>267</v>
      </c>
      <c r="C18" s="25" t="s">
        <v>268</v>
      </c>
    </row>
    <row r="19" spans="1:3">
      <c r="B19" s="25" t="s">
        <v>269</v>
      </c>
      <c r="C19" s="25" t="s">
        <v>270</v>
      </c>
    </row>
    <row r="20" spans="1:3">
      <c r="B20" s="25" t="s">
        <v>271</v>
      </c>
      <c r="C20" s="25" t="s">
        <v>272</v>
      </c>
    </row>
    <row r="21" spans="1:3">
      <c r="B21" s="25" t="s">
        <v>273</v>
      </c>
      <c r="C21" s="25" t="s">
        <v>280</v>
      </c>
    </row>
    <row r="22" spans="1:3">
      <c r="B22" s="25" t="s">
        <v>274</v>
      </c>
      <c r="C22" s="25" t="s">
        <v>186</v>
      </c>
    </row>
    <row r="23" spans="1:3">
      <c r="B23" s="25" t="s">
        <v>275</v>
      </c>
      <c r="C23" s="25" t="s">
        <v>281</v>
      </c>
    </row>
    <row r="24" spans="1:3">
      <c r="B24" s="25" t="s">
        <v>276</v>
      </c>
      <c r="C24" s="25" t="s">
        <v>283</v>
      </c>
    </row>
    <row r="25" spans="1:3">
      <c r="B25" s="25" t="s">
        <v>277</v>
      </c>
      <c r="C25" s="25" t="s">
        <v>282</v>
      </c>
    </row>
    <row r="26" spans="1:3">
      <c r="B26" s="25" t="s">
        <v>279</v>
      </c>
      <c r="C26" s="25" t="s">
        <v>284</v>
      </c>
    </row>
    <row r="27" spans="1:3">
      <c r="B27" s="25" t="s">
        <v>278</v>
      </c>
      <c r="C27" s="25" t="s">
        <v>285</v>
      </c>
    </row>
    <row r="31" spans="1:3">
      <c r="A31" s="66" t="s">
        <v>263</v>
      </c>
    </row>
    <row r="32" spans="1:3">
      <c r="A32" s="25" t="s">
        <v>264</v>
      </c>
      <c r="B32" s="25" t="s">
        <v>265</v>
      </c>
      <c r="C32" s="25" t="s">
        <v>266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tabSelected="1"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2" t="s">
        <v>345</v>
      </c>
      <c r="D3" s="92"/>
      <c r="E3" s="92"/>
      <c r="F3" s="93" t="s">
        <v>346</v>
      </c>
      <c r="G3" s="92"/>
      <c r="H3" s="93" t="s">
        <v>347</v>
      </c>
      <c r="I3" s="92"/>
    </row>
    <row r="9" spans="1:9" ht="105">
      <c r="D9" s="90" t="s">
        <v>286</v>
      </c>
      <c r="G9" s="90" t="s">
        <v>342</v>
      </c>
    </row>
    <row r="12" spans="1:9">
      <c r="F12" s="103" t="s">
        <v>359</v>
      </c>
    </row>
    <row r="26" spans="6:6">
      <c r="F26" s="103" t="s">
        <v>359</v>
      </c>
    </row>
    <row r="40" spans="6:7">
      <c r="F40" s="103" t="s">
        <v>359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5"/>
  </cols>
  <sheetData>
    <row r="1" spans="1:9" ht="15" customHeight="1"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3" t="s">
        <v>345</v>
      </c>
      <c r="D3" s="92"/>
      <c r="E3" s="92"/>
      <c r="F3" s="92" t="s">
        <v>346</v>
      </c>
      <c r="G3" s="92"/>
      <c r="H3" s="93" t="s">
        <v>347</v>
      </c>
      <c r="I3" s="92"/>
    </row>
    <row r="7" spans="1:9">
      <c r="A7" s="86" t="s">
        <v>186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287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286</v>
      </c>
      <c r="E9" s="114"/>
      <c r="F9" s="114"/>
      <c r="G9" s="114" t="s">
        <v>342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125</v>
      </c>
      <c r="B11" s="69"/>
      <c r="C11" s="69"/>
      <c r="D11" s="69"/>
      <c r="E11" s="105">
        <v>3036</v>
      </c>
      <c r="F11" s="71"/>
      <c r="G11" s="94"/>
      <c r="H11" s="98" t="s">
        <v>416</v>
      </c>
      <c r="I11" s="95"/>
    </row>
    <row r="12" spans="1:9">
      <c r="A12" s="73" t="s">
        <v>126</v>
      </c>
      <c r="B12" s="69"/>
      <c r="C12" s="69"/>
      <c r="D12" s="69"/>
      <c r="E12" s="105">
        <v>2432</v>
      </c>
      <c r="F12" s="71"/>
      <c r="G12" s="72"/>
      <c r="H12" s="98" t="s">
        <v>417</v>
      </c>
      <c r="I12" s="95"/>
    </row>
    <row r="13" spans="1:9">
      <c r="A13" s="73" t="s">
        <v>127</v>
      </c>
      <c r="B13" s="69"/>
      <c r="C13" s="69"/>
      <c r="D13" s="69"/>
      <c r="E13" s="105">
        <v>602</v>
      </c>
      <c r="F13" s="71"/>
      <c r="G13" s="72"/>
      <c r="H13" s="98" t="s">
        <v>369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187</v>
      </c>
      <c r="B15" s="69"/>
      <c r="C15" s="69"/>
      <c r="D15" s="69"/>
      <c r="E15" s="105">
        <v>3471</v>
      </c>
      <c r="F15" s="71"/>
      <c r="G15" s="72"/>
      <c r="H15" s="98" t="s">
        <v>418</v>
      </c>
      <c r="I15" s="95"/>
    </row>
    <row r="16" spans="1:9">
      <c r="A16" s="73" t="s">
        <v>131</v>
      </c>
      <c r="B16" s="69"/>
      <c r="C16" s="69"/>
      <c r="D16" s="69"/>
      <c r="E16" s="105">
        <v>570</v>
      </c>
      <c r="F16" s="71"/>
      <c r="G16" s="72"/>
      <c r="H16" s="98" t="s">
        <v>419</v>
      </c>
      <c r="I16" s="95"/>
    </row>
    <row r="17" spans="1:9">
      <c r="A17" s="73" t="s">
        <v>129</v>
      </c>
      <c r="B17" s="69"/>
      <c r="C17" s="69"/>
      <c r="D17" s="69"/>
      <c r="E17" s="105">
        <v>846</v>
      </c>
      <c r="F17" s="71"/>
      <c r="G17" s="72"/>
      <c r="H17" s="98" t="s">
        <v>420</v>
      </c>
      <c r="I17" s="95"/>
    </row>
    <row r="18" spans="1:9">
      <c r="A18" s="73" t="s">
        <v>128</v>
      </c>
      <c r="B18" s="69"/>
      <c r="C18" s="69"/>
      <c r="D18" s="69"/>
      <c r="E18" s="105">
        <v>502</v>
      </c>
      <c r="F18" s="71"/>
      <c r="G18" s="72"/>
      <c r="H18" s="98" t="s">
        <v>421</v>
      </c>
      <c r="I18" s="95"/>
    </row>
    <row r="19" spans="1:9">
      <c r="A19" s="73" t="s">
        <v>123</v>
      </c>
      <c r="B19" s="69"/>
      <c r="C19" s="69"/>
      <c r="D19" s="69"/>
      <c r="E19" s="105">
        <v>309</v>
      </c>
      <c r="F19" s="71"/>
      <c r="G19" s="72"/>
      <c r="H19" s="98" t="s">
        <v>422</v>
      </c>
      <c r="I19" s="95"/>
    </row>
    <row r="20" spans="1:9">
      <c r="A20" s="73" t="s">
        <v>124</v>
      </c>
      <c r="B20" s="69"/>
      <c r="C20" s="69"/>
      <c r="D20" s="69"/>
      <c r="E20" s="105">
        <v>268</v>
      </c>
      <c r="F20" s="71"/>
      <c r="G20" s="72"/>
      <c r="H20" s="98" t="s">
        <v>423</v>
      </c>
      <c r="I20" s="95"/>
    </row>
    <row r="21" spans="1:9">
      <c r="A21" s="75" t="s">
        <v>130</v>
      </c>
      <c r="B21" s="76"/>
      <c r="C21" s="76"/>
      <c r="D21" s="76"/>
      <c r="E21" s="107">
        <v>976</v>
      </c>
      <c r="F21" s="78"/>
      <c r="G21" s="79"/>
      <c r="H21" s="100" t="s">
        <v>424</v>
      </c>
      <c r="I21" s="97"/>
    </row>
    <row r="22" spans="1:9">
      <c r="A22" s="69" t="s">
        <v>188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353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359</v>
      </c>
    </row>
    <row r="45" spans="1:9">
      <c r="G45" s="103" t="s">
        <v>359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3"/>
      <c r="C3" s="93" t="s">
        <v>345</v>
      </c>
      <c r="D3" s="93"/>
      <c r="E3" s="93"/>
      <c r="F3" s="93" t="s">
        <v>346</v>
      </c>
      <c r="G3" s="93"/>
      <c r="H3" s="92" t="s">
        <v>347</v>
      </c>
      <c r="I3" s="92"/>
    </row>
    <row r="9" spans="1:9">
      <c r="D9" s="90"/>
      <c r="G9" s="90"/>
    </row>
    <row r="14" spans="1:9">
      <c r="F14" s="103" t="s">
        <v>359</v>
      </c>
    </row>
    <row r="25" spans="6:6">
      <c r="F25" s="103" t="s">
        <v>359</v>
      </c>
    </row>
    <row r="36" spans="6:6">
      <c r="F36" s="103" t="s">
        <v>359</v>
      </c>
    </row>
    <row r="47" spans="6:6">
      <c r="F47" s="104" t="s">
        <v>359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A4" sqref="A4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201412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39" t="s">
        <v>164</v>
      </c>
      <c r="L2" s="55" t="s">
        <v>150</v>
      </c>
    </row>
    <row r="3" spans="1:20">
      <c r="A3" s="22" t="s">
        <v>313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1" t="s">
        <v>409</v>
      </c>
      <c r="H3" s="21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G4" s="20" t="s">
        <v>410</v>
      </c>
      <c r="I4" s="29" t="s">
        <v>143</v>
      </c>
      <c r="J4" s="29" t="s">
        <v>143</v>
      </c>
      <c r="L4" s="36" t="s">
        <v>142</v>
      </c>
      <c r="M4" s="36" t="s">
        <v>142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G5" s="20" t="s">
        <v>402</v>
      </c>
      <c r="I5" s="30" t="s">
        <v>141</v>
      </c>
      <c r="J5" s="30" t="s">
        <v>140</v>
      </c>
      <c r="K5" s="34"/>
      <c r="L5" s="37" t="s">
        <v>141</v>
      </c>
      <c r="M5" s="37" t="s">
        <v>140</v>
      </c>
    </row>
    <row r="6" spans="1:20">
      <c r="A6" s="8" t="s">
        <v>26</v>
      </c>
      <c r="C6" t="s">
        <v>398</v>
      </c>
      <c r="D6" t="s">
        <v>398</v>
      </c>
      <c r="E6" t="s">
        <v>398</v>
      </c>
      <c r="F6" t="s">
        <v>399</v>
      </c>
      <c r="G6" s="20" t="s">
        <v>397</v>
      </c>
    </row>
    <row r="7" spans="1:20">
      <c r="A7" s="8" t="s">
        <v>258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259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260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190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191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192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193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194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195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196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197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198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199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200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201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202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203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204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205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206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207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208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209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210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211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212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213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214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215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216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217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218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219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220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221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222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223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224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225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226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227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228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229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230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231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232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233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234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235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236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237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238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239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240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241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242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243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244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245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246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247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248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249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250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251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252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253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254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255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256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257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352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368</v>
      </c>
      <c r="B79" s="13">
        <v>41943</v>
      </c>
      <c r="C79" s="14">
        <v>5077</v>
      </c>
      <c r="D79" s="14">
        <v>14135</v>
      </c>
      <c r="E79" s="23">
        <v>2124.1999999999998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699.9999999998181</v>
      </c>
      <c r="M79" s="63">
        <f t="shared" si="7"/>
        <v>333.33333333333331</v>
      </c>
      <c r="N79" s="15"/>
      <c r="R79" s="14"/>
    </row>
    <row r="80" spans="1:18">
      <c r="A80" s="8" t="s">
        <v>400</v>
      </c>
      <c r="B80" s="13">
        <v>41973</v>
      </c>
      <c r="C80" s="14">
        <v>5080</v>
      </c>
      <c r="D80" s="14">
        <v>14134</v>
      </c>
      <c r="E80" s="23">
        <v>2125.3000000000002</v>
      </c>
      <c r="F80" s="14">
        <v>0</v>
      </c>
      <c r="G80" s="14">
        <v>0</v>
      </c>
      <c r="H80" s="14"/>
      <c r="I80" s="31">
        <f t="shared" si="4"/>
        <v>2000</v>
      </c>
      <c r="J80" s="31">
        <f t="shared" si="5"/>
        <v>11000</v>
      </c>
      <c r="K80" s="35"/>
      <c r="L80" s="38">
        <f t="shared" si="6"/>
        <v>1100.0000000003638</v>
      </c>
      <c r="M80" s="63">
        <f t="shared" si="7"/>
        <v>33.333333333454597</v>
      </c>
      <c r="N80" s="15"/>
      <c r="R80" s="23"/>
    </row>
    <row r="81" spans="2:18">
      <c r="B81" s="13"/>
      <c r="C81" s="14"/>
      <c r="D81" s="14"/>
      <c r="E81" s="23"/>
      <c r="F81" s="14"/>
      <c r="G81" s="14"/>
      <c r="H81" s="14"/>
      <c r="I81" s="31" t="str">
        <f t="shared" si="4"/>
        <v/>
      </c>
      <c r="J81" s="31" t="str">
        <f t="shared" si="5"/>
        <v/>
      </c>
      <c r="K81" s="35"/>
      <c r="L81" s="38" t="str">
        <f t="shared" si="6"/>
        <v/>
      </c>
      <c r="M81" s="63" t="str">
        <f t="shared" si="7"/>
        <v/>
      </c>
      <c r="N81" s="15"/>
      <c r="R81" s="14"/>
    </row>
    <row r="82" spans="2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2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2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2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2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2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2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2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2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2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2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2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2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2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2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8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135</v>
      </c>
    </row>
    <row r="2" spans="1:12">
      <c r="A2" s="26" t="s">
        <v>137</v>
      </c>
      <c r="B2" s="23" t="s">
        <v>134</v>
      </c>
      <c r="F2" s="40">
        <v>39814</v>
      </c>
      <c r="J2" s="20" t="s">
        <v>403</v>
      </c>
      <c r="K2" s="20" t="s">
        <v>404</v>
      </c>
      <c r="L2" s="21" t="s">
        <v>408</v>
      </c>
    </row>
    <row r="3" spans="1:12">
      <c r="A3" s="26" t="s">
        <v>133</v>
      </c>
      <c r="B3" s="23" t="s">
        <v>132</v>
      </c>
      <c r="J3" s="20" t="s">
        <v>7</v>
      </c>
      <c r="K3" s="20"/>
      <c r="L3" s="20" t="s">
        <v>411</v>
      </c>
    </row>
    <row r="4" spans="1:12">
      <c r="A4" s="26">
        <f>$F$2</f>
        <v>39814</v>
      </c>
      <c r="B4" s="23" t="s">
        <v>367</v>
      </c>
      <c r="J4" s="20" t="s">
        <v>394</v>
      </c>
      <c r="K4" s="20"/>
      <c r="L4" s="20" t="s">
        <v>395</v>
      </c>
    </row>
    <row r="5" spans="1:12">
      <c r="A5" s="27" t="s">
        <v>136</v>
      </c>
      <c r="B5" s="28"/>
      <c r="C5" s="27"/>
      <c r="E5" s="27"/>
      <c r="G5" s="27"/>
      <c r="J5" s="19" t="s">
        <v>26</v>
      </c>
      <c r="K5" s="19"/>
      <c r="L5" s="19" t="s">
        <v>396</v>
      </c>
    </row>
    <row r="6" spans="1:12">
      <c r="A6" s="26" t="s">
        <v>370</v>
      </c>
      <c r="J6" t="s">
        <v>371</v>
      </c>
      <c r="K6" s="108">
        <v>39814</v>
      </c>
      <c r="L6" s="14">
        <v>1</v>
      </c>
    </row>
    <row r="7" spans="1:12">
      <c r="A7" s="26" t="s">
        <v>138</v>
      </c>
      <c r="B7" s="23" t="s">
        <v>139</v>
      </c>
      <c r="J7" t="s">
        <v>372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373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374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375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376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377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378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379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380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381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382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383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384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385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386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387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388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389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390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391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392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393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</row>
    <row r="30" spans="1:12">
      <c r="A30" s="26">
        <v>41821</v>
      </c>
      <c r="B30" s="23">
        <v>232.4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zoomScaleNormal="100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323</v>
      </c>
      <c r="B2" s="12" t="s">
        <v>0</v>
      </c>
      <c r="C2" s="33" t="s">
        <v>151</v>
      </c>
      <c r="D2" s="33" t="s">
        <v>152</v>
      </c>
      <c r="E2" s="33" t="s">
        <v>153</v>
      </c>
      <c r="F2" s="33" t="s">
        <v>154</v>
      </c>
      <c r="J2" s="21" t="s">
        <v>408</v>
      </c>
    </row>
    <row r="3" spans="1:10">
      <c r="A3" s="11" t="s">
        <v>7</v>
      </c>
      <c r="C3" t="s">
        <v>157</v>
      </c>
      <c r="D3" t="s">
        <v>158</v>
      </c>
      <c r="E3" t="s">
        <v>159</v>
      </c>
      <c r="F3" t="s">
        <v>160</v>
      </c>
      <c r="J3" s="20" t="s">
        <v>411</v>
      </c>
    </row>
    <row r="4" spans="1:10">
      <c r="A4" s="11" t="s">
        <v>22</v>
      </c>
      <c r="C4" t="s">
        <v>156</v>
      </c>
      <c r="D4" t="s">
        <v>156</v>
      </c>
      <c r="E4" t="s">
        <v>156</v>
      </c>
      <c r="F4" t="s">
        <v>156</v>
      </c>
      <c r="G4" s="19" t="s">
        <v>161</v>
      </c>
      <c r="I4" t="s">
        <v>163</v>
      </c>
      <c r="J4" s="20" t="s">
        <v>402</v>
      </c>
    </row>
    <row r="5" spans="1:10">
      <c r="A5" s="11" t="s">
        <v>26</v>
      </c>
      <c r="C5" t="s">
        <v>291</v>
      </c>
      <c r="D5" t="s">
        <v>291</v>
      </c>
      <c r="E5" t="s">
        <v>291</v>
      </c>
      <c r="F5" t="s">
        <v>291</v>
      </c>
      <c r="H5" s="56" t="s">
        <v>162</v>
      </c>
      <c r="J5" s="19" t="s">
        <v>396</v>
      </c>
    </row>
    <row r="6" spans="1:10">
      <c r="A6" s="11" t="s">
        <v>16</v>
      </c>
      <c r="B6" s="13"/>
      <c r="C6" s="14" t="s">
        <v>155</v>
      </c>
      <c r="D6" s="14" t="s">
        <v>155</v>
      </c>
      <c r="E6" s="14" t="s">
        <v>155</v>
      </c>
      <c r="F6" t="s">
        <v>155</v>
      </c>
      <c r="J6" t="s">
        <v>406</v>
      </c>
    </row>
    <row r="7" spans="1:10">
      <c r="A7" s="11" t="s">
        <v>19</v>
      </c>
      <c r="B7" s="13"/>
      <c r="C7" s="14" t="s">
        <v>290</v>
      </c>
      <c r="D7" s="14" t="s">
        <v>290</v>
      </c>
      <c r="E7" s="14" t="s">
        <v>290</v>
      </c>
      <c r="F7" t="s">
        <v>290</v>
      </c>
      <c r="J7" t="s">
        <v>405</v>
      </c>
    </row>
    <row r="8" spans="1:10">
      <c r="A8" s="11" t="s">
        <v>322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324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325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326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327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328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329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330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331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332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333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334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335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336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337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338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339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340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341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314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315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316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317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318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319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320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321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289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292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293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294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295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296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297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298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299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300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301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302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303</v>
      </c>
      <c r="B47" s="42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1">
        <f t="shared" si="0"/>
        <v>270.72500000000002</v>
      </c>
      <c r="H47" s="20">
        <f t="shared" si="1"/>
        <v>2.5054144516637233E-2</v>
      </c>
      <c r="I47" s="29">
        <f t="shared" si="2"/>
        <v>4.5467232762942844E-2</v>
      </c>
      <c r="J47" s="14">
        <v>0</v>
      </c>
    </row>
    <row r="48" spans="1:10">
      <c r="A48" s="11" t="s">
        <v>304</v>
      </c>
      <c r="B48" s="42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1">
        <f t="shared" si="0"/>
        <v>290.755</v>
      </c>
      <c r="H48" s="20">
        <f t="shared" si="1"/>
        <v>3.3560363152917994E-2</v>
      </c>
      <c r="I48" s="29">
        <f t="shared" si="2"/>
        <v>3.312359756279798E-2</v>
      </c>
      <c r="J48" s="14">
        <v>0</v>
      </c>
    </row>
    <row r="49" spans="1:10">
      <c r="A49" s="11" t="s">
        <v>305</v>
      </c>
      <c r="B49" s="42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1">
        <f t="shared" si="0"/>
        <v>248.61099999999999</v>
      </c>
      <c r="H49" s="20">
        <f t="shared" si="1"/>
        <v>5.2223708268436475E-2</v>
      </c>
      <c r="I49" s="29">
        <f t="shared" si="2"/>
        <v>3.8314979040426356E-2</v>
      </c>
      <c r="J49" s="14">
        <v>0</v>
      </c>
    </row>
    <row r="50" spans="1:10">
      <c r="A50" s="11" t="s">
        <v>306</v>
      </c>
      <c r="B50" s="42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1">
        <f t="shared" si="0"/>
        <v>347.43200000000002</v>
      </c>
      <c r="H50" s="20">
        <f t="shared" si="1"/>
        <v>3.5586435484495915E-2</v>
      </c>
      <c r="I50" s="29">
        <f t="shared" si="2"/>
        <v>3.6606162855621904E-2</v>
      </c>
      <c r="J50" s="14">
        <v>0</v>
      </c>
    </row>
    <row r="51" spans="1:10">
      <c r="A51" s="11" t="s">
        <v>307</v>
      </c>
      <c r="B51" s="42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1">
        <f t="shared" si="0"/>
        <v>287.137</v>
      </c>
      <c r="H51" s="20">
        <f t="shared" si="1"/>
        <v>6.0622402807276599E-2</v>
      </c>
      <c r="I51" s="29">
        <f t="shared" si="2"/>
        <v>4.5498227428281746E-2</v>
      </c>
      <c r="J51" s="14">
        <v>0</v>
      </c>
    </row>
    <row r="52" spans="1:10">
      <c r="A52" s="11" t="s">
        <v>308</v>
      </c>
      <c r="B52" s="42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1">
        <f t="shared" si="0"/>
        <v>309.66300000000001</v>
      </c>
      <c r="H52" s="20">
        <f t="shared" si="1"/>
        <v>6.5030695946759254E-2</v>
      </c>
      <c r="I52" s="29">
        <f t="shared" si="2"/>
        <v>5.3365810626742061E-2</v>
      </c>
      <c r="J52" s="14">
        <v>0</v>
      </c>
    </row>
    <row r="53" spans="1:10">
      <c r="A53" s="11" t="s">
        <v>309</v>
      </c>
      <c r="B53" s="42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1">
        <f t="shared" si="0"/>
        <v>262.863</v>
      </c>
      <c r="H53" s="20">
        <f t="shared" si="1"/>
        <v>5.7326506067712169E-2</v>
      </c>
      <c r="I53" s="29">
        <f t="shared" si="2"/>
        <v>5.4641510076560984E-2</v>
      </c>
      <c r="J53" s="14">
        <v>0</v>
      </c>
    </row>
    <row r="54" spans="1:10">
      <c r="A54" s="11" t="s">
        <v>310</v>
      </c>
      <c r="B54" s="42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1">
        <f t="shared" si="0"/>
        <v>356.66399999999999</v>
      </c>
      <c r="H54" s="20">
        <f t="shared" si="1"/>
        <v>2.6572106196320444E-2</v>
      </c>
      <c r="I54" s="29">
        <f t="shared" si="2"/>
        <v>5.2387927754517116E-2</v>
      </c>
      <c r="J54" s="14">
        <v>0</v>
      </c>
    </row>
    <row r="55" spans="1:10">
      <c r="A55" s="11" t="s">
        <v>311</v>
      </c>
      <c r="B55" s="42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1">
        <f t="shared" si="0"/>
        <v>294.22199999999998</v>
      </c>
      <c r="H55" s="20">
        <f t="shared" si="1"/>
        <v>2.4674632666636498E-2</v>
      </c>
      <c r="I55" s="29">
        <f t="shared" si="2"/>
        <v>4.3400985219357091E-2</v>
      </c>
      <c r="J55" s="14">
        <v>0</v>
      </c>
    </row>
    <row r="56" spans="1:10">
      <c r="A56" s="11" t="s">
        <v>312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1">
        <f t="shared" si="0"/>
        <v>309.52999999999997</v>
      </c>
      <c r="H56" s="20">
        <f t="shared" si="1"/>
        <v>-4.2949916522172504E-4</v>
      </c>
      <c r="I56" s="29">
        <f t="shared" si="2"/>
        <v>2.7035936441361846E-2</v>
      </c>
      <c r="J56" s="14">
        <v>0</v>
      </c>
    </row>
    <row r="57" spans="1:10">
      <c r="A57" s="11" t="s">
        <v>407</v>
      </c>
      <c r="B57" s="13">
        <v>41912</v>
      </c>
      <c r="G57" s="41">
        <f t="shared" si="0"/>
        <v>0</v>
      </c>
      <c r="H57" s="20"/>
      <c r="I57" s="20"/>
      <c r="J57" s="14">
        <v>0</v>
      </c>
    </row>
    <row r="58" spans="1:10">
      <c r="B58" s="13"/>
      <c r="G58" s="41">
        <f t="shared" si="0"/>
        <v>0</v>
      </c>
      <c r="H58" s="20"/>
      <c r="I58" s="20"/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workbookViewId="0">
      <selection activeCell="E1" sqref="E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2" t="s">
        <v>288</v>
      </c>
      <c r="B4" s="22" t="s">
        <v>404</v>
      </c>
      <c r="C4" s="17" t="s">
        <v>114</v>
      </c>
      <c r="D4" s="17" t="s">
        <v>115</v>
      </c>
      <c r="E4" s="17" t="s">
        <v>112</v>
      </c>
      <c r="F4" s="17" t="s">
        <v>113</v>
      </c>
      <c r="G4" s="111" t="s">
        <v>413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  <c r="G5" t="s">
        <v>412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  <c r="G6" t="s">
        <v>402</v>
      </c>
    </row>
    <row r="7" spans="1:14">
      <c r="A7" s="16" t="s">
        <v>26</v>
      </c>
      <c r="C7" t="s">
        <v>174</v>
      </c>
      <c r="D7" t="s">
        <v>174</v>
      </c>
      <c r="E7" t="s">
        <v>182</v>
      </c>
      <c r="F7" t="s">
        <v>182</v>
      </c>
      <c r="G7" t="s">
        <v>396</v>
      </c>
    </row>
    <row r="8" spans="1:14">
      <c r="A8" s="16" t="s">
        <v>31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32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33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34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35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36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37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38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39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40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41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42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43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44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45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46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47</v>
      </c>
      <c r="B24" s="43">
        <v>33239</v>
      </c>
      <c r="C24" s="32" t="e">
        <v>#N/A</v>
      </c>
      <c r="D24" s="32" t="e">
        <v>#N/A</v>
      </c>
      <c r="E24" s="44">
        <v>17.266999999999999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48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49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50</v>
      </c>
      <c r="B27" s="43">
        <v>34335</v>
      </c>
      <c r="C27" s="32" t="e">
        <v>#N/A</v>
      </c>
      <c r="D27" s="32" t="e">
        <v>#N/A</v>
      </c>
      <c r="E27" s="44">
        <v>17.486000000000001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51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52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53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54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55</v>
      </c>
      <c r="B32" s="43">
        <v>36161</v>
      </c>
      <c r="C32" s="32" t="e">
        <v>#N/A</v>
      </c>
      <c r="D32" s="32" t="e">
        <v>#N/A</v>
      </c>
      <c r="E32" s="44">
        <v>19.207999999999998</v>
      </c>
      <c r="F32" s="44">
        <v>17.888000000000002</v>
      </c>
      <c r="G32" s="14">
        <v>0</v>
      </c>
      <c r="H32" s="20">
        <f t="shared" si="0"/>
        <v>0</v>
      </c>
    </row>
    <row r="33" spans="1:8">
      <c r="A33" s="16" t="s">
        <v>56</v>
      </c>
      <c r="B33" s="43">
        <v>36526</v>
      </c>
      <c r="C33" s="32" t="e">
        <v>#N/A</v>
      </c>
      <c r="D33" s="32" t="e">
        <v>#N/A</v>
      </c>
      <c r="E33" s="44">
        <v>19.945</v>
      </c>
      <c r="F33" s="44">
        <v>17.617999999999999</v>
      </c>
      <c r="G33" s="14">
        <v>0</v>
      </c>
      <c r="H33" s="20">
        <f t="shared" si="0"/>
        <v>0</v>
      </c>
    </row>
    <row r="34" spans="1:8">
      <c r="A34" s="16" t="s">
        <v>57</v>
      </c>
      <c r="B34" s="43">
        <v>36892</v>
      </c>
      <c r="C34" s="32" t="e">
        <v>#N/A</v>
      </c>
      <c r="D34" s="32" t="e">
        <v>#N/A</v>
      </c>
      <c r="E34" s="44">
        <v>18.84</v>
      </c>
      <c r="F34" s="44">
        <v>17.626999999999999</v>
      </c>
      <c r="G34" s="14">
        <v>3</v>
      </c>
      <c r="H34" s="20">
        <f t="shared" si="0"/>
        <v>1</v>
      </c>
    </row>
    <row r="35" spans="1:8">
      <c r="A35" s="16" t="s">
        <v>58</v>
      </c>
      <c r="B35" s="43">
        <v>37257</v>
      </c>
      <c r="C35" s="32" t="e">
        <v>#N/A</v>
      </c>
      <c r="D35" s="32" t="e">
        <v>#N/A</v>
      </c>
      <c r="E35" s="44">
        <v>17.033000000000001</v>
      </c>
      <c r="F35" s="44">
        <v>18.483000000000001</v>
      </c>
      <c r="G35" s="14">
        <v>0</v>
      </c>
      <c r="H35" s="20">
        <f t="shared" si="0"/>
        <v>0</v>
      </c>
    </row>
    <row r="36" spans="1:8">
      <c r="A36" s="16" t="s">
        <v>59</v>
      </c>
      <c r="B36" s="43">
        <v>37622</v>
      </c>
      <c r="C36" s="32" t="e">
        <v>#N/A</v>
      </c>
      <c r="D36" s="32" t="e">
        <v>#N/A</v>
      </c>
      <c r="E36" s="44">
        <v>15.725</v>
      </c>
      <c r="F36" s="44">
        <v>19.056999999999999</v>
      </c>
      <c r="G36" s="14">
        <v>0</v>
      </c>
      <c r="H36" s="20">
        <f t="shared" si="0"/>
        <v>0</v>
      </c>
    </row>
    <row r="37" spans="1:8">
      <c r="A37" s="16" t="s">
        <v>60</v>
      </c>
      <c r="B37" s="43">
        <v>37987</v>
      </c>
      <c r="C37" s="32" t="e">
        <v>#N/A</v>
      </c>
      <c r="D37" s="32" t="e">
        <v>#N/A</v>
      </c>
      <c r="E37" s="44">
        <v>15.55</v>
      </c>
      <c r="F37" s="44">
        <v>18.963999999999999</v>
      </c>
      <c r="G37" s="14">
        <v>0</v>
      </c>
      <c r="H37" s="20">
        <f t="shared" si="0"/>
        <v>0</v>
      </c>
    </row>
    <row r="38" spans="1:8">
      <c r="A38" s="16" t="s">
        <v>61</v>
      </c>
      <c r="B38" s="43">
        <v>38353</v>
      </c>
      <c r="C38" s="32" t="e">
        <v>#N/A</v>
      </c>
      <c r="D38" s="32" t="e">
        <v>#N/A</v>
      </c>
      <c r="E38" s="44">
        <v>16.707000000000001</v>
      </c>
      <c r="F38" s="44">
        <v>19.177</v>
      </c>
      <c r="G38" s="14">
        <v>0</v>
      </c>
      <c r="H38" s="20">
        <f t="shared" si="0"/>
        <v>0</v>
      </c>
    </row>
    <row r="39" spans="1:8">
      <c r="A39" s="16" t="s">
        <v>62</v>
      </c>
      <c r="B39" s="43">
        <v>38718</v>
      </c>
      <c r="C39" s="32" t="e">
        <v>#N/A</v>
      </c>
      <c r="D39" s="32" t="e">
        <v>#N/A</v>
      </c>
      <c r="E39" s="44">
        <v>17.585999999999999</v>
      </c>
      <c r="F39" s="44">
        <v>19.399000000000001</v>
      </c>
      <c r="G39" s="14">
        <v>0</v>
      </c>
      <c r="H39" s="20">
        <f t="shared" si="0"/>
        <v>0</v>
      </c>
    </row>
    <row r="40" spans="1:8">
      <c r="A40" s="16" t="s">
        <v>63</v>
      </c>
      <c r="B40" s="43">
        <v>39083</v>
      </c>
      <c r="C40" s="32" t="e">
        <v>#N/A</v>
      </c>
      <c r="D40" s="32" t="e">
        <v>#N/A</v>
      </c>
      <c r="E40" s="44">
        <v>17.927</v>
      </c>
      <c r="F40" s="44">
        <v>19.047999999999998</v>
      </c>
      <c r="G40" s="14">
        <v>0</v>
      </c>
      <c r="H40" s="20">
        <f t="shared" si="0"/>
        <v>0</v>
      </c>
    </row>
    <row r="41" spans="1:8">
      <c r="A41" s="16" t="s">
        <v>64</v>
      </c>
      <c r="B41" s="43">
        <v>39448</v>
      </c>
      <c r="C41" s="32" t="e">
        <v>#N/A</v>
      </c>
      <c r="D41" s="32" t="e">
        <v>#N/A</v>
      </c>
      <c r="E41" s="44">
        <v>17.105</v>
      </c>
      <c r="F41" s="44">
        <v>20.212</v>
      </c>
      <c r="G41" s="14">
        <v>4</v>
      </c>
      <c r="H41" s="20">
        <f t="shared" si="0"/>
        <v>1</v>
      </c>
    </row>
    <row r="42" spans="1:8">
      <c r="A42" s="16" t="s">
        <v>65</v>
      </c>
      <c r="B42" s="43">
        <v>39814</v>
      </c>
      <c r="C42" s="32" t="e">
        <v>#N/A</v>
      </c>
      <c r="D42" s="32" t="e">
        <v>#N/A</v>
      </c>
      <c r="E42" s="44">
        <v>14.603999999999999</v>
      </c>
      <c r="F42" s="44">
        <v>24.405000000000001</v>
      </c>
      <c r="G42" s="14">
        <v>2</v>
      </c>
      <c r="H42" s="20">
        <f t="shared" si="0"/>
        <v>1</v>
      </c>
    </row>
    <row r="43" spans="1:8">
      <c r="A43" s="16" t="s">
        <v>66</v>
      </c>
      <c r="B43" s="43">
        <v>40179</v>
      </c>
      <c r="C43" s="32" t="e">
        <v>#N/A</v>
      </c>
      <c r="D43" s="32" t="e">
        <v>#N/A</v>
      </c>
      <c r="E43" s="44">
        <v>14.621</v>
      </c>
      <c r="F43" s="44">
        <v>23.372</v>
      </c>
      <c r="G43" s="14">
        <v>0</v>
      </c>
      <c r="H43" s="20">
        <f t="shared" si="0"/>
        <v>0</v>
      </c>
    </row>
    <row r="44" spans="1:8">
      <c r="A44" s="16" t="s">
        <v>67</v>
      </c>
      <c r="B44" s="43">
        <v>40544</v>
      </c>
      <c r="C44" s="32" t="e">
        <v>#N/A</v>
      </c>
      <c r="D44" s="32" t="e">
        <v>#N/A</v>
      </c>
      <c r="E44" s="44">
        <v>14.97</v>
      </c>
      <c r="F44" s="44">
        <v>23.416</v>
      </c>
      <c r="G44" s="14">
        <v>0</v>
      </c>
      <c r="H44" s="20">
        <f t="shared" si="0"/>
        <v>0</v>
      </c>
    </row>
    <row r="45" spans="1:8">
      <c r="A45" s="16" t="s">
        <v>68</v>
      </c>
      <c r="B45" s="43">
        <v>40909</v>
      </c>
      <c r="C45" s="32">
        <v>15.2</v>
      </c>
      <c r="D45" s="32">
        <v>22</v>
      </c>
      <c r="E45" s="44">
        <v>15.224</v>
      </c>
      <c r="F45" s="44">
        <v>21.978000000000002</v>
      </c>
      <c r="G45" s="14">
        <v>0</v>
      </c>
      <c r="H45" s="20">
        <f t="shared" si="0"/>
        <v>0</v>
      </c>
    </row>
    <row r="46" spans="1:8">
      <c r="A46" s="16" t="s">
        <v>69</v>
      </c>
      <c r="B46" s="43">
        <v>41275</v>
      </c>
      <c r="C46" s="32">
        <v>16.7</v>
      </c>
      <c r="D46" s="32">
        <v>20.8</v>
      </c>
      <c r="E46" s="44">
        <v>16.684999999999999</v>
      </c>
      <c r="F46" s="44">
        <v>20.77</v>
      </c>
      <c r="G46" s="14">
        <v>0</v>
      </c>
      <c r="H46" s="20">
        <f t="shared" si="0"/>
        <v>0</v>
      </c>
    </row>
    <row r="47" spans="1:8">
      <c r="A47" s="16" t="s">
        <v>70</v>
      </c>
      <c r="B47" s="43">
        <v>41640</v>
      </c>
      <c r="C47" s="32">
        <v>17.5</v>
      </c>
      <c r="D47" s="32">
        <v>20.399999999999999</v>
      </c>
      <c r="E47" s="44" t="e">
        <v>#N/A</v>
      </c>
      <c r="F47" s="44" t="e">
        <v>#N/A</v>
      </c>
      <c r="G47" s="14">
        <v>0</v>
      </c>
      <c r="H47" s="20">
        <f t="shared" si="0"/>
        <v>0</v>
      </c>
    </row>
    <row r="48" spans="1:8">
      <c r="A48" s="16" t="s">
        <v>71</v>
      </c>
      <c r="B48" s="43">
        <v>42005</v>
      </c>
      <c r="C48" s="32">
        <v>18.3</v>
      </c>
      <c r="D48" s="32">
        <v>20.9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72</v>
      </c>
      <c r="B49" s="43">
        <v>42370</v>
      </c>
      <c r="C49" s="32">
        <v>18.100000000000001</v>
      </c>
      <c r="D49" s="32">
        <v>21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73</v>
      </c>
      <c r="B50" s="43">
        <v>42736</v>
      </c>
      <c r="C50" s="32">
        <v>18.100000000000001</v>
      </c>
      <c r="D50" s="32">
        <v>20.8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74</v>
      </c>
      <c r="B51" s="43">
        <v>43101</v>
      </c>
      <c r="C51" s="32">
        <v>18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75</v>
      </c>
      <c r="B52" s="43">
        <v>43466</v>
      </c>
      <c r="C52" s="32">
        <v>18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76</v>
      </c>
      <c r="B53" s="43">
        <v>43831</v>
      </c>
      <c r="C53" s="32">
        <v>18.100000000000001</v>
      </c>
      <c r="D53" s="32">
        <v>21.3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77</v>
      </c>
      <c r="B54" s="43">
        <v>44197</v>
      </c>
      <c r="C54" s="32">
        <v>18.100000000000001</v>
      </c>
      <c r="D54" s="32">
        <v>21.5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78</v>
      </c>
      <c r="B55" s="43">
        <v>44562</v>
      </c>
      <c r="C55" s="32">
        <v>18.100000000000001</v>
      </c>
      <c r="D55" s="32">
        <v>21.9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79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80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/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144</v>
      </c>
      <c r="G1">
        <v>2014</v>
      </c>
    </row>
    <row r="2" spans="1:10">
      <c r="C2" s="19" t="s">
        <v>355</v>
      </c>
      <c r="D2" s="19"/>
    </row>
    <row r="3" spans="1:10">
      <c r="A3" s="22" t="s">
        <v>288</v>
      </c>
      <c r="B3" s="22" t="s">
        <v>404</v>
      </c>
      <c r="C3" s="45" t="s">
        <v>354</v>
      </c>
      <c r="D3" s="21" t="s">
        <v>356</v>
      </c>
      <c r="E3" s="21"/>
      <c r="F3" s="17"/>
      <c r="G3" s="111" t="s">
        <v>413</v>
      </c>
      <c r="I3" s="17"/>
      <c r="J3" s="17"/>
    </row>
    <row r="4" spans="1:10">
      <c r="A4" s="16" t="s">
        <v>7</v>
      </c>
      <c r="C4" s="19" t="s">
        <v>357</v>
      </c>
      <c r="D4" s="19" t="s">
        <v>358</v>
      </c>
      <c r="G4" t="s">
        <v>412</v>
      </c>
    </row>
    <row r="5" spans="1:10">
      <c r="A5" s="16" t="s">
        <v>22</v>
      </c>
      <c r="C5" s="19" t="s">
        <v>24</v>
      </c>
      <c r="D5" s="19" t="s">
        <v>24</v>
      </c>
      <c r="G5" t="s">
        <v>402</v>
      </c>
    </row>
    <row r="6" spans="1:10">
      <c r="A6" s="16" t="s">
        <v>26</v>
      </c>
      <c r="C6" s="19" t="s">
        <v>182</v>
      </c>
      <c r="D6" s="19" t="s">
        <v>174</v>
      </c>
      <c r="E6" s="20" t="s">
        <v>145</v>
      </c>
      <c r="F6" t="s">
        <v>146</v>
      </c>
      <c r="G6" t="s">
        <v>396</v>
      </c>
    </row>
    <row r="7" spans="1:10">
      <c r="A7" s="16" t="s">
        <v>31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32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33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34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35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36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37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38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39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40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41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42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43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44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45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46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47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48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49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50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51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52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53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54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55</v>
      </c>
      <c r="B31" s="43">
        <v>36161</v>
      </c>
      <c r="C31" s="101">
        <v>1.32</v>
      </c>
      <c r="D31" s="35" t="e">
        <v>#N/A</v>
      </c>
      <c r="E31" s="102">
        <f t="shared" si="0"/>
        <v>1.32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56</v>
      </c>
      <c r="B32" s="43">
        <v>36526</v>
      </c>
      <c r="C32" s="101">
        <v>2.327</v>
      </c>
      <c r="D32" s="35" t="e">
        <v>#N/A</v>
      </c>
      <c r="E32" s="102">
        <f t="shared" si="0"/>
        <v>2.327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57</v>
      </c>
      <c r="B33" s="43">
        <v>36892</v>
      </c>
      <c r="C33" s="101">
        <v>1.2130000000000001</v>
      </c>
      <c r="D33" s="35" t="e">
        <v>#N/A</v>
      </c>
      <c r="E33" s="102">
        <f t="shared" si="0"/>
        <v>1.2130000000000001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58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59</v>
      </c>
      <c r="B35" s="43">
        <v>37622</v>
      </c>
      <c r="C35" s="101">
        <v>-3.331</v>
      </c>
      <c r="D35" s="35" t="e">
        <v>#N/A</v>
      </c>
      <c r="E35" s="102">
        <f t="shared" si="0"/>
        <v>-3.331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60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61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62</v>
      </c>
      <c r="B38" s="43">
        <v>38718</v>
      </c>
      <c r="C38" s="101">
        <v>-1.8129999999999999</v>
      </c>
      <c r="D38" s="35" t="e">
        <v>#N/A</v>
      </c>
      <c r="E38" s="102">
        <f t="shared" si="0"/>
        <v>-1.8129999999999999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63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64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65</v>
      </c>
      <c r="B41" s="43">
        <v>39814</v>
      </c>
      <c r="C41" s="101">
        <v>-9.8010000000000002</v>
      </c>
      <c r="D41" s="35" t="e">
        <v>#N/A</v>
      </c>
      <c r="E41" s="102">
        <f t="shared" si="0"/>
        <v>-9.8010000000000002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66</v>
      </c>
      <c r="B42" s="43">
        <v>40179</v>
      </c>
      <c r="C42" s="101">
        <v>-8.7509999999999994</v>
      </c>
      <c r="D42" s="35" t="e">
        <v>#N/A</v>
      </c>
      <c r="E42" s="102">
        <f t="shared" si="0"/>
        <v>-8.7509999999999994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67</v>
      </c>
      <c r="B43" s="43">
        <v>40544</v>
      </c>
      <c r="C43" s="101">
        <v>-8.4459999999999997</v>
      </c>
      <c r="D43" s="35" t="e">
        <v>#N/A</v>
      </c>
      <c r="E43" s="102">
        <f t="shared" si="0"/>
        <v>-8.4459999999999997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68</v>
      </c>
      <c r="B44" s="43">
        <v>40909</v>
      </c>
      <c r="C44" s="101">
        <v>-6.7539999999999996</v>
      </c>
      <c r="D44" s="35">
        <v>-6.8</v>
      </c>
      <c r="E44" s="102">
        <f t="shared" si="0"/>
        <v>-6.7539999999999996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69</v>
      </c>
      <c r="B45" s="43">
        <v>41275</v>
      </c>
      <c r="C45" s="101">
        <v>-4.085</v>
      </c>
      <c r="D45" s="35">
        <v>-4.0999999999999996</v>
      </c>
      <c r="E45" s="102">
        <f t="shared" si="0"/>
        <v>-4.085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70</v>
      </c>
      <c r="B46" s="43">
        <v>41640</v>
      </c>
      <c r="C46" s="101" t="e">
        <v>#N/A</v>
      </c>
      <c r="D46" s="35">
        <v>-2.9</v>
      </c>
      <c r="E46" s="102" t="e">
        <f t="shared" si="0"/>
        <v>#N/A</v>
      </c>
      <c r="F46" s="102">
        <f t="shared" si="1"/>
        <v>-2.9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71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72</v>
      </c>
      <c r="B48" s="43">
        <v>42370</v>
      </c>
      <c r="C48" s="101" t="e">
        <v>#N/A</v>
      </c>
      <c r="D48" s="35">
        <v>-2.9</v>
      </c>
      <c r="E48" s="102" t="e">
        <f t="shared" si="0"/>
        <v>#N/A</v>
      </c>
      <c r="F48" s="102">
        <f t="shared" si="1"/>
        <v>-2.9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73</v>
      </c>
      <c r="B49" s="43">
        <v>42736</v>
      </c>
      <c r="C49" s="101" t="e">
        <v>#N/A</v>
      </c>
      <c r="D49" s="35">
        <v>-2.7</v>
      </c>
      <c r="E49" s="102" t="e">
        <f t="shared" si="0"/>
        <v>#N/A</v>
      </c>
      <c r="F49" s="102">
        <f t="shared" si="1"/>
        <v>-2.7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74</v>
      </c>
      <c r="B50" s="43">
        <v>43101</v>
      </c>
      <c r="C50" s="101" t="e">
        <v>#N/A</v>
      </c>
      <c r="D50" s="35">
        <v>-2.7</v>
      </c>
      <c r="E50" s="102" t="e">
        <f t="shared" si="0"/>
        <v>#N/A</v>
      </c>
      <c r="F50" s="102">
        <f t="shared" si="1"/>
        <v>-2.7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75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76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77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78</v>
      </c>
      <c r="B54" s="43">
        <v>44562</v>
      </c>
      <c r="C54" s="101" t="e">
        <v>#N/A</v>
      </c>
      <c r="D54" s="35">
        <v>-3.8</v>
      </c>
      <c r="E54" s="102" t="e">
        <f t="shared" si="0"/>
        <v>#N/A</v>
      </c>
      <c r="F54" s="102">
        <f t="shared" si="1"/>
        <v>-3.8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79</v>
      </c>
      <c r="B55" s="43">
        <v>44927</v>
      </c>
      <c r="C55" s="101" t="e">
        <v>#N/A</v>
      </c>
      <c r="D55" s="35">
        <v>-3.7</v>
      </c>
      <c r="E55" s="102" t="e">
        <f t="shared" si="0"/>
        <v>#N/A</v>
      </c>
      <c r="F55" s="102">
        <f t="shared" si="1"/>
        <v>-3.7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80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/>
  </sheetViews>
  <sheetFormatPr defaultRowHeight="15"/>
  <cols>
    <col min="1" max="2" width="9.140625" style="20"/>
    <col min="7" max="7" width="9.140625" style="29"/>
  </cols>
  <sheetData>
    <row r="1" spans="1:7">
      <c r="C1" s="20" t="s">
        <v>120</v>
      </c>
    </row>
    <row r="2" spans="1:7">
      <c r="A2" s="22" t="s">
        <v>288</v>
      </c>
      <c r="B2" s="22" t="s">
        <v>404</v>
      </c>
      <c r="C2" s="21" t="s">
        <v>121</v>
      </c>
      <c r="F2" s="111" t="s">
        <v>413</v>
      </c>
    </row>
    <row r="3" spans="1:7">
      <c r="A3" s="20" t="s">
        <v>7</v>
      </c>
      <c r="C3" t="s">
        <v>122</v>
      </c>
      <c r="F3" t="s">
        <v>412</v>
      </c>
    </row>
    <row r="4" spans="1:7">
      <c r="A4" s="20" t="s">
        <v>22</v>
      </c>
      <c r="C4" t="s">
        <v>24</v>
      </c>
      <c r="F4" t="s">
        <v>402</v>
      </c>
    </row>
    <row r="5" spans="1:7">
      <c r="A5" s="20" t="s">
        <v>26</v>
      </c>
      <c r="C5" t="s">
        <v>174</v>
      </c>
      <c r="D5" t="s">
        <v>147</v>
      </c>
      <c r="E5" t="s">
        <v>148</v>
      </c>
      <c r="F5" t="s">
        <v>396</v>
      </c>
    </row>
    <row r="6" spans="1:7">
      <c r="A6" s="20" t="s">
        <v>31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32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33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34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35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36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37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38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39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40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41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42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43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44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45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46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47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48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49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50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51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52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53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54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55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56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57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58</v>
      </c>
      <c r="B33" s="43">
        <v>37257</v>
      </c>
      <c r="C33" s="23">
        <v>32.5</v>
      </c>
      <c r="D33" s="29">
        <f t="shared" si="0"/>
        <v>32.5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59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60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61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62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63</v>
      </c>
      <c r="B38" s="43">
        <v>39083</v>
      </c>
      <c r="C38" s="23">
        <v>35.1</v>
      </c>
      <c r="D38" s="29">
        <f t="shared" si="0"/>
        <v>35.1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64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65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66</v>
      </c>
      <c r="B41" s="43">
        <v>40179</v>
      </c>
      <c r="C41" s="23">
        <v>61</v>
      </c>
      <c r="D41" s="29">
        <f t="shared" si="0"/>
        <v>61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67</v>
      </c>
      <c r="B42" s="43">
        <v>40544</v>
      </c>
      <c r="C42" s="23">
        <v>65.8</v>
      </c>
      <c r="D42" s="29">
        <f t="shared" si="0"/>
        <v>65.8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68</v>
      </c>
      <c r="B43" s="43">
        <v>40909</v>
      </c>
      <c r="C43" s="23">
        <v>70.099999999999994</v>
      </c>
      <c r="D43" s="29">
        <f t="shared" si="0"/>
        <v>70.099999999999994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69</v>
      </c>
      <c r="B44" s="43">
        <v>41275</v>
      </c>
      <c r="C44" s="23">
        <v>72</v>
      </c>
      <c r="D44" s="29">
        <f t="shared" si="0"/>
        <v>72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70</v>
      </c>
      <c r="B45" s="43">
        <v>41640</v>
      </c>
      <c r="C45" s="23">
        <v>74.400000000000006</v>
      </c>
      <c r="D45" s="29">
        <f t="shared" si="0"/>
        <v>74.400000000000006</v>
      </c>
      <c r="E45" s="31">
        <f t="shared" si="1"/>
        <v>74.400000000000006</v>
      </c>
      <c r="F45" s="14">
        <v>0</v>
      </c>
      <c r="G45" s="29">
        <f t="shared" si="2"/>
        <v>0</v>
      </c>
    </row>
    <row r="46" spans="1:7">
      <c r="A46" s="20" t="s">
        <v>71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 t="e">
        <v>#N/A</v>
      </c>
      <c r="G46" s="29">
        <f t="shared" si="2"/>
        <v>0</v>
      </c>
    </row>
    <row r="47" spans="1:7">
      <c r="A47" s="20" t="s">
        <v>72</v>
      </c>
      <c r="B47" s="43">
        <v>42370</v>
      </c>
      <c r="C47" s="23">
        <v>73.599999999999994</v>
      </c>
      <c r="D47" s="29" t="e">
        <f t="shared" si="0"/>
        <v>#N/A</v>
      </c>
      <c r="E47" s="31">
        <f t="shared" si="1"/>
        <v>73.599999999999994</v>
      </c>
      <c r="F47" s="14" t="e">
        <v>#N/A</v>
      </c>
      <c r="G47" s="29">
        <f t="shared" si="2"/>
        <v>0</v>
      </c>
    </row>
    <row r="48" spans="1:7">
      <c r="A48" s="20" t="s">
        <v>73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74</v>
      </c>
      <c r="B49" s="43">
        <v>43101</v>
      </c>
      <c r="C49" s="23">
        <v>72.8</v>
      </c>
      <c r="D49" s="29" t="e">
        <f t="shared" si="0"/>
        <v>#N/A</v>
      </c>
      <c r="E49" s="31">
        <f t="shared" si="1"/>
        <v>72.8</v>
      </c>
      <c r="F49" s="14" t="e">
        <v>#N/A</v>
      </c>
      <c r="G49" s="29">
        <f t="shared" si="2"/>
        <v>0</v>
      </c>
    </row>
    <row r="50" spans="1:7">
      <c r="A50" s="20" t="s">
        <v>75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76</v>
      </c>
      <c r="B51" s="43">
        <v>43831</v>
      </c>
      <c r="C51" s="23">
        <v>73.599999999999994</v>
      </c>
      <c r="D51" s="29" t="e">
        <f t="shared" si="0"/>
        <v>#N/A</v>
      </c>
      <c r="E51" s="31">
        <f t="shared" si="1"/>
        <v>73.599999999999994</v>
      </c>
      <c r="F51" s="14" t="e">
        <v>#N/A</v>
      </c>
      <c r="G51" s="29">
        <f t="shared" si="2"/>
        <v>0</v>
      </c>
    </row>
    <row r="52" spans="1:7">
      <c r="A52" s="20" t="s">
        <v>77</v>
      </c>
      <c r="B52" s="43">
        <v>44197</v>
      </c>
      <c r="C52" s="23">
        <v>74.3</v>
      </c>
      <c r="D52" s="29" t="e">
        <f t="shared" si="0"/>
        <v>#N/A</v>
      </c>
      <c r="E52" s="31">
        <f t="shared" si="1"/>
        <v>74.3</v>
      </c>
      <c r="F52" s="14" t="e">
        <v>#N/A</v>
      </c>
      <c r="G52" s="29">
        <f t="shared" si="2"/>
        <v>0</v>
      </c>
    </row>
    <row r="53" spans="1:7">
      <c r="A53" s="20" t="s">
        <v>78</v>
      </c>
      <c r="B53" s="43">
        <v>44562</v>
      </c>
      <c r="C53" s="23">
        <v>75.400000000000006</v>
      </c>
      <c r="D53" s="29" t="e">
        <f t="shared" si="0"/>
        <v>#N/A</v>
      </c>
      <c r="E53" s="31">
        <f t="shared" si="1"/>
        <v>75.400000000000006</v>
      </c>
      <c r="F53" s="14" t="e">
        <v>#N/A</v>
      </c>
      <c r="G53" s="29">
        <f t="shared" si="2"/>
        <v>0</v>
      </c>
    </row>
    <row r="54" spans="1:7">
      <c r="A54" s="20" t="s">
        <v>79</v>
      </c>
      <c r="B54" s="43">
        <v>44927</v>
      </c>
      <c r="C54" s="23">
        <v>76.400000000000006</v>
      </c>
      <c r="D54" s="29" t="e">
        <f t="shared" si="0"/>
        <v>#N/A</v>
      </c>
      <c r="E54" s="31">
        <f t="shared" si="1"/>
        <v>76.400000000000006</v>
      </c>
      <c r="F54" s="14" t="e">
        <v>#N/A</v>
      </c>
      <c r="G54" s="29">
        <f t="shared" si="2"/>
        <v>0</v>
      </c>
    </row>
    <row r="55" spans="1:7">
      <c r="A55" s="20" t="s">
        <v>80</v>
      </c>
      <c r="B55" s="43">
        <v>45292</v>
      </c>
      <c r="C55" s="23">
        <v>77.2</v>
      </c>
      <c r="D55" s="29" t="e">
        <f t="shared" si="0"/>
        <v>#N/A</v>
      </c>
      <c r="E55" s="31">
        <f t="shared" si="1"/>
        <v>77.2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topLeftCell="A10" workbookViewId="0">
      <selection activeCell="K47" sqref="K47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189</v>
      </c>
      <c r="B1" s="1" t="s">
        <v>404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413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412</v>
      </c>
    </row>
    <row r="3" spans="1:14">
      <c r="A3" s="2" t="s">
        <v>16</v>
      </c>
      <c r="C3" s="6" t="s">
        <v>180</v>
      </c>
      <c r="D3" s="6" t="s">
        <v>181</v>
      </c>
      <c r="E3" s="6" t="s">
        <v>181</v>
      </c>
      <c r="F3" s="6" t="s">
        <v>181</v>
      </c>
      <c r="G3" s="59"/>
      <c r="H3" s="6" t="s">
        <v>18</v>
      </c>
      <c r="I3" s="7" t="s">
        <v>18</v>
      </c>
      <c r="M3" s="2" t="s">
        <v>415</v>
      </c>
    </row>
    <row r="4" spans="1:14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59"/>
      <c r="H4" s="6" t="s">
        <v>17</v>
      </c>
      <c r="I4" s="7" t="s">
        <v>17</v>
      </c>
      <c r="M4" s="2" t="s">
        <v>414</v>
      </c>
    </row>
    <row r="5" spans="1:14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59" t="s">
        <v>25</v>
      </c>
      <c r="H5" s="6" t="s">
        <v>24</v>
      </c>
      <c r="I5" s="7" t="s">
        <v>24</v>
      </c>
      <c r="M5" s="2" t="s">
        <v>402</v>
      </c>
    </row>
    <row r="6" spans="1:14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59"/>
      <c r="H6" s="6" t="s">
        <v>182</v>
      </c>
      <c r="I6" s="7" t="s">
        <v>29</v>
      </c>
      <c r="M6" s="2" t="s">
        <v>396</v>
      </c>
    </row>
    <row r="7" spans="1:14">
      <c r="A7" s="2" t="s">
        <v>30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31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32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33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34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35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36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37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38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39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40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41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42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43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44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45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46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47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48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49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50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51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52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53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54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55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4.0679999999999996</v>
      </c>
      <c r="I32" s="49">
        <v>2.415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56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3.9990000000000001</v>
      </c>
      <c r="I33" s="49">
        <v>2.1960000000000002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57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4.0629999999999997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58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4.1550000000000002</v>
      </c>
      <c r="I35" s="49">
        <v>1.571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59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60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4.0650000000000004</v>
      </c>
      <c r="I37" s="49">
        <v>1.325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61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62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3.9740000000000002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63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4.0590000000000002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64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4.1479999999999997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65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66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4.7380000000000004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67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4.7110000000000003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68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4.7699999999999996</v>
      </c>
      <c r="I45" s="49">
        <v>1.369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69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4.8570000000000002</v>
      </c>
      <c r="I46" s="49">
        <v>1.3280000000000001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70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f>E47</f>
        <v>1.3</v>
      </c>
      <c r="I47" s="62">
        <f>F47</f>
        <v>9.3000000000000007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71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72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73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74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75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76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77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78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79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80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81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82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83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84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85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86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87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88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89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90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91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138</v>
      </c>
      <c r="B1" t="s">
        <v>349</v>
      </c>
      <c r="C1" t="s">
        <v>350</v>
      </c>
      <c r="D1" t="s">
        <v>401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2000</v>
      </c>
      <c r="C73" s="22" t="str">
        <f>IF(ISNUMBER('Change in Employment'!J80),TEXT('Change in Employment'!J80, "0"),"")</f>
        <v>11000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2" t="str">
        <f>IF(ISNUMBER('Change in Employment'!I81), TEXT('Change in Employment'!I81, "0"), "")</f>
        <v/>
      </c>
      <c r="C74" s="22" t="str">
        <f>IF(ISNUMBER('Change in Employment'!J81),TEXT('Change in Employment'!J81, "0"),"")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16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138</v>
      </c>
      <c r="B1" s="20" t="s">
        <v>349</v>
      </c>
      <c r="C1" s="20" t="s">
        <v>350</v>
      </c>
      <c r="D1" s="20" t="s">
        <v>401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699.9999999998181</v>
      </c>
      <c r="C72" s="20" t="str">
        <f>IFERROR(IF(ISNUMBER('Change in Employment'!M79),TEXT('Change in Employment'!M79, "0"), ""), "")</f>
        <v>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1100.0000000003638</v>
      </c>
      <c r="C73" s="20" t="str">
        <f>IFERROR(IF(ISNUMBER('Change in Employment'!M80),TEXT('Change in Employment'!M80, "0"), ""), "")</f>
        <v>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0" t="str">
        <f>IF(ISNUMBER('Change in Employment'!L81),'Change in Employment'!L81, "")</f>
        <v/>
      </c>
      <c r="C74" s="20" t="str">
        <f>IFERROR(IF(ISNUMBER('Change in Employment'!M81),TEXT('Change in Employment'!M81, "0"), ""), 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G26" sqref="G26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138</v>
      </c>
      <c r="B1" s="20" t="s">
        <v>348</v>
      </c>
      <c r="C1" s="20" t="s">
        <v>401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232.4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138</v>
      </c>
      <c r="B1" t="s">
        <v>166</v>
      </c>
      <c r="C1" t="s">
        <v>401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0.033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0.038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0.037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0.045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0.055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0.052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0.043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0.027</v>
      </c>
      <c r="C43" s="20">
        <f>IF(ISNUMBER('State and Local Taxes'!J56),'State and Local Taxes'!J56, "")</f>
        <v>0</v>
      </c>
    </row>
    <row r="44" spans="1:3">
      <c r="A44" s="20"/>
      <c r="B44" s="20"/>
      <c r="C44" s="20"/>
    </row>
    <row r="45" spans="1:3">
      <c r="A45" s="20" t="str">
        <f>TEXT(IF('State and Local Taxes'!B58&lt;&gt;0,DATE(YEAR('State and Local Taxes'!B58), MONTH('State and Local Taxes'!B58)-2, 1), ""), "mm/dd/yyyy")</f>
        <v/>
      </c>
      <c r="B45" s="20" t="str">
        <f>IF(ISNUMBER('State and Local Taxes'!I58),TEXT('State and Local Taxes'!I58, "0.000"), "")</f>
        <v/>
      </c>
      <c r="C45" s="20" t="str">
        <f>IF(ISNUMBER('State and Local Taxes'!J58),'State and Local Taxes'!J58, "")</f>
        <v/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138</v>
      </c>
      <c r="B1" t="s">
        <v>167</v>
      </c>
      <c r="C1" s="20" t="s">
        <v>168</v>
      </c>
      <c r="D1" t="s">
        <v>169</v>
      </c>
      <c r="E1" t="s">
        <v>170</v>
      </c>
      <c r="F1" s="20" t="s">
        <v>401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19.21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19.95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17.62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18.84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17.03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18.48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18.96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20.21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24.41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14.62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23.37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14.97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23.42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15.22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21.98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16.69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20.77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/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/>
      </c>
      <c r="E41" s="20" t="str">
        <f>IFERROR(IF(ISNUMBER('Revenues &amp; Outlays in GDP'!D47),TEXT('Revenues &amp; Outlays in GDP'!D47, "0.00"),""), "")</f>
        <v>20.40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18.30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20.90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18.10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21.00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18.10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20.80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18.00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18.00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21.30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21.50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21.90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138</v>
      </c>
      <c r="B1" s="20" t="s">
        <v>171</v>
      </c>
      <c r="C1" s="20" t="s">
        <v>172</v>
      </c>
      <c r="D1" s="20" t="s">
        <v>401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-6.75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-4.09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/>
      </c>
      <c r="C41" s="14" t="str">
        <f>IFERROR(IF(ISNUMBER('Deficit to GDP'!F46),TEXT('Deficit to GDP'!F46,"0.00"), ""), "")</f>
        <v>-2.90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-2.90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-2.70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-2.70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-3.80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-3.70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19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138</v>
      </c>
      <c r="B1" s="20" t="s">
        <v>173</v>
      </c>
      <c r="C1" s="20" t="s">
        <v>351</v>
      </c>
      <c r="D1" t="s">
        <v>401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32.50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35.10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61.00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65.80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70.10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72.00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74.40</v>
      </c>
      <c r="C41" s="20" t="str">
        <f>IFERROR(IF(ISNUMBER('Debt to GDP Ratio'!E45),TEXT('Debt to GDP Ratio'!E45,"0.00"), ""), "")</f>
        <v>74.40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73.60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72.80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73.60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74.30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75.40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76.40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22"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138</v>
      </c>
      <c r="B1" s="20" t="s">
        <v>175</v>
      </c>
      <c r="C1" s="20" t="s">
        <v>179</v>
      </c>
      <c r="D1" s="20" t="s">
        <v>183</v>
      </c>
      <c r="E1" s="20" t="s">
        <v>177</v>
      </c>
      <c r="F1" s="20" t="s">
        <v>184</v>
      </c>
      <c r="G1" s="20" t="s">
        <v>178</v>
      </c>
      <c r="H1" s="20" t="s">
        <v>185</v>
      </c>
      <c r="I1" s="20" t="s">
        <v>176</v>
      </c>
      <c r="J1" t="s">
        <v>401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4.02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3.97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4.77</v>
      </c>
      <c r="H39" s="20" t="str">
        <f>IFERROR(IF(ISNUMBER('Spending by Category'!I45),TEXT('Spending by Category'!I45,"0.00"), ""), "")</f>
        <v>1.37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4.86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1.30</v>
      </c>
      <c r="H41" s="20" t="str">
        <f>IFERROR(IF(ISNUMBER('Spending by Category'!I47),TEXT('Spending by Category'!I47,"0.00"), ""), "")</f>
        <v>9.30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114E30F-D0A7-4998-9799-319E8633ECF4}"/>
</file>

<file path=customXml/itemProps2.xml><?xml version="1.0" encoding="utf-8"?>
<ds:datastoreItem xmlns:ds="http://schemas.openxmlformats.org/officeDocument/2006/customXml" ds:itemID="{34B01BAB-A547-4B44-9943-6BD8BD949D8F}"/>
</file>

<file path=customXml/itemProps3.xml><?xml version="1.0" encoding="utf-8"?>
<ds:datastoreItem xmlns:ds="http://schemas.openxmlformats.org/officeDocument/2006/customXml" ds:itemID="{E4D94CDB-197B-4766-83DF-7D1B7FCD76D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2014-12-23T15:21:43Z</cp:lastPrinted>
  <dcterms:created xsi:type="dcterms:W3CDTF">2014-07-22T13:55:17Z</dcterms:created>
  <dcterms:modified xsi:type="dcterms:W3CDTF">2014-12-23T15:55:48Z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