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0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Override2.xml" ContentType="application/vnd.openxmlformats-officedocument.themeOverride+xml"/>
  <Override PartName="/xl/worksheets/sheet11.xml" ContentType="application/vnd.openxmlformats-officedocument.spreadsheetml.workshee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theme/themeOverride3.xml" ContentType="application/vnd.openxmlformats-officedocument.themeOverride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80" yWindow="825" windowWidth="18720" windowHeight="1185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9" i="3" l="1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I79" i="3"/>
  <c r="J80" i="3" s="1"/>
  <c r="C73" i="17" s="1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54" i="17"/>
  <c r="B46" i="17"/>
  <c r="B42" i="17"/>
  <c r="B3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C75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C75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J81" i="3" s="1"/>
  <c r="C74" i="17" s="1"/>
  <c r="A1" i="3"/>
  <c r="B4" i="18"/>
  <c r="B61" i="18"/>
  <c r="B21" i="18"/>
  <c r="B37" i="18"/>
  <c r="B29" i="18"/>
  <c r="B45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80" i="3" l="1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C72" i="17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<sst xmlns="http://schemas.openxmlformats.org/spreadsheetml/2006/main" count="698" uniqueCount="387">
  <si>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</si>
  <si>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</si>
  <si>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</si>
  <si>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</si>
  <si>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</si>
  <si>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</si>
  <si>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</si>
  <si>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</si>
  <si>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</si>
  <si>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</si>
  <si>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</si>
  <si>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</si>
  <si>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</si>
  <si>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</si>
  <si>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</si>
  <si>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</si>
  <si>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</si>
  <si>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</si>
  <si>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</si>
  <si>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</si>
  <si>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</si>
  <si>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</si>
  <si>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</si>
  <si>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</si>
  <si>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</si>
  <si>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</si>
  <si>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</si>
  <si>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</si>
  <si>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</si>
  <si>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</si>
  <si>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</si>
  <si>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</si>
  <si>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</si>
  <si>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</si>
  <si>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</si>
  <si>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</si>
  <si>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</si>
  <si>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</si>
  <si>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</si>
  <si>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</si>
  <si>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</si>
  <si>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</si>
  <si>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</si>
  <si>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</si>
  <si>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</si>
  <si>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</si>
  <si>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</si>
  <si>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</si>
  <si>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</si>
  <si>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</si>
  <si>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</si>
  <si>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</si>
  <si>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</si>
  <si>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</si>
  <si>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</si>
  <si>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</si>
  <si>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</si>
  <si>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</si>
  <si>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</si>
  <si>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</si>
  <si>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</si>
  <si>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</si>
  <si>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</si>
  <si>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</si>
  <si>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</si>
  <si>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</si>
  <si>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</si>
  <si>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</si>
  <si>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</si>
  <si>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</si>
  <si>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</si>
  <si>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</si>
  <si>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</si>
  <si>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</si>
  <si>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</si>
  <si>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</si>
  <si>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</si>
  <si>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</si>
  <si>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</si>
  <si>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</si>
  <si>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</si>
  <si>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</si>
  <si>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</si>
  <si>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</si>
  <si>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</si>
  <si>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</si>
  <si>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</si>
  <si>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</si>
  <si>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</si>
  <si>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</si>
  <si>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</si>
  <si>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</si>
  <si>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</si>
  <si>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</si>
  <si>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</si>
  <si>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</si>
  <si>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</si>
  <si>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</si>
  <si>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</si>
  <si>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</si>
  <si>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</si>
  <si>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</si>
  <si>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</si>
  <si>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</si>
  <si>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</si>
  <si>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</si>
  <si>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</si>
  <si>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</si>
  <si>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</si>
  <si>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</si>
  <si>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</si>
  <si>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</si>
  <si>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</si>
  <si>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</si>
  <si>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</si>
  <si>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</si>
  <si>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</si>
  <si>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</si>
  <si>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</si>
  <si>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</si>
  <si>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</si>
  <si>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</si>
  <si>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</si>
  <si>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</si>
  <si>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</si>
  <si>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</si>
  <si>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</si>
  <si>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</si>
  <si>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</si>
  <si>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</si>
  <si>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</si>
  <si>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</si>
  <si>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</si>
  <si>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</si>
  <si>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</si>
  <si>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</si>
  <si>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</si>
  <si>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</si>
  <si>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</si>
  <si>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</si>
  <si>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</si>
  <si>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</si>
  <si>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</si>
  <si>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</si>
  <si>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</si>
  <si>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</si>
  <si>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</si>
  <si>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</si>
  <si>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</si>
  <si>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</si>
  <si>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</si>
  <si>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</si>
  <si>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</si>
  <si>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</si>
  <si>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</si>
  <si>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</si>
  <si>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</si>
  <si>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</si>
  <si>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</si>
  <si>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</si>
  <si>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</si>
  <si>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</si>
  <si>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</si>
  <si>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</si>
  <si>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</si>
  <si>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</si>
  <si>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</si>
  <si>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</si>
  <si>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</si>
  <si>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</si>
  <si>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</si>
  <si>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</si>
  <si>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</si>
  <si>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</si>
  <si>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</si>
  <si>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</si>
  <si>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</si>
  <si>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</si>
  <si>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</si>
  <si>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</si>
  <si>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</si>
  <si>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</si>
  <si>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</si>
  <si>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</si>
  <si>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</si>
  <si>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</si>
  <si>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</si>
  <si>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</si>
  <si>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</si>
  <si>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</si>
  <si>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</si>
  <si>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</si>
  <si>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</si>
  <si>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</si>
  <si>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</si>
  <si>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</si>
  <si>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</si>
  <si>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</si>
  <si>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</si>
  <si>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</si>
  <si>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</si>
  <si>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</si>
  <si>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</si>
  <si>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</si>
  <si>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</si>
  <si>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</si>
  <si>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</si>
  <si>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</si>
  <si>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</si>
  <si>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</si>
  <si>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</si>
  <si>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</si>
  <si>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</si>
  <si>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</si>
  <si>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</si>
  <si>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</si>
  <si>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</si>
  <si>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</si>
  <si>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</si>
  <si>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</si>
  <si>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</si>
  <si>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</si>
  <si>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</si>
  <si>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</si>
  <si>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</si>
  <si>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</si>
  <si>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</si>
  <si>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</si>
  <si>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</si>
  <si>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</si>
  <si>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</si>
  <si>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</si>
  <si>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</si>
  <si>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</si>
  <si>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</si>
  <si>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</si>
  <si>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</si>
  <si>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</si>
  <si>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</si>
  <si>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</si>
  <si>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</si>
  <si>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</si>
  <si>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</si>
  <si>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</si>
  <si>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</si>
  <si>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</si>
  <si>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</si>
  <si>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</si>
  <si>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</si>
  <si>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</si>
  <si>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</si>
  <si>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</si>
  <si>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</si>
  <si>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</si>
  <si>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</si>
  <si>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</si>
  <si>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</si>
  <si>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</si>
  <si>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</si>
  <si>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</si>
  <si>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</si>
  <si>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</si>
  <si>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</si>
  <si>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</si>
  <si>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</si>
  <si>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</si>
  <si>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</si>
  <si>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</si>
  <si>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</si>
  <si>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</si>
  <si>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</si>
  <si>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</si>
  <si>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</si>
  <si>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</si>
  <si>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</si>
  <si>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</si>
  <si>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</si>
  <si>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</si>
  <si>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</si>
  <si>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</si>
  <si>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</si>
  <si>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</si>
  <si>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</si>
  <si>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</si>
  <si>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</si>
  <si>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</si>
  <si>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</si>
  <si>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</si>
  <si>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</si>
  <si>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</si>
  <si>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</si>
  <si>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</si>
  <si>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</si>
  <si>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</si>
  <si>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</si>
  <si>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</si>
  <si>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</si>
  <si>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</si>
  <si>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</si>
  <si>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</si>
  <si>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</si>
  <si>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</si>
  <si>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</si>
  <si>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</si>
  <si>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</si>
  <si>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</si>
  <si>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</si>
  <si>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</si>
  <si>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</si>
  <si>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</si>
  <si>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</si>
  <si>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</si>
  <si>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</si>
  <si>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</si>
  <si>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</si>
  <si>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</si>
  <si>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</si>
  <si>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</si>
  <si>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</si>
  <si>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</si>
  <si>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</si>
  <si>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</si>
  <si>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</si>
  <si>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</si>
  <si>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</si>
  <si>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</si>
  <si>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</si>
  <si>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</si>
  <si>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</si>
  <si>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</si>
  <si>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</si>
  <si>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</si>
  <si>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</si>
  <si>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</si>
  <si>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</si>
  <si>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</si>
  <si>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</si>
  <si>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</si>
  <si>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</si>
  <si>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</si>
  <si>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</si>
  <si>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</si>
  <si>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</si>
  <si>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</si>
  <si>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</si>
  <si>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</si>
  <si>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</si>
  <si>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</si>
  <si>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</si>
  <si>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</si>
  <si>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</si>
  <si>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</si>
  <si>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</si>
  <si>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</si>
  <si>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</si>
  <si>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</si>
  <si>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</si>
  <si>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</si>
  <si>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</si>
  <si>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</si>
  <si>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</si>
  <si>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</si>
  <si>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</si>
  <si>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</si>
  <si>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</si>
  <si>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</si>
  <si>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</si>
  <si>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</si>
  <si>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</si>
  <si>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</si>
  <si>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</si>
  <si>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</si>
  <si>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</si>
  <si>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</si>
  <si>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 xml:space="preserve">Nov-07-2014 08:31 </t>
  </si>
  <si>
    <t xml:space="preserve">Nov-07-2014 08:35 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</si>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</sst>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14000</c:v>
                </c:pt>
                <c:pt idx="72">
                  <c:v>8000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6172416"/>
        <c:axId val="23660544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6666.666666666667</c:v>
                </c:pt>
                <c:pt idx="72">
                  <c:v>7333.333333333333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2416"/>
        <c:axId val="236605440"/>
      </c:lineChart>
      <c:dateAx>
        <c:axId val="461724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605440"/>
        <c:crosses val="autoZero"/>
        <c:auto val="1"/>
        <c:lblOffset val="100"/>
        <c:baseTimeUnit val="months"/>
        <c:majorUnit val="1"/>
        <c:majorTimeUnit val="years"/>
      </c:dateAx>
      <c:valAx>
        <c:axId val="23660544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4617241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-2299.9999999997272</c:v>
                </c:pt>
                <c:pt idx="72">
                  <c:v>299.99999999972715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1530880"/>
        <c:axId val="19153241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-33.333333333303017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30880"/>
        <c:axId val="191532416"/>
      </c:lineChart>
      <c:dateAx>
        <c:axId val="1915308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1532416"/>
        <c:crosses val="autoZero"/>
        <c:auto val="1"/>
        <c:lblOffset val="100"/>
        <c:baseTimeUnit val="months"/>
        <c:majorUnit val="1"/>
        <c:majorTimeUnit val="years"/>
      </c:dateAx>
      <c:valAx>
        <c:axId val="19153241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153088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40608"/>
        <c:axId val="46949504"/>
      </c:lineChart>
      <c:dateAx>
        <c:axId val="191540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49504"/>
        <c:crosses val="autoZero"/>
        <c:auto val="1"/>
        <c:lblOffset val="100"/>
        <c:baseTimeUnit val="months"/>
        <c:majorUnit val="1"/>
        <c:majorTimeUnit val="years"/>
      </c:dateAx>
      <c:valAx>
        <c:axId val="46949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154060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2288"/>
        <c:axId val="46797952"/>
      </c:lineChart>
      <c:dateAx>
        <c:axId val="469722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797952"/>
        <c:crossesAt val="0"/>
        <c:auto val="1"/>
        <c:lblOffset val="100"/>
        <c:baseTimeUnit val="months"/>
        <c:majorUnit val="1"/>
        <c:majorTimeUnit val="years"/>
      </c:dateAx>
      <c:valAx>
        <c:axId val="467979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722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96992"/>
        <c:axId val="236198528"/>
      </c:lineChart>
      <c:dateAx>
        <c:axId val="2361969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198528"/>
        <c:crosses val="autoZero"/>
        <c:auto val="1"/>
        <c:lblOffset val="100"/>
        <c:baseTimeUnit val="months"/>
        <c:majorUnit val="10"/>
        <c:majorTimeUnit val="years"/>
      </c:dateAx>
      <c:valAx>
        <c:axId val="23619852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1969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7792"/>
        <c:axId val="46907776"/>
      </c:lineChart>
      <c:dateAx>
        <c:axId val="46897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907776"/>
        <c:crosses val="autoZero"/>
        <c:auto val="1"/>
        <c:lblOffset val="100"/>
        <c:baseTimeUnit val="months"/>
        <c:majorUnit val="5"/>
        <c:majorTimeUnit val="years"/>
      </c:dateAx>
      <c:valAx>
        <c:axId val="4690777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689779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71488"/>
        <c:axId val="81077376"/>
      </c:lineChart>
      <c:dateAx>
        <c:axId val="810714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077376"/>
        <c:crossesAt val="-1500"/>
        <c:auto val="1"/>
        <c:lblOffset val="100"/>
        <c:baseTimeUnit val="months"/>
        <c:majorUnit val="5"/>
        <c:majorTimeUnit val="years"/>
      </c:dateAx>
      <c:valAx>
        <c:axId val="8107737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071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5392"/>
        <c:axId val="103415808"/>
      </c:lineChart>
      <c:dateAx>
        <c:axId val="811153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3415808"/>
        <c:crosses val="autoZero"/>
        <c:auto val="1"/>
        <c:lblOffset val="100"/>
        <c:baseTimeUnit val="months"/>
        <c:majorUnit val="5"/>
        <c:majorTimeUnit val="years"/>
      </c:dateAx>
      <c:valAx>
        <c:axId val="10341580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111539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34" sqref="C34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265</v>
      </c>
    </row>
    <row r="2" spans="1:2">
      <c r="A2" s="27" t="s">
        <v>364</v>
      </c>
    </row>
    <row r="3" spans="1:2">
      <c r="A3" s="27" t="s">
        <v>365</v>
      </c>
    </row>
    <row r="4" spans="1:2">
      <c r="A4" s="27" t="s">
        <v>366</v>
      </c>
    </row>
    <row r="5" spans="1:2">
      <c r="A5" s="27" t="s">
        <v>367</v>
      </c>
    </row>
    <row r="6" spans="1:2">
      <c r="A6" s="27" t="s">
        <v>368</v>
      </c>
    </row>
    <row r="7" spans="1:2">
      <c r="A7" s="27" t="s">
        <v>369</v>
      </c>
    </row>
    <row r="8" spans="1:2">
      <c r="A8" s="27" t="s">
        <v>370</v>
      </c>
    </row>
    <row r="9" spans="1:2">
      <c r="A9" s="27" t="s">
        <v>371</v>
      </c>
    </row>
    <row r="10" spans="1:2">
      <c r="A10" s="27" t="s">
        <v>372</v>
      </c>
    </row>
    <row r="16" spans="1:2">
      <c r="B16" s="68" t="s">
        <v>266</v>
      </c>
    </row>
    <row r="17" spans="1:3">
      <c r="B17" s="27" t="s">
        <v>271</v>
      </c>
      <c r="C17" s="27" t="s">
        <v>272</v>
      </c>
    </row>
    <row r="18" spans="1:3">
      <c r="B18" s="27" t="s">
        <v>273</v>
      </c>
      <c r="C18" s="27" t="s">
        <v>274</v>
      </c>
    </row>
    <row r="19" spans="1:3">
      <c r="B19" s="27" t="s">
        <v>275</v>
      </c>
      <c r="C19" s="27" t="s">
        <v>276</v>
      </c>
    </row>
    <row r="20" spans="1:3">
      <c r="B20" s="27" t="s">
        <v>277</v>
      </c>
      <c r="C20" s="27" t="s">
        <v>284</v>
      </c>
    </row>
    <row r="21" spans="1:3">
      <c r="B21" s="27" t="s">
        <v>278</v>
      </c>
      <c r="C21" s="27" t="s">
        <v>190</v>
      </c>
    </row>
    <row r="22" spans="1:3">
      <c r="B22" s="27" t="s">
        <v>279</v>
      </c>
      <c r="C22" s="27" t="s">
        <v>285</v>
      </c>
    </row>
    <row r="23" spans="1:3">
      <c r="B23" s="27" t="s">
        <v>280</v>
      </c>
      <c r="C23" s="27" t="s">
        <v>287</v>
      </c>
    </row>
    <row r="24" spans="1:3">
      <c r="B24" s="27" t="s">
        <v>281</v>
      </c>
      <c r="C24" s="27" t="s">
        <v>286</v>
      </c>
    </row>
    <row r="25" spans="1:3">
      <c r="B25" s="27" t="s">
        <v>283</v>
      </c>
      <c r="C25" s="27" t="s">
        <v>288</v>
      </c>
    </row>
    <row r="26" spans="1:3">
      <c r="B26" s="27" t="s">
        <v>282</v>
      </c>
      <c r="C26" s="27" t="s">
        <v>289</v>
      </c>
    </row>
    <row r="30" spans="1:3">
      <c r="A30" s="69" t="s">
        <v>267</v>
      </c>
    </row>
    <row r="31" spans="1:3">
      <c r="A31" s="27" t="s">
        <v>268</v>
      </c>
      <c r="B31" s="27" t="s">
        <v>269</v>
      </c>
      <c r="C31" s="27" t="s">
        <v>270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>
      <selection activeCell="L11" sqref="L11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5" t="s">
        <v>349</v>
      </c>
      <c r="D3" s="95"/>
      <c r="E3" s="95"/>
      <c r="F3" s="96" t="s">
        <v>350</v>
      </c>
      <c r="G3" s="95"/>
      <c r="H3" s="96" t="s">
        <v>351</v>
      </c>
      <c r="I3" s="95"/>
    </row>
    <row r="9" spans="1:9" ht="105">
      <c r="D9" s="93" t="s">
        <v>290</v>
      </c>
      <c r="G9" s="93" t="s">
        <v>346</v>
      </c>
    </row>
    <row r="12" spans="1:9">
      <c r="F12" s="106" t="s">
        <v>363</v>
      </c>
    </row>
    <row r="26" spans="6:6">
      <c r="F26" s="106" t="s">
        <v>363</v>
      </c>
    </row>
    <row r="40" spans="6:7">
      <c r="F40" s="106" t="s">
        <v>363</v>
      </c>
      <c r="G40" s="106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7" zoomScale="115" zoomScaleNormal="100" zoomScaleSheetLayoutView="115" workbookViewId="0">
      <selection activeCell="K38" sqref="K38"/>
    </sheetView>
  </sheetViews>
  <sheetFormatPr defaultRowHeight="15"/>
  <cols>
    <col min="1" max="16384" width="9.140625" style="27"/>
  </cols>
  <sheetData>
    <row r="1" spans="1:9" ht="15" customHeight="1"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5"/>
      <c r="C3" s="96" t="s">
        <v>349</v>
      </c>
      <c r="D3" s="95"/>
      <c r="E3" s="95"/>
      <c r="F3" s="95" t="s">
        <v>350</v>
      </c>
      <c r="G3" s="95"/>
      <c r="H3" s="96" t="s">
        <v>351</v>
      </c>
      <c r="I3" s="95"/>
    </row>
    <row r="7" spans="1:9">
      <c r="A7" s="89" t="s">
        <v>190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291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290</v>
      </c>
      <c r="E9" s="112"/>
      <c r="F9" s="112"/>
      <c r="G9" s="112" t="s">
        <v>346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8">
        <v>3013</v>
      </c>
      <c r="F11" s="74"/>
      <c r="G11" s="97"/>
      <c r="H11" s="101" t="s">
        <v>377</v>
      </c>
      <c r="I11" s="98"/>
    </row>
    <row r="12" spans="1:9">
      <c r="A12" s="76" t="s">
        <v>129</v>
      </c>
      <c r="B12" s="72"/>
      <c r="C12" s="72"/>
      <c r="D12" s="72"/>
      <c r="E12" s="108">
        <v>2417</v>
      </c>
      <c r="F12" s="74"/>
      <c r="G12" s="75"/>
      <c r="H12" s="101" t="s">
        <v>378</v>
      </c>
      <c r="I12" s="98"/>
    </row>
    <row r="13" spans="1:9">
      <c r="A13" s="76" t="s">
        <v>130</v>
      </c>
      <c r="B13" s="72"/>
      <c r="C13" s="72"/>
      <c r="D13" s="72"/>
      <c r="E13" s="108">
        <v>595</v>
      </c>
      <c r="F13" s="74"/>
      <c r="G13" s="75"/>
      <c r="H13" s="101" t="s">
        <v>379</v>
      </c>
      <c r="I13" s="98"/>
    </row>
    <row r="14" spans="1:9">
      <c r="A14" s="85"/>
      <c r="B14" s="86"/>
      <c r="C14" s="86"/>
      <c r="D14" s="86"/>
      <c r="E14" s="109"/>
      <c r="F14" s="87"/>
      <c r="G14" s="88"/>
      <c r="H14" s="102"/>
      <c r="I14" s="99"/>
    </row>
    <row r="15" spans="1:9">
      <c r="A15" s="77" t="s">
        <v>191</v>
      </c>
      <c r="B15" s="72"/>
      <c r="C15" s="72"/>
      <c r="D15" s="72"/>
      <c r="E15" s="108">
        <v>3499</v>
      </c>
      <c r="F15" s="74"/>
      <c r="G15" s="75"/>
      <c r="H15" s="101" t="s">
        <v>380</v>
      </c>
      <c r="I15" s="98"/>
    </row>
    <row r="16" spans="1:9">
      <c r="A16" s="76" t="s">
        <v>134</v>
      </c>
      <c r="B16" s="72"/>
      <c r="C16" s="72"/>
      <c r="D16" s="72"/>
      <c r="E16" s="108">
        <v>578</v>
      </c>
      <c r="F16" s="74"/>
      <c r="G16" s="75"/>
      <c r="H16" s="101" t="s">
        <v>381</v>
      </c>
      <c r="I16" s="98"/>
    </row>
    <row r="17" spans="1:9">
      <c r="A17" s="76" t="s">
        <v>132</v>
      </c>
      <c r="B17" s="72"/>
      <c r="C17" s="72"/>
      <c r="D17" s="72"/>
      <c r="E17" s="108">
        <v>840</v>
      </c>
      <c r="F17" s="74"/>
      <c r="G17" s="75"/>
      <c r="H17" s="101" t="s">
        <v>382</v>
      </c>
      <c r="I17" s="98"/>
    </row>
    <row r="18" spans="1:9">
      <c r="A18" s="76" t="s">
        <v>131</v>
      </c>
      <c r="B18" s="72"/>
      <c r="C18" s="72"/>
      <c r="D18" s="72"/>
      <c r="E18" s="108">
        <v>509</v>
      </c>
      <c r="F18" s="74"/>
      <c r="G18" s="75"/>
      <c r="H18" s="101" t="s">
        <v>383</v>
      </c>
      <c r="I18" s="98"/>
    </row>
    <row r="19" spans="1:9">
      <c r="A19" s="76" t="s">
        <v>126</v>
      </c>
      <c r="B19" s="72"/>
      <c r="C19" s="72"/>
      <c r="D19" s="72"/>
      <c r="E19" s="108">
        <v>302</v>
      </c>
      <c r="F19" s="74"/>
      <c r="G19" s="75"/>
      <c r="H19" s="101" t="s">
        <v>384</v>
      </c>
      <c r="I19" s="98"/>
    </row>
    <row r="20" spans="1:9">
      <c r="A20" s="76" t="s">
        <v>127</v>
      </c>
      <c r="B20" s="72"/>
      <c r="C20" s="72"/>
      <c r="D20" s="72"/>
      <c r="E20" s="108">
        <v>271</v>
      </c>
      <c r="F20" s="74"/>
      <c r="G20" s="75"/>
      <c r="H20" s="101" t="s">
        <v>382</v>
      </c>
      <c r="I20" s="98"/>
    </row>
    <row r="21" spans="1:9">
      <c r="A21" s="78" t="s">
        <v>133</v>
      </c>
      <c r="B21" s="79"/>
      <c r="C21" s="79"/>
      <c r="D21" s="79"/>
      <c r="E21" s="110">
        <v>999</v>
      </c>
      <c r="F21" s="81"/>
      <c r="G21" s="82"/>
      <c r="H21" s="103" t="s">
        <v>385</v>
      </c>
      <c r="I21" s="100"/>
    </row>
    <row r="22" spans="1:9">
      <c r="A22" s="72" t="s">
        <v>192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152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357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168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6" t="s">
        <v>363</v>
      </c>
    </row>
    <row r="45" spans="1:9">
      <c r="G45" s="106" t="s">
        <v>363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347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348</v>
      </c>
      <c r="B3" s="96"/>
      <c r="C3" s="96" t="s">
        <v>349</v>
      </c>
      <c r="D3" s="96"/>
      <c r="E3" s="96"/>
      <c r="F3" s="96" t="s">
        <v>350</v>
      </c>
      <c r="G3" s="96"/>
      <c r="H3" s="95" t="s">
        <v>351</v>
      </c>
      <c r="I3" s="95"/>
    </row>
    <row r="9" spans="1:9">
      <c r="D9" s="93"/>
      <c r="G9" s="93"/>
    </row>
    <row r="14" spans="1:9">
      <c r="F14" s="106" t="s">
        <v>363</v>
      </c>
    </row>
    <row r="25" spans="6:6">
      <c r="F25" s="106" t="s">
        <v>363</v>
      </c>
    </row>
    <row r="36" spans="6:6">
      <c r="F36" s="106" t="s">
        <v>363</v>
      </c>
    </row>
    <row r="47" spans="6:6">
      <c r="F47" s="107" t="s">
        <v>363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7" zoomScale="85" zoomScaleNormal="85" workbookViewId="0">
      <selection activeCell="I79" sqref="I79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201411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167</v>
      </c>
      <c r="L2" s="58" t="s">
        <v>153</v>
      </c>
    </row>
    <row r="3" spans="1:20">
      <c r="A3" s="24" t="s">
        <v>317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146</v>
      </c>
      <c r="J4" s="31" t="s">
        <v>146</v>
      </c>
      <c r="L4" s="38" t="s">
        <v>145</v>
      </c>
      <c r="M4" s="38" t="s">
        <v>145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144</v>
      </c>
      <c r="J5" s="32" t="s">
        <v>143</v>
      </c>
      <c r="K5" s="36"/>
      <c r="L5" s="39" t="s">
        <v>144</v>
      </c>
      <c r="M5" s="39" t="s">
        <v>143</v>
      </c>
    </row>
    <row r="6" spans="1:20">
      <c r="A6" s="8" t="s">
        <v>26</v>
      </c>
      <c r="C6" t="s">
        <v>374</v>
      </c>
      <c r="D6" t="s">
        <v>374</v>
      </c>
      <c r="E6" t="s">
        <v>374</v>
      </c>
      <c r="F6" t="s">
        <v>375</v>
      </c>
    </row>
    <row r="7" spans="1:20">
      <c r="A7" s="8" t="s">
        <v>262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263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264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194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195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196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197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198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199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200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201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202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203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204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205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206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207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208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209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210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211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212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213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214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215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216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217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218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219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220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221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222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223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224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225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226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227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228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229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230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231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232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233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234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235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236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237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238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239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240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241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242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243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244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245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246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247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248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249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250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251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252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253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254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255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256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257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258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259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260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261</v>
      </c>
      <c r="B77" s="13">
        <v>41882</v>
      </c>
      <c r="C77" s="14">
        <v>5047</v>
      </c>
      <c r="D77" s="14">
        <v>14134</v>
      </c>
      <c r="E77" s="25">
        <v>2125.1999999999998</v>
      </c>
      <c r="F77" s="14">
        <v>0</v>
      </c>
      <c r="G77" s="14"/>
      <c r="H77" s="14"/>
      <c r="I77" s="33">
        <f t="shared" si="4"/>
        <v>0</v>
      </c>
      <c r="J77" s="33">
        <f t="shared" si="5"/>
        <v>3333.3333333333335</v>
      </c>
      <c r="K77" s="37"/>
      <c r="L77" s="40">
        <f t="shared" si="6"/>
        <v>2000</v>
      </c>
      <c r="M77" s="66">
        <f t="shared" si="7"/>
        <v>799.9999999998787</v>
      </c>
      <c r="N77" s="15"/>
      <c r="R77" s="14"/>
    </row>
    <row r="78" spans="1:18">
      <c r="A78" s="8" t="s">
        <v>356</v>
      </c>
      <c r="B78" s="13">
        <v>41912</v>
      </c>
      <c r="C78" s="14">
        <v>5065</v>
      </c>
      <c r="D78" s="14">
        <v>14130</v>
      </c>
      <c r="E78" s="25">
        <v>2122.9</v>
      </c>
      <c r="F78" s="14">
        <v>0</v>
      </c>
      <c r="G78" s="14"/>
      <c r="H78" s="14"/>
      <c r="I78" s="33">
        <f t="shared" si="4"/>
        <v>14000</v>
      </c>
      <c r="J78" s="33">
        <f t="shared" si="5"/>
        <v>6666.666666666667</v>
      </c>
      <c r="K78" s="37"/>
      <c r="L78" s="40">
        <f t="shared" si="6"/>
        <v>-2299.9999999997272</v>
      </c>
      <c r="M78" s="66">
        <f t="shared" si="7"/>
        <v>-33.333333333303017</v>
      </c>
      <c r="N78" s="15"/>
      <c r="R78" s="25"/>
    </row>
    <row r="79" spans="1:18">
      <c r="A79" s="8" t="s">
        <v>376</v>
      </c>
      <c r="B79" s="13">
        <v>41943</v>
      </c>
      <c r="C79" s="14">
        <v>5066</v>
      </c>
      <c r="D79" s="14">
        <v>14137</v>
      </c>
      <c r="E79" s="25">
        <v>2123.1999999999998</v>
      </c>
      <c r="F79" s="14">
        <v>0</v>
      </c>
      <c r="G79" s="14"/>
      <c r="H79" s="14"/>
      <c r="I79" s="33">
        <f t="shared" si="4"/>
        <v>8000</v>
      </c>
      <c r="J79" s="33">
        <f>IF(I78&lt;&gt;"", IF(I79&lt;&gt;"", (AVERAGE(I77:I79)), ""), "")</f>
        <v>7333.333333333333</v>
      </c>
      <c r="K79" s="37"/>
      <c r="L79" s="40">
        <f t="shared" si="6"/>
        <v>299.99999999972715</v>
      </c>
      <c r="M79" s="66">
        <f t="shared" si="7"/>
        <v>0</v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I17" sqref="I17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373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386</v>
      </c>
    </row>
    <row r="7" spans="1:7">
      <c r="A7" s="28" t="s">
        <v>141</v>
      </c>
      <c r="B7" s="25" t="s">
        <v>142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30" spans="1:2">
      <c r="A30" s="28">
        <v>41821</v>
      </c>
      <c r="B30" s="25">
        <v>232.4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Normal="100" workbookViewId="0">
      <selection activeCell="A7" sqref="A7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327</v>
      </c>
      <c r="B2" s="12" t="s">
        <v>0</v>
      </c>
      <c r="C2" s="35" t="s">
        <v>154</v>
      </c>
      <c r="D2" s="35" t="s">
        <v>155</v>
      </c>
      <c r="E2" s="35" t="s">
        <v>156</v>
      </c>
      <c r="F2" s="35" t="s">
        <v>157</v>
      </c>
    </row>
    <row r="3" spans="1:9">
      <c r="A3" s="11" t="s">
        <v>7</v>
      </c>
      <c r="C3" t="s">
        <v>160</v>
      </c>
      <c r="D3" t="s">
        <v>161</v>
      </c>
      <c r="E3" t="s">
        <v>162</v>
      </c>
      <c r="F3" t="s">
        <v>163</v>
      </c>
    </row>
    <row r="4" spans="1:9">
      <c r="A4" s="11" t="s">
        <v>22</v>
      </c>
      <c r="C4" t="s">
        <v>159</v>
      </c>
      <c r="D4" t="s">
        <v>159</v>
      </c>
      <c r="E4" t="s">
        <v>159</v>
      </c>
      <c r="F4" t="s">
        <v>159</v>
      </c>
      <c r="G4" s="21" t="s">
        <v>164</v>
      </c>
      <c r="I4" t="s">
        <v>166</v>
      </c>
    </row>
    <row r="5" spans="1:9">
      <c r="A5" s="11" t="s">
        <v>26</v>
      </c>
      <c r="C5" t="s">
        <v>295</v>
      </c>
      <c r="D5" t="s">
        <v>295</v>
      </c>
      <c r="E5" t="s">
        <v>295</v>
      </c>
      <c r="F5" t="s">
        <v>295</v>
      </c>
      <c r="H5" s="59" t="s">
        <v>165</v>
      </c>
    </row>
    <row r="6" spans="1:9">
      <c r="A6" s="11" t="s">
        <v>16</v>
      </c>
      <c r="B6" s="13"/>
      <c r="C6" s="14" t="s">
        <v>158</v>
      </c>
      <c r="D6" s="14" t="s">
        <v>158</v>
      </c>
      <c r="E6" s="14" t="s">
        <v>158</v>
      </c>
      <c r="F6" t="s">
        <v>158</v>
      </c>
    </row>
    <row r="7" spans="1:9">
      <c r="A7" s="11" t="s">
        <v>19</v>
      </c>
      <c r="B7" s="13"/>
      <c r="C7" s="14" t="s">
        <v>294</v>
      </c>
      <c r="D7" s="14" t="s">
        <v>294</v>
      </c>
      <c r="E7" s="14" t="s">
        <v>294</v>
      </c>
      <c r="F7" t="s">
        <v>294</v>
      </c>
    </row>
    <row r="8" spans="1:9">
      <c r="A8" s="11" t="s">
        <v>326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328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329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330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331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332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333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334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335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336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337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338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339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340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341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342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343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344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345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318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319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320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321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322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323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324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325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293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296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297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298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299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300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301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302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303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304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305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306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307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308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309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310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311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312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313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314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315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316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topLeftCell="A4" workbookViewId="0">
      <selection activeCell="A4" sqref="A4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292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178</v>
      </c>
      <c r="D7" t="s">
        <v>178</v>
      </c>
      <c r="E7" t="s">
        <v>186</v>
      </c>
      <c r="F7" t="s">
        <v>186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A3" sqref="A3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147</v>
      </c>
      <c r="F1" s="22">
        <v>2014</v>
      </c>
    </row>
    <row r="2" spans="1:9">
      <c r="C2" s="21" t="s">
        <v>120</v>
      </c>
    </row>
    <row r="3" spans="1:9">
      <c r="A3" s="24" t="s">
        <v>292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174</v>
      </c>
      <c r="D6" s="22" t="s">
        <v>148</v>
      </c>
      <c r="E6" s="22" t="s">
        <v>149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M49" sqref="M49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147</v>
      </c>
      <c r="G1">
        <v>2014</v>
      </c>
    </row>
    <row r="2" spans="1:10">
      <c r="C2" s="21" t="s">
        <v>359</v>
      </c>
      <c r="D2" s="21"/>
    </row>
    <row r="3" spans="1:10">
      <c r="A3" s="24" t="s">
        <v>292</v>
      </c>
      <c r="B3" s="18" t="s">
        <v>0</v>
      </c>
      <c r="C3" s="48" t="s">
        <v>358</v>
      </c>
      <c r="D3" s="23" t="s">
        <v>360</v>
      </c>
      <c r="E3" s="23"/>
      <c r="F3" s="17"/>
      <c r="I3" s="17"/>
      <c r="J3" s="17"/>
    </row>
    <row r="4" spans="1:10">
      <c r="A4" s="16" t="s">
        <v>7</v>
      </c>
      <c r="C4" s="21" t="s">
        <v>361</v>
      </c>
      <c r="D4" s="21" t="s">
        <v>362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186</v>
      </c>
      <c r="D6" s="21" t="s">
        <v>178</v>
      </c>
      <c r="E6" s="22" t="s">
        <v>148</v>
      </c>
      <c r="F6" t="s">
        <v>149</v>
      </c>
    </row>
    <row r="7" spans="1:10">
      <c r="A7" s="16" t="s">
        <v>31</v>
      </c>
      <c r="B7" s="46">
        <v>27759</v>
      </c>
      <c r="C7" s="104">
        <v>-3.306</v>
      </c>
      <c r="D7" s="37" t="e">
        <v>#N/A</v>
      </c>
      <c r="E7" s="105">
        <f>IF(YEAR(B7)&gt;2014, #N/A, C7)</f>
        <v>-3.306</v>
      </c>
      <c r="F7" s="105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4">
        <v>-4.1180000000000003</v>
      </c>
      <c r="D8" s="37" t="e">
        <v>#N/A</v>
      </c>
      <c r="E8" s="105">
        <f t="shared" ref="E8:E56" si="0">IF(YEAR(B8)&gt;2014, #N/A, C8)</f>
        <v>-4.1180000000000003</v>
      </c>
      <c r="F8" s="105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4">
        <v>-2.645</v>
      </c>
      <c r="D9" s="37" t="e">
        <v>#N/A</v>
      </c>
      <c r="E9" s="105">
        <f t="shared" si="0"/>
        <v>-2.645</v>
      </c>
      <c r="F9" s="105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4">
        <v>-2.5979999999999999</v>
      </c>
      <c r="D10" s="37" t="e">
        <v>#N/A</v>
      </c>
      <c r="E10" s="105">
        <f t="shared" si="0"/>
        <v>-2.5979999999999999</v>
      </c>
      <c r="F10" s="105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4">
        <v>-1.585</v>
      </c>
      <c r="D11" s="37" t="e">
        <v>#N/A</v>
      </c>
      <c r="E11" s="105">
        <f t="shared" si="0"/>
        <v>-1.585</v>
      </c>
      <c r="F11" s="105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4">
        <v>-2.64</v>
      </c>
      <c r="D12" s="37" t="e">
        <v>#N/A</v>
      </c>
      <c r="E12" s="105">
        <f t="shared" si="0"/>
        <v>-2.64</v>
      </c>
      <c r="F12" s="105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4">
        <v>-2.516</v>
      </c>
      <c r="D13" s="37" t="e">
        <v>#N/A</v>
      </c>
      <c r="E13" s="105">
        <f t="shared" si="0"/>
        <v>-2.516</v>
      </c>
      <c r="F13" s="105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4">
        <v>-3.8620000000000001</v>
      </c>
      <c r="D14" s="37" t="e">
        <v>#N/A</v>
      </c>
      <c r="E14" s="105">
        <f t="shared" si="0"/>
        <v>-3.8620000000000001</v>
      </c>
      <c r="F14" s="105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4">
        <v>-5.8680000000000003</v>
      </c>
      <c r="D15" s="37" t="e">
        <v>#N/A</v>
      </c>
      <c r="E15" s="105">
        <f t="shared" si="0"/>
        <v>-5.8680000000000003</v>
      </c>
      <c r="F15" s="105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4">
        <v>-4.6890000000000001</v>
      </c>
      <c r="D16" s="37" t="e">
        <v>#N/A</v>
      </c>
      <c r="E16" s="105">
        <f t="shared" si="0"/>
        <v>-4.6890000000000001</v>
      </c>
      <c r="F16" s="105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4">
        <v>-4.9720000000000004</v>
      </c>
      <c r="D17" s="37" t="e">
        <v>#N/A</v>
      </c>
      <c r="E17" s="105">
        <f t="shared" si="0"/>
        <v>-4.9720000000000004</v>
      </c>
      <c r="F17" s="105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4">
        <v>-4.8769999999999998</v>
      </c>
      <c r="D18" s="37" t="e">
        <v>#N/A</v>
      </c>
      <c r="E18" s="105">
        <f t="shared" si="0"/>
        <v>-4.8769999999999998</v>
      </c>
      <c r="F18" s="105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4">
        <v>-3.1309999999999998</v>
      </c>
      <c r="D19" s="37" t="e">
        <v>#N/A</v>
      </c>
      <c r="E19" s="105">
        <f t="shared" si="0"/>
        <v>-3.1309999999999998</v>
      </c>
      <c r="F19" s="105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4">
        <v>-3.01</v>
      </c>
      <c r="D20" s="37" t="e">
        <v>#N/A</v>
      </c>
      <c r="E20" s="105">
        <f t="shared" si="0"/>
        <v>-3.01</v>
      </c>
      <c r="F20" s="105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4">
        <v>-2.74</v>
      </c>
      <c r="D21" s="37" t="e">
        <v>#N/A</v>
      </c>
      <c r="E21" s="105">
        <f t="shared" si="0"/>
        <v>-2.74</v>
      </c>
      <c r="F21" s="105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4">
        <v>-3.7370000000000001</v>
      </c>
      <c r="D22" s="37" t="e">
        <v>#N/A</v>
      </c>
      <c r="E22" s="105">
        <f t="shared" si="0"/>
        <v>-3.7370000000000001</v>
      </c>
      <c r="F22" s="105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4">
        <v>-4.4059999999999997</v>
      </c>
      <c r="D23" s="37" t="e">
        <v>#N/A</v>
      </c>
      <c r="E23" s="105">
        <f t="shared" si="0"/>
        <v>-4.4059999999999997</v>
      </c>
      <c r="F23" s="105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4">
        <v>-4.5119999999999996</v>
      </c>
      <c r="D24" s="37" t="e">
        <v>#N/A</v>
      </c>
      <c r="E24" s="105">
        <f t="shared" si="0"/>
        <v>-4.5119999999999996</v>
      </c>
      <c r="F24" s="105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4">
        <v>-3.754</v>
      </c>
      <c r="D25" s="37" t="e">
        <v>#N/A</v>
      </c>
      <c r="E25" s="105">
        <f t="shared" si="0"/>
        <v>-3.754</v>
      </c>
      <c r="F25" s="105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4">
        <v>-2.823</v>
      </c>
      <c r="D26" s="37" t="e">
        <v>#N/A</v>
      </c>
      <c r="E26" s="105">
        <f t="shared" si="0"/>
        <v>-2.823</v>
      </c>
      <c r="F26" s="105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4">
        <v>-2.1619999999999999</v>
      </c>
      <c r="D27" s="37" t="e">
        <v>#N/A</v>
      </c>
      <c r="E27" s="105">
        <f t="shared" si="0"/>
        <v>-2.1619999999999999</v>
      </c>
      <c r="F27" s="105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4">
        <v>-1.347</v>
      </c>
      <c r="D28" s="37" t="e">
        <v>#N/A</v>
      </c>
      <c r="E28" s="105">
        <f t="shared" si="0"/>
        <v>-1.347</v>
      </c>
      <c r="F28" s="105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4">
        <v>-0.25800000000000001</v>
      </c>
      <c r="D29" s="37" t="e">
        <v>#N/A</v>
      </c>
      <c r="E29" s="105">
        <f t="shared" si="0"/>
        <v>-0.25800000000000001</v>
      </c>
      <c r="F29" s="105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4">
        <v>0.77400000000000002</v>
      </c>
      <c r="D30" s="37" t="e">
        <v>#N/A</v>
      </c>
      <c r="E30" s="105">
        <f t="shared" si="0"/>
        <v>0.77400000000000002</v>
      </c>
      <c r="F30" s="105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4">
        <v>1.32</v>
      </c>
      <c r="D31" s="37" t="e">
        <v>#N/A</v>
      </c>
      <c r="E31" s="105">
        <f t="shared" si="0"/>
        <v>1.32</v>
      </c>
      <c r="F31" s="105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4">
        <v>2.327</v>
      </c>
      <c r="D32" s="37" t="e">
        <v>#N/A</v>
      </c>
      <c r="E32" s="105">
        <f t="shared" si="0"/>
        <v>2.327</v>
      </c>
      <c r="F32" s="105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4">
        <v>1.2130000000000001</v>
      </c>
      <c r="D33" s="37" t="e">
        <v>#N/A</v>
      </c>
      <c r="E33" s="105">
        <f t="shared" si="0"/>
        <v>1.2130000000000001</v>
      </c>
      <c r="F33" s="105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4">
        <v>-1.45</v>
      </c>
      <c r="D34" s="37" t="e">
        <v>#N/A</v>
      </c>
      <c r="E34" s="105">
        <f t="shared" si="0"/>
        <v>-1.45</v>
      </c>
      <c r="F34" s="105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4">
        <v>-3.331</v>
      </c>
      <c r="D35" s="37" t="e">
        <v>#N/A</v>
      </c>
      <c r="E35" s="105">
        <f t="shared" si="0"/>
        <v>-3.331</v>
      </c>
      <c r="F35" s="105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4">
        <v>-3.4140000000000001</v>
      </c>
      <c r="D36" s="37" t="e">
        <v>#N/A</v>
      </c>
      <c r="E36" s="105">
        <f t="shared" si="0"/>
        <v>-3.4140000000000001</v>
      </c>
      <c r="F36" s="105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4">
        <v>-2.4700000000000002</v>
      </c>
      <c r="D37" s="37" t="e">
        <v>#N/A</v>
      </c>
      <c r="E37" s="105">
        <f t="shared" si="0"/>
        <v>-2.4700000000000002</v>
      </c>
      <c r="F37" s="105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4">
        <v>-1.8129999999999999</v>
      </c>
      <c r="D38" s="37" t="e">
        <v>#N/A</v>
      </c>
      <c r="E38" s="105">
        <f t="shared" si="0"/>
        <v>-1.8129999999999999</v>
      </c>
      <c r="F38" s="105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4">
        <v>-1.1220000000000001</v>
      </c>
      <c r="D39" s="37" t="e">
        <v>#N/A</v>
      </c>
      <c r="E39" s="105">
        <f t="shared" si="0"/>
        <v>-1.1220000000000001</v>
      </c>
      <c r="F39" s="105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4">
        <v>-3.1080000000000001</v>
      </c>
      <c r="D40" s="37" t="e">
        <v>#N/A</v>
      </c>
      <c r="E40" s="105">
        <f t="shared" si="0"/>
        <v>-3.1080000000000001</v>
      </c>
      <c r="F40" s="105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4">
        <v>-9.8010000000000002</v>
      </c>
      <c r="D41" s="37" t="e">
        <v>#N/A</v>
      </c>
      <c r="E41" s="105">
        <f t="shared" si="0"/>
        <v>-9.8010000000000002</v>
      </c>
      <c r="F41" s="105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4">
        <v>-8.7509999999999994</v>
      </c>
      <c r="D42" s="37" t="e">
        <v>#N/A</v>
      </c>
      <c r="E42" s="105">
        <f t="shared" si="0"/>
        <v>-8.7509999999999994</v>
      </c>
      <c r="F42" s="105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4">
        <v>-8.4459999999999997</v>
      </c>
      <c r="D43" s="37" t="e">
        <v>#N/A</v>
      </c>
      <c r="E43" s="105">
        <f t="shared" si="0"/>
        <v>-8.4459999999999997</v>
      </c>
      <c r="F43" s="105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4">
        <v>-6.7539999999999996</v>
      </c>
      <c r="D44" s="37">
        <v>-6.8</v>
      </c>
      <c r="E44" s="105">
        <f t="shared" si="0"/>
        <v>-6.7539999999999996</v>
      </c>
      <c r="F44" s="105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4">
        <v>-4.085</v>
      </c>
      <c r="D45" s="37">
        <v>-4.0999999999999996</v>
      </c>
      <c r="E45" s="105">
        <f t="shared" si="0"/>
        <v>-4.085</v>
      </c>
      <c r="F45" s="105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4" t="e">
        <v>#N/A</v>
      </c>
      <c r="D46" s="37">
        <v>-2.9</v>
      </c>
      <c r="E46" s="105" t="e">
        <f t="shared" si="0"/>
        <v>#N/A</v>
      </c>
      <c r="F46" s="105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4" t="e">
        <v>#N/A</v>
      </c>
      <c r="D47" s="37">
        <v>-2.6</v>
      </c>
      <c r="E47" s="105" t="e">
        <f t="shared" si="0"/>
        <v>#N/A</v>
      </c>
      <c r="F47" s="105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4" t="e">
        <v>#N/A</v>
      </c>
      <c r="D48" s="37">
        <v>-2.9</v>
      </c>
      <c r="E48" s="105" t="e">
        <f t="shared" si="0"/>
        <v>#N/A</v>
      </c>
      <c r="F48" s="105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4" t="e">
        <v>#N/A</v>
      </c>
      <c r="D49" s="37">
        <v>-2.7</v>
      </c>
      <c r="E49" s="105" t="e">
        <f t="shared" si="0"/>
        <v>#N/A</v>
      </c>
      <c r="F49" s="105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4" t="e">
        <v>#N/A</v>
      </c>
      <c r="D50" s="37">
        <v>-2.7</v>
      </c>
      <c r="E50" s="105" t="e">
        <f t="shared" si="0"/>
        <v>#N/A</v>
      </c>
      <c r="F50" s="105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4" t="e">
        <v>#N/A</v>
      </c>
      <c r="D51" s="37">
        <v>-3</v>
      </c>
      <c r="E51" s="105" t="e">
        <f t="shared" si="0"/>
        <v>#N/A</v>
      </c>
      <c r="F51" s="105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4" t="e">
        <v>#N/A</v>
      </c>
      <c r="D52" s="37">
        <v>-3.3</v>
      </c>
      <c r="E52" s="105" t="e">
        <f t="shared" si="0"/>
        <v>#N/A</v>
      </c>
      <c r="F52" s="105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4" t="e">
        <v>#N/A</v>
      </c>
      <c r="D53" s="37">
        <v>-3.5</v>
      </c>
      <c r="E53" s="105" t="e">
        <f t="shared" si="0"/>
        <v>#N/A</v>
      </c>
      <c r="F53" s="105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4" t="e">
        <v>#N/A</v>
      </c>
      <c r="D54" s="37">
        <v>-3.8</v>
      </c>
      <c r="E54" s="105" t="e">
        <f t="shared" si="0"/>
        <v>#N/A</v>
      </c>
      <c r="F54" s="105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4" t="e">
        <v>#N/A</v>
      </c>
      <c r="D55" s="37">
        <v>-3.7</v>
      </c>
      <c r="E55" s="105" t="e">
        <f t="shared" si="0"/>
        <v>#N/A</v>
      </c>
      <c r="F55" s="105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4" t="e">
        <v>#N/A</v>
      </c>
      <c r="D56" s="37">
        <v>-3.6</v>
      </c>
      <c r="E56" s="105" t="e">
        <f t="shared" si="0"/>
        <v>#N/A</v>
      </c>
      <c r="F56" s="105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topLeftCell="A5" workbookViewId="0">
      <selection activeCell="A55" sqref="A55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292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178</v>
      </c>
      <c r="D5" t="s">
        <v>150</v>
      </c>
      <c r="E5" t="s">
        <v>151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184</v>
      </c>
      <c r="D3" s="6" t="s">
        <v>185</v>
      </c>
      <c r="E3" s="6" t="s">
        <v>185</v>
      </c>
      <c r="F3" s="6" t="s">
        <v>185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186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5" t="e">
        <v>#N/A</v>
      </c>
      <c r="I47" s="65" t="e">
        <v>#N/A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141</v>
      </c>
      <c r="B1" t="s">
        <v>353</v>
      </c>
      <c r="C1" t="s">
        <v>354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0</v>
      </c>
      <c r="C70" s="24" t="str">
        <f>IF(ISNUMBER('Change in Employment'!J77),TEXT('Change in Employment'!J77, "0"),"")</f>
        <v>3333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6667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4" t="str">
        <f>IF(ISNUMBER('Change in Employment'!I79), TEXT('Change in Employment'!I79, "0"), "")</f>
        <v>8000</v>
      </c>
      <c r="C72" s="24" t="str">
        <f>IF(ISNUMBER('Change in Employment'!J79),TEXT('Change in Employment'!J79, "0"),"")</f>
        <v>7333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9" workbookViewId="0">
      <selection activeCell="B72" sqref="B7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353</v>
      </c>
      <c r="C1" s="22" t="s">
        <v>354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2000</v>
      </c>
      <c r="C70" s="22" t="str">
        <f>IFERROR(IF(ISNUMBER('Change in Employment'!M77),TEXT('Change in Employment'!M77, "0"), ""), "")</f>
        <v>800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-2299.9999999997272</v>
      </c>
      <c r="C71" s="22" t="str">
        <f>IFERROR(IF(ISNUMBER('Change in Employment'!M78),TEXT('Change in Employment'!M78, "0"), ""), "")</f>
        <v>-33</v>
      </c>
    </row>
    <row r="72" spans="1:3">
      <c r="A72" s="22" t="str">
        <f>TEXT(IF('Change in Employment'!B79&lt;&gt;0,DATE(YEAR('Change in Employment'!B79), MONTH('Change in Employment'!B79), 1), ""), "mm/dd/yyyy")</f>
        <v>10/01/2014</v>
      </c>
      <c r="B72" s="22">
        <f>IF(ISNUMBER('Change in Employment'!L79),'Change in Employment'!L79, "")</f>
        <v>299.99999999972715</v>
      </c>
      <c r="C72" s="22" t="str">
        <f>IFERROR(IF(ISNUMBER('Change in Employment'!M79),TEXT('Change in Employment'!M79, "0"), ""), "")</f>
        <v>0</v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141</v>
      </c>
      <c r="B1" s="22" t="s">
        <v>352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>1-Jul-2014</v>
      </c>
      <c r="B24" s="22">
        <f>IF(ISNUMBER('Real Structures'!B30),'Real Structures'!B30, "")</f>
        <v>232.4</v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141</v>
      </c>
      <c r="B1" t="s">
        <v>169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4" workbookViewId="0">
      <selection activeCell="Q42" sqref="Q42"/>
    </sheetView>
  </sheetViews>
  <sheetFormatPr defaultRowHeight="15"/>
  <cols>
    <col min="1" max="1" width="10.42578125" bestFit="1" customWidth="1"/>
  </cols>
  <sheetData>
    <row r="1" spans="1:5">
      <c r="A1" t="s">
        <v>141</v>
      </c>
      <c r="B1" t="s">
        <v>170</v>
      </c>
      <c r="C1" s="22" t="s">
        <v>171</v>
      </c>
      <c r="D1" t="s">
        <v>172</v>
      </c>
      <c r="E1" t="s">
        <v>173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141</v>
      </c>
      <c r="B1" s="22" t="s">
        <v>175</v>
      </c>
      <c r="C1" s="22" t="s">
        <v>176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37" workbookViewId="0">
      <selection activeCell="E73" sqref="E73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141</v>
      </c>
      <c r="B1" s="22" t="s">
        <v>177</v>
      </c>
      <c r="C1" s="22" t="s">
        <v>355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58" workbookViewId="0">
      <selection activeCell="A58" sqref="A58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141</v>
      </c>
      <c r="B1" s="22" t="s">
        <v>179</v>
      </c>
      <c r="C1" s="22" t="s">
        <v>183</v>
      </c>
      <c r="D1" s="22" t="s">
        <v>187</v>
      </c>
      <c r="E1" s="22" t="s">
        <v>181</v>
      </c>
      <c r="F1" s="22" t="s">
        <v>188</v>
      </c>
      <c r="G1" s="22" t="s">
        <v>182</v>
      </c>
      <c r="H1" s="22" t="s">
        <v>189</v>
      </c>
      <c r="I1" s="22" t="s">
        <v>180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/>
      </c>
      <c r="H41" s="22" t="str">
        <f>IFERROR(IF(ISNUMBER('Spending by Category'!I47),TEXT('Spending by Category'!I47,"0.00"), ""), "")</f>
        <v/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C582FEE-D14F-4C9E-B430-CCC6B64188A3}"/>
</file>

<file path=customXml/itemProps2.xml><?xml version="1.0" encoding="utf-8"?>
<ds:datastoreItem xmlns:ds="http://schemas.openxmlformats.org/officeDocument/2006/customXml" ds:itemID="{3757506F-50D8-43CB-9BB5-FF5B5DF7D659}"/>
</file>

<file path=customXml/itemProps3.xml><?xml version="1.0" encoding="utf-8"?>
<ds:datastoreItem xmlns:ds="http://schemas.openxmlformats.org/officeDocument/2006/customXml" ds:itemID="{3B51D71B-0B24-400C-A527-FB449DA97B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2014-11-26T18:21:41Z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