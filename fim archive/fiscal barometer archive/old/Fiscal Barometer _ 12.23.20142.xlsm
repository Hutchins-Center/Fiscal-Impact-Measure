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3.xml" ContentType="application/vnd.openxmlformats-officedocument.drawingml.char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'Spending by Category'!$A$1:$M$6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L68" i="11"/>
  <c r="J62" i="25" s="1"/>
  <c r="L67" i="11"/>
  <c r="J61" i="25" s="1"/>
  <c r="L66" i="11"/>
  <c r="J60" i="25" s="1"/>
  <c r="L65" i="11"/>
  <c r="J59" i="25" s="1"/>
  <c r="L64" i="11"/>
  <c r="J58" i="25" s="1"/>
  <c r="L63" i="11"/>
  <c r="J57" i="25" s="1"/>
  <c r="L62" i="11"/>
  <c r="J56" i="25" s="1"/>
  <c r="L61" i="11"/>
  <c r="J55" i="25" s="1"/>
  <c r="L60" i="11"/>
  <c r="J54" i="25" s="1"/>
  <c r="L59" i="11"/>
  <c r="J53" i="25" s="1"/>
  <c r="L58" i="11"/>
  <c r="J52" i="25" s="1"/>
  <c r="L57" i="11"/>
  <c r="J51" i="25" s="1"/>
  <c r="L56" i="11"/>
  <c r="J50" i="25" s="1"/>
  <c r="L55" i="11"/>
  <c r="J49" i="25" s="1"/>
  <c r="L54" i="11"/>
  <c r="J48" i="25" s="1"/>
  <c r="L53" i="11"/>
  <c r="J47" i="25" s="1"/>
  <c r="L52" i="11"/>
  <c r="J46" i="25" s="1"/>
  <c r="L51" i="11"/>
  <c r="J45" i="25" s="1"/>
  <c r="L50" i="11"/>
  <c r="J44" i="25" s="1"/>
  <c r="L49" i="11"/>
  <c r="J43" i="25" s="1"/>
  <c r="L48" i="11"/>
  <c r="J42" i="25" s="1"/>
  <c r="L47" i="11"/>
  <c r="J41" i="25" s="1"/>
  <c r="L46" i="11"/>
  <c r="J40" i="25" s="1"/>
  <c r="L45" i="11"/>
  <c r="J39" i="25" s="1"/>
  <c r="L44" i="11"/>
  <c r="J38" i="25" s="1"/>
  <c r="L43" i="11"/>
  <c r="J37" i="25" s="1"/>
  <c r="L42" i="11"/>
  <c r="J36" i="25" s="1"/>
  <c r="L41" i="11"/>
  <c r="J35" i="25" s="1"/>
  <c r="L40" i="11"/>
  <c r="J34" i="25" s="1"/>
  <c r="L39" i="11"/>
  <c r="J33" i="25" s="1"/>
  <c r="L38" i="11"/>
  <c r="J32" i="25" s="1"/>
  <c r="L37" i="11"/>
  <c r="J31" i="25" s="1"/>
  <c r="L36" i="11"/>
  <c r="J30" i="25" s="1"/>
  <c r="L35" i="11"/>
  <c r="J29" i="25" s="1"/>
  <c r="L34" i="11"/>
  <c r="J28" i="25" s="1"/>
  <c r="L33" i="11"/>
  <c r="J27" i="25" s="1"/>
  <c r="L32" i="11"/>
  <c r="J26" i="25" s="1"/>
  <c r="L31" i="11"/>
  <c r="J25" i="25" s="1"/>
  <c r="L30" i="11"/>
  <c r="J24" i="25" s="1"/>
  <c r="L29" i="11"/>
  <c r="J23" i="25" s="1"/>
  <c r="L28" i="11"/>
  <c r="J22" i="25" s="1"/>
  <c r="L27" i="11"/>
  <c r="J21" i="25" s="1"/>
  <c r="L26" i="11"/>
  <c r="J20" i="25" s="1"/>
  <c r="L25" i="11"/>
  <c r="J19" i="25" s="1"/>
  <c r="L24" i="11"/>
  <c r="J18" i="25" s="1"/>
  <c r="L23" i="11"/>
  <c r="J17" i="25" s="1"/>
  <c r="L22" i="11"/>
  <c r="J16" i="25" s="1"/>
  <c r="L21" i="11"/>
  <c r="J15" i="25" s="1"/>
  <c r="L20" i="11"/>
  <c r="J14" i="25" s="1"/>
  <c r="L19" i="11"/>
  <c r="J13" i="25" s="1"/>
  <c r="L18" i="11"/>
  <c r="J12" i="25" s="1"/>
  <c r="L17" i="11"/>
  <c r="J11" i="25" s="1"/>
  <c r="L16" i="11"/>
  <c r="J10" i="25" s="1"/>
  <c r="L15" i="11"/>
  <c r="J9" i="25" s="1"/>
  <c r="L14" i="11"/>
  <c r="J8" i="25" s="1"/>
  <c r="L13" i="11"/>
  <c r="J7" i="25" s="1"/>
  <c r="L12" i="11"/>
  <c r="J6" i="25" s="1"/>
  <c r="L11" i="11"/>
  <c r="J5" i="25" s="1"/>
  <c r="L10" i="11"/>
  <c r="J4" i="25" s="1"/>
  <c r="L9" i="11"/>
  <c r="J3" i="25" s="1"/>
  <c r="L8" i="11"/>
  <c r="J2" i="25" s="1"/>
  <c r="L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<sst xmlns="http://schemas.openxmlformats.org/spreadsheetml/2006/main" count="705" uniqueCount="426">
  <si>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</si>
  <si>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</si>
  <si>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</si>
  <si>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</si>
  <si>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</si>
  <si>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</si>
  <si>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</si>
  <si>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</si>
  <si>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</si>
  <si>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</si>
  <si>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</si>
  <si>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</si>
  <si>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</si>
  <si>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</si>
  <si>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</si>
  <si>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</si>
  <si>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</si>
  <si>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</si>
  <si>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</si>
  <si>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</si>
  <si>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</si>
  <si>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</si>
  <si>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</si>
  <si>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</si>
  <si>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</si>
  <si>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</si>
  <si>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</si>
  <si>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</si>
  <si>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</si>
  <si>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</si>
  <si>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</si>
  <si>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</si>
  <si>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</si>
  <si>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</si>
  <si>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</si>
  <si>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</si>
  <si>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</si>
  <si>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</si>
  <si>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</si>
  <si>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</si>
  <si>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</si>
  <si>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</si>
  <si>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</si>
  <si>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</si>
  <si>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</si>
  <si>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</si>
  <si>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</si>
  <si>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</si>
  <si>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</si>
  <si>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</si>
  <si>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</si>
  <si>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</si>
  <si>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</si>
  <si>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</si>
  <si>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</si>
  <si>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</si>
  <si>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</si>
  <si>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</si>
  <si>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</si>
  <si>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</si>
  <si>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</si>
  <si>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</si>
  <si>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</si>
  <si>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</si>
  <si>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</si>
  <si>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</si>
  <si>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</si>
  <si>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</si>
  <si>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</si>
  <si>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</si>
  <si>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</si>
  <si>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</si>
  <si>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</si>
  <si>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</si>
  <si>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</si>
  <si>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</si>
  <si>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</si>
  <si>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</si>
  <si>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</si>
  <si>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</si>
  <si>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</si>
  <si>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</si>
  <si>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</si>
  <si>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</si>
  <si>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</si>
  <si>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</si>
  <si>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</si>
  <si>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</si>
  <si>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</si>
  <si>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</si>
  <si>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</si>
  <si>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</si>
  <si>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</si>
  <si>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</si>
  <si>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</si>
  <si>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</si>
  <si>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</si>
  <si>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</si>
  <si>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</si>
  <si>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</si>
  <si>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</si>
  <si>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</si>
  <si>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</si>
  <si>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</si>
  <si>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</si>
  <si>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</si>
  <si>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</si>
  <si>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</si>
  <si>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</si>
  <si>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</si>
  <si>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</si>
  <si>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</si>
  <si>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</si>
  <si>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</si>
  <si>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</si>
  <si>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</si>
  <si>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</si>
  <si>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</si>
  <si>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</si>
  <si>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</si>
  <si>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</si>
  <si>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</si>
  <si>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</si>
  <si>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</si>
  <si>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</si>
  <si>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</si>
  <si>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</si>
  <si>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</si>
  <si>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</si>
  <si>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</si>
  <si>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</si>
  <si>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</si>
  <si>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</si>
  <si>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</si>
  <si>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</si>
  <si>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</si>
  <si>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</si>
  <si>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</si>
  <si>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</si>
  <si>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</si>
  <si>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</si>
  <si>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</si>
  <si>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</si>
  <si>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</si>
  <si>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</si>
  <si>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</si>
  <si>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</si>
  <si>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</si>
  <si>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</si>
  <si>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</si>
  <si>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</si>
  <si>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</si>
  <si>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</si>
  <si>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</si>
  <si>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</si>
  <si>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</si>
  <si>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</si>
  <si>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</si>
  <si>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</si>
  <si>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</si>
  <si>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</si>
  <si>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</si>
  <si>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</si>
  <si>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</si>
  <si>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</si>
  <si>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</si>
  <si>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</si>
  <si>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</si>
  <si>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</si>
  <si>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</si>
  <si>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</si>
  <si>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</si>
  <si>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</si>
  <si>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</si>
  <si>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</si>
  <si>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</si>
  <si>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</si>
  <si>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</si>
  <si>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</si>
  <si>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</si>
  <si>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</si>
  <si>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</si>
  <si>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</si>
  <si>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</si>
  <si>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</si>
  <si>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</si>
  <si>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</si>
  <si>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</si>
  <si>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</si>
  <si>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</si>
  <si>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</si>
  <si>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</si>
  <si>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</si>
  <si>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</si>
  <si>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</si>
  <si>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</si>
  <si>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</si>
  <si>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</si>
  <si>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</si>
  <si>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</si>
  <si>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</si>
  <si>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</si>
  <si>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</si>
  <si>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</si>
  <si>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</si>
  <si>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</si>
  <si>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</si>
  <si>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</si>
  <si>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</si>
  <si>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</si>
  <si>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</si>
  <si>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</si>
  <si>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</si>
  <si>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</si>
  <si>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</si>
  <si>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</si>
  <si>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</si>
  <si>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</si>
  <si>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</si>
  <si>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</si>
  <si>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</si>
  <si>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</si>
  <si>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</si>
  <si>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</si>
  <si>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</si>
  <si>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</si>
  <si>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</si>
  <si>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</si>
  <si>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</si>
  <si>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</si>
  <si>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</si>
  <si>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</si>
  <si>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</si>
  <si>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</si>
  <si>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</si>
  <si>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</si>
  <si>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</si>
  <si>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</si>
  <si>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</si>
  <si>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</si>
  <si>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</si>
  <si>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</si>
  <si>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</si>
  <si>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</si>
  <si>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</si>
  <si>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</si>
  <si>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</si>
  <si>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</si>
  <si>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</si>
  <si>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</si>
  <si>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</si>
  <si>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</si>
  <si>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</si>
  <si>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</si>
  <si>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</si>
  <si>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</si>
  <si>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</si>
  <si>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</si>
  <si>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</si>
  <si>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</si>
  <si>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</si>
  <si>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</si>
  <si>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</si>
  <si>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</si>
  <si>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</si>
  <si>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</si>
  <si>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</si>
  <si>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</si>
  <si>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</si>
  <si>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</si>
  <si>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</si>
  <si>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</si>
  <si>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</si>
  <si>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</si>
  <si>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</si>
  <si>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</si>
  <si>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</si>
  <si>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</si>
  <si>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</si>
  <si>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</si>
  <si>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</si>
  <si>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</si>
  <si>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</si>
  <si>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</si>
  <si>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</si>
  <si>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</si>
  <si>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</si>
  <si>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</si>
  <si>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</si>
  <si>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</si>
  <si>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</si>
  <si>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</si>
  <si>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</si>
  <si>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</si>
  <si>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</si>
  <si>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</si>
  <si>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</si>
  <si>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</si>
  <si>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</si>
  <si>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</si>
  <si>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</si>
  <si>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</si>
  <si>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</si>
  <si>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</si>
  <si>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</si>
  <si>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</si>
  <si>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</si>
  <si>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</si>
  <si>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</si>
  <si>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</si>
  <si>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</si>
  <si>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</si>
  <si>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</si>
  <si>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</si>
  <si>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</si>
  <si>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</si>
  <si>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</si>
  <si>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</si>
  <si>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</si>
  <si>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</si>
  <si>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</si>
  <si>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</si>
  <si>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</si>
  <si>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</si>
  <si>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</si>
  <si>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</si>
  <si>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</si>
  <si>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</si>
  <si>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</si>
  <si>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</si>
  <si>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</si>
  <si>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</si>
  <si>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</si>
  <si>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</si>
  <si>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</si>
  <si>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</si>
  <si>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</si>
  <si>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</si>
  <si>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</si>
  <si>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</si>
  <si>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</si>
  <si>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</si>
  <si>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</si>
  <si>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</si>
  <si>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</si>
  <si>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</si>
  <si>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</si>
  <si>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</si>
  <si>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</si>
  <si>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</si>
  <si>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</si>
  <si>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</si>
  <si>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</si>
  <si>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</si>
  <si>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</si>
  <si>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</si>
  <si>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</si>
  <si>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</si>
  <si>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</si>
  <si>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</si>
  <si>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</si>
  <si>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</si>
  <si>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</si>
  <si>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</si>
  <si>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</si>
  <si>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</si>
  <si>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</si>
  <si>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</si>
  <si>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</si>
  <si>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</si>
  <si>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</si>
  <si>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</si>
  <si>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</si>
  <si>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</si>
  <si>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</si>
  <si>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</si>
  <si>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</si>
  <si>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</si>
  <si>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</si>
  <si>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</si>
  <si>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</si>
  <si>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</si>
  <si>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</si>
  <si>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</si>
  <si>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</si>
  <si>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</si>
  <si>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</si>
  <si>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</si>
  <si>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</si>
  <si>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</si>
  <si>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</si>
  <si>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</si>
  <si>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</si>
  <si>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</si>
  <si>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</si>
  <si>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</si>
  <si>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</si>
  <si>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</si>
  <si>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</si>
  <si>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</si>
  <si>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</si>
  <si>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</si>
  <si>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</si>
  <si>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</si>
  <si>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</si>
  <si>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</si>
  <si>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</si>
  <si>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</si>
  <si>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</si>
  <si>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</si>
  <si>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</si>
  <si>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</si>
  <si>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</si>
  <si>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</si>
  <si>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</si>
  <si>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</si>
  <si>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</si>
  <si>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</si>
  <si>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</si>
  <si>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</si>
  <si>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</si>
  <si>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</si>
  <si>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</si>
  <si>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</si>
  <si>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</si>
  <si>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1. Go to View -&gt; Macros - &gt; GetData and run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</si>
</sst>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904576"/>
        <c:axId val="11877516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04576"/>
        <c:axId val="118775168"/>
      </c:lineChart>
      <c:dateAx>
        <c:axId val="10290457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8775168"/>
        <c:crosses val="autoZero"/>
        <c:auto val="1"/>
        <c:lblOffset val="100"/>
        <c:baseTimeUnit val="months"/>
        <c:majorUnit val="1"/>
        <c:majorTimeUnit val="years"/>
      </c:dateAx>
      <c:valAx>
        <c:axId val="11877516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0290457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6346240"/>
        <c:axId val="706604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46240"/>
        <c:axId val="70660480"/>
      </c:lineChart>
      <c:dateAx>
        <c:axId val="1563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70660480"/>
        <c:crosses val="autoZero"/>
        <c:auto val="1"/>
        <c:lblOffset val="100"/>
        <c:baseTimeUnit val="months"/>
        <c:majorUnit val="1"/>
        <c:majorTimeUnit val="years"/>
      </c:dateAx>
      <c:valAx>
        <c:axId val="706604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6346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74304"/>
        <c:axId val="70675840"/>
      </c:lineChart>
      <c:dateAx>
        <c:axId val="70674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5840"/>
        <c:crosses val="autoZero"/>
        <c:auto val="1"/>
        <c:lblOffset val="100"/>
        <c:baseTimeUnit val="months"/>
        <c:majorUnit val="1"/>
        <c:majorTimeUnit val="years"/>
      </c:dateAx>
      <c:valAx>
        <c:axId val="706758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43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90656"/>
        <c:axId val="102792192"/>
      </c:lineChart>
      <c:dateAx>
        <c:axId val="10279065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2192"/>
        <c:crossesAt val="0"/>
        <c:auto val="1"/>
        <c:lblOffset val="100"/>
        <c:baseTimeUnit val="months"/>
        <c:majorUnit val="1"/>
        <c:majorTimeUnit val="years"/>
      </c:dateAx>
      <c:valAx>
        <c:axId val="1027921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06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10592"/>
        <c:axId val="102920576"/>
      </c:lineChart>
      <c:dateAx>
        <c:axId val="1029105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20576"/>
        <c:crosses val="autoZero"/>
        <c:auto val="1"/>
        <c:lblOffset val="100"/>
        <c:baseTimeUnit val="months"/>
        <c:majorUnit val="10"/>
        <c:majorTimeUnit val="years"/>
      </c:dateAx>
      <c:valAx>
        <c:axId val="102920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105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37344"/>
        <c:axId val="102938880"/>
      </c:lineChart>
      <c:dateAx>
        <c:axId val="1029373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8880"/>
        <c:crosses val="autoZero"/>
        <c:auto val="1"/>
        <c:lblOffset val="100"/>
        <c:baseTimeUnit val="months"/>
        <c:majorUnit val="5"/>
        <c:majorTimeUnit val="years"/>
      </c:dateAx>
      <c:valAx>
        <c:axId val="10293888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73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09216"/>
        <c:axId val="104810752"/>
      </c:lineChart>
      <c:dateAx>
        <c:axId val="104809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10752"/>
        <c:crossesAt val="0"/>
        <c:auto val="1"/>
        <c:lblOffset val="100"/>
        <c:baseTimeUnit val="months"/>
        <c:majorUnit val="5"/>
        <c:majorTimeUnit val="years"/>
      </c:dateAx>
      <c:valAx>
        <c:axId val="1048107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09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48768"/>
        <c:axId val="113120384"/>
      </c:lineChart>
      <c:dateAx>
        <c:axId val="104848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3120384"/>
        <c:crosses val="autoZero"/>
        <c:auto val="1"/>
        <c:lblOffset val="100"/>
        <c:baseTimeUnit val="months"/>
        <c:majorUnit val="5"/>
        <c:majorTimeUnit val="years"/>
      </c:dateAx>
      <c:valAx>
        <c:axId val="1131203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4876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RecessM2@USECON" TargetMode="External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F6" sqref="F6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261</v>
      </c>
    </row>
    <row r="2" spans="1:2">
      <c r="A2" s="25" t="s">
        <v>425</v>
      </c>
    </row>
    <row r="3" spans="1:2">
      <c r="A3" s="25" t="s">
        <v>360</v>
      </c>
    </row>
    <row r="4" spans="1:2">
      <c r="A4" s="25" t="s">
        <v>361</v>
      </c>
    </row>
    <row r="5" spans="1:2">
      <c r="A5" s="25" t="s">
        <v>362</v>
      </c>
    </row>
    <row r="6" spans="1:2">
      <c r="A6" s="25" t="s">
        <v>363</v>
      </c>
    </row>
    <row r="7" spans="1:2">
      <c r="A7" s="25" t="s">
        <v>364</v>
      </c>
    </row>
    <row r="8" spans="1:2">
      <c r="A8" s="25" t="s">
        <v>365</v>
      </c>
    </row>
    <row r="9" spans="1:2">
      <c r="A9" s="25" t="s">
        <v>366</v>
      </c>
    </row>
    <row r="10" spans="1:2">
      <c r="A10" s="25" t="s">
        <v>367</v>
      </c>
    </row>
    <row r="16" spans="1:2">
      <c r="B16" s="65" t="s">
        <v>262</v>
      </c>
    </row>
    <row r="17" spans="1:3">
      <c r="B17" s="25" t="s">
        <v>267</v>
      </c>
      <c r="C17" s="25" t="s">
        <v>268</v>
      </c>
    </row>
    <row r="18" spans="1:3">
      <c r="B18" s="25" t="s">
        <v>269</v>
      </c>
      <c r="C18" s="25" t="s">
        <v>270</v>
      </c>
    </row>
    <row r="19" spans="1:3">
      <c r="B19" s="25" t="s">
        <v>271</v>
      </c>
      <c r="C19" s="25" t="s">
        <v>272</v>
      </c>
    </row>
    <row r="20" spans="1:3">
      <c r="B20" s="25" t="s">
        <v>273</v>
      </c>
      <c r="C20" s="25" t="s">
        <v>280</v>
      </c>
    </row>
    <row r="21" spans="1:3">
      <c r="B21" s="25" t="s">
        <v>274</v>
      </c>
      <c r="C21" s="25" t="s">
        <v>186</v>
      </c>
    </row>
    <row r="22" spans="1:3">
      <c r="B22" s="25" t="s">
        <v>275</v>
      </c>
      <c r="C22" s="25" t="s">
        <v>281</v>
      </c>
    </row>
    <row r="23" spans="1:3">
      <c r="B23" s="25" t="s">
        <v>276</v>
      </c>
      <c r="C23" s="25" t="s">
        <v>283</v>
      </c>
    </row>
    <row r="24" spans="1:3">
      <c r="B24" s="25" t="s">
        <v>277</v>
      </c>
      <c r="C24" s="25" t="s">
        <v>282</v>
      </c>
    </row>
    <row r="25" spans="1:3">
      <c r="B25" s="25" t="s">
        <v>279</v>
      </c>
      <c r="C25" s="25" t="s">
        <v>284</v>
      </c>
    </row>
    <row r="26" spans="1:3">
      <c r="B26" s="25" t="s">
        <v>278</v>
      </c>
      <c r="C26" s="25" t="s">
        <v>285</v>
      </c>
    </row>
    <row r="30" spans="1:3">
      <c r="A30" s="66" t="s">
        <v>263</v>
      </c>
    </row>
    <row r="31" spans="1:3">
      <c r="A31" s="25" t="s">
        <v>264</v>
      </c>
      <c r="B31" s="25" t="s">
        <v>265</v>
      </c>
      <c r="C31" s="25" t="s">
        <v>266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3" zoomScaleNormal="100" zoomScaleSheetLayoutView="100" workbookViewId="0">
      <selection activeCell="F40" sqref="F40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6" zoomScale="115" zoomScaleNormal="100" zoomScaleSheetLayoutView="115" workbookViewId="0">
      <selection activeCell="H52" sqref="H52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3013</v>
      </c>
      <c r="F11" s="71"/>
      <c r="G11" s="94"/>
      <c r="H11" s="98" t="s">
        <v>370</v>
      </c>
      <c r="I11" s="95"/>
    </row>
    <row r="12" spans="1:9">
      <c r="A12" s="73" t="s">
        <v>126</v>
      </c>
      <c r="B12" s="69"/>
      <c r="C12" s="69"/>
      <c r="D12" s="69"/>
      <c r="E12" s="105">
        <v>2417</v>
      </c>
      <c r="F12" s="71"/>
      <c r="G12" s="72"/>
      <c r="H12" s="98" t="s">
        <v>371</v>
      </c>
      <c r="I12" s="95"/>
    </row>
    <row r="13" spans="1:9">
      <c r="A13" s="73" t="s">
        <v>127</v>
      </c>
      <c r="B13" s="69"/>
      <c r="C13" s="69"/>
      <c r="D13" s="69"/>
      <c r="E13" s="105">
        <v>595</v>
      </c>
      <c r="F13" s="71"/>
      <c r="G13" s="72"/>
      <c r="H13" s="98" t="s">
        <v>372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3499</v>
      </c>
      <c r="F15" s="71"/>
      <c r="G15" s="72"/>
      <c r="H15" s="98" t="s">
        <v>373</v>
      </c>
      <c r="I15" s="95"/>
    </row>
    <row r="16" spans="1:9">
      <c r="A16" s="73" t="s">
        <v>131</v>
      </c>
      <c r="B16" s="69"/>
      <c r="C16" s="69"/>
      <c r="D16" s="69"/>
      <c r="E16" s="105">
        <v>578</v>
      </c>
      <c r="F16" s="71"/>
      <c r="G16" s="72"/>
      <c r="H16" s="98" t="s">
        <v>374</v>
      </c>
      <c r="I16" s="95"/>
    </row>
    <row r="17" spans="1:9">
      <c r="A17" s="73" t="s">
        <v>129</v>
      </c>
      <c r="B17" s="69"/>
      <c r="C17" s="69"/>
      <c r="D17" s="69"/>
      <c r="E17" s="105">
        <v>840</v>
      </c>
      <c r="F17" s="71"/>
      <c r="G17" s="72"/>
      <c r="H17" s="98" t="s">
        <v>375</v>
      </c>
      <c r="I17" s="95"/>
    </row>
    <row r="18" spans="1:9">
      <c r="A18" s="73" t="s">
        <v>128</v>
      </c>
      <c r="B18" s="69"/>
      <c r="C18" s="69"/>
      <c r="D18" s="69"/>
      <c r="E18" s="105">
        <v>509</v>
      </c>
      <c r="F18" s="71"/>
      <c r="G18" s="72"/>
      <c r="H18" s="98" t="s">
        <v>376</v>
      </c>
      <c r="I18" s="95"/>
    </row>
    <row r="19" spans="1:9">
      <c r="A19" s="73" t="s">
        <v>123</v>
      </c>
      <c r="B19" s="69"/>
      <c r="C19" s="69"/>
      <c r="D19" s="69"/>
      <c r="E19" s="105">
        <v>302</v>
      </c>
      <c r="F19" s="71"/>
      <c r="G19" s="72"/>
      <c r="H19" s="98" t="s">
        <v>377</v>
      </c>
      <c r="I19" s="95"/>
    </row>
    <row r="20" spans="1:9">
      <c r="A20" s="73" t="s">
        <v>124</v>
      </c>
      <c r="B20" s="69"/>
      <c r="C20" s="69"/>
      <c r="D20" s="69"/>
      <c r="E20" s="105">
        <v>271</v>
      </c>
      <c r="F20" s="71"/>
      <c r="G20" s="72"/>
      <c r="H20" s="98" t="s">
        <v>375</v>
      </c>
      <c r="I20" s="95"/>
    </row>
    <row r="21" spans="1:9">
      <c r="A21" s="75" t="s">
        <v>130</v>
      </c>
      <c r="B21" s="76"/>
      <c r="C21" s="76"/>
      <c r="D21" s="76"/>
      <c r="E21" s="107">
        <v>999</v>
      </c>
      <c r="F21" s="78"/>
      <c r="G21" s="79"/>
      <c r="H21" s="100" t="s">
        <v>378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2" zoomScale="130" zoomScaleNormal="100" zoomScaleSheetLayoutView="130" zoomScalePageLayoutView="85" workbookViewId="0">
      <selection activeCell="J27" sqref="J27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2" sqref="A2:H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418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419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411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407</v>
      </c>
      <c r="D6" t="s">
        <v>407</v>
      </c>
      <c r="E6" t="s">
        <v>407</v>
      </c>
      <c r="F6" t="s">
        <v>408</v>
      </c>
      <c r="G6" s="20" t="s">
        <v>406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369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409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C3" r:id="rId1"/>
    <hyperlink ref="D3" r:id="rId2"/>
    <hyperlink ref="E3" r:id="rId3"/>
    <hyperlink ref="F3" r:id="rId4"/>
    <hyperlink ref="G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412</v>
      </c>
      <c r="K2" s="20" t="s">
        <v>413</v>
      </c>
      <c r="L2" s="21" t="s">
        <v>417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420</v>
      </c>
    </row>
    <row r="4" spans="1:12">
      <c r="A4" s="26">
        <f>$F$2</f>
        <v>39814</v>
      </c>
      <c r="B4" s="23" t="s">
        <v>368</v>
      </c>
      <c r="J4" s="20" t="s">
        <v>403</v>
      </c>
      <c r="K4" s="20"/>
      <c r="L4" s="20" t="s">
        <v>404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405</v>
      </c>
    </row>
    <row r="6" spans="1:12">
      <c r="A6" s="26" t="s">
        <v>379</v>
      </c>
      <c r="J6" t="s">
        <v>380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381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382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383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384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385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386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387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388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389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390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391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392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393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394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395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396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397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398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399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400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401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402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417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420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411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405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415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414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416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413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422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421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411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405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413</v>
      </c>
      <c r="C3" s="45" t="s">
        <v>354</v>
      </c>
      <c r="D3" s="21" t="s">
        <v>356</v>
      </c>
      <c r="E3" s="21"/>
      <c r="F3" s="17"/>
      <c r="G3" s="111" t="s">
        <v>422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421</v>
      </c>
    </row>
    <row r="5" spans="1:10">
      <c r="A5" s="16" t="s">
        <v>22</v>
      </c>
      <c r="C5" s="19" t="s">
        <v>24</v>
      </c>
      <c r="D5" s="19" t="s">
        <v>24</v>
      </c>
      <c r="G5" t="s">
        <v>411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405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413</v>
      </c>
      <c r="C2" s="21" t="s">
        <v>121</v>
      </c>
      <c r="F2" s="111" t="s">
        <v>422</v>
      </c>
    </row>
    <row r="3" spans="1:7">
      <c r="A3" s="20" t="s">
        <v>7</v>
      </c>
      <c r="C3" t="s">
        <v>122</v>
      </c>
      <c r="F3" t="s">
        <v>421</v>
      </c>
    </row>
    <row r="4" spans="1:7">
      <c r="A4" s="20" t="s">
        <v>22</v>
      </c>
      <c r="C4" t="s">
        <v>24</v>
      </c>
      <c r="F4" t="s">
        <v>411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405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0" width="14" style="2" customWidth="1"/>
    <col min="11" max="16384" width="9.140625" style="2"/>
  </cols>
  <sheetData>
    <row r="1" spans="1:12" ht="15">
      <c r="A1" s="1" t="s">
        <v>189</v>
      </c>
      <c r="B1" s="1" t="s">
        <v>413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K1" s="111" t="s">
        <v>422</v>
      </c>
    </row>
    <row r="2" spans="1:12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K2" s="3" t="s">
        <v>421</v>
      </c>
    </row>
    <row r="3" spans="1:12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K3" s="2" t="s">
        <v>424</v>
      </c>
    </row>
    <row r="4" spans="1:12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K4" s="2" t="s">
        <v>423</v>
      </c>
    </row>
    <row r="5" spans="1:12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K5" s="2" t="s">
        <v>411</v>
      </c>
    </row>
    <row r="6" spans="1:12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K6" s="2" t="s">
        <v>405</v>
      </c>
    </row>
    <row r="7" spans="1:12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112">
        <v>4</v>
      </c>
      <c r="L7" s="2">
        <f>IFERROR(IF(K7&gt;0, 1, 0), 0)</f>
        <v>1</v>
      </c>
    </row>
    <row r="8" spans="1:12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112">
        <v>1</v>
      </c>
      <c r="L8" s="2">
        <f t="shared" ref="L8:L68" si="0">IFERROR(IF(K8&gt;0, 1, 0), 0)</f>
        <v>1</v>
      </c>
    </row>
    <row r="9" spans="1:12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112">
        <v>0</v>
      </c>
      <c r="L9" s="2">
        <f t="shared" si="0"/>
        <v>0</v>
      </c>
    </row>
    <row r="10" spans="1:12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112">
        <v>0</v>
      </c>
      <c r="L10" s="2">
        <f t="shared" si="0"/>
        <v>0</v>
      </c>
    </row>
    <row r="11" spans="1:12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112">
        <v>0</v>
      </c>
      <c r="L11" s="2">
        <f t="shared" si="0"/>
        <v>0</v>
      </c>
    </row>
    <row r="12" spans="1:12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112">
        <v>0</v>
      </c>
      <c r="L12" s="2">
        <f t="shared" si="0"/>
        <v>0</v>
      </c>
    </row>
    <row r="13" spans="1:12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112">
        <v>2</v>
      </c>
      <c r="L13" s="2">
        <f t="shared" si="0"/>
        <v>1</v>
      </c>
    </row>
    <row r="14" spans="1:12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112">
        <v>1</v>
      </c>
      <c r="L14" s="2">
        <f t="shared" si="0"/>
        <v>1</v>
      </c>
    </row>
    <row r="15" spans="1:12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112">
        <v>4</v>
      </c>
      <c r="L15" s="2">
        <f t="shared" si="0"/>
        <v>1</v>
      </c>
    </row>
    <row r="16" spans="1:12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112">
        <v>0</v>
      </c>
      <c r="L16" s="2">
        <f t="shared" si="0"/>
        <v>0</v>
      </c>
    </row>
    <row r="17" spans="1:12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112">
        <v>0</v>
      </c>
      <c r="L17" s="2">
        <f t="shared" si="0"/>
        <v>0</v>
      </c>
    </row>
    <row r="18" spans="1:12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112">
        <v>0</v>
      </c>
      <c r="L18" s="2">
        <f t="shared" si="0"/>
        <v>0</v>
      </c>
    </row>
    <row r="19" spans="1:12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112">
        <v>0</v>
      </c>
      <c r="L19" s="2">
        <f t="shared" si="0"/>
        <v>0</v>
      </c>
    </row>
    <row r="20" spans="1:12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112">
        <v>0</v>
      </c>
      <c r="L20" s="2">
        <f t="shared" si="0"/>
        <v>0</v>
      </c>
    </row>
    <row r="21" spans="1:12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112">
        <v>0</v>
      </c>
      <c r="L21" s="2">
        <f t="shared" si="0"/>
        <v>0</v>
      </c>
    </row>
    <row r="22" spans="1:12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112">
        <v>0</v>
      </c>
      <c r="L22" s="2">
        <f t="shared" si="0"/>
        <v>0</v>
      </c>
    </row>
    <row r="23" spans="1:12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112">
        <v>1</v>
      </c>
      <c r="L23" s="2">
        <f t="shared" si="0"/>
        <v>1</v>
      </c>
    </row>
    <row r="24" spans="1:12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112">
        <v>1</v>
      </c>
      <c r="L24" s="2">
        <f t="shared" si="0"/>
        <v>1</v>
      </c>
    </row>
    <row r="25" spans="1:12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112">
        <v>0</v>
      </c>
      <c r="L25" s="2">
        <f t="shared" si="0"/>
        <v>0</v>
      </c>
    </row>
    <row r="26" spans="1:12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112">
        <v>0</v>
      </c>
      <c r="L26" s="2">
        <f t="shared" si="0"/>
        <v>0</v>
      </c>
    </row>
    <row r="27" spans="1:12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112">
        <v>0</v>
      </c>
      <c r="L27" s="2">
        <f t="shared" si="0"/>
        <v>0</v>
      </c>
    </row>
    <row r="28" spans="1:12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112">
        <v>0</v>
      </c>
      <c r="L28" s="2">
        <f t="shared" si="0"/>
        <v>0</v>
      </c>
    </row>
    <row r="29" spans="1:12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112">
        <v>0</v>
      </c>
      <c r="L29" s="2">
        <f t="shared" si="0"/>
        <v>0</v>
      </c>
    </row>
    <row r="30" spans="1:12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112">
        <v>0</v>
      </c>
      <c r="L30" s="2">
        <f t="shared" si="0"/>
        <v>0</v>
      </c>
    </row>
    <row r="31" spans="1:12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112">
        <v>0</v>
      </c>
      <c r="L31" s="2">
        <f t="shared" si="0"/>
        <v>0</v>
      </c>
    </row>
    <row r="32" spans="1:12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112">
        <v>0</v>
      </c>
      <c r="L32" s="2">
        <f t="shared" si="0"/>
        <v>0</v>
      </c>
    </row>
    <row r="33" spans="1:12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112">
        <v>0</v>
      </c>
      <c r="L33" s="2">
        <f t="shared" si="0"/>
        <v>0</v>
      </c>
    </row>
    <row r="34" spans="1:12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112">
        <v>3</v>
      </c>
      <c r="L34" s="2">
        <f t="shared" si="0"/>
        <v>1</v>
      </c>
    </row>
    <row r="35" spans="1:12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112">
        <v>0</v>
      </c>
      <c r="L35" s="2">
        <f t="shared" si="0"/>
        <v>0</v>
      </c>
    </row>
    <row r="36" spans="1:12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112">
        <v>0</v>
      </c>
      <c r="L36" s="2">
        <f t="shared" si="0"/>
        <v>0</v>
      </c>
    </row>
    <row r="37" spans="1:12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112">
        <v>0</v>
      </c>
      <c r="L37" s="2">
        <f t="shared" si="0"/>
        <v>0</v>
      </c>
    </row>
    <row r="38" spans="1:12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112">
        <v>0</v>
      </c>
      <c r="L38" s="2">
        <f t="shared" si="0"/>
        <v>0</v>
      </c>
    </row>
    <row r="39" spans="1:12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112">
        <v>0</v>
      </c>
      <c r="L39" s="2">
        <f t="shared" si="0"/>
        <v>0</v>
      </c>
    </row>
    <row r="40" spans="1:12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112">
        <v>0</v>
      </c>
      <c r="L40" s="2">
        <f t="shared" si="0"/>
        <v>0</v>
      </c>
    </row>
    <row r="41" spans="1:12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112">
        <v>4</v>
      </c>
      <c r="L41" s="2">
        <f t="shared" si="0"/>
        <v>1</v>
      </c>
    </row>
    <row r="42" spans="1:12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112">
        <v>2</v>
      </c>
      <c r="L42" s="2">
        <f t="shared" si="0"/>
        <v>1</v>
      </c>
    </row>
    <row r="43" spans="1:12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112">
        <v>0</v>
      </c>
      <c r="L43" s="2">
        <f t="shared" si="0"/>
        <v>0</v>
      </c>
    </row>
    <row r="44" spans="1:12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112">
        <v>0</v>
      </c>
      <c r="L44" s="2">
        <f t="shared" si="0"/>
        <v>0</v>
      </c>
    </row>
    <row r="45" spans="1:12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112">
        <v>0</v>
      </c>
      <c r="L45" s="2">
        <f t="shared" si="0"/>
        <v>0</v>
      </c>
    </row>
    <row r="46" spans="1:12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112">
        <v>0</v>
      </c>
      <c r="L46" s="2">
        <f t="shared" si="0"/>
        <v>0</v>
      </c>
    </row>
    <row r="47" spans="1:12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 t="e">
        <v>#N/A</v>
      </c>
      <c r="I47" s="62" t="e">
        <v>#N/A</v>
      </c>
      <c r="J47" s="60">
        <v>9.3000000000000007</v>
      </c>
      <c r="K47" s="112">
        <v>0</v>
      </c>
      <c r="L47" s="2">
        <f t="shared" si="0"/>
        <v>0</v>
      </c>
    </row>
    <row r="48" spans="1:12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112" t="e">
        <v>#N/A</v>
      </c>
      <c r="L48" s="2">
        <f t="shared" si="0"/>
        <v>0</v>
      </c>
    </row>
    <row r="49" spans="1:12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112" t="e">
        <v>#N/A</v>
      </c>
      <c r="L49" s="2">
        <f t="shared" si="0"/>
        <v>0</v>
      </c>
    </row>
    <row r="50" spans="1:12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112" t="e">
        <v>#N/A</v>
      </c>
      <c r="L50" s="2">
        <f t="shared" si="0"/>
        <v>0</v>
      </c>
    </row>
    <row r="51" spans="1:12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112" t="e">
        <v>#N/A</v>
      </c>
      <c r="L51" s="2">
        <f t="shared" si="0"/>
        <v>0</v>
      </c>
    </row>
    <row r="52" spans="1:12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112" t="e">
        <v>#N/A</v>
      </c>
      <c r="L52" s="2">
        <f t="shared" si="0"/>
        <v>0</v>
      </c>
    </row>
    <row r="53" spans="1:12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112" t="e">
        <v>#N/A</v>
      </c>
      <c r="L53" s="2">
        <f t="shared" si="0"/>
        <v>0</v>
      </c>
    </row>
    <row r="54" spans="1:12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112" t="e">
        <v>#N/A</v>
      </c>
      <c r="L54" s="2">
        <f t="shared" si="0"/>
        <v>0</v>
      </c>
    </row>
    <row r="55" spans="1:12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112" t="e">
        <v>#N/A</v>
      </c>
      <c r="L55" s="2">
        <f t="shared" si="0"/>
        <v>0</v>
      </c>
    </row>
    <row r="56" spans="1:12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112" t="e">
        <v>#N/A</v>
      </c>
      <c r="L56" s="2">
        <f t="shared" si="0"/>
        <v>0</v>
      </c>
    </row>
    <row r="57" spans="1:12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112" t="e">
        <v>#N/A</v>
      </c>
      <c r="L57" s="2">
        <f t="shared" si="0"/>
        <v>0</v>
      </c>
    </row>
    <row r="58" spans="1:12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112" t="e">
        <v>#N/A</v>
      </c>
      <c r="L58" s="2">
        <f t="shared" si="0"/>
        <v>0</v>
      </c>
    </row>
    <row r="59" spans="1:12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112" t="e">
        <v>#N/A</v>
      </c>
      <c r="L59" s="2">
        <f t="shared" si="0"/>
        <v>0</v>
      </c>
    </row>
    <row r="60" spans="1:12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112" t="e">
        <v>#N/A</v>
      </c>
      <c r="L60" s="2">
        <f t="shared" si="0"/>
        <v>0</v>
      </c>
    </row>
    <row r="61" spans="1:12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112" t="e">
        <v>#N/A</v>
      </c>
      <c r="L61" s="2">
        <f t="shared" si="0"/>
        <v>0</v>
      </c>
    </row>
    <row r="62" spans="1:12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112" t="e">
        <v>#N/A</v>
      </c>
      <c r="L62" s="2">
        <f t="shared" si="0"/>
        <v>0</v>
      </c>
    </row>
    <row r="63" spans="1:12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112" t="e">
        <v>#N/A</v>
      </c>
      <c r="L63" s="2">
        <f t="shared" si="0"/>
        <v>0</v>
      </c>
    </row>
    <row r="64" spans="1:12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112" t="e">
        <v>#N/A</v>
      </c>
      <c r="L64" s="2">
        <f t="shared" si="0"/>
        <v>0</v>
      </c>
    </row>
    <row r="65" spans="1:12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112" t="e">
        <v>#N/A</v>
      </c>
      <c r="L65" s="2">
        <f t="shared" si="0"/>
        <v>0</v>
      </c>
    </row>
    <row r="66" spans="1:12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112" t="e">
        <v>#N/A</v>
      </c>
      <c r="L66" s="2">
        <f t="shared" si="0"/>
        <v>0</v>
      </c>
    </row>
    <row r="67" spans="1:12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112" t="e">
        <v>#N/A</v>
      </c>
      <c r="L67" s="2">
        <f t="shared" si="0"/>
        <v>0</v>
      </c>
    </row>
    <row r="68" spans="1:12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112" t="e">
        <v>#N/A</v>
      </c>
      <c r="L68" s="2">
        <f t="shared" si="0"/>
        <v>0</v>
      </c>
    </row>
    <row r="69" spans="1:12">
      <c r="B69" s="50"/>
      <c r="C69" s="51"/>
      <c r="D69" s="52"/>
      <c r="E69" s="52"/>
      <c r="F69" s="52"/>
      <c r="G69" s="59"/>
      <c r="H69" s="7"/>
      <c r="I69" s="7"/>
    </row>
    <row r="70" spans="1:12">
      <c r="B70" s="50"/>
      <c r="C70" s="51"/>
      <c r="D70" s="52"/>
      <c r="E70" s="52"/>
      <c r="F70" s="52"/>
      <c r="G70" s="59"/>
      <c r="H70" s="7"/>
      <c r="I70" s="7"/>
    </row>
    <row r="71" spans="1:12">
      <c r="B71" s="50"/>
      <c r="C71" s="51"/>
      <c r="D71" s="52"/>
      <c r="E71" s="52"/>
      <c r="F71" s="52"/>
      <c r="G71" s="59"/>
      <c r="H71" s="7"/>
      <c r="I71" s="7"/>
    </row>
    <row r="72" spans="1:12">
      <c r="B72" s="50"/>
      <c r="C72" s="51"/>
      <c r="D72" s="52"/>
      <c r="E72" s="52"/>
      <c r="F72" s="52"/>
      <c r="G72" s="59"/>
      <c r="H72" s="7"/>
      <c r="I72" s="7"/>
    </row>
    <row r="73" spans="1:12">
      <c r="B73" s="50"/>
      <c r="C73" s="51"/>
      <c r="D73" s="52"/>
      <c r="E73" s="52"/>
      <c r="F73" s="52"/>
      <c r="G73" s="59"/>
      <c r="H73" s="7"/>
      <c r="I73" s="7"/>
    </row>
    <row r="74" spans="1:12">
      <c r="B74" s="50"/>
      <c r="C74" s="51"/>
      <c r="D74" s="52"/>
      <c r="E74" s="52"/>
      <c r="F74" s="52"/>
      <c r="G74" s="59"/>
      <c r="H74" s="7"/>
      <c r="I74" s="7"/>
    </row>
    <row r="75" spans="1:12">
      <c r="B75" s="50"/>
      <c r="C75" s="51"/>
      <c r="D75" s="52"/>
      <c r="E75" s="52"/>
      <c r="F75" s="52"/>
      <c r="G75" s="59"/>
      <c r="H75" s="7"/>
      <c r="I75" s="7"/>
    </row>
    <row r="76" spans="1:12">
      <c r="B76" s="50"/>
      <c r="C76" s="51"/>
      <c r="D76" s="52"/>
      <c r="E76" s="52"/>
      <c r="F76" s="52"/>
      <c r="G76" s="59"/>
      <c r="H76" s="7"/>
      <c r="I76" s="7"/>
    </row>
    <row r="77" spans="1:12">
      <c r="B77" s="50"/>
      <c r="C77" s="51"/>
      <c r="D77" s="52"/>
      <c r="E77" s="52"/>
      <c r="F77" s="52"/>
      <c r="G77" s="59"/>
      <c r="H77" s="7"/>
      <c r="I77" s="7"/>
    </row>
    <row r="78" spans="1:12">
      <c r="B78" s="50"/>
      <c r="C78" s="51"/>
      <c r="D78" s="52"/>
      <c r="E78" s="52"/>
      <c r="F78" s="52"/>
      <c r="G78" s="59"/>
      <c r="H78" s="7"/>
      <c r="I78" s="7"/>
    </row>
    <row r="79" spans="1:12">
      <c r="B79" s="50"/>
      <c r="C79" s="51"/>
      <c r="D79" s="52"/>
      <c r="E79" s="52"/>
      <c r="F79" s="52"/>
      <c r="G79" s="59"/>
      <c r="H79" s="7"/>
      <c r="I79" s="7"/>
    </row>
    <row r="80" spans="1:12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410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410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410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410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410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410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410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19" workbookViewId="0">
      <selection activeCell="F41" sqref="F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410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Category'!L8,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Category'!L9,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Category'!L10,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Category'!L11,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Category'!L12,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Category'!L13,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Category'!L14,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Category'!L15,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Category'!L16,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Category'!L17,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Category'!L18,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Category'!L19,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Category'!L20,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Category'!L21,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Category'!L22,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Category'!L23,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Category'!L24,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Category'!L25,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Category'!L26,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Category'!L27,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Category'!L28,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Category'!L29,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Category'!L30,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Category'!L31,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Category'!L32,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Category'!L33,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Category'!L34,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Category'!L35,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Category'!L36,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Category'!L37,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Category'!L38,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Category'!L39,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Category'!L40,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Category'!L41,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Category'!L42,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Category'!L43,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Category'!L44,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Category'!L45,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Category'!L46,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/>
      </c>
      <c r="H41" s="20" t="str">
        <f>IFERROR(IF(ISNUMBER('Spending by Category'!I47),TEXT('Spending by Category'!I47,"0.00"), ""), "")</f>
        <v/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Category'!L47,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Category'!L48,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Category'!L49,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Category'!L50,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Category'!L51,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Category'!L52,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Category'!L53,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Category'!L54,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Category'!L55,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Category'!L56,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Category'!L57,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Category'!L58,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Category'!L59,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Category'!L60,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Category'!L61,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Category'!L62,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Category'!L63,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Category'!L64,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Category'!L65,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Category'!L66,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Category'!L67,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Category'!L68,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Category'!L69,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Category'!L70,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Category'!L71,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Category'!L72,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Category'!L73,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Category'!L74,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Category'!L75,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Category'!L76,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Category'!L77,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Category'!L78,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Category'!L79,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Category'!L80,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Category'!L81,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Category'!L82,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Category'!L83,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Category'!L84,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Category'!L85,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Category'!L86,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Category'!L87,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Category'!L88,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Category'!L89,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Category'!L90,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Category'!L91,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Category'!L92,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Category'!L93,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Category'!L94,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Category'!L95,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Category'!L96,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Category'!L97,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Category'!L98,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Category'!L99,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Category'!L100,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Category'!L101,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Category'!L102,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Category'!L103,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Category'!L104,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Category'!L105,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Category'!L106,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Category'!L107,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Category'!L108,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Category'!L109,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Category'!L110,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Category'!L111,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Category'!L112,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Category'!L113,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Category'!L114,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Category'!L115,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Category'!L116,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Category'!L117,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Category'!L118,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Category'!L119,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Category'!L120,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Category'!L121,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Category'!L122,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Category'!L123,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Category'!L124,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Category'!L125,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Category'!L126,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Category'!L127,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Category'!L128,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Category'!L129,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Category'!L130,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Category'!L131,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Category'!L132,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Category'!L133,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Category'!L134,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Category'!L135,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Category'!L136,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Category'!L137,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Category'!L138,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Category'!L139,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Category'!L140,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Category'!L141,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Category'!L142,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Category'!L143,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Category'!L144,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Category'!L145,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Category'!L146,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Category'!L147,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Category'!L148,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Category'!L149,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Category'!L150,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Category'!L151,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Category'!L152,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Category'!L153,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Category'!L154,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Category'!L155,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Category'!L156,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Category'!L157,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Category'!L158,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Category'!L159,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Category'!L160,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Category'!L161,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Category'!L162,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Category'!L163,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Category'!L164,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Category'!L165,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Category'!L166,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Category'!L167,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Category'!L168,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Category'!L169,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Category'!L170,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Category'!L171,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Category'!L172,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Category'!L173,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Category'!L174,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Category'!L175,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Category'!L176,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Category'!L177,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Category'!L178,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Category'!L179,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Category'!L180,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Category'!L181,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Category'!L182,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Category'!L183,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Category'!L184,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Category'!L185,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Category'!L186,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Category'!L187,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Category'!L188,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Category'!L189,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Category'!L190,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Category'!L191,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Category'!L192,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Category'!L193,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Category'!L194,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Category'!L195,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Category'!L196,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Category'!L197,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Category'!L198,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Category'!L199,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Category'!L200,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Category'!L201,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Category'!L202,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Category'!L203,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D70271-9244-44A4-A66B-1ECE4C83AB53}"/>
</file>

<file path=customXml/itemProps2.xml><?xml version="1.0" encoding="utf-8"?>
<ds:datastoreItem xmlns:ds="http://schemas.openxmlformats.org/officeDocument/2006/customXml" ds:itemID="{36D97717-8D0E-4E96-BD5E-F501AA4AF45A}"/>
</file>

<file path=customXml/itemProps3.xml><?xml version="1.0" encoding="utf-8"?>
<ds:datastoreItem xmlns:ds="http://schemas.openxmlformats.org/officeDocument/2006/customXml" ds:itemID="{78AF98FD-9376-4595-A841-248709240B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2014-12-23T14:48:13Z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