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theme/themeOverride5.xml" ContentType="application/vnd.openxmlformats-officedocument.themeOverride+xml"/>
  <Override PartName="/xl/theme/themeOverride6.xml" ContentType="application/vnd.openxmlformats-officedocument.themeOverrid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1.xml" ContentType="application/vnd.openxmlformats-officedocument.theme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theme/themeOverride2.xml" ContentType="application/vnd.openxmlformats-officedocument.themeOverride+xml"/>
  <Override PartName="/xl/worksheets/sheet9.xml" ContentType="application/vnd.openxmlformats-officedocument.spreadsheetml.worksheet+xml"/>
  <Override PartName="/xl/theme/themeOverride3.xml" ContentType="application/vnd.openxmlformats-officedocument.themeOverride+xml"/>
  <Override PartName="/xl/charts/chart3.xml" ContentType="application/vnd.openxmlformats-officedocument.drawingml.chart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45" yWindow="210" windowWidth="16620" windowHeight="9915" firstSheet="15" activeTab="19"/>
  </bookViews>
  <sheets>
    <sheet name="Master" sheetId="26" r:id="rId1"/>
    <sheet name="Panel_JobsandConstruction" sheetId="33" r:id="rId2"/>
    <sheet name="Panel_TaxesandSpending" sheetId="37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CBO Snapshot" sheetId="13" r:id="rId8"/>
    <sheet name="Revenues &amp; Outlays in GDP" sheetId="8" r:id="rId9"/>
    <sheet name="Deficit" sheetId="7" r:id="rId10"/>
    <sheet name="Debt to GDP Ratio" sheetId="9" r:id="rId11"/>
    <sheet name="Spending by Category" sheetId="11" r:id="rId12"/>
    <sheet name="jobs_state" sheetId="17" r:id="rId13"/>
    <sheet name="jobs_fed" sheetId="18" r:id="rId14"/>
    <sheet name="jobs_structures" sheetId="19" r:id="rId15"/>
    <sheet name="taxes_state" sheetId="21" r:id="rId16"/>
    <sheet name="long_revenue" sheetId="22" r:id="rId17"/>
    <sheet name="long_deficit" sheetId="23" r:id="rId18"/>
    <sheet name="long_deficit_2" sheetId="38" r:id="rId19"/>
    <sheet name="long_deficit_3" sheetId="39" r:id="rId20"/>
    <sheet name="long_debt" sheetId="24" r:id="rId21"/>
    <sheet name="long_category" sheetId="25" r:id="rId22"/>
  </sheets>
  <externalReferences>
    <externalReference r:id="rId23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Employment'!$A$3:$P$6</definedName>
    <definedName name="_DLX4.USE" localSheetId="13">#REF!</definedName>
    <definedName name="_DLX4.USE" localSheetId="14">#REF!</definedName>
    <definedName name="_DLX4.USE" localSheetId="18">#REF!</definedName>
    <definedName name="_DLX4.USE" localSheetId="19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</definedNames>
  <calcPr calcId="145621"/>
</workbook>
</file>

<file path=xl/calcChain.xml><?xml version="1.0" encoding="utf-8"?>
<calcChain xmlns="http://schemas.openxmlformats.org/spreadsheetml/2006/main">
  <c r="A285" i="39" l="1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C285" i="39"/>
  <c r="B285" i="39"/>
  <c r="C284" i="39"/>
  <c r="B284" i="39"/>
  <c r="C283" i="39"/>
  <c r="B283" i="39"/>
  <c r="C282" i="39"/>
  <c r="B282" i="39"/>
  <c r="C281" i="39"/>
  <c r="B281" i="39"/>
  <c r="C280" i="39"/>
  <c r="B280" i="39"/>
  <c r="C279" i="39"/>
  <c r="B279" i="39"/>
  <c r="C278" i="39"/>
  <c r="B278" i="39"/>
  <c r="C277" i="39"/>
  <c r="B277" i="39"/>
  <c r="C276" i="39"/>
  <c r="B276" i="39"/>
  <c r="C275" i="39"/>
  <c r="B275" i="39"/>
  <c r="C274" i="39"/>
  <c r="B274" i="39"/>
  <c r="C273" i="39"/>
  <c r="B273" i="39"/>
  <c r="C272" i="39"/>
  <c r="B272" i="39"/>
  <c r="C271" i="39"/>
  <c r="B271" i="39"/>
  <c r="C270" i="39"/>
  <c r="B270" i="39"/>
  <c r="C269" i="39"/>
  <c r="B269" i="39"/>
  <c r="C268" i="39"/>
  <c r="B268" i="39"/>
  <c r="C267" i="39"/>
  <c r="B267" i="39"/>
  <c r="C266" i="39"/>
  <c r="B266" i="39"/>
  <c r="C265" i="39"/>
  <c r="B265" i="39"/>
  <c r="C264" i="39"/>
  <c r="B264" i="39"/>
  <c r="C263" i="39"/>
  <c r="B263" i="39"/>
  <c r="C262" i="39"/>
  <c r="B262" i="39"/>
  <c r="C261" i="39"/>
  <c r="B261" i="39"/>
  <c r="C260" i="39"/>
  <c r="B260" i="39"/>
  <c r="C259" i="39"/>
  <c r="B259" i="39"/>
  <c r="C258" i="39"/>
  <c r="B258" i="39"/>
  <c r="C257" i="39"/>
  <c r="B257" i="39"/>
  <c r="C256" i="39"/>
  <c r="B256" i="39"/>
  <c r="C255" i="39"/>
  <c r="B255" i="39"/>
  <c r="C254" i="39"/>
  <c r="B254" i="39"/>
  <c r="C253" i="39"/>
  <c r="B253" i="39"/>
  <c r="C252" i="39"/>
  <c r="B252" i="39"/>
  <c r="C251" i="39"/>
  <c r="B251" i="39"/>
  <c r="C250" i="39"/>
  <c r="B250" i="39"/>
  <c r="C249" i="39"/>
  <c r="B249" i="39"/>
  <c r="C248" i="39"/>
  <c r="B248" i="39"/>
  <c r="C247" i="39"/>
  <c r="B247" i="39"/>
  <c r="C246" i="39"/>
  <c r="B246" i="39"/>
  <c r="C245" i="39"/>
  <c r="B245" i="39"/>
  <c r="C244" i="39"/>
  <c r="B244" i="39"/>
  <c r="C243" i="39"/>
  <c r="B243" i="39"/>
  <c r="C242" i="39"/>
  <c r="B242" i="39"/>
  <c r="C241" i="39"/>
  <c r="B241" i="39"/>
  <c r="C240" i="39"/>
  <c r="B240" i="39"/>
  <c r="C239" i="39"/>
  <c r="B239" i="39"/>
  <c r="C238" i="39"/>
  <c r="B238" i="39"/>
  <c r="C237" i="39"/>
  <c r="B237" i="39"/>
  <c r="C236" i="39"/>
  <c r="B236" i="39"/>
  <c r="C235" i="39"/>
  <c r="B235" i="39"/>
  <c r="C234" i="39"/>
  <c r="B234" i="39"/>
  <c r="C233" i="39"/>
  <c r="B233" i="39"/>
  <c r="C232" i="39"/>
  <c r="B232" i="39"/>
  <c r="C231" i="39"/>
  <c r="B231" i="39"/>
  <c r="C230" i="39"/>
  <c r="B230" i="39"/>
  <c r="C229" i="39"/>
  <c r="B229" i="39"/>
  <c r="C228" i="39"/>
  <c r="B228" i="39"/>
  <c r="C227" i="39"/>
  <c r="B227" i="39"/>
  <c r="C226" i="39"/>
  <c r="B226" i="39"/>
  <c r="C225" i="39"/>
  <c r="B225" i="39"/>
  <c r="C224" i="39"/>
  <c r="B224" i="39"/>
  <c r="C223" i="39"/>
  <c r="B223" i="39"/>
  <c r="C222" i="39"/>
  <c r="B222" i="39"/>
  <c r="C221" i="39"/>
  <c r="B221" i="39"/>
  <c r="C220" i="39"/>
  <c r="B220" i="39"/>
  <c r="C219" i="39"/>
  <c r="B219" i="39"/>
  <c r="C218" i="39"/>
  <c r="B218" i="39"/>
  <c r="C217" i="39"/>
  <c r="B217" i="39"/>
  <c r="C216" i="39"/>
  <c r="B216" i="39"/>
  <c r="C215" i="39"/>
  <c r="B215" i="39"/>
  <c r="C214" i="39"/>
  <c r="B214" i="39"/>
  <c r="C213" i="39"/>
  <c r="B213" i="39"/>
  <c r="C212" i="39"/>
  <c r="B212" i="39"/>
  <c r="C211" i="39"/>
  <c r="B211" i="39"/>
  <c r="C210" i="39"/>
  <c r="B210" i="39"/>
  <c r="C209" i="39"/>
  <c r="B209" i="39"/>
  <c r="C208" i="39"/>
  <c r="B208" i="39"/>
  <c r="C207" i="39"/>
  <c r="B207" i="39"/>
  <c r="C206" i="39"/>
  <c r="B206" i="39"/>
  <c r="C205" i="39"/>
  <c r="B205" i="39"/>
  <c r="C204" i="39"/>
  <c r="B204" i="39"/>
  <c r="C203" i="39"/>
  <c r="B203" i="39"/>
  <c r="C202" i="39"/>
  <c r="B202" i="39"/>
  <c r="C201" i="39"/>
  <c r="B201" i="39"/>
  <c r="C200" i="39"/>
  <c r="B200" i="39"/>
  <c r="C199" i="39"/>
  <c r="B199" i="39"/>
  <c r="C198" i="39"/>
  <c r="B198" i="39"/>
  <c r="C197" i="39"/>
  <c r="B197" i="39"/>
  <c r="C196" i="39"/>
  <c r="B196" i="39"/>
  <c r="C195" i="39"/>
  <c r="B195" i="39"/>
  <c r="C194" i="39"/>
  <c r="B194" i="39"/>
  <c r="C193" i="39"/>
  <c r="B193" i="39"/>
  <c r="C192" i="39"/>
  <c r="B192" i="39"/>
  <c r="C191" i="39"/>
  <c r="B191" i="39"/>
  <c r="C190" i="39"/>
  <c r="B190" i="39"/>
  <c r="C189" i="39"/>
  <c r="B189" i="39"/>
  <c r="C188" i="39"/>
  <c r="B188" i="39"/>
  <c r="C187" i="39"/>
  <c r="B187" i="39"/>
  <c r="C186" i="39"/>
  <c r="B186" i="39"/>
  <c r="C185" i="39"/>
  <c r="B185" i="39"/>
  <c r="C184" i="39"/>
  <c r="B184" i="39"/>
  <c r="C183" i="39"/>
  <c r="B183" i="39"/>
  <c r="C182" i="39"/>
  <c r="B182" i="39"/>
  <c r="C181" i="39"/>
  <c r="B181" i="39"/>
  <c r="C180" i="39"/>
  <c r="B180" i="39"/>
  <c r="C179" i="39"/>
  <c r="B179" i="39"/>
  <c r="C178" i="39"/>
  <c r="B178" i="39"/>
  <c r="C177" i="39"/>
  <c r="B177" i="39"/>
  <c r="C176" i="39"/>
  <c r="B176" i="39"/>
  <c r="C175" i="39"/>
  <c r="B175" i="39"/>
  <c r="C174" i="39"/>
  <c r="B174" i="39"/>
  <c r="C173" i="39"/>
  <c r="B173" i="39"/>
  <c r="C172" i="39"/>
  <c r="B172" i="39"/>
  <c r="C171" i="39"/>
  <c r="B171" i="39"/>
  <c r="C170" i="39"/>
  <c r="B170" i="39"/>
  <c r="C169" i="39"/>
  <c r="B169" i="39"/>
  <c r="C168" i="39"/>
  <c r="B168" i="39"/>
  <c r="C167" i="39"/>
  <c r="B167" i="39"/>
  <c r="C166" i="39"/>
  <c r="B166" i="39"/>
  <c r="C165" i="39"/>
  <c r="B165" i="39"/>
  <c r="C164" i="39"/>
  <c r="B164" i="39"/>
  <c r="C163" i="39"/>
  <c r="B163" i="39"/>
  <c r="C162" i="39"/>
  <c r="B162" i="39"/>
  <c r="C161" i="39"/>
  <c r="B161" i="39"/>
  <c r="C160" i="39"/>
  <c r="B160" i="39"/>
  <c r="C159" i="39"/>
  <c r="B159" i="39"/>
  <c r="C158" i="39"/>
  <c r="B158" i="39"/>
  <c r="C157" i="39"/>
  <c r="B157" i="39"/>
  <c r="C156" i="39"/>
  <c r="B156" i="39"/>
  <c r="C155" i="39"/>
  <c r="B155" i="39"/>
  <c r="C154" i="39"/>
  <c r="B154" i="39"/>
  <c r="C153" i="39"/>
  <c r="B153" i="39"/>
  <c r="C152" i="39"/>
  <c r="B152" i="39"/>
  <c r="C151" i="39"/>
  <c r="B151" i="39"/>
  <c r="C150" i="39"/>
  <c r="B150" i="39"/>
  <c r="C149" i="39"/>
  <c r="B149" i="39"/>
  <c r="C148" i="39"/>
  <c r="B148" i="39"/>
  <c r="C147" i="39"/>
  <c r="B147" i="39"/>
  <c r="C146" i="39"/>
  <c r="B146" i="39"/>
  <c r="C145" i="39"/>
  <c r="B145" i="39"/>
  <c r="C144" i="39"/>
  <c r="B144" i="39"/>
  <c r="C143" i="39"/>
  <c r="B143" i="39"/>
  <c r="C142" i="39"/>
  <c r="B142" i="39"/>
  <c r="C141" i="39"/>
  <c r="B141" i="39"/>
  <c r="C140" i="39"/>
  <c r="B140" i="39"/>
  <c r="C139" i="39"/>
  <c r="B139" i="39"/>
  <c r="C138" i="39"/>
  <c r="B138" i="39"/>
  <c r="C137" i="39"/>
  <c r="B137" i="39"/>
  <c r="C136" i="39"/>
  <c r="B136" i="39"/>
  <c r="C135" i="39"/>
  <c r="B135" i="39"/>
  <c r="C134" i="39"/>
  <c r="B134" i="39"/>
  <c r="C133" i="39"/>
  <c r="B133" i="39"/>
  <c r="C132" i="39"/>
  <c r="B132" i="39"/>
  <c r="C131" i="39"/>
  <c r="B131" i="39"/>
  <c r="C130" i="39"/>
  <c r="B130" i="39"/>
  <c r="C129" i="39"/>
  <c r="B129" i="39"/>
  <c r="C128" i="39"/>
  <c r="B128" i="39"/>
  <c r="C127" i="39"/>
  <c r="B127" i="39"/>
  <c r="C126" i="39"/>
  <c r="B126" i="39"/>
  <c r="C125" i="39"/>
  <c r="B125" i="39"/>
  <c r="C124" i="39"/>
  <c r="B124" i="39"/>
  <c r="C123" i="39"/>
  <c r="B123" i="39"/>
  <c r="C122" i="39"/>
  <c r="B122" i="39"/>
  <c r="C121" i="39"/>
  <c r="B121" i="39"/>
  <c r="C120" i="39"/>
  <c r="B120" i="39"/>
  <c r="C119" i="39"/>
  <c r="B119" i="39"/>
  <c r="C118" i="39"/>
  <c r="B118" i="39"/>
  <c r="C117" i="39"/>
  <c r="B117" i="39"/>
  <c r="C116" i="39"/>
  <c r="B116" i="39"/>
  <c r="C115" i="39"/>
  <c r="B115" i="39"/>
  <c r="C114" i="39"/>
  <c r="B114" i="39"/>
  <c r="C113" i="39"/>
  <c r="B113" i="39"/>
  <c r="C112" i="39"/>
  <c r="B112" i="39"/>
  <c r="C111" i="39"/>
  <c r="B111" i="39"/>
  <c r="C110" i="39"/>
  <c r="B110" i="39"/>
  <c r="C109" i="39"/>
  <c r="B109" i="39"/>
  <c r="C108" i="39"/>
  <c r="B108" i="39"/>
  <c r="C107" i="39"/>
  <c r="B107" i="39"/>
  <c r="C106" i="39"/>
  <c r="B106" i="39"/>
  <c r="C105" i="39"/>
  <c r="B105" i="39"/>
  <c r="C104" i="39"/>
  <c r="B104" i="39"/>
  <c r="C103" i="39"/>
  <c r="B103" i="39"/>
  <c r="C102" i="39"/>
  <c r="B102" i="39"/>
  <c r="C101" i="39"/>
  <c r="B101" i="39"/>
  <c r="C100" i="39"/>
  <c r="B100" i="39"/>
  <c r="C99" i="39"/>
  <c r="B99" i="39"/>
  <c r="C98" i="39"/>
  <c r="B98" i="39"/>
  <c r="C97" i="39"/>
  <c r="B97" i="39"/>
  <c r="C96" i="39"/>
  <c r="B96" i="39"/>
  <c r="C95" i="39"/>
  <c r="B95" i="39"/>
  <c r="C94" i="39"/>
  <c r="B94" i="39"/>
  <c r="C93" i="39"/>
  <c r="B93" i="39"/>
  <c r="C92" i="39"/>
  <c r="B92" i="39"/>
  <c r="C91" i="39"/>
  <c r="B91" i="39"/>
  <c r="C90" i="39"/>
  <c r="B90" i="39"/>
  <c r="C89" i="39"/>
  <c r="B89" i="39"/>
  <c r="C88" i="39"/>
  <c r="B88" i="39"/>
  <c r="C87" i="39"/>
  <c r="B87" i="39"/>
  <c r="C86" i="39"/>
  <c r="B86" i="39"/>
  <c r="C85" i="39"/>
  <c r="B85" i="39"/>
  <c r="C84" i="39"/>
  <c r="B84" i="39"/>
  <c r="C83" i="39"/>
  <c r="B83" i="39"/>
  <c r="C82" i="39"/>
  <c r="B82" i="39"/>
  <c r="C81" i="39"/>
  <c r="B81" i="39"/>
  <c r="C80" i="39"/>
  <c r="B80" i="39"/>
  <c r="C79" i="39"/>
  <c r="B79" i="39"/>
  <c r="C78" i="39"/>
  <c r="B78" i="39"/>
  <c r="C77" i="39"/>
  <c r="B77" i="39"/>
  <c r="C76" i="39"/>
  <c r="B76" i="39"/>
  <c r="C75" i="39"/>
  <c r="B75" i="39"/>
  <c r="C74" i="39"/>
  <c r="B74" i="39"/>
  <c r="C73" i="39"/>
  <c r="B73" i="39"/>
  <c r="C72" i="39"/>
  <c r="B72" i="39"/>
  <c r="C71" i="39"/>
  <c r="B71" i="39"/>
  <c r="C70" i="39"/>
  <c r="B70" i="39"/>
  <c r="C69" i="39"/>
  <c r="B69" i="39"/>
  <c r="C68" i="39"/>
  <c r="B68" i="39"/>
  <c r="C67" i="39"/>
  <c r="B67" i="39"/>
  <c r="C66" i="39"/>
  <c r="B66" i="39"/>
  <c r="C65" i="39"/>
  <c r="B65" i="39"/>
  <c r="C64" i="39"/>
  <c r="B64" i="39"/>
  <c r="C63" i="39"/>
  <c r="B63" i="39"/>
  <c r="C62" i="39"/>
  <c r="B62" i="39"/>
  <c r="C61" i="39"/>
  <c r="B61" i="39"/>
  <c r="C60" i="39"/>
  <c r="B60" i="39"/>
  <c r="C59" i="39"/>
  <c r="B59" i="39"/>
  <c r="C58" i="39"/>
  <c r="B58" i="39"/>
  <c r="C57" i="39"/>
  <c r="B57" i="39"/>
  <c r="C56" i="39"/>
  <c r="B56" i="39"/>
  <c r="C55" i="39"/>
  <c r="B55" i="39"/>
  <c r="C54" i="39"/>
  <c r="B54" i="39"/>
  <c r="C53" i="39"/>
  <c r="B53" i="39"/>
  <c r="C52" i="39"/>
  <c r="B52" i="39"/>
  <c r="C51" i="39"/>
  <c r="B51" i="39"/>
  <c r="C50" i="39"/>
  <c r="B50" i="39"/>
  <c r="C49" i="39"/>
  <c r="B49" i="39"/>
  <c r="C48" i="39"/>
  <c r="B48" i="39"/>
  <c r="C47" i="39"/>
  <c r="B47" i="39"/>
  <c r="C46" i="39"/>
  <c r="B46" i="39"/>
  <c r="C45" i="39"/>
  <c r="B45" i="39"/>
  <c r="C44" i="39"/>
  <c r="B44" i="39"/>
  <c r="C43" i="39"/>
  <c r="B43" i="39"/>
  <c r="C42" i="39"/>
  <c r="B42" i="39"/>
  <c r="C41" i="39"/>
  <c r="B41" i="39"/>
  <c r="C40" i="39"/>
  <c r="B40" i="39"/>
  <c r="C39" i="39"/>
  <c r="B39" i="39"/>
  <c r="C38" i="39"/>
  <c r="B38" i="39"/>
  <c r="C37" i="39"/>
  <c r="B37" i="39"/>
  <c r="C36" i="39"/>
  <c r="B36" i="39"/>
  <c r="C35" i="39"/>
  <c r="B35" i="39"/>
  <c r="C34" i="39"/>
  <c r="B34" i="39"/>
  <c r="C33" i="39"/>
  <c r="B33" i="39"/>
  <c r="C32" i="39"/>
  <c r="B32" i="39"/>
  <c r="C31" i="39"/>
  <c r="B31" i="39"/>
  <c r="C30" i="39"/>
  <c r="B30" i="39"/>
  <c r="C29" i="39"/>
  <c r="B29" i="39"/>
  <c r="C28" i="39"/>
  <c r="B28" i="39"/>
  <c r="C27" i="39"/>
  <c r="B27" i="39"/>
  <c r="C26" i="39"/>
  <c r="B26" i="39"/>
  <c r="C25" i="39"/>
  <c r="B25" i="39"/>
  <c r="C24" i="39"/>
  <c r="B24" i="39"/>
  <c r="C23" i="39"/>
  <c r="B23" i="39"/>
  <c r="C22" i="39"/>
  <c r="B22" i="39"/>
  <c r="C21" i="39"/>
  <c r="B21" i="39"/>
  <c r="C20" i="39"/>
  <c r="B20" i="39"/>
  <c r="C19" i="39"/>
  <c r="B19" i="39"/>
  <c r="C18" i="39"/>
  <c r="B18" i="39"/>
  <c r="C17" i="39"/>
  <c r="B17" i="39"/>
  <c r="C16" i="39"/>
  <c r="B16" i="39"/>
  <c r="C15" i="39"/>
  <c r="B15" i="39"/>
  <c r="C14" i="39"/>
  <c r="B14" i="39"/>
  <c r="C13" i="39"/>
  <c r="B13" i="39"/>
  <c r="C12" i="39"/>
  <c r="B12" i="39"/>
  <c r="C11" i="39"/>
  <c r="B11" i="39"/>
  <c r="C10" i="39"/>
  <c r="B10" i="39"/>
  <c r="C9" i="39"/>
  <c r="B9" i="39"/>
  <c r="C8" i="39"/>
  <c r="B8" i="39"/>
  <c r="C7" i="39"/>
  <c r="B7" i="39"/>
  <c r="C6" i="39"/>
  <c r="B6" i="39"/>
  <c r="C5" i="39"/>
  <c r="B5" i="39"/>
  <c r="C4" i="39"/>
  <c r="B4" i="39"/>
  <c r="C3" i="39"/>
  <c r="B3" i="39"/>
  <c r="C2" i="39"/>
  <c r="B2" i="39"/>
  <c r="A285" i="38" l="1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  <c r="C285" i="38"/>
  <c r="B285" i="38"/>
  <c r="C284" i="38"/>
  <c r="B284" i="38"/>
  <c r="C283" i="38"/>
  <c r="B283" i="38"/>
  <c r="C282" i="38"/>
  <c r="B282" i="38"/>
  <c r="C281" i="38"/>
  <c r="B281" i="38"/>
  <c r="C280" i="38"/>
  <c r="B280" i="38"/>
  <c r="C279" i="38"/>
  <c r="B279" i="38"/>
  <c r="C278" i="38"/>
  <c r="B278" i="38"/>
  <c r="C277" i="38"/>
  <c r="B277" i="38"/>
  <c r="C276" i="38"/>
  <c r="B276" i="38"/>
  <c r="C275" i="38"/>
  <c r="B275" i="38"/>
  <c r="C274" i="38"/>
  <c r="B274" i="38"/>
  <c r="C273" i="38"/>
  <c r="B273" i="38"/>
  <c r="C272" i="38"/>
  <c r="B272" i="38"/>
  <c r="C271" i="38"/>
  <c r="B271" i="38"/>
  <c r="C270" i="38"/>
  <c r="B270" i="38"/>
  <c r="C269" i="38"/>
  <c r="B269" i="38"/>
  <c r="C268" i="38"/>
  <c r="B268" i="38"/>
  <c r="C267" i="38"/>
  <c r="B267" i="38"/>
  <c r="C266" i="38"/>
  <c r="B266" i="38"/>
  <c r="C265" i="38"/>
  <c r="B265" i="38"/>
  <c r="C264" i="38"/>
  <c r="B264" i="38"/>
  <c r="C263" i="38"/>
  <c r="B263" i="38"/>
  <c r="C262" i="38"/>
  <c r="B262" i="38"/>
  <c r="C261" i="38"/>
  <c r="B261" i="38"/>
  <c r="C260" i="38"/>
  <c r="B260" i="38"/>
  <c r="C259" i="38"/>
  <c r="B259" i="38"/>
  <c r="C258" i="38"/>
  <c r="B258" i="38"/>
  <c r="C257" i="38"/>
  <c r="B257" i="38"/>
  <c r="C256" i="38"/>
  <c r="B256" i="38"/>
  <c r="C255" i="38"/>
  <c r="B255" i="38"/>
  <c r="C254" i="38"/>
  <c r="B254" i="38"/>
  <c r="C253" i="38"/>
  <c r="B253" i="38"/>
  <c r="C252" i="38"/>
  <c r="B252" i="38"/>
  <c r="C251" i="38"/>
  <c r="B251" i="38"/>
  <c r="C250" i="38"/>
  <c r="B250" i="38"/>
  <c r="C249" i="38"/>
  <c r="B249" i="38"/>
  <c r="C248" i="38"/>
  <c r="B248" i="38"/>
  <c r="C247" i="38"/>
  <c r="B247" i="38"/>
  <c r="C246" i="38"/>
  <c r="B246" i="38"/>
  <c r="C245" i="38"/>
  <c r="B245" i="38"/>
  <c r="C244" i="38"/>
  <c r="B244" i="38"/>
  <c r="C243" i="38"/>
  <c r="B243" i="38"/>
  <c r="C242" i="38"/>
  <c r="B242" i="38"/>
  <c r="C241" i="38"/>
  <c r="B241" i="38"/>
  <c r="C240" i="38"/>
  <c r="B240" i="38"/>
  <c r="C239" i="38"/>
  <c r="B239" i="38"/>
  <c r="C238" i="38"/>
  <c r="B238" i="38"/>
  <c r="C237" i="38"/>
  <c r="B237" i="38"/>
  <c r="C236" i="38"/>
  <c r="B236" i="38"/>
  <c r="C235" i="38"/>
  <c r="B235" i="38"/>
  <c r="C234" i="38"/>
  <c r="B234" i="38"/>
  <c r="C233" i="38"/>
  <c r="B233" i="38"/>
  <c r="C232" i="38"/>
  <c r="B232" i="38"/>
  <c r="C231" i="38"/>
  <c r="B231" i="38"/>
  <c r="C230" i="38"/>
  <c r="B230" i="38"/>
  <c r="C229" i="38"/>
  <c r="B229" i="38"/>
  <c r="C228" i="38"/>
  <c r="B228" i="38"/>
  <c r="C227" i="38"/>
  <c r="B227" i="38"/>
  <c r="C226" i="38"/>
  <c r="B226" i="38"/>
  <c r="C225" i="38"/>
  <c r="B225" i="38"/>
  <c r="C224" i="38"/>
  <c r="B224" i="38"/>
  <c r="C223" i="38"/>
  <c r="B223" i="38"/>
  <c r="C222" i="38"/>
  <c r="B222" i="38"/>
  <c r="C221" i="38"/>
  <c r="B221" i="38"/>
  <c r="C220" i="38"/>
  <c r="B220" i="38"/>
  <c r="C219" i="38"/>
  <c r="B219" i="38"/>
  <c r="C218" i="38"/>
  <c r="B218" i="38"/>
  <c r="C217" i="38"/>
  <c r="B217" i="38"/>
  <c r="C216" i="38"/>
  <c r="B216" i="38"/>
  <c r="C215" i="38"/>
  <c r="B215" i="38"/>
  <c r="C214" i="38"/>
  <c r="B214" i="38"/>
  <c r="C213" i="38"/>
  <c r="B213" i="38"/>
  <c r="C212" i="38"/>
  <c r="B212" i="38"/>
  <c r="C211" i="38"/>
  <c r="B211" i="38"/>
  <c r="C210" i="38"/>
  <c r="B210" i="38"/>
  <c r="C209" i="38"/>
  <c r="B209" i="38"/>
  <c r="C208" i="38"/>
  <c r="B208" i="38"/>
  <c r="C207" i="38"/>
  <c r="B207" i="38"/>
  <c r="C206" i="38"/>
  <c r="B206" i="38"/>
  <c r="C205" i="38"/>
  <c r="B205" i="38"/>
  <c r="C204" i="38"/>
  <c r="B204" i="38"/>
  <c r="C203" i="38"/>
  <c r="B203" i="38"/>
  <c r="C202" i="38"/>
  <c r="B202" i="38"/>
  <c r="C201" i="38"/>
  <c r="B201" i="38"/>
  <c r="C200" i="38"/>
  <c r="B200" i="38"/>
  <c r="C199" i="38"/>
  <c r="B199" i="38"/>
  <c r="C198" i="38"/>
  <c r="B198" i="38"/>
  <c r="C197" i="38"/>
  <c r="B197" i="38"/>
  <c r="C196" i="38"/>
  <c r="B196" i="38"/>
  <c r="C195" i="38"/>
  <c r="B195" i="38"/>
  <c r="C194" i="38"/>
  <c r="B194" i="38"/>
  <c r="C193" i="38"/>
  <c r="B193" i="38"/>
  <c r="C192" i="38"/>
  <c r="B192" i="38"/>
  <c r="C191" i="38"/>
  <c r="B191" i="38"/>
  <c r="C190" i="38"/>
  <c r="B190" i="38"/>
  <c r="C189" i="38"/>
  <c r="B189" i="38"/>
  <c r="C188" i="38"/>
  <c r="B188" i="38"/>
  <c r="C187" i="38"/>
  <c r="B187" i="38"/>
  <c r="C186" i="38"/>
  <c r="B186" i="38"/>
  <c r="C185" i="38"/>
  <c r="B185" i="38"/>
  <c r="C184" i="38"/>
  <c r="B184" i="38"/>
  <c r="C183" i="38"/>
  <c r="B183" i="38"/>
  <c r="C182" i="38"/>
  <c r="B182" i="38"/>
  <c r="C181" i="38"/>
  <c r="B181" i="38"/>
  <c r="C180" i="38"/>
  <c r="B180" i="38"/>
  <c r="C179" i="38"/>
  <c r="B179" i="38"/>
  <c r="C178" i="38"/>
  <c r="B178" i="38"/>
  <c r="C177" i="38"/>
  <c r="B177" i="38"/>
  <c r="C176" i="38"/>
  <c r="B176" i="38"/>
  <c r="C175" i="38"/>
  <c r="B175" i="38"/>
  <c r="C174" i="38"/>
  <c r="B174" i="38"/>
  <c r="C173" i="38"/>
  <c r="B173" i="38"/>
  <c r="C172" i="38"/>
  <c r="B172" i="38"/>
  <c r="C171" i="38"/>
  <c r="B171" i="38"/>
  <c r="C170" i="38"/>
  <c r="B170" i="38"/>
  <c r="C169" i="38"/>
  <c r="B169" i="38"/>
  <c r="C168" i="38"/>
  <c r="B168" i="38"/>
  <c r="C167" i="38"/>
  <c r="B167" i="38"/>
  <c r="C166" i="38"/>
  <c r="B166" i="38"/>
  <c r="C165" i="38"/>
  <c r="B165" i="38"/>
  <c r="C164" i="38"/>
  <c r="B164" i="38"/>
  <c r="C163" i="38"/>
  <c r="B163" i="38"/>
  <c r="C162" i="38"/>
  <c r="B162" i="38"/>
  <c r="C161" i="38"/>
  <c r="B161" i="38"/>
  <c r="C160" i="38"/>
  <c r="B160" i="38"/>
  <c r="C159" i="38"/>
  <c r="B159" i="38"/>
  <c r="C158" i="38"/>
  <c r="B158" i="38"/>
  <c r="C157" i="38"/>
  <c r="B157" i="38"/>
  <c r="C156" i="38"/>
  <c r="B156" i="38"/>
  <c r="C155" i="38"/>
  <c r="B155" i="38"/>
  <c r="C154" i="38"/>
  <c r="B154" i="38"/>
  <c r="C153" i="38"/>
  <c r="B153" i="38"/>
  <c r="C152" i="38"/>
  <c r="B152" i="38"/>
  <c r="C151" i="38"/>
  <c r="B151" i="38"/>
  <c r="C150" i="38"/>
  <c r="B150" i="38"/>
  <c r="C149" i="38"/>
  <c r="B149" i="38"/>
  <c r="C148" i="38"/>
  <c r="B148" i="38"/>
  <c r="C147" i="38"/>
  <c r="B147" i="38"/>
  <c r="C146" i="38"/>
  <c r="B146" i="38"/>
  <c r="C145" i="38"/>
  <c r="B145" i="38"/>
  <c r="C144" i="38"/>
  <c r="B144" i="38"/>
  <c r="C143" i="38"/>
  <c r="B143" i="38"/>
  <c r="C142" i="38"/>
  <c r="B142" i="38"/>
  <c r="C141" i="38"/>
  <c r="B141" i="38"/>
  <c r="C140" i="38"/>
  <c r="B140" i="38"/>
  <c r="C139" i="38"/>
  <c r="B139" i="38"/>
  <c r="C138" i="38"/>
  <c r="B138" i="38"/>
  <c r="C137" i="38"/>
  <c r="B137" i="38"/>
  <c r="C136" i="38"/>
  <c r="B136" i="38"/>
  <c r="C135" i="38"/>
  <c r="B135" i="38"/>
  <c r="C134" i="38"/>
  <c r="B134" i="38"/>
  <c r="C133" i="38"/>
  <c r="B133" i="38"/>
  <c r="C132" i="38"/>
  <c r="B132" i="38"/>
  <c r="C131" i="38"/>
  <c r="B131" i="38"/>
  <c r="C130" i="38"/>
  <c r="B130" i="38"/>
  <c r="C129" i="38"/>
  <c r="B129" i="38"/>
  <c r="C128" i="38"/>
  <c r="B128" i="38"/>
  <c r="C127" i="38"/>
  <c r="B127" i="38"/>
  <c r="C126" i="38"/>
  <c r="B126" i="38"/>
  <c r="C125" i="38"/>
  <c r="B125" i="38"/>
  <c r="C124" i="38"/>
  <c r="B124" i="38"/>
  <c r="C123" i="38"/>
  <c r="B123" i="38"/>
  <c r="C122" i="38"/>
  <c r="B122" i="38"/>
  <c r="C121" i="38"/>
  <c r="B121" i="38"/>
  <c r="C120" i="38"/>
  <c r="B120" i="38"/>
  <c r="C119" i="38"/>
  <c r="B119" i="38"/>
  <c r="C118" i="38"/>
  <c r="B118" i="38"/>
  <c r="C117" i="38"/>
  <c r="B117" i="38"/>
  <c r="C116" i="38"/>
  <c r="B116" i="38"/>
  <c r="C115" i="38"/>
  <c r="B115" i="38"/>
  <c r="C114" i="38"/>
  <c r="B114" i="38"/>
  <c r="C113" i="38"/>
  <c r="B113" i="38"/>
  <c r="C112" i="38"/>
  <c r="B112" i="38"/>
  <c r="C111" i="38"/>
  <c r="B111" i="38"/>
  <c r="C110" i="38"/>
  <c r="B110" i="38"/>
  <c r="C109" i="38"/>
  <c r="B109" i="38"/>
  <c r="C108" i="38"/>
  <c r="B108" i="38"/>
  <c r="C107" i="38"/>
  <c r="B107" i="38"/>
  <c r="C106" i="38"/>
  <c r="B106" i="38"/>
  <c r="C105" i="38"/>
  <c r="B105" i="38"/>
  <c r="C104" i="38"/>
  <c r="B104" i="38"/>
  <c r="C103" i="38"/>
  <c r="B103" i="38"/>
  <c r="C102" i="38"/>
  <c r="B102" i="38"/>
  <c r="C101" i="38"/>
  <c r="B101" i="38"/>
  <c r="C100" i="38"/>
  <c r="B100" i="38"/>
  <c r="C99" i="38"/>
  <c r="B99" i="38"/>
  <c r="C98" i="38"/>
  <c r="B98" i="38"/>
  <c r="C97" i="38"/>
  <c r="B97" i="38"/>
  <c r="C96" i="38"/>
  <c r="B96" i="38"/>
  <c r="C95" i="38"/>
  <c r="B95" i="38"/>
  <c r="C94" i="38"/>
  <c r="B94" i="38"/>
  <c r="C93" i="38"/>
  <c r="B93" i="38"/>
  <c r="C92" i="38"/>
  <c r="B92" i="38"/>
  <c r="C91" i="38"/>
  <c r="B91" i="38"/>
  <c r="C90" i="38"/>
  <c r="B90" i="38"/>
  <c r="C89" i="38"/>
  <c r="B89" i="38"/>
  <c r="C88" i="38"/>
  <c r="B88" i="38"/>
  <c r="C87" i="38"/>
  <c r="B87" i="38"/>
  <c r="C86" i="38"/>
  <c r="B86" i="38"/>
  <c r="C85" i="38"/>
  <c r="B85" i="38"/>
  <c r="C84" i="38"/>
  <c r="B84" i="38"/>
  <c r="C83" i="38"/>
  <c r="B83" i="38"/>
  <c r="C82" i="38"/>
  <c r="B82" i="38"/>
  <c r="C81" i="38"/>
  <c r="B81" i="38"/>
  <c r="C80" i="38"/>
  <c r="B80" i="38"/>
  <c r="C79" i="38"/>
  <c r="B79" i="38"/>
  <c r="C78" i="38"/>
  <c r="B78" i="38"/>
  <c r="C77" i="38"/>
  <c r="B77" i="38"/>
  <c r="C76" i="38"/>
  <c r="B76" i="38"/>
  <c r="C75" i="38"/>
  <c r="B75" i="38"/>
  <c r="C74" i="38"/>
  <c r="B74" i="38"/>
  <c r="C73" i="38"/>
  <c r="B73" i="38"/>
  <c r="C72" i="38"/>
  <c r="B72" i="38"/>
  <c r="C71" i="38"/>
  <c r="B71" i="38"/>
  <c r="C70" i="38"/>
  <c r="B70" i="38"/>
  <c r="C69" i="38"/>
  <c r="B69" i="38"/>
  <c r="C68" i="38"/>
  <c r="B68" i="38"/>
  <c r="C67" i="38"/>
  <c r="B67" i="38"/>
  <c r="C66" i="38"/>
  <c r="B66" i="38"/>
  <c r="C65" i="38"/>
  <c r="B65" i="38"/>
  <c r="C64" i="38"/>
  <c r="B64" i="38"/>
  <c r="C63" i="38"/>
  <c r="B63" i="38"/>
  <c r="C62" i="38"/>
  <c r="B62" i="38"/>
  <c r="C61" i="38"/>
  <c r="B61" i="38"/>
  <c r="C60" i="38"/>
  <c r="B60" i="38"/>
  <c r="C59" i="38"/>
  <c r="B59" i="38"/>
  <c r="C58" i="38"/>
  <c r="B58" i="38"/>
  <c r="C57" i="38"/>
  <c r="B57" i="38"/>
  <c r="C56" i="38"/>
  <c r="B56" i="38"/>
  <c r="C55" i="38"/>
  <c r="B55" i="38"/>
  <c r="C54" i="38"/>
  <c r="B54" i="38"/>
  <c r="C53" i="38"/>
  <c r="B53" i="38"/>
  <c r="C52" i="38"/>
  <c r="B52" i="38"/>
  <c r="C51" i="38"/>
  <c r="B51" i="38"/>
  <c r="C50" i="38"/>
  <c r="B50" i="38"/>
  <c r="C49" i="38"/>
  <c r="B49" i="38"/>
  <c r="C48" i="38"/>
  <c r="B48" i="38"/>
  <c r="C47" i="38"/>
  <c r="B47" i="38"/>
  <c r="C46" i="38"/>
  <c r="B46" i="38"/>
  <c r="C45" i="38"/>
  <c r="B45" i="38"/>
  <c r="C44" i="38"/>
  <c r="B44" i="38"/>
  <c r="C43" i="38"/>
  <c r="B43" i="38"/>
  <c r="C42" i="38"/>
  <c r="B42" i="38"/>
  <c r="C41" i="38"/>
  <c r="B41" i="38"/>
  <c r="C40" i="38"/>
  <c r="B40" i="38"/>
  <c r="C39" i="38"/>
  <c r="B39" i="38"/>
  <c r="C38" i="38"/>
  <c r="B38" i="38"/>
  <c r="C37" i="38"/>
  <c r="B37" i="38"/>
  <c r="C36" i="38"/>
  <c r="B36" i="38"/>
  <c r="C35" i="38"/>
  <c r="B35" i="38"/>
  <c r="C34" i="38"/>
  <c r="B34" i="38"/>
  <c r="C33" i="38"/>
  <c r="B33" i="38"/>
  <c r="C32" i="38"/>
  <c r="B32" i="38"/>
  <c r="C31" i="38"/>
  <c r="B31" i="38"/>
  <c r="C30" i="38"/>
  <c r="B30" i="38"/>
  <c r="C29" i="38"/>
  <c r="B29" i="38"/>
  <c r="C28" i="38"/>
  <c r="B28" i="38"/>
  <c r="C27" i="38"/>
  <c r="B27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C16" i="38"/>
  <c r="B16" i="38"/>
  <c r="C15" i="38"/>
  <c r="B15" i="38"/>
  <c r="C14" i="38"/>
  <c r="B14" i="38"/>
  <c r="C13" i="38"/>
  <c r="B13" i="38"/>
  <c r="C12" i="38"/>
  <c r="B12" i="38"/>
  <c r="C11" i="38"/>
  <c r="B11" i="38"/>
  <c r="C10" i="38"/>
  <c r="B10" i="38"/>
  <c r="C9" i="38"/>
  <c r="B9" i="38"/>
  <c r="C8" i="38"/>
  <c r="B8" i="38"/>
  <c r="C7" i="38"/>
  <c r="B7" i="38"/>
  <c r="C6" i="38"/>
  <c r="B6" i="38"/>
  <c r="C5" i="38"/>
  <c r="B5" i="38"/>
  <c r="C4" i="38"/>
  <c r="B4" i="38"/>
  <c r="C3" i="38"/>
  <c r="B3" i="38"/>
  <c r="C2" i="38"/>
  <c r="B2" i="38"/>
  <c r="L133" i="3" l="1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C9" i="17" l="1"/>
  <c r="C17" i="17"/>
  <c r="C33" i="17"/>
  <c r="C41" i="17"/>
  <c r="C49" i="17"/>
  <c r="C65" i="17"/>
  <c r="C73" i="17"/>
  <c r="C81" i="17"/>
  <c r="C97" i="17"/>
  <c r="C105" i="17"/>
  <c r="C113" i="17"/>
  <c r="I393" i="25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2" i="17"/>
  <c r="C111" i="17"/>
  <c r="C110" i="17"/>
  <c r="C109" i="17"/>
  <c r="C108" i="17"/>
  <c r="C107" i="17"/>
  <c r="C106" i="17"/>
  <c r="C104" i="17"/>
  <c r="C103" i="17"/>
  <c r="C102" i="17"/>
  <c r="C101" i="17"/>
  <c r="C100" i="17"/>
  <c r="C99" i="17"/>
  <c r="C98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0" i="17"/>
  <c r="C79" i="17"/>
  <c r="C78" i="17"/>
  <c r="C77" i="17"/>
  <c r="C76" i="17"/>
  <c r="C75" i="17"/>
  <c r="C74" i="17"/>
  <c r="C72" i="17"/>
  <c r="C71" i="17"/>
  <c r="C70" i="17"/>
  <c r="C69" i="17"/>
  <c r="C68" i="17"/>
  <c r="C67" i="17"/>
  <c r="C66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8" i="17"/>
  <c r="C47" i="17"/>
  <c r="C46" i="17"/>
  <c r="C45" i="17"/>
  <c r="C44" i="17"/>
  <c r="C43" i="17"/>
  <c r="C42" i="17"/>
  <c r="C40" i="17"/>
  <c r="C39" i="17"/>
  <c r="C38" i="17"/>
  <c r="C37" i="17"/>
  <c r="C36" i="17"/>
  <c r="C35" i="17"/>
  <c r="C34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6" i="17"/>
  <c r="C15" i="17"/>
  <c r="C14" i="17"/>
  <c r="C13" i="17"/>
  <c r="C12" i="17"/>
  <c r="C11" i="17"/>
  <c r="C10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B8" i="18"/>
  <c r="A4" i="15" l="1"/>
  <c r="B127" i="18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7" i="18"/>
  <c r="B6" i="18"/>
  <c r="B5" i="18"/>
  <c r="B4" i="18"/>
  <c r="B3" i="18"/>
  <c r="B2" i="18"/>
  <c r="M133" i="3" l="1"/>
  <c r="C127" i="18" s="1"/>
  <c r="M22" i="3"/>
  <c r="C16" i="18" s="1"/>
  <c r="M30" i="3"/>
  <c r="C24" i="18" s="1"/>
  <c r="M38" i="3"/>
  <c r="C32" i="18" s="1"/>
  <c r="M70" i="3"/>
  <c r="C64" i="18" s="1"/>
  <c r="M86" i="3"/>
  <c r="C80" i="18" s="1"/>
  <c r="M94" i="3"/>
  <c r="C88" i="18" s="1"/>
  <c r="M102" i="3"/>
  <c r="C96" i="18" s="1"/>
  <c r="M28" i="3"/>
  <c r="C22" i="18" s="1"/>
  <c r="M15" i="3"/>
  <c r="C9" i="18" s="1"/>
  <c r="M23" i="3"/>
  <c r="C17" i="18" s="1"/>
  <c r="M31" i="3"/>
  <c r="C25" i="18" s="1"/>
  <c r="M39" i="3"/>
  <c r="C33" i="18" s="1"/>
  <c r="M47" i="3"/>
  <c r="C41" i="18" s="1"/>
  <c r="M55" i="3"/>
  <c r="C49" i="18" s="1"/>
  <c r="M63" i="3"/>
  <c r="C57" i="18" s="1"/>
  <c r="M71" i="3"/>
  <c r="C65" i="18" s="1"/>
  <c r="M79" i="3"/>
  <c r="C73" i="18" s="1"/>
  <c r="M87" i="3"/>
  <c r="C81" i="18" s="1"/>
  <c r="M95" i="3"/>
  <c r="C89" i="18" s="1"/>
  <c r="M103" i="3"/>
  <c r="C97" i="18" s="1"/>
  <c r="M111" i="3"/>
  <c r="C105" i="18" s="1"/>
  <c r="M119" i="3"/>
  <c r="C113" i="18" s="1"/>
  <c r="M127" i="3"/>
  <c r="C121" i="18" s="1"/>
  <c r="M17" i="3"/>
  <c r="C11" i="18" s="1"/>
  <c r="M25" i="3"/>
  <c r="C19" i="18" s="1"/>
  <c r="M33" i="3"/>
  <c r="C27" i="18" s="1"/>
  <c r="M41" i="3"/>
  <c r="C35" i="18" s="1"/>
  <c r="M49" i="3"/>
  <c r="C43" i="18" s="1"/>
  <c r="M57" i="3"/>
  <c r="C51" i="18" s="1"/>
  <c r="M65" i="3"/>
  <c r="C59" i="18" s="1"/>
  <c r="M73" i="3"/>
  <c r="C67" i="18" s="1"/>
  <c r="M81" i="3"/>
  <c r="C75" i="18" s="1"/>
  <c r="M89" i="3"/>
  <c r="C83" i="18" s="1"/>
  <c r="M97" i="3"/>
  <c r="C91" i="18" s="1"/>
  <c r="M105" i="3"/>
  <c r="C99" i="18" s="1"/>
  <c r="M113" i="3"/>
  <c r="C107" i="18" s="1"/>
  <c r="M121" i="3"/>
  <c r="C115" i="18" s="1"/>
  <c r="M129" i="3"/>
  <c r="C123" i="18" s="1"/>
  <c r="M46" i="3"/>
  <c r="C40" i="18" s="1"/>
  <c r="M62" i="3"/>
  <c r="C56" i="18" s="1"/>
  <c r="M126" i="3"/>
  <c r="C120" i="18" s="1"/>
  <c r="M54" i="3"/>
  <c r="C48" i="18" s="1"/>
  <c r="M14" i="3"/>
  <c r="C8" i="18" s="1"/>
  <c r="M78" i="3"/>
  <c r="C72" i="18" s="1"/>
  <c r="M44" i="3"/>
  <c r="C38" i="18" s="1"/>
  <c r="M108" i="3"/>
  <c r="C102" i="18" s="1"/>
  <c r="M118" i="3"/>
  <c r="C112" i="18" s="1"/>
  <c r="M13" i="3"/>
  <c r="C7" i="18" s="1"/>
  <c r="M21" i="3"/>
  <c r="C15" i="18" s="1"/>
  <c r="M37" i="3"/>
  <c r="C31" i="18" s="1"/>
  <c r="M45" i="3"/>
  <c r="C39" i="18" s="1"/>
  <c r="M53" i="3"/>
  <c r="C47" i="18" s="1"/>
  <c r="M60" i="3"/>
  <c r="C54" i="18" s="1"/>
  <c r="M68" i="3"/>
  <c r="C62" i="18" s="1"/>
  <c r="M77" i="3"/>
  <c r="C71" i="18" s="1"/>
  <c r="M85" i="3"/>
  <c r="C79" i="18" s="1"/>
  <c r="M93" i="3"/>
  <c r="C87" i="18" s="1"/>
  <c r="M101" i="3"/>
  <c r="C95" i="18" s="1"/>
  <c r="M109" i="3"/>
  <c r="C103" i="18" s="1"/>
  <c r="M117" i="3"/>
  <c r="C111" i="18" s="1"/>
  <c r="M124" i="3"/>
  <c r="C118" i="18" s="1"/>
  <c r="M132" i="3"/>
  <c r="C126" i="18" s="1"/>
  <c r="M110" i="3"/>
  <c r="C104" i="18" s="1"/>
  <c r="M92" i="3"/>
  <c r="C86" i="18" s="1"/>
  <c r="M11" i="3"/>
  <c r="C5" i="18" s="1"/>
  <c r="M10" i="3"/>
  <c r="C4" i="18" s="1"/>
  <c r="M19" i="3"/>
  <c r="C13" i="18" s="1"/>
  <c r="M18" i="3"/>
  <c r="C12" i="18" s="1"/>
  <c r="M27" i="3"/>
  <c r="C21" i="18" s="1"/>
  <c r="M26" i="3"/>
  <c r="C20" i="18" s="1"/>
  <c r="M35" i="3"/>
  <c r="C29" i="18" s="1"/>
  <c r="M34" i="3"/>
  <c r="C28" i="18" s="1"/>
  <c r="M43" i="3"/>
  <c r="C37" i="18" s="1"/>
  <c r="M42" i="3"/>
  <c r="C36" i="18" s="1"/>
  <c r="M51" i="3"/>
  <c r="C45" i="18" s="1"/>
  <c r="M50" i="3"/>
  <c r="C44" i="18" s="1"/>
  <c r="M59" i="3"/>
  <c r="C53" i="18" s="1"/>
  <c r="M58" i="3"/>
  <c r="C52" i="18" s="1"/>
  <c r="M67" i="3"/>
  <c r="C61" i="18" s="1"/>
  <c r="M66" i="3"/>
  <c r="C60" i="18" s="1"/>
  <c r="M75" i="3"/>
  <c r="C69" i="18" s="1"/>
  <c r="M74" i="3"/>
  <c r="C68" i="18" s="1"/>
  <c r="M83" i="3"/>
  <c r="C77" i="18" s="1"/>
  <c r="M82" i="3"/>
  <c r="C76" i="18" s="1"/>
  <c r="M91" i="3"/>
  <c r="C85" i="18" s="1"/>
  <c r="M90" i="3"/>
  <c r="C84" i="18" s="1"/>
  <c r="M99" i="3"/>
  <c r="C93" i="18" s="1"/>
  <c r="M98" i="3"/>
  <c r="C92" i="18" s="1"/>
  <c r="M107" i="3"/>
  <c r="C101" i="18" s="1"/>
  <c r="M106" i="3"/>
  <c r="C100" i="18" s="1"/>
  <c r="M115" i="3"/>
  <c r="C109" i="18" s="1"/>
  <c r="M114" i="3"/>
  <c r="C108" i="18" s="1"/>
  <c r="M123" i="3"/>
  <c r="C117" i="18" s="1"/>
  <c r="M122" i="3"/>
  <c r="C116" i="18" s="1"/>
  <c r="M131" i="3"/>
  <c r="C125" i="18" s="1"/>
  <c r="M130" i="3"/>
  <c r="C124" i="18" s="1"/>
  <c r="M20" i="3"/>
  <c r="C14" i="18" s="1"/>
  <c r="M61" i="3"/>
  <c r="C55" i="18" s="1"/>
  <c r="M84" i="3"/>
  <c r="C78" i="18" s="1"/>
  <c r="M125" i="3"/>
  <c r="C119" i="18" s="1"/>
  <c r="M29" i="3"/>
  <c r="C23" i="18" s="1"/>
  <c r="M52" i="3"/>
  <c r="C46" i="18" s="1"/>
  <c r="M116" i="3"/>
  <c r="C110" i="18" s="1"/>
  <c r="M16" i="3"/>
  <c r="C10" i="18" s="1"/>
  <c r="M24" i="3"/>
  <c r="C18" i="18" s="1"/>
  <c r="M32" i="3"/>
  <c r="C26" i="18" s="1"/>
  <c r="M40" i="3"/>
  <c r="C34" i="18" s="1"/>
  <c r="M48" i="3"/>
  <c r="C42" i="18" s="1"/>
  <c r="M56" i="3"/>
  <c r="C50" i="18" s="1"/>
  <c r="M64" i="3"/>
  <c r="C58" i="18" s="1"/>
  <c r="M72" i="3"/>
  <c r="C66" i="18" s="1"/>
  <c r="M80" i="3"/>
  <c r="C74" i="18" s="1"/>
  <c r="M88" i="3"/>
  <c r="C82" i="18" s="1"/>
  <c r="M96" i="3"/>
  <c r="C90" i="18" s="1"/>
  <c r="M104" i="3"/>
  <c r="C98" i="18" s="1"/>
  <c r="M112" i="3"/>
  <c r="C106" i="18" s="1"/>
  <c r="M120" i="3"/>
  <c r="C114" i="18" s="1"/>
  <c r="M128" i="3"/>
  <c r="C122" i="18" s="1"/>
  <c r="M12" i="3"/>
  <c r="C6" i="18" s="1"/>
  <c r="M76" i="3"/>
  <c r="C70" i="18" s="1"/>
  <c r="M69" i="3"/>
  <c r="C63" i="18" s="1"/>
  <c r="M36" i="3"/>
  <c r="C30" i="18" s="1"/>
  <c r="M100" i="3"/>
  <c r="C94" i="18" s="1"/>
</calcChain>
</file>

<file path=xl/sharedStrings.xml><?xml version="1.0" encoding="utf-8"?>
<sst xmlns="http://schemas.openxmlformats.org/spreadsheetml/2006/main" count="886" uniqueCount="458">
  <si>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</si>
  <si>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</si>
  <si>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</si>
  <si>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</si>
  <si>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</si>
  <si>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</si>
  <si>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</si>
  <si>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</si>
  <si>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</si>
  <si>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</si>
  <si>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</si>
  <si>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</si>
  <si>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</si>
  <si>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</si>
  <si>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</si>
  <si>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</si>
  <si>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</si>
  <si>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</si>
  <si>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</si>
  <si>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</si>
  <si>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</si>
  <si>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</si>
  <si>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</si>
  <si>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</si>
  <si>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</si>
  <si>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</si>
  <si>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</si>
  <si>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</si>
  <si>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</si>
  <si>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</si>
  <si>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</si>
  <si>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</si>
  <si>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</si>
  <si>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</si>
  <si>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</si>
  <si>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</si>
  <si>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</si>
  <si>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</si>
  <si>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</si>
  <si>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</si>
  <si>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</si>
  <si>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</si>
  <si>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</si>
  <si>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</si>
  <si>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</si>
  <si>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</si>
  <si>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</si>
  <si>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</si>
  <si>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</si>
  <si>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</si>
  <si>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</si>
  <si>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</si>
  <si>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</si>
  <si>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</si>
  <si>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</si>
  <si>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</si>
  <si>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</si>
  <si>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</si>
  <si>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</si>
  <si>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</si>
  <si>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</si>
  <si>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</si>
  <si>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</si>
  <si>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</si>
  <si>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</si>
  <si>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</si>
  <si>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</si>
  <si>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</si>
  <si>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</si>
  <si>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</si>
  <si>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</si>
  <si>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</si>
  <si>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</si>
  <si>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</si>
  <si>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</si>
  <si>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</si>
  <si>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</si>
  <si>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</si>
  <si>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</si>
  <si>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</si>
  <si>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</si>
  <si>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</si>
  <si>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</si>
  <si>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</si>
  <si>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</si>
  <si>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</si>
  <si>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</si>
  <si>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</si>
  <si>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</si>
  <si>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</si>
  <si>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</si>
  <si>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</si>
  <si>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</si>
  <si>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</si>
  <si>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</si>
  <si>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</si>
  <si>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</si>
  <si>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</si>
  <si>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</si>
  <si>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</si>
  <si>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</si>
  <si>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</si>
  <si>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</si>
  <si>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</si>
  <si>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</si>
  <si>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</si>
  <si>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</si>
  <si>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</si>
  <si>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</si>
  <si>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</si>
  <si>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</si>
  <si>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</si>
  <si>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</si>
  <si>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</si>
  <si>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</si>
  <si>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</si>
  <si>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</si>
  <si>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</si>
  <si>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</si>
  <si>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</si>
  <si>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</si>
  <si>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</si>
  <si>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</si>
  <si>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</si>
  <si>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</si>
  <si>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</si>
  <si>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</si>
  <si>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</si>
  <si>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</si>
  <si>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</si>
  <si>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</si>
  <si>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</si>
  <si>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</si>
  <si>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</si>
  <si>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</si>
  <si>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</si>
  <si>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</si>
  <si>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</si>
  <si>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</si>
  <si>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</si>
  <si>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</si>
  <si>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</si>
  <si>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</si>
  <si>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</si>
  <si>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</si>
  <si>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</si>
  <si>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</si>
  <si>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</si>
  <si>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</si>
  <si>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</si>
  <si>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</si>
  <si>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</si>
  <si>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</si>
  <si>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</si>
  <si>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</si>
  <si>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</si>
  <si>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</si>
  <si>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</si>
  <si>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</si>
  <si>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</si>
  <si>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</si>
  <si>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</si>
  <si>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</si>
  <si>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</si>
  <si>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</si>
  <si>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</si>
  <si>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</si>
  <si>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</si>
  <si>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</si>
  <si>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</si>
  <si>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</si>
  <si>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</si>
  <si>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</si>
  <si>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</si>
  <si>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</si>
  <si>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</si>
  <si>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</si>
  <si>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</si>
  <si>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</si>
  <si>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</si>
  <si>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</si>
  <si>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</si>
  <si>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</si>
  <si>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</si>
  <si>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</si>
  <si>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</si>
  <si>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</si>
  <si>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</si>
  <si>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</si>
  <si>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</si>
  <si>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</si>
  <si>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</si>
  <si>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</si>
  <si>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</si>
  <si>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</si>
  <si>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</si>
  <si>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</si>
  <si>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</si>
  <si>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</si>
  <si>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</si>
  <si>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</si>
  <si>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</si>
  <si>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</si>
  <si>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</si>
  <si>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</si>
  <si>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</si>
  <si>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</si>
  <si>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</si>
  <si>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</si>
  <si>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</si>
  <si>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</si>
  <si>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</si>
  <si>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</si>
  <si>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</si>
  <si>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Rolling 12-months</t>
  </si>
  <si>
    <t>Past 12 Months, Billions of $</t>
  </si>
  <si>
    <t>Year-Over-Year Percentage Change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</si>
  <si>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</si>
  <si>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</si>
  <si>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</si>
  <si>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</si>
  <si>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</si>
  <si>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</si>
  <si>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</si>
  <si>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</si>
  <si>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</si>
  <si>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</si>
  <si>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</si>
  <si>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</si>
  <si>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</si>
  <si>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</si>
  <si>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</si>
  <si>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</si>
  <si>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</si>
  <si>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</si>
  <si>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</si>
  <si>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</si>
  <si>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</si>
  <si>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</si>
  <si>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</si>
  <si>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</si>
  <si>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</si>
  <si>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</si>
  <si>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</si>
  <si>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</si>
  <si>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</si>
  <si>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</si>
  <si>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</si>
  <si>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</si>
  <si>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</si>
  <si>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</si>
  <si>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</si>
  <si>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</si>
  <si>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</si>
  <si>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</si>
  <si>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</si>
  <si>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</si>
  <si>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</si>
  <si>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</si>
  <si>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</si>
  <si>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</si>
  <si>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</si>
  <si>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</si>
  <si>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</si>
  <si>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</si>
  <si>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</si>
  <si>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</si>
  <si>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</si>
  <si>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</si>
  <si>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</si>
  <si>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</si>
  <si>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</si>
  <si>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</si>
  <si>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</si>
  <si>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</si>
  <si>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</si>
  <si>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</si>
  <si>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</si>
  <si>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</si>
  <si>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</si>
  <si>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</si>
  <si>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</si>
  <si>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</si>
  <si>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</si>
  <si>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</si>
  <si>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</si>
  <si>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</si>
  <si>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</si>
  <si>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</si>
  <si>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</si>
  <si>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</si>
  <si>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</si>
  <si>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</si>
  <si>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</si>
  <si>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</si>
  <si>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</si>
  <si>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</si>
  <si>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</si>
  <si>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</si>
  <si>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</si>
  <si>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</si>
  <si>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</si>
  <si>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</si>
  <si>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</si>
  <si>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</si>
  <si>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</si>
  <si>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</si>
  <si>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</si>
  <si>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</si>
  <si>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</si>
  <si>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</si>
  <si>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</si>
  <si>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</si>
  <si>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</si>
  <si>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</si>
  <si>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</si>
  <si>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</si>
  <si>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</si>
  <si>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</si>
  <si>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</si>
  <si>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</si>
  <si>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</si>
  <si>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</si>
  <si>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</si>
  <si>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</si>
  <si>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</si>
  <si>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</si>
  <si>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</si>
  <si>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</si>
  <si>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</si>
  <si>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</si>
  <si>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</si>
  <si>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</si>
  <si>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</si>
  <si>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</si>
  <si>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</si>
  <si>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</si>
  <si>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</si>
  <si>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</si>
  <si>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</si>
  <si>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</si>
  <si>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</si>
  <si>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</si>
  <si>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</si>
  <si>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</si>
  <si>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</si>
  <si>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</si>
  <si>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</si>
  <si>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</si>
  <si>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</si>
  <si>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</si>
  <si>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</si>
  <si>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</si>
  <si>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</si>
  <si>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</si>
  <si>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</si>
  <si>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</si>
  <si>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</si>
  <si>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</si>
  <si>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</si>
  <si>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</si>
  <si>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</si>
  <si>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</si>
  <si>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</si>
  <si>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</si>
  <si>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</si>
  <si>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</si>
  <si>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</si>
  <si>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</si>
  <si>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</si>
  <si>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</si>
  <si>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</si>
  <si>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</si>
  <si>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</si>
  <si>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</si>
  <si>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</si>
  <si>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</si>
  <si>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</si>
  <si>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</si>
  <si>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</si>
  <si>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</si>
  <si>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</si>
  <si>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</si>
  <si>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</si>
  <si>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</si>
  <si>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</si>
  <si>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</si>
  <si>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</si>
  <si>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</si>
  <si>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</si>
  <si>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</si>
  <si>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</si>
  <si>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</si>
  <si>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</si>
  <si>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</si>
  <si>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</si>
  <si>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</si>
  <si>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</si>
  <si>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</si>
  <si>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</si>
  <si>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</si>
  <si>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</si>
  <si>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</si>
  <si>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</si>
  <si>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</si>
  <si>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</si>
  <si>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</si>
  <si>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</si>
  <si>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</si>
  <si>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</si>
  <si>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</si>
  <si>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</si>
  <si>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</si>
  <si>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</si>
  <si>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</si>
  <si>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</si>
  <si>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</si>
  <si>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</si>
  <si>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</si>
  <si>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</si>
  <si>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</si>
  <si>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</si>
  <si>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</si>
  <si>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</si>
  <si>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</si>
  <si>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</si>
  <si>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</si>
  <si>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</si>
  <si>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</si>
  <si>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</si>
  <si>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</si>
  <si>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</si>
  <si>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</si>
  <si>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</si>
  <si>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</si>
  <si>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</si>
  <si>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</si>
  <si>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</si>
  <si>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</si>
  <si>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</si>
  <si>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</si>
  <si>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</si>
  <si>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</si>
  <si>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</si>
  <si>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</si>
  <si>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</si>
  <si>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</si>
  <si>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</si>
  <si>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</si>
  <si>
    <t>Federal Receipts and Outlays</t>
  </si>
  <si>
    <t>Total Outlays**</t>
  </si>
  <si>
    <t>Year-Over-Year Percentage Change (%)</t>
  </si>
  <si>
    <t>Rolling 12-month Window</t>
  </si>
  <si>
    <t>Source: Hutchins Center Calculations based on CBO data.</t>
  </si>
  <si>
    <t>2,965</t>
  </si>
  <si>
    <t>2,394</t>
  </si>
  <si>
    <t>3,481</t>
  </si>
  <si>
    <t>1,013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</si>
</sst>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sz val="8"/>
      <color theme="1"/>
      <name val="Georgia"/>
      <family val="1"/>
    </font>
    <font>
      <sz val="9"/>
      <color theme="1"/>
      <name val="Calibri"/>
      <family val="2"/>
      <scheme val="minor"/>
    </font>
    <font>
      <sz val="9"/>
      <color theme="0"/>
      <name val="Georgia"/>
      <family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0" fillId="2" borderId="0" xfId="0" applyFill="1" applyBorder="1"/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11" fillId="3" borderId="7" xfId="0" applyFont="1" applyFill="1" applyBorder="1"/>
    <xf numFmtId="0" fontId="10" fillId="3" borderId="8" xfId="0" applyFont="1" applyFill="1" applyBorder="1" applyAlignment="1">
      <alignment horizontal="left"/>
    </xf>
    <xf numFmtId="0" fontId="10" fillId="3" borderId="3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left"/>
    </xf>
    <xf numFmtId="0" fontId="11" fillId="3" borderId="4" xfId="0" applyFont="1" applyFill="1" applyBorder="1"/>
    <xf numFmtId="0" fontId="10" fillId="3" borderId="5" xfId="0" applyFont="1" applyFill="1" applyBorder="1" applyAlignment="1">
      <alignment horizontal="left"/>
    </xf>
    <xf numFmtId="0" fontId="11" fillId="2" borderId="0" xfId="0" applyFont="1" applyFill="1" applyBorder="1"/>
    <xf numFmtId="0" fontId="11" fillId="2" borderId="1" xfId="0" applyFont="1" applyFill="1" applyBorder="1" applyAlignment="1">
      <alignment horizontal="right"/>
    </xf>
    <xf numFmtId="0" fontId="14" fillId="2" borderId="0" xfId="0" applyFont="1" applyFill="1" applyBorder="1" applyAlignment="1">
      <alignment horizontal="left" vertical="top"/>
    </xf>
    <xf numFmtId="0" fontId="14" fillId="2" borderId="0" xfId="0" applyFont="1" applyFill="1" applyBorder="1" applyAlignment="1">
      <alignment horizontal="left" vertical="top" wrapText="1"/>
    </xf>
    <xf numFmtId="164" fontId="14" fillId="2" borderId="2" xfId="0" applyNumberFormat="1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left"/>
    </xf>
    <xf numFmtId="0" fontId="15" fillId="2" borderId="0" xfId="0" applyFont="1" applyFill="1"/>
    <xf numFmtId="164" fontId="11" fillId="2" borderId="2" xfId="5" applyNumberFormat="1" applyFont="1" applyFill="1" applyBorder="1" applyAlignment="1">
      <alignment horizontal="left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 vertical="top" wrapText="1"/>
    </xf>
    <xf numFmtId="0" fontId="11" fillId="2" borderId="3" xfId="0" applyFont="1" applyFill="1" applyBorder="1" applyAlignment="1">
      <alignment horizontal="right"/>
    </xf>
    <xf numFmtId="0" fontId="11" fillId="2" borderId="4" xfId="0" applyFont="1" applyFill="1" applyBorder="1" applyAlignment="1">
      <alignment horizontal="left"/>
    </xf>
    <xf numFmtId="0" fontId="11" fillId="2" borderId="4" xfId="0" applyFont="1" applyFill="1" applyBorder="1"/>
    <xf numFmtId="0" fontId="11" fillId="2" borderId="5" xfId="0" applyFont="1" applyFill="1" applyBorder="1" applyAlignment="1">
      <alignment horizontal="left"/>
    </xf>
    <xf numFmtId="0" fontId="1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8" fillId="5" borderId="0" xfId="1" applyFont="1" applyFill="1"/>
    <xf numFmtId="169" fontId="0" fillId="5" borderId="0" xfId="0" applyNumberFormat="1" applyFill="1"/>
    <xf numFmtId="1" fontId="16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1" fillId="4" borderId="0" xfId="0" applyFont="1" applyFill="1" applyBorder="1"/>
    <xf numFmtId="0" fontId="12" fillId="4" borderId="1" xfId="0" applyFont="1" applyFill="1" applyBorder="1" applyAlignment="1"/>
    <xf numFmtId="0" fontId="12" fillId="4" borderId="0" xfId="0" applyFont="1" applyFill="1" applyBorder="1" applyAlignment="1">
      <alignment wrapText="1"/>
    </xf>
    <xf numFmtId="0" fontId="13" fillId="2" borderId="6" xfId="0" applyFont="1" applyFill="1" applyBorder="1" applyAlignment="1">
      <alignment horizontal="left" vertical="top"/>
    </xf>
    <xf numFmtId="0" fontId="13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1" fillId="2" borderId="7" xfId="0" applyFont="1" applyFill="1" applyBorder="1"/>
    <xf numFmtId="0" fontId="13" fillId="2" borderId="8" xfId="0" applyFont="1" applyFill="1" applyBorder="1" applyAlignment="1">
      <alignment horizontal="left" vertical="top" wrapText="1"/>
    </xf>
    <xf numFmtId="0" fontId="17" fillId="6" borderId="0" xfId="0" applyFont="1" applyFill="1"/>
    <xf numFmtId="0" fontId="16" fillId="0" borderId="0" xfId="0" applyFont="1" applyFill="1" applyAlignment="1">
      <alignment vertical="center"/>
    </xf>
    <xf numFmtId="0" fontId="19" fillId="0" borderId="0" xfId="0" applyFont="1"/>
    <xf numFmtId="164" fontId="19" fillId="0" borderId="0" xfId="0" applyNumberFormat="1" applyFont="1" applyAlignment="1">
      <alignment wrapText="1"/>
    </xf>
    <xf numFmtId="164" fontId="19" fillId="0" borderId="0" xfId="0" applyNumberFormat="1" applyFont="1"/>
    <xf numFmtId="164" fontId="19" fillId="5" borderId="0" xfId="0" applyNumberFormat="1" applyFont="1" applyFill="1"/>
    <xf numFmtId="167" fontId="19" fillId="5" borderId="0" xfId="0" applyNumberFormat="1" applyFont="1" applyFill="1"/>
    <xf numFmtId="165" fontId="19" fillId="5" borderId="0" xfId="0" applyNumberFormat="1" applyFont="1" applyFill="1"/>
    <xf numFmtId="2" fontId="0" fillId="6" borderId="0" xfId="0" applyNumberFormat="1" applyFill="1"/>
    <xf numFmtId="0" fontId="13" fillId="2" borderId="1" xfId="0" applyFont="1" applyFill="1" applyBorder="1" applyAlignment="1">
      <alignment horizontal="left" vertical="top"/>
    </xf>
    <xf numFmtId="0" fontId="13" fillId="2" borderId="0" xfId="0" applyFont="1" applyFill="1" applyBorder="1" applyAlignment="1">
      <alignment horizontal="left" vertical="top" wrapText="1"/>
    </xf>
    <xf numFmtId="0" fontId="11" fillId="2" borderId="0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left"/>
    </xf>
    <xf numFmtId="0" fontId="11" fillId="2" borderId="4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vertical="center"/>
    </xf>
    <xf numFmtId="0" fontId="15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11" fillId="2" borderId="7" xfId="0" applyFont="1" applyFill="1" applyBorder="1" applyAlignment="1">
      <alignment horizontal="left"/>
    </xf>
    <xf numFmtId="0" fontId="12" fillId="2" borderId="6" xfId="0" applyFont="1" applyFill="1" applyBorder="1" applyAlignment="1">
      <alignment horizontal="left"/>
    </xf>
    <xf numFmtId="0" fontId="12" fillId="2" borderId="7" xfId="0" applyFont="1" applyFill="1" applyBorder="1" applyAlignment="1">
      <alignment horizontal="left"/>
    </xf>
    <xf numFmtId="0" fontId="11" fillId="7" borderId="1" xfId="0" applyFont="1" applyFill="1" applyBorder="1" applyAlignment="1">
      <alignment horizontal="left"/>
    </xf>
    <xf numFmtId="0" fontId="11" fillId="7" borderId="0" xfId="0" applyFont="1" applyFill="1" applyBorder="1" applyAlignment="1">
      <alignment horizontal="left"/>
    </xf>
    <xf numFmtId="0" fontId="11" fillId="7" borderId="0" xfId="0" applyFont="1" applyFill="1" applyBorder="1" applyAlignment="1">
      <alignment horizontal="center"/>
    </xf>
    <xf numFmtId="170" fontId="11" fillId="7" borderId="2" xfId="0" applyNumberFormat="1" applyFont="1" applyFill="1" applyBorder="1" applyAlignment="1">
      <alignment horizontal="center"/>
    </xf>
    <xf numFmtId="49" fontId="14" fillId="2" borderId="0" xfId="6" applyNumberFormat="1" applyFont="1" applyFill="1" applyBorder="1" applyAlignment="1">
      <alignment horizontal="center" vertical="center"/>
    </xf>
    <xf numFmtId="49" fontId="11" fillId="7" borderId="0" xfId="6" applyNumberFormat="1" applyFont="1" applyFill="1" applyBorder="1" applyAlignment="1">
      <alignment horizontal="center" vertical="center"/>
    </xf>
    <xf numFmtId="49" fontId="14" fillId="2" borderId="4" xfId="6" applyNumberFormat="1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 wrapText="1"/>
    </xf>
    <xf numFmtId="0" fontId="22" fillId="7" borderId="0" xfId="0" applyFont="1" applyFill="1" applyBorder="1" applyAlignment="1">
      <alignment horizontal="center" vertical="center"/>
    </xf>
    <xf numFmtId="170" fontId="11" fillId="7" borderId="0" xfId="0" applyNumberFormat="1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170" fontId="14" fillId="2" borderId="4" xfId="0" applyNumberFormat="1" applyFont="1" applyFill="1" applyBorder="1" applyAlignment="1">
      <alignment horizontal="center" vertical="top" wrapText="1"/>
    </xf>
    <xf numFmtId="170" fontId="14" fillId="2" borderId="5" xfId="0" applyNumberFormat="1" applyFont="1" applyFill="1" applyBorder="1" applyAlignment="1">
      <alignment horizontal="center" vertical="top" wrapText="1"/>
    </xf>
    <xf numFmtId="170" fontId="14" fillId="2" borderId="0" xfId="0" applyNumberFormat="1" applyFont="1" applyFill="1" applyBorder="1" applyAlignment="1">
      <alignment horizontal="center" vertical="top" wrapText="1"/>
    </xf>
    <xf numFmtId="170" fontId="14" fillId="2" borderId="2" xfId="0" applyNumberFormat="1" applyFont="1" applyFill="1" applyBorder="1" applyAlignment="1">
      <alignment horizontal="center" vertical="top" wrapText="1"/>
    </xf>
    <xf numFmtId="0" fontId="10" fillId="7" borderId="0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 wrapText="1"/>
    </xf>
    <xf numFmtId="0" fontId="12" fillId="4" borderId="0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horizontal="left" wrapText="1"/>
    </xf>
  </cellXfs>
  <cellStyles count="7">
    <cellStyle name="Comma" xfId="6" builtinId="3"/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1F497D"/>
      <color rgb="FF053769"/>
      <color rgb="FFB9CDE5"/>
      <color rgb="FFA4C7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1189967148"/>
          <c:y val="0.17129629629629631"/>
          <c:w val="0.8690860579513654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13000</c:v>
                </c:pt>
                <c:pt idx="2">
                  <c:v>38000</c:v>
                </c:pt>
                <c:pt idx="3">
                  <c:v>4000</c:v>
                </c:pt>
                <c:pt idx="4">
                  <c:v>23000</c:v>
                </c:pt>
                <c:pt idx="5">
                  <c:v>-13000</c:v>
                </c:pt>
                <c:pt idx="6">
                  <c:v>6000</c:v>
                </c:pt>
                <c:pt idx="7">
                  <c:v>20000</c:v>
                </c:pt>
                <c:pt idx="8">
                  <c:v>9000</c:v>
                </c:pt>
                <c:pt idx="9">
                  <c:v>26000</c:v>
                </c:pt>
                <c:pt idx="10">
                  <c:v>33000</c:v>
                </c:pt>
                <c:pt idx="11">
                  <c:v>0</c:v>
                </c:pt>
                <c:pt idx="12">
                  <c:v>43000</c:v>
                </c:pt>
                <c:pt idx="13">
                  <c:v>8000</c:v>
                </c:pt>
                <c:pt idx="14">
                  <c:v>-9000</c:v>
                </c:pt>
                <c:pt idx="15">
                  <c:v>22000</c:v>
                </c:pt>
                <c:pt idx="16">
                  <c:v>18000</c:v>
                </c:pt>
                <c:pt idx="17">
                  <c:v>-17000</c:v>
                </c:pt>
                <c:pt idx="18">
                  <c:v>99000</c:v>
                </c:pt>
                <c:pt idx="19">
                  <c:v>3000</c:v>
                </c:pt>
                <c:pt idx="20">
                  <c:v>-19000</c:v>
                </c:pt>
                <c:pt idx="21">
                  <c:v>-19000</c:v>
                </c:pt>
                <c:pt idx="22">
                  <c:v>26000</c:v>
                </c:pt>
                <c:pt idx="23">
                  <c:v>26000</c:v>
                </c:pt>
                <c:pt idx="24">
                  <c:v>-26000</c:v>
                </c:pt>
                <c:pt idx="25">
                  <c:v>25000</c:v>
                </c:pt>
                <c:pt idx="26">
                  <c:v>25000</c:v>
                </c:pt>
                <c:pt idx="27">
                  <c:v>16000</c:v>
                </c:pt>
                <c:pt idx="28">
                  <c:v>6000</c:v>
                </c:pt>
                <c:pt idx="29">
                  <c:v>-6000</c:v>
                </c:pt>
                <c:pt idx="30">
                  <c:v>47000</c:v>
                </c:pt>
                <c:pt idx="31">
                  <c:v>45000</c:v>
                </c:pt>
                <c:pt idx="32">
                  <c:v>72000</c:v>
                </c:pt>
                <c:pt idx="33">
                  <c:v>-13000</c:v>
                </c:pt>
                <c:pt idx="34">
                  <c:v>17000</c:v>
                </c:pt>
                <c:pt idx="35">
                  <c:v>4000</c:v>
                </c:pt>
                <c:pt idx="36">
                  <c:v>6000</c:v>
                </c:pt>
                <c:pt idx="37">
                  <c:v>35000</c:v>
                </c:pt>
                <c:pt idx="38">
                  <c:v>19000</c:v>
                </c:pt>
                <c:pt idx="39">
                  <c:v>25000</c:v>
                </c:pt>
                <c:pt idx="40">
                  <c:v>17000</c:v>
                </c:pt>
                <c:pt idx="41">
                  <c:v>18000</c:v>
                </c:pt>
                <c:pt idx="42">
                  <c:v>-34000</c:v>
                </c:pt>
                <c:pt idx="43">
                  <c:v>44000</c:v>
                </c:pt>
                <c:pt idx="44">
                  <c:v>54000</c:v>
                </c:pt>
                <c:pt idx="45">
                  <c:v>21000</c:v>
                </c:pt>
                <c:pt idx="46">
                  <c:v>27000</c:v>
                </c:pt>
                <c:pt idx="47">
                  <c:v>30000</c:v>
                </c:pt>
                <c:pt idx="48">
                  <c:v>30000</c:v>
                </c:pt>
                <c:pt idx="49">
                  <c:v>20000</c:v>
                </c:pt>
                <c:pt idx="50">
                  <c:v>21000</c:v>
                </c:pt>
                <c:pt idx="51">
                  <c:v>4000</c:v>
                </c:pt>
                <c:pt idx="52">
                  <c:v>31000</c:v>
                </c:pt>
                <c:pt idx="53">
                  <c:v>32000</c:v>
                </c:pt>
                <c:pt idx="54">
                  <c:v>43000</c:v>
                </c:pt>
                <c:pt idx="55">
                  <c:v>0</c:v>
                </c:pt>
                <c:pt idx="56">
                  <c:v>-32000</c:v>
                </c:pt>
                <c:pt idx="57">
                  <c:v>8000</c:v>
                </c:pt>
                <c:pt idx="58">
                  <c:v>5000</c:v>
                </c:pt>
                <c:pt idx="59">
                  <c:v>-1000</c:v>
                </c:pt>
                <c:pt idx="60">
                  <c:v>12000</c:v>
                </c:pt>
                <c:pt idx="61">
                  <c:v>-12000</c:v>
                </c:pt>
                <c:pt idx="62">
                  <c:v>-18000</c:v>
                </c:pt>
                <c:pt idx="63">
                  <c:v>-8000</c:v>
                </c:pt>
                <c:pt idx="64">
                  <c:v>2000</c:v>
                </c:pt>
                <c:pt idx="65">
                  <c:v>5000</c:v>
                </c:pt>
                <c:pt idx="66">
                  <c:v>-67000</c:v>
                </c:pt>
                <c:pt idx="67">
                  <c:v>17000</c:v>
                </c:pt>
                <c:pt idx="68">
                  <c:v>-87000</c:v>
                </c:pt>
                <c:pt idx="69">
                  <c:v>56000</c:v>
                </c:pt>
                <c:pt idx="70">
                  <c:v>10000</c:v>
                </c:pt>
                <c:pt idx="71">
                  <c:v>-40000</c:v>
                </c:pt>
                <c:pt idx="72">
                  <c:v>-31000</c:v>
                </c:pt>
                <c:pt idx="73">
                  <c:v>-23000</c:v>
                </c:pt>
                <c:pt idx="74">
                  <c:v>-8000</c:v>
                </c:pt>
                <c:pt idx="75">
                  <c:v>-5000</c:v>
                </c:pt>
                <c:pt idx="76">
                  <c:v>-7000</c:v>
                </c:pt>
                <c:pt idx="77">
                  <c:v>-10000</c:v>
                </c:pt>
                <c:pt idx="78">
                  <c:v>-42000</c:v>
                </c:pt>
                <c:pt idx="79">
                  <c:v>-50000</c:v>
                </c:pt>
                <c:pt idx="80">
                  <c:v>-88000</c:v>
                </c:pt>
                <c:pt idx="81">
                  <c:v>45000</c:v>
                </c:pt>
                <c:pt idx="82">
                  <c:v>-12000</c:v>
                </c:pt>
                <c:pt idx="83">
                  <c:v>-27000</c:v>
                </c:pt>
                <c:pt idx="84">
                  <c:v>-6000</c:v>
                </c:pt>
                <c:pt idx="85">
                  <c:v>-56000</c:v>
                </c:pt>
                <c:pt idx="86">
                  <c:v>-20000</c:v>
                </c:pt>
                <c:pt idx="87">
                  <c:v>6000</c:v>
                </c:pt>
                <c:pt idx="88">
                  <c:v>-64000</c:v>
                </c:pt>
                <c:pt idx="89">
                  <c:v>44000</c:v>
                </c:pt>
                <c:pt idx="90">
                  <c:v>-114000</c:v>
                </c:pt>
                <c:pt idx="91">
                  <c:v>5000</c:v>
                </c:pt>
                <c:pt idx="92">
                  <c:v>-41000</c:v>
                </c:pt>
                <c:pt idx="93">
                  <c:v>3000</c:v>
                </c:pt>
                <c:pt idx="94">
                  <c:v>-21000</c:v>
                </c:pt>
                <c:pt idx="95">
                  <c:v>-22000</c:v>
                </c:pt>
                <c:pt idx="96">
                  <c:v>2000</c:v>
                </c:pt>
                <c:pt idx="97">
                  <c:v>4000</c:v>
                </c:pt>
                <c:pt idx="98">
                  <c:v>-2000</c:v>
                </c:pt>
                <c:pt idx="99">
                  <c:v>-6000</c:v>
                </c:pt>
                <c:pt idx="100">
                  <c:v>-20000</c:v>
                </c:pt>
                <c:pt idx="101">
                  <c:v>14000</c:v>
                </c:pt>
                <c:pt idx="102">
                  <c:v>-2000</c:v>
                </c:pt>
                <c:pt idx="103">
                  <c:v>9000</c:v>
                </c:pt>
                <c:pt idx="104">
                  <c:v>2000</c:v>
                </c:pt>
                <c:pt idx="105">
                  <c:v>-32000</c:v>
                </c:pt>
                <c:pt idx="106">
                  <c:v>-3000</c:v>
                </c:pt>
                <c:pt idx="107">
                  <c:v>1000</c:v>
                </c:pt>
                <c:pt idx="108">
                  <c:v>-17000</c:v>
                </c:pt>
                <c:pt idx="109">
                  <c:v>16000</c:v>
                </c:pt>
                <c:pt idx="110">
                  <c:v>-2000</c:v>
                </c:pt>
                <c:pt idx="111">
                  <c:v>13000</c:v>
                </c:pt>
                <c:pt idx="112">
                  <c:v>0</c:v>
                </c:pt>
                <c:pt idx="113">
                  <c:v>1000</c:v>
                </c:pt>
                <c:pt idx="114">
                  <c:v>-10000</c:v>
                </c:pt>
                <c:pt idx="115">
                  <c:v>29000</c:v>
                </c:pt>
                <c:pt idx="116">
                  <c:v>16000</c:v>
                </c:pt>
                <c:pt idx="117">
                  <c:v>2000</c:v>
                </c:pt>
                <c:pt idx="118">
                  <c:v>-5000</c:v>
                </c:pt>
                <c:pt idx="119">
                  <c:v>1000</c:v>
                </c:pt>
                <c:pt idx="120">
                  <c:v>-7000</c:v>
                </c:pt>
                <c:pt idx="121">
                  <c:v>24000</c:v>
                </c:pt>
                <c:pt idx="122">
                  <c:v>8000</c:v>
                </c:pt>
                <c:pt idx="123">
                  <c:v>26000</c:v>
                </c:pt>
                <c:pt idx="124">
                  <c:v>2000</c:v>
                </c:pt>
                <c:pt idx="125">
                  <c:v>26000</c:v>
                </c:pt>
                <c:pt idx="126">
                  <c:v>11000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46675072"/>
        <c:axId val="4667699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0</c:formatCode>
                <c:ptCount val="127"/>
                <c:pt idx="1">
                  <c:v>#N/A</c:v>
                </c:pt>
                <c:pt idx="2">
                  <c:v>#N/A</c:v>
                </c:pt>
                <c:pt idx="3">
                  <c:v>18333.333333333332</c:v>
                </c:pt>
                <c:pt idx="4">
                  <c:v>21666.666666666668</c:v>
                </c:pt>
                <c:pt idx="5">
                  <c:v>4666.666666666667</c:v>
                </c:pt>
                <c:pt idx="6">
                  <c:v>5333.333333333333</c:v>
                </c:pt>
                <c:pt idx="7">
                  <c:v>4333.333333333333</c:v>
                </c:pt>
                <c:pt idx="8">
                  <c:v>11666.666666666666</c:v>
                </c:pt>
                <c:pt idx="9">
                  <c:v>18333.333333333332</c:v>
                </c:pt>
                <c:pt idx="10">
                  <c:v>22666.666666666668</c:v>
                </c:pt>
                <c:pt idx="11">
                  <c:v>19666.666666666668</c:v>
                </c:pt>
                <c:pt idx="12">
                  <c:v>25333.333333333332</c:v>
                </c:pt>
                <c:pt idx="13">
                  <c:v>17000</c:v>
                </c:pt>
                <c:pt idx="14">
                  <c:v>14000</c:v>
                </c:pt>
                <c:pt idx="15">
                  <c:v>7000</c:v>
                </c:pt>
                <c:pt idx="16">
                  <c:v>10333.333333333334</c:v>
                </c:pt>
                <c:pt idx="17">
                  <c:v>7666.666666666667</c:v>
                </c:pt>
                <c:pt idx="18">
                  <c:v>33333.333333333336</c:v>
                </c:pt>
                <c:pt idx="19">
                  <c:v>28333.333333333332</c:v>
                </c:pt>
                <c:pt idx="20">
                  <c:v>27666.666666666668</c:v>
                </c:pt>
                <c:pt idx="21">
                  <c:v>-11666.666666666666</c:v>
                </c:pt>
                <c:pt idx="22">
                  <c:v>-4000</c:v>
                </c:pt>
                <c:pt idx="23">
                  <c:v>11000</c:v>
                </c:pt>
                <c:pt idx="24">
                  <c:v>8666.6666666666661</c:v>
                </c:pt>
                <c:pt idx="25">
                  <c:v>8333.3333333333339</c:v>
                </c:pt>
                <c:pt idx="26">
                  <c:v>8000</c:v>
                </c:pt>
                <c:pt idx="27">
                  <c:v>22000</c:v>
                </c:pt>
                <c:pt idx="28">
                  <c:v>15666.666666666666</c:v>
                </c:pt>
                <c:pt idx="29">
                  <c:v>5333.333333333333</c:v>
                </c:pt>
                <c:pt idx="30">
                  <c:v>15666.666666666666</c:v>
                </c:pt>
                <c:pt idx="31">
                  <c:v>28666.666666666668</c:v>
                </c:pt>
                <c:pt idx="32">
                  <c:v>54666.666666666664</c:v>
                </c:pt>
                <c:pt idx="33">
                  <c:v>34666.666666666664</c:v>
                </c:pt>
                <c:pt idx="34">
                  <c:v>25333.333333333332</c:v>
                </c:pt>
                <c:pt idx="35">
                  <c:v>2666.6666666666665</c:v>
                </c:pt>
                <c:pt idx="36">
                  <c:v>9000</c:v>
                </c:pt>
                <c:pt idx="37">
                  <c:v>15000</c:v>
                </c:pt>
                <c:pt idx="38">
                  <c:v>20000</c:v>
                </c:pt>
                <c:pt idx="39">
                  <c:v>26333.333333333332</c:v>
                </c:pt>
                <c:pt idx="40">
                  <c:v>20333.333333333332</c:v>
                </c:pt>
                <c:pt idx="41">
                  <c:v>20000</c:v>
                </c:pt>
                <c:pt idx="42">
                  <c:v>333.33333333333331</c:v>
                </c:pt>
                <c:pt idx="43">
                  <c:v>9333.3333333333339</c:v>
                </c:pt>
                <c:pt idx="44">
                  <c:v>21333.333333333332</c:v>
                </c:pt>
                <c:pt idx="45">
                  <c:v>39666.666666666664</c:v>
                </c:pt>
                <c:pt idx="46">
                  <c:v>34000</c:v>
                </c:pt>
                <c:pt idx="47">
                  <c:v>26000</c:v>
                </c:pt>
                <c:pt idx="48">
                  <c:v>29000</c:v>
                </c:pt>
                <c:pt idx="49">
                  <c:v>26666.666666666668</c:v>
                </c:pt>
                <c:pt idx="50">
                  <c:v>23666.666666666668</c:v>
                </c:pt>
                <c:pt idx="51">
                  <c:v>15000</c:v>
                </c:pt>
                <c:pt idx="52">
                  <c:v>18666.666666666668</c:v>
                </c:pt>
                <c:pt idx="53">
                  <c:v>22333.333333333332</c:v>
                </c:pt>
                <c:pt idx="54">
                  <c:v>35333.333333333336</c:v>
                </c:pt>
                <c:pt idx="55">
                  <c:v>25000</c:v>
                </c:pt>
                <c:pt idx="56">
                  <c:v>3666.6666666666665</c:v>
                </c:pt>
                <c:pt idx="57">
                  <c:v>-8000</c:v>
                </c:pt>
                <c:pt idx="58">
                  <c:v>-6333.333333333333</c:v>
                </c:pt>
                <c:pt idx="59">
                  <c:v>4000</c:v>
                </c:pt>
                <c:pt idx="60">
                  <c:v>5333.333333333333</c:v>
                </c:pt>
                <c:pt idx="61">
                  <c:v>-333.33333333333331</c:v>
                </c:pt>
                <c:pt idx="62">
                  <c:v>-6000</c:v>
                </c:pt>
                <c:pt idx="63">
                  <c:v>-12666.666666666666</c:v>
                </c:pt>
                <c:pt idx="64">
                  <c:v>-8000</c:v>
                </c:pt>
                <c:pt idx="65">
                  <c:v>-333.33333333333331</c:v>
                </c:pt>
                <c:pt idx="66">
                  <c:v>-20000</c:v>
                </c:pt>
                <c:pt idx="67">
                  <c:v>-15000</c:v>
                </c:pt>
                <c:pt idx="68">
                  <c:v>-45666.666666666664</c:v>
                </c:pt>
                <c:pt idx="69">
                  <c:v>-4666.666666666667</c:v>
                </c:pt>
                <c:pt idx="70">
                  <c:v>-7000</c:v>
                </c:pt>
                <c:pt idx="71">
                  <c:v>8666.6666666666661</c:v>
                </c:pt>
                <c:pt idx="72">
                  <c:v>-20333.333333333332</c:v>
                </c:pt>
                <c:pt idx="73">
                  <c:v>-31333.333333333332</c:v>
                </c:pt>
                <c:pt idx="74">
                  <c:v>-20666.666666666668</c:v>
                </c:pt>
                <c:pt idx="75">
                  <c:v>-12000</c:v>
                </c:pt>
                <c:pt idx="76">
                  <c:v>-6666.666666666667</c:v>
                </c:pt>
                <c:pt idx="77">
                  <c:v>-7333.333333333333</c:v>
                </c:pt>
                <c:pt idx="78">
                  <c:v>-19666.666666666668</c:v>
                </c:pt>
                <c:pt idx="79">
                  <c:v>-34000</c:v>
                </c:pt>
                <c:pt idx="80">
                  <c:v>-60000</c:v>
                </c:pt>
                <c:pt idx="81">
                  <c:v>-31000</c:v>
                </c:pt>
                <c:pt idx="82">
                  <c:v>-18333.333333333332</c:v>
                </c:pt>
                <c:pt idx="83">
                  <c:v>2000</c:v>
                </c:pt>
                <c:pt idx="84">
                  <c:v>-15000</c:v>
                </c:pt>
                <c:pt idx="85">
                  <c:v>-29666.666666666668</c:v>
                </c:pt>
                <c:pt idx="86">
                  <c:v>-27333.333333333332</c:v>
                </c:pt>
                <c:pt idx="87">
                  <c:v>-23333.333333333332</c:v>
                </c:pt>
                <c:pt idx="88">
                  <c:v>-26000</c:v>
                </c:pt>
                <c:pt idx="89">
                  <c:v>-4666.666666666667</c:v>
                </c:pt>
                <c:pt idx="90">
                  <c:v>-44666.666666666664</c:v>
                </c:pt>
                <c:pt idx="91">
                  <c:v>-21666.666666666668</c:v>
                </c:pt>
                <c:pt idx="92">
                  <c:v>-50000</c:v>
                </c:pt>
                <c:pt idx="93">
                  <c:v>-11000</c:v>
                </c:pt>
                <c:pt idx="94">
                  <c:v>-19666.666666666668</c:v>
                </c:pt>
                <c:pt idx="95">
                  <c:v>-13333.333333333334</c:v>
                </c:pt>
                <c:pt idx="96">
                  <c:v>-13666.666666666666</c:v>
                </c:pt>
                <c:pt idx="97">
                  <c:v>-5333.333333333333</c:v>
                </c:pt>
                <c:pt idx="98">
                  <c:v>1333.3333333333333</c:v>
                </c:pt>
                <c:pt idx="99">
                  <c:v>-1333.3333333333333</c:v>
                </c:pt>
                <c:pt idx="100">
                  <c:v>-9333.3333333333339</c:v>
                </c:pt>
                <c:pt idx="101">
                  <c:v>-4000</c:v>
                </c:pt>
                <c:pt idx="102">
                  <c:v>-2666.6666666666665</c:v>
                </c:pt>
                <c:pt idx="103">
                  <c:v>7000</c:v>
                </c:pt>
                <c:pt idx="104">
                  <c:v>3000</c:v>
                </c:pt>
                <c:pt idx="105">
                  <c:v>-7000</c:v>
                </c:pt>
                <c:pt idx="106">
                  <c:v>-11000</c:v>
                </c:pt>
                <c:pt idx="107">
                  <c:v>-11333.333333333334</c:v>
                </c:pt>
                <c:pt idx="108">
                  <c:v>-6333.333333333333</c:v>
                </c:pt>
                <c:pt idx="109">
                  <c:v>0</c:v>
                </c:pt>
                <c:pt idx="110">
                  <c:v>-1000</c:v>
                </c:pt>
                <c:pt idx="111">
                  <c:v>9000</c:v>
                </c:pt>
                <c:pt idx="112">
                  <c:v>3666.6666666666665</c:v>
                </c:pt>
                <c:pt idx="113">
                  <c:v>4666.666666666667</c:v>
                </c:pt>
                <c:pt idx="114">
                  <c:v>-3000</c:v>
                </c:pt>
                <c:pt idx="115">
                  <c:v>6666.666666666667</c:v>
                </c:pt>
                <c:pt idx="116">
                  <c:v>11666.666666666666</c:v>
                </c:pt>
                <c:pt idx="117">
                  <c:v>15666.666666666666</c:v>
                </c:pt>
                <c:pt idx="118">
                  <c:v>4333.333333333333</c:v>
                </c:pt>
                <c:pt idx="119">
                  <c:v>-666.66666666666663</c:v>
                </c:pt>
                <c:pt idx="120">
                  <c:v>-3666.6666666666665</c:v>
                </c:pt>
                <c:pt idx="121">
                  <c:v>6000</c:v>
                </c:pt>
                <c:pt idx="122">
                  <c:v>8333.3333333333339</c:v>
                </c:pt>
                <c:pt idx="123">
                  <c:v>19333.333333333332</c:v>
                </c:pt>
                <c:pt idx="124">
                  <c:v>12000</c:v>
                </c:pt>
                <c:pt idx="125">
                  <c:v>18000</c:v>
                </c:pt>
                <c:pt idx="126">
                  <c:v>13000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5072"/>
        <c:axId val="46676992"/>
      </c:lineChart>
      <c:dateAx>
        <c:axId val="4667507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46676992"/>
        <c:crosses val="autoZero"/>
        <c:auto val="1"/>
        <c:lblOffset val="100"/>
        <c:baseTimeUnit val="months"/>
        <c:majorUnit val="1"/>
        <c:majorTimeUnit val="years"/>
      </c:dateAx>
      <c:valAx>
        <c:axId val="4667699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Jobs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6675072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3844175341033482"/>
          <c:y val="9.7279090113735783E-2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51133105891"/>
          <c:y val="0.19907407407407407"/>
          <c:w val="0.84832302057794673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299.99999999995453</c:v>
                </c:pt>
                <c:pt idx="2">
                  <c:v>2900.0000000000909</c:v>
                </c:pt>
                <c:pt idx="3">
                  <c:v>23299.999999999956</c:v>
                </c:pt>
                <c:pt idx="4">
                  <c:v>-18000</c:v>
                </c:pt>
                <c:pt idx="5">
                  <c:v>1000</c:v>
                </c:pt>
                <c:pt idx="6">
                  <c:v>900.00000000009095</c:v>
                </c:pt>
                <c:pt idx="7">
                  <c:v>799.99999999995453</c:v>
                </c:pt>
                <c:pt idx="8">
                  <c:v>1399.9999999998636</c:v>
                </c:pt>
                <c:pt idx="9">
                  <c:v>-3199.9999999998181</c:v>
                </c:pt>
                <c:pt idx="10">
                  <c:v>4099.9999999999091</c:v>
                </c:pt>
                <c:pt idx="11">
                  <c:v>99.999999999909051</c:v>
                </c:pt>
                <c:pt idx="12">
                  <c:v>-1299.9999999999545</c:v>
                </c:pt>
                <c:pt idx="13">
                  <c:v>2799.9999999999545</c:v>
                </c:pt>
                <c:pt idx="14">
                  <c:v>4800.0000000001819</c:v>
                </c:pt>
                <c:pt idx="15">
                  <c:v>-2500</c:v>
                </c:pt>
                <c:pt idx="16">
                  <c:v>1899.9999999998636</c:v>
                </c:pt>
                <c:pt idx="17">
                  <c:v>-1000</c:v>
                </c:pt>
                <c:pt idx="18">
                  <c:v>-2299.9999999999545</c:v>
                </c:pt>
                <c:pt idx="19">
                  <c:v>1599.9999999999091</c:v>
                </c:pt>
                <c:pt idx="20">
                  <c:v>1200.0000000000455</c:v>
                </c:pt>
                <c:pt idx="21">
                  <c:v>3799.9999999999545</c:v>
                </c:pt>
                <c:pt idx="22">
                  <c:v>3200.0000000000455</c:v>
                </c:pt>
                <c:pt idx="23">
                  <c:v>-5899.9999999998636</c:v>
                </c:pt>
                <c:pt idx="24">
                  <c:v>-4100.0000000001364</c:v>
                </c:pt>
                <c:pt idx="25">
                  <c:v>5100.0000000001364</c:v>
                </c:pt>
                <c:pt idx="26">
                  <c:v>1500</c:v>
                </c:pt>
                <c:pt idx="27">
                  <c:v>1699.9999999998181</c:v>
                </c:pt>
                <c:pt idx="28">
                  <c:v>1200.0000000000455</c:v>
                </c:pt>
                <c:pt idx="29">
                  <c:v>1000</c:v>
                </c:pt>
                <c:pt idx="30">
                  <c:v>1600.0000000001364</c:v>
                </c:pt>
                <c:pt idx="31">
                  <c:v>-2100.0000000001364</c:v>
                </c:pt>
                <c:pt idx="32">
                  <c:v>-500</c:v>
                </c:pt>
                <c:pt idx="33">
                  <c:v>-200.00000000004547</c:v>
                </c:pt>
                <c:pt idx="34">
                  <c:v>-1299.9999999999545</c:v>
                </c:pt>
                <c:pt idx="35">
                  <c:v>400.00000000009095</c:v>
                </c:pt>
                <c:pt idx="36">
                  <c:v>1799.9999999999545</c:v>
                </c:pt>
                <c:pt idx="37">
                  <c:v>400.00000000009095</c:v>
                </c:pt>
                <c:pt idx="38">
                  <c:v>699.9999999998181</c:v>
                </c:pt>
                <c:pt idx="39">
                  <c:v>200.00000000004547</c:v>
                </c:pt>
                <c:pt idx="40">
                  <c:v>-2399.9999999998636</c:v>
                </c:pt>
                <c:pt idx="41">
                  <c:v>-2900.0000000000909</c:v>
                </c:pt>
                <c:pt idx="42">
                  <c:v>4500</c:v>
                </c:pt>
                <c:pt idx="43">
                  <c:v>2299.9999999999545</c:v>
                </c:pt>
                <c:pt idx="44">
                  <c:v>-799.99999999995453</c:v>
                </c:pt>
                <c:pt idx="45">
                  <c:v>-299.99999999995453</c:v>
                </c:pt>
                <c:pt idx="46">
                  <c:v>4099.9999999999091</c:v>
                </c:pt>
                <c:pt idx="47">
                  <c:v>4600.0000000001364</c:v>
                </c:pt>
                <c:pt idx="48">
                  <c:v>6599.9999999999091</c:v>
                </c:pt>
                <c:pt idx="49">
                  <c:v>5900.0000000000909</c:v>
                </c:pt>
                <c:pt idx="50">
                  <c:v>4500</c:v>
                </c:pt>
                <c:pt idx="51">
                  <c:v>5699.9999999998181</c:v>
                </c:pt>
                <c:pt idx="52">
                  <c:v>5700.0000000000455</c:v>
                </c:pt>
                <c:pt idx="53">
                  <c:v>4900.0000000000909</c:v>
                </c:pt>
                <c:pt idx="54">
                  <c:v>9000</c:v>
                </c:pt>
                <c:pt idx="55">
                  <c:v>6599.9999999999091</c:v>
                </c:pt>
                <c:pt idx="56">
                  <c:v>5100.0000000001364</c:v>
                </c:pt>
                <c:pt idx="57">
                  <c:v>6599.9999999999091</c:v>
                </c:pt>
                <c:pt idx="58">
                  <c:v>8700.0000000000455</c:v>
                </c:pt>
                <c:pt idx="59">
                  <c:v>2899.9999999998636</c:v>
                </c:pt>
                <c:pt idx="60">
                  <c:v>7900.0000000000909</c:v>
                </c:pt>
                <c:pt idx="61">
                  <c:v>7699.9999999998181</c:v>
                </c:pt>
                <c:pt idx="62">
                  <c:v>800.0000000001819</c:v>
                </c:pt>
                <c:pt idx="63">
                  <c:v>11800.000000000182</c:v>
                </c:pt>
                <c:pt idx="64">
                  <c:v>7799.9999999997272</c:v>
                </c:pt>
                <c:pt idx="65">
                  <c:v>17400.000000000091</c:v>
                </c:pt>
                <c:pt idx="66">
                  <c:v>15800.000000000182</c:v>
                </c:pt>
                <c:pt idx="67">
                  <c:v>8899.9999999996362</c:v>
                </c:pt>
                <c:pt idx="68">
                  <c:v>3900.0000000000909</c:v>
                </c:pt>
                <c:pt idx="69">
                  <c:v>11000</c:v>
                </c:pt>
                <c:pt idx="70">
                  <c:v>6400.0000000000909</c:v>
                </c:pt>
                <c:pt idx="71">
                  <c:v>9199.9999999998181</c:v>
                </c:pt>
                <c:pt idx="72">
                  <c:v>5400.0000000000909</c:v>
                </c:pt>
                <c:pt idx="73">
                  <c:v>3700.0000000002728</c:v>
                </c:pt>
                <c:pt idx="74">
                  <c:v>6099.9999999999091</c:v>
                </c:pt>
                <c:pt idx="75">
                  <c:v>400.00000000009095</c:v>
                </c:pt>
                <c:pt idx="76">
                  <c:v>21299.999999999727</c:v>
                </c:pt>
                <c:pt idx="77">
                  <c:v>3099.9999999999091</c:v>
                </c:pt>
                <c:pt idx="78">
                  <c:v>6000</c:v>
                </c:pt>
                <c:pt idx="79">
                  <c:v>5700.0000000002728</c:v>
                </c:pt>
                <c:pt idx="80">
                  <c:v>1099.9999999999091</c:v>
                </c:pt>
                <c:pt idx="81">
                  <c:v>4599.9999999999091</c:v>
                </c:pt>
                <c:pt idx="82">
                  <c:v>2599.9999999999091</c:v>
                </c:pt>
                <c:pt idx="83">
                  <c:v>6100.0000000003638</c:v>
                </c:pt>
                <c:pt idx="84">
                  <c:v>5899.9999999996362</c:v>
                </c:pt>
                <c:pt idx="85">
                  <c:v>2600.0000000003638</c:v>
                </c:pt>
                <c:pt idx="86">
                  <c:v>3500</c:v>
                </c:pt>
                <c:pt idx="87">
                  <c:v>1599.9999999999091</c:v>
                </c:pt>
                <c:pt idx="88">
                  <c:v>1500</c:v>
                </c:pt>
                <c:pt idx="89">
                  <c:v>-8800.0000000001819</c:v>
                </c:pt>
                <c:pt idx="90">
                  <c:v>-2299.9999999997272</c:v>
                </c:pt>
                <c:pt idx="91">
                  <c:v>-1100.0000000003638</c:v>
                </c:pt>
                <c:pt idx="92">
                  <c:v>-99.999999999909051</c:v>
                </c:pt>
                <c:pt idx="93">
                  <c:v>-699.9999999998181</c:v>
                </c:pt>
                <c:pt idx="94">
                  <c:v>-3000</c:v>
                </c:pt>
                <c:pt idx="95">
                  <c:v>-1500</c:v>
                </c:pt>
                <c:pt idx="96">
                  <c:v>-5800.0000000001819</c:v>
                </c:pt>
                <c:pt idx="97">
                  <c:v>-3699.9999999998181</c:v>
                </c:pt>
                <c:pt idx="98">
                  <c:v>1400.0000000000909</c:v>
                </c:pt>
                <c:pt idx="99">
                  <c:v>-700.00000000027285</c:v>
                </c:pt>
                <c:pt idx="100">
                  <c:v>900.00000000009095</c:v>
                </c:pt>
                <c:pt idx="101">
                  <c:v>-199.9999999998181</c:v>
                </c:pt>
                <c:pt idx="102">
                  <c:v>-8400.0000000000909</c:v>
                </c:pt>
                <c:pt idx="103">
                  <c:v>7199.9999999998181</c:v>
                </c:pt>
                <c:pt idx="104">
                  <c:v>6300.0000000001819</c:v>
                </c:pt>
                <c:pt idx="105">
                  <c:v>-3900.0000000000909</c:v>
                </c:pt>
                <c:pt idx="106">
                  <c:v>-599.99999999990905</c:v>
                </c:pt>
                <c:pt idx="107">
                  <c:v>-1500</c:v>
                </c:pt>
                <c:pt idx="108">
                  <c:v>-3900.0000000000909</c:v>
                </c:pt>
                <c:pt idx="109">
                  <c:v>-2400.0000000000909</c:v>
                </c:pt>
                <c:pt idx="110">
                  <c:v>-4099.9999999999091</c:v>
                </c:pt>
                <c:pt idx="111">
                  <c:v>-9300.0000000001819</c:v>
                </c:pt>
                <c:pt idx="112">
                  <c:v>-10699.999999999818</c:v>
                </c:pt>
                <c:pt idx="113">
                  <c:v>-6800.0000000001819</c:v>
                </c:pt>
                <c:pt idx="114">
                  <c:v>-7199.9999999998181</c:v>
                </c:pt>
                <c:pt idx="115">
                  <c:v>-7900.0000000000909</c:v>
                </c:pt>
                <c:pt idx="116">
                  <c:v>-4900.0000000000909</c:v>
                </c:pt>
                <c:pt idx="117">
                  <c:v>-9299.9999999997272</c:v>
                </c:pt>
                <c:pt idx="118">
                  <c:v>4199.9999999998181</c:v>
                </c:pt>
                <c:pt idx="119">
                  <c:v>-6299.9999999997272</c:v>
                </c:pt>
                <c:pt idx="120">
                  <c:v>-5600.0000000003638</c:v>
                </c:pt>
                <c:pt idx="121">
                  <c:v>-6299.9999999997272</c:v>
                </c:pt>
                <c:pt idx="122">
                  <c:v>-4000</c:v>
                </c:pt>
                <c:pt idx="123">
                  <c:v>-2800.0000000001819</c:v>
                </c:pt>
                <c:pt idx="124">
                  <c:v>200.00000000027285</c:v>
                </c:pt>
                <c:pt idx="125">
                  <c:v>0</c:v>
                </c:pt>
                <c:pt idx="126">
                  <c:v>1599.9999999999091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47314048"/>
        <c:axId val="473419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8833.3333333333339</c:v>
                </c:pt>
                <c:pt idx="4">
                  <c:v>2733.3333333333489</c:v>
                </c:pt>
                <c:pt idx="5">
                  <c:v>2099.9999999999854</c:v>
                </c:pt>
                <c:pt idx="6">
                  <c:v>-5366.666666666636</c:v>
                </c:pt>
                <c:pt idx="7">
                  <c:v>900.00000000001512</c:v>
                </c:pt>
                <c:pt idx="8">
                  <c:v>1033.333333333303</c:v>
                </c:pt>
                <c:pt idx="9">
                  <c:v>-333.33333333333331</c:v>
                </c:pt>
                <c:pt idx="10">
                  <c:v>766.66666666665151</c:v>
                </c:pt>
                <c:pt idx="11">
                  <c:v>333.33333333333331</c:v>
                </c:pt>
                <c:pt idx="12">
                  <c:v>966.66666666662115</c:v>
                </c:pt>
                <c:pt idx="13">
                  <c:v>533.33333333330302</c:v>
                </c:pt>
                <c:pt idx="14">
                  <c:v>2100.0000000000605</c:v>
                </c:pt>
                <c:pt idx="15">
                  <c:v>1700.0000000000455</c:v>
                </c:pt>
                <c:pt idx="16">
                  <c:v>1400.0000000000152</c:v>
                </c:pt>
                <c:pt idx="17">
                  <c:v>-533.33333333337885</c:v>
                </c:pt>
                <c:pt idx="18">
                  <c:v>-466.66666666669698</c:v>
                </c:pt>
                <c:pt idx="19">
                  <c:v>-566.66666666668186</c:v>
                </c:pt>
                <c:pt idx="20">
                  <c:v>166.66666666666666</c:v>
                </c:pt>
                <c:pt idx="21">
                  <c:v>2199.9999999999695</c:v>
                </c:pt>
                <c:pt idx="22">
                  <c:v>2733.3333333333485</c:v>
                </c:pt>
                <c:pt idx="23">
                  <c:v>366.66666666671216</c:v>
                </c:pt>
                <c:pt idx="24">
                  <c:v>-2266.6666666666515</c:v>
                </c:pt>
                <c:pt idx="25">
                  <c:v>-1633.3333333332878</c:v>
                </c:pt>
                <c:pt idx="26">
                  <c:v>833.33333333333337</c:v>
                </c:pt>
                <c:pt idx="27">
                  <c:v>2766.6666666666515</c:v>
                </c:pt>
                <c:pt idx="28">
                  <c:v>1466.6666666666213</c:v>
                </c:pt>
                <c:pt idx="29">
                  <c:v>1299.9999999999545</c:v>
                </c:pt>
                <c:pt idx="30">
                  <c:v>1266.6666666667272</c:v>
                </c:pt>
                <c:pt idx="31">
                  <c:v>166.66666666666666</c:v>
                </c:pt>
                <c:pt idx="32">
                  <c:v>-333.33333333333331</c:v>
                </c:pt>
                <c:pt idx="33">
                  <c:v>-933.33333333339397</c:v>
                </c:pt>
                <c:pt idx="34">
                  <c:v>-666.66666666666663</c:v>
                </c:pt>
                <c:pt idx="35">
                  <c:v>-366.66666666663633</c:v>
                </c:pt>
                <c:pt idx="36">
                  <c:v>300.0000000000303</c:v>
                </c:pt>
                <c:pt idx="37">
                  <c:v>866.6666666667121</c:v>
                </c:pt>
                <c:pt idx="38">
                  <c:v>966.66666666662115</c:v>
                </c:pt>
                <c:pt idx="39">
                  <c:v>433.33333333331819</c:v>
                </c:pt>
                <c:pt idx="40">
                  <c:v>-500</c:v>
                </c:pt>
                <c:pt idx="41">
                  <c:v>-1699.9999999999698</c:v>
                </c:pt>
                <c:pt idx="42">
                  <c:v>-266.66666666665151</c:v>
                </c:pt>
                <c:pt idx="43">
                  <c:v>1299.9999999999545</c:v>
                </c:pt>
                <c:pt idx="44">
                  <c:v>2000</c:v>
                </c:pt>
                <c:pt idx="45">
                  <c:v>400.00000000001518</c:v>
                </c:pt>
                <c:pt idx="46">
                  <c:v>1000</c:v>
                </c:pt>
                <c:pt idx="47">
                  <c:v>2800.0000000000305</c:v>
                </c:pt>
                <c:pt idx="48">
                  <c:v>5099.9999999999845</c:v>
                </c:pt>
                <c:pt idx="49">
                  <c:v>5700.0000000000464</c:v>
                </c:pt>
                <c:pt idx="50">
                  <c:v>5666.666666666667</c:v>
                </c:pt>
                <c:pt idx="51">
                  <c:v>5366.666666666636</c:v>
                </c:pt>
                <c:pt idx="52">
                  <c:v>5299.9999999999545</c:v>
                </c:pt>
                <c:pt idx="53">
                  <c:v>5433.3333333333185</c:v>
                </c:pt>
                <c:pt idx="54">
                  <c:v>6533.3333333333794</c:v>
                </c:pt>
                <c:pt idx="55">
                  <c:v>6833.333333333333</c:v>
                </c:pt>
                <c:pt idx="56">
                  <c:v>6900.0000000000146</c:v>
                </c:pt>
                <c:pt idx="57">
                  <c:v>6099.9999999999854</c:v>
                </c:pt>
                <c:pt idx="58">
                  <c:v>6800.00000000003</c:v>
                </c:pt>
                <c:pt idx="59">
                  <c:v>6066.666666666606</c:v>
                </c:pt>
                <c:pt idx="60">
                  <c:v>6500</c:v>
                </c:pt>
                <c:pt idx="61">
                  <c:v>6166.6666666665915</c:v>
                </c:pt>
                <c:pt idx="62">
                  <c:v>5466.666666666697</c:v>
                </c:pt>
                <c:pt idx="63">
                  <c:v>6766.666666666727</c:v>
                </c:pt>
                <c:pt idx="64">
                  <c:v>6800.00000000003</c:v>
                </c:pt>
                <c:pt idx="65">
                  <c:v>12333.333333333334</c:v>
                </c:pt>
                <c:pt idx="66">
                  <c:v>13666.666666666666</c:v>
                </c:pt>
                <c:pt idx="67">
                  <c:v>14033.333333333305</c:v>
                </c:pt>
                <c:pt idx="68">
                  <c:v>9533.333333333303</c:v>
                </c:pt>
                <c:pt idx="69">
                  <c:v>7933.3333333332421</c:v>
                </c:pt>
                <c:pt idx="70">
                  <c:v>7100.0000000000609</c:v>
                </c:pt>
                <c:pt idx="71">
                  <c:v>8866.666666666637</c:v>
                </c:pt>
                <c:pt idx="72">
                  <c:v>7000</c:v>
                </c:pt>
                <c:pt idx="73">
                  <c:v>6100.0000000000609</c:v>
                </c:pt>
                <c:pt idx="74">
                  <c:v>5066.6666666667579</c:v>
                </c:pt>
                <c:pt idx="75">
                  <c:v>3400.0000000000909</c:v>
                </c:pt>
                <c:pt idx="76">
                  <c:v>9266.6666666665751</c:v>
                </c:pt>
                <c:pt idx="77">
                  <c:v>8266.6666666665751</c:v>
                </c:pt>
                <c:pt idx="78">
                  <c:v>10133.333333333212</c:v>
                </c:pt>
                <c:pt idx="79">
                  <c:v>4933.333333333394</c:v>
                </c:pt>
                <c:pt idx="80">
                  <c:v>4266.666666666727</c:v>
                </c:pt>
                <c:pt idx="81">
                  <c:v>3800.0000000000305</c:v>
                </c:pt>
                <c:pt idx="82">
                  <c:v>2766.6666666665756</c:v>
                </c:pt>
                <c:pt idx="83">
                  <c:v>4433.333333333394</c:v>
                </c:pt>
                <c:pt idx="84">
                  <c:v>4866.666666666636</c:v>
                </c:pt>
                <c:pt idx="85">
                  <c:v>4866.6666666667879</c:v>
                </c:pt>
                <c:pt idx="86">
                  <c:v>4000</c:v>
                </c:pt>
                <c:pt idx="87">
                  <c:v>2566.6666666667575</c:v>
                </c:pt>
                <c:pt idx="88">
                  <c:v>2199.9999999999695</c:v>
                </c:pt>
                <c:pt idx="89">
                  <c:v>-1900.0000000000909</c:v>
                </c:pt>
                <c:pt idx="90">
                  <c:v>-3199.9999999999695</c:v>
                </c:pt>
                <c:pt idx="91">
                  <c:v>-4066.6666666667575</c:v>
                </c:pt>
                <c:pt idx="92">
                  <c:v>-1166.6666666666667</c:v>
                </c:pt>
                <c:pt idx="93">
                  <c:v>-633.33333333336361</c:v>
                </c:pt>
                <c:pt idx="94">
                  <c:v>-1266.6666666665758</c:v>
                </c:pt>
                <c:pt idx="95">
                  <c:v>-1733.3333333332728</c:v>
                </c:pt>
                <c:pt idx="96">
                  <c:v>-3433.333333333394</c:v>
                </c:pt>
                <c:pt idx="97">
                  <c:v>-3666.6666666666665</c:v>
                </c:pt>
                <c:pt idx="98">
                  <c:v>-2699.9999999999695</c:v>
                </c:pt>
                <c:pt idx="99">
                  <c:v>-1000</c:v>
                </c:pt>
                <c:pt idx="100">
                  <c:v>533.33333333330302</c:v>
                </c:pt>
                <c:pt idx="101">
                  <c:v>0</c:v>
                </c:pt>
                <c:pt idx="102">
                  <c:v>-2566.666666666606</c:v>
                </c:pt>
                <c:pt idx="103">
                  <c:v>-466.66666666669698</c:v>
                </c:pt>
                <c:pt idx="104">
                  <c:v>1699.9999999999698</c:v>
                </c:pt>
                <c:pt idx="105">
                  <c:v>3199.9999999999695</c:v>
                </c:pt>
                <c:pt idx="106">
                  <c:v>600.0000000000606</c:v>
                </c:pt>
                <c:pt idx="107">
                  <c:v>-2000</c:v>
                </c:pt>
                <c:pt idx="108">
                  <c:v>-2000</c:v>
                </c:pt>
                <c:pt idx="109">
                  <c:v>-2600.0000000000605</c:v>
                </c:pt>
                <c:pt idx="110">
                  <c:v>-3466.666666666697</c:v>
                </c:pt>
                <c:pt idx="111">
                  <c:v>-5266.666666666727</c:v>
                </c:pt>
                <c:pt idx="112">
                  <c:v>-8033.333333333303</c:v>
                </c:pt>
                <c:pt idx="113">
                  <c:v>-8933.333333333394</c:v>
                </c:pt>
                <c:pt idx="114">
                  <c:v>-8233.3333333332721</c:v>
                </c:pt>
                <c:pt idx="115">
                  <c:v>-7300.00000000003</c:v>
                </c:pt>
                <c:pt idx="116">
                  <c:v>-6666.666666666667</c:v>
                </c:pt>
                <c:pt idx="117">
                  <c:v>-7366.666666666636</c:v>
                </c:pt>
                <c:pt idx="118">
                  <c:v>-3333.3333333333335</c:v>
                </c:pt>
                <c:pt idx="119">
                  <c:v>-3799.9999999998786</c:v>
                </c:pt>
                <c:pt idx="120">
                  <c:v>-2566.6666666667575</c:v>
                </c:pt>
                <c:pt idx="121">
                  <c:v>-6066.666666666606</c:v>
                </c:pt>
                <c:pt idx="122">
                  <c:v>-5300.00000000003</c:v>
                </c:pt>
                <c:pt idx="123">
                  <c:v>-4366.666666666636</c:v>
                </c:pt>
                <c:pt idx="124">
                  <c:v>-2199.9999999999695</c:v>
                </c:pt>
                <c:pt idx="125">
                  <c:v>-866.66666666663639</c:v>
                </c:pt>
                <c:pt idx="126">
                  <c:v>600.0000000000606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14048"/>
        <c:axId val="47341952"/>
      </c:lineChart>
      <c:dateAx>
        <c:axId val="473140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47341952"/>
        <c:crosses val="autoZero"/>
        <c:auto val="1"/>
        <c:lblOffset val="100"/>
        <c:baseTimeUnit val="months"/>
        <c:majorUnit val="1"/>
        <c:majorTimeUnit val="years"/>
      </c:dateAx>
      <c:valAx>
        <c:axId val="473419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Jobs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731404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1677135086285549"/>
          <c:y val="8.7358559346748327E-2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2720"/>
        <c:axId val="47905024"/>
      </c:lineChart>
      <c:dateAx>
        <c:axId val="479027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7905024"/>
        <c:crosses val="autoZero"/>
        <c:auto val="1"/>
        <c:lblOffset val="100"/>
        <c:baseTimeUnit val="months"/>
        <c:majorUnit val="1"/>
        <c:majorTimeUnit val="years"/>
      </c:dateAx>
      <c:valAx>
        <c:axId val="4790502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790272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89440"/>
        <c:axId val="48595712"/>
      </c:lineChart>
      <c:dateAx>
        <c:axId val="48589440"/>
        <c:scaling>
          <c:orientation val="minMax"/>
          <c:min val="38139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8595712"/>
        <c:crossesAt val="0"/>
        <c:auto val="1"/>
        <c:lblOffset val="100"/>
        <c:baseTimeUnit val="months"/>
        <c:majorUnit val="1"/>
        <c:majorTimeUnit val="years"/>
      </c:dateAx>
      <c:valAx>
        <c:axId val="485957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858944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1393232517673E-4"/>
          <c:y val="2.110278383876714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975424"/>
        <c:axId val="215977344"/>
      </c:lineChart>
      <c:dateAx>
        <c:axId val="21597542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5977344"/>
        <c:crosses val="autoZero"/>
        <c:auto val="1"/>
        <c:lblOffset val="100"/>
        <c:baseTimeUnit val="months"/>
        <c:majorUnit val="10"/>
        <c:majorTimeUnit val="years"/>
      </c:dateAx>
      <c:valAx>
        <c:axId val="21597734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597542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8.947247817647129E-3"/>
          <c:y val="6.193174612140584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304512"/>
        <c:axId val="224343168"/>
      </c:lineChart>
      <c:dateAx>
        <c:axId val="2243045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343168"/>
        <c:crosses val="autoZero"/>
        <c:auto val="1"/>
        <c:lblOffset val="100"/>
        <c:baseTimeUnit val="months"/>
        <c:majorUnit val="5"/>
        <c:majorTimeUnit val="years"/>
      </c:dateAx>
      <c:valAx>
        <c:axId val="22434316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430451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Deficit!$F$7:$F$71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92960"/>
        <c:axId val="225200000"/>
      </c:lineChart>
      <c:dateAx>
        <c:axId val="225192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200000"/>
        <c:crossesAt val="-1500"/>
        <c:auto val="1"/>
        <c:lblOffset val="100"/>
        <c:baseTimeUnit val="months"/>
        <c:majorUnit val="5"/>
        <c:majorTimeUnit val="years"/>
      </c:dateAx>
      <c:valAx>
        <c:axId val="225200000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519296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979200"/>
        <c:axId val="227402112"/>
      </c:lineChart>
      <c:dateAx>
        <c:axId val="2269792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7402112"/>
        <c:crosses val="autoZero"/>
        <c:auto val="1"/>
        <c:lblOffset val="100"/>
        <c:baseTimeUnit val="months"/>
        <c:majorUnit val="5"/>
        <c:majorTimeUnit val="years"/>
      </c:dateAx>
      <c:valAx>
        <c:axId val="22740211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2697920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4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3</xdr:row>
      <xdr:rowOff>85725</xdr:rowOff>
    </xdr:from>
    <xdr:to>
      <xdr:col>11</xdr:col>
      <xdr:colOff>352425</xdr:colOff>
      <xdr:row>6</xdr:row>
      <xdr:rowOff>47625</xdr:rowOff>
    </xdr:to>
    <xdr:sp macro="[0]!PDFGraphs" textlink="">
      <xdr:nvSpPr>
        <xdr:cNvPr id="4" name="Rectangle 3"/>
        <xdr:cNvSpPr/>
      </xdr:nvSpPr>
      <xdr:spPr>
        <a:xfrm>
          <a:off x="5029200" y="657225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</xdr:rowOff>
    </xdr:from>
    <xdr:to>
      <xdr:col>9</xdr:col>
      <xdr:colOff>593911</xdr:colOff>
      <xdr:row>5</xdr:row>
      <xdr:rowOff>62992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"/>
          <a:ext cx="5961529" cy="1015490"/>
        </a:xfrm>
        <a:prstGeom prst="rect">
          <a:avLst/>
        </a:prstGeom>
      </xdr:spPr>
    </xdr:pic>
    <xdr:clientData/>
  </xdr:twoCellAnchor>
  <xdr:twoCellAnchor>
    <xdr:from>
      <xdr:col>0</xdr:col>
      <xdr:colOff>525556</xdr:colOff>
      <xdr:row>5</xdr:row>
      <xdr:rowOff>141194</xdr:rowOff>
    </xdr:from>
    <xdr:to>
      <xdr:col>9</xdr:col>
      <xdr:colOff>160805</xdr:colOff>
      <xdr:row>17</xdr:row>
      <xdr:rowOff>141194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525556</xdr:colOff>
      <xdr:row>19</xdr:row>
      <xdr:rowOff>182656</xdr:rowOff>
    </xdr:from>
    <xdr:to>
      <xdr:col>9</xdr:col>
      <xdr:colOff>160805</xdr:colOff>
      <xdr:row>31</xdr:row>
      <xdr:rowOff>182656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525556</xdr:colOff>
      <xdr:row>33</xdr:row>
      <xdr:rowOff>56029</xdr:rowOff>
    </xdr:from>
    <xdr:to>
      <xdr:col>9</xdr:col>
      <xdr:colOff>160805</xdr:colOff>
      <xdr:row>45</xdr:row>
      <xdr:rowOff>56029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2241</xdr:rowOff>
    </xdr:from>
    <xdr:to>
      <xdr:col>7</xdr:col>
      <xdr:colOff>427110</xdr:colOff>
      <xdr:row>41</xdr:row>
      <xdr:rowOff>112059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9525</xdr:rowOff>
    </xdr:from>
    <xdr:to>
      <xdr:col>8</xdr:col>
      <xdr:colOff>0</xdr:colOff>
      <xdr:row>5</xdr:row>
      <xdr:rowOff>91869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6051176" cy="1034844"/>
        </a:xfrm>
        <a:prstGeom prst="rect">
          <a:avLst/>
        </a:prstGeom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252693</xdr:colOff>
      <xdr:row>36</xdr:row>
      <xdr:rowOff>108697</xdr:rowOff>
    </xdr:from>
    <xdr:to>
      <xdr:col>9</xdr:col>
      <xdr:colOff>293034</xdr:colOff>
      <xdr:row>46</xdr:row>
      <xdr:rowOff>32497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252693</xdr:colOff>
      <xdr:row>26</xdr:row>
      <xdr:rowOff>7844</xdr:rowOff>
    </xdr:from>
    <xdr:to>
      <xdr:col>9</xdr:col>
      <xdr:colOff>293034</xdr:colOff>
      <xdr:row>35</xdr:row>
      <xdr:rowOff>122144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252693</xdr:colOff>
      <xdr:row>15</xdr:row>
      <xdr:rowOff>153520</xdr:rowOff>
    </xdr:from>
    <xdr:to>
      <xdr:col>9</xdr:col>
      <xdr:colOff>293034</xdr:colOff>
      <xdr:row>25</xdr:row>
      <xdr:rowOff>77320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252693</xdr:colOff>
      <xdr:row>5</xdr:row>
      <xdr:rowOff>75078</xdr:rowOff>
    </xdr:from>
    <xdr:to>
      <xdr:col>9</xdr:col>
      <xdr:colOff>293034</xdr:colOff>
      <xdr:row>14</xdr:row>
      <xdr:rowOff>189378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566928</xdr:colOff>
      <xdr:row>5</xdr:row>
      <xdr:rowOff>11850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053328" cy="964350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0.8872</cdr:y>
    </cdr:from>
    <cdr:to>
      <cdr:x>0.33939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1664911"/>
          <a:ext cx="2141181" cy="2116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Normal="100" workbookViewId="0">
      <selection activeCell="K21" sqref="K21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J49"/>
  <sheetViews>
    <sheetView zoomScale="85" zoomScaleNormal="85" workbookViewId="0"/>
  </sheetViews>
  <sheetFormatPr defaultRowHeight="15"/>
  <cols>
    <col min="1" max="8" width="9.140625" style="33"/>
    <col min="9" max="9" width="7.85546875" style="33" customWidth="1"/>
    <col min="10" max="16384" width="9.140625" style="33"/>
  </cols>
  <sheetData>
    <row r="1" spans="1:9">
      <c r="A1" s="22"/>
      <c r="B1" s="22"/>
      <c r="C1" s="22"/>
      <c r="D1" s="22"/>
      <c r="E1" s="22"/>
      <c r="F1" s="22"/>
      <c r="G1" s="22"/>
      <c r="H1" s="22"/>
      <c r="I1" s="22"/>
    </row>
    <row r="2" spans="1:9">
      <c r="A2" s="22"/>
      <c r="B2" s="22"/>
      <c r="C2" s="22"/>
      <c r="D2" s="22"/>
      <c r="E2" s="22"/>
      <c r="F2" s="22"/>
      <c r="G2" s="22"/>
      <c r="H2" s="22"/>
      <c r="I2" s="22"/>
    </row>
    <row r="3" spans="1:9">
      <c r="A3" s="22"/>
      <c r="B3" s="22"/>
      <c r="C3" s="22"/>
      <c r="D3" s="22"/>
      <c r="E3" s="22"/>
      <c r="F3" s="22"/>
      <c r="G3" s="22"/>
      <c r="H3" s="22"/>
      <c r="I3" s="22"/>
    </row>
    <row r="47" spans="1:10">
      <c r="A47" s="22"/>
      <c r="B47" s="22"/>
      <c r="C47" s="22"/>
      <c r="D47" s="22"/>
      <c r="E47" s="22"/>
      <c r="F47" s="22"/>
      <c r="G47" s="22"/>
      <c r="H47" s="22"/>
      <c r="I47" s="22"/>
      <c r="J47" s="22"/>
    </row>
    <row r="48" spans="1:10">
      <c r="A48" s="22"/>
      <c r="B48" s="22"/>
      <c r="C48" s="22"/>
      <c r="D48" s="22"/>
      <c r="E48" s="22"/>
      <c r="F48" s="22"/>
      <c r="G48" s="22"/>
      <c r="H48" s="22"/>
      <c r="I48" s="22"/>
      <c r="J48" s="22"/>
    </row>
    <row r="49" spans="1:10">
      <c r="A49" s="22"/>
      <c r="B49" s="22"/>
      <c r="C49" s="22"/>
      <c r="D49" s="22"/>
      <c r="E49" s="22"/>
      <c r="F49" s="22"/>
      <c r="G49" s="22"/>
      <c r="H49" s="22"/>
      <c r="I49" s="22"/>
      <c r="J49" s="22"/>
    </row>
  </sheetData>
  <pageMargins left="0.5" right="0.5" top="0.5" bottom="0.5" header="0.5" footer="0.5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zoomScale="85" zoomScaleNormal="85" zoomScalePageLayoutView="55" workbookViewId="0"/>
  </sheetViews>
  <sheetFormatPr defaultRowHeight="15"/>
  <cols>
    <col min="1" max="4" width="9.140625" style="33"/>
    <col min="5" max="5" width="17.28515625" style="33" customWidth="1"/>
    <col min="6" max="6" width="9.140625" style="33"/>
    <col min="7" max="7" width="20.140625" style="33" customWidth="1"/>
    <col min="8" max="8" width="7.85546875" style="33" customWidth="1"/>
    <col min="9" max="16384" width="9.140625" style="33"/>
  </cols>
  <sheetData>
    <row r="1" spans="1:8">
      <c r="A1" s="22"/>
      <c r="B1" s="22"/>
      <c r="C1" s="22"/>
      <c r="D1" s="22"/>
      <c r="E1" s="22"/>
      <c r="F1" s="22"/>
      <c r="G1" s="22"/>
      <c r="H1" s="22"/>
    </row>
    <row r="2" spans="1:8">
      <c r="A2" s="22"/>
      <c r="B2" s="22"/>
      <c r="C2" s="22"/>
      <c r="D2" s="22"/>
      <c r="E2" s="22"/>
      <c r="F2" s="22"/>
      <c r="G2" s="22"/>
      <c r="H2" s="22"/>
    </row>
    <row r="3" spans="1:8">
      <c r="A3" s="22"/>
      <c r="B3" s="22"/>
      <c r="C3" s="22"/>
      <c r="D3" s="22"/>
      <c r="E3" s="22"/>
      <c r="F3" s="22"/>
      <c r="G3" s="22"/>
      <c r="H3" s="22"/>
    </row>
    <row r="7" spans="1:8" ht="15" customHeight="1" thickBot="1"/>
    <row r="8" spans="1:8" ht="15" customHeight="1">
      <c r="A8" s="121" t="s">
        <v>449</v>
      </c>
      <c r="B8" s="122"/>
      <c r="C8" s="122"/>
      <c r="D8" s="122"/>
      <c r="E8" s="122"/>
      <c r="F8" s="120"/>
      <c r="G8" s="142"/>
      <c r="H8" s="143"/>
    </row>
    <row r="9" spans="1:8">
      <c r="A9" s="61" t="s">
        <v>452</v>
      </c>
      <c r="B9" s="62"/>
      <c r="C9" s="62"/>
      <c r="D9" s="62"/>
      <c r="E9" s="62"/>
      <c r="F9" s="57"/>
      <c r="G9" s="140"/>
      <c r="H9" s="141"/>
    </row>
    <row r="10" spans="1:8" ht="36" customHeight="1">
      <c r="A10" s="133"/>
      <c r="B10" s="130"/>
      <c r="C10" s="130"/>
      <c r="D10" s="130"/>
      <c r="E10" s="130" t="s">
        <v>215</v>
      </c>
      <c r="F10" s="131"/>
      <c r="G10" s="138" t="s">
        <v>451</v>
      </c>
      <c r="H10" s="139"/>
    </row>
    <row r="11" spans="1:8">
      <c r="A11" s="110" t="s">
        <v>187</v>
      </c>
      <c r="B11" s="111"/>
      <c r="C11" s="111"/>
      <c r="D11" s="111"/>
      <c r="E11" s="127" t="s">
        <v>454</v>
      </c>
      <c r="F11" s="112"/>
      <c r="G11" s="136">
        <v>8.5000000000000006E-2</v>
      </c>
      <c r="H11" s="137"/>
    </row>
    <row r="12" spans="1:8">
      <c r="A12" s="56"/>
      <c r="B12" s="53" t="s">
        <v>188</v>
      </c>
      <c r="C12" s="54"/>
      <c r="D12" s="54"/>
      <c r="E12" s="127" t="s">
        <v>455</v>
      </c>
      <c r="F12" s="112"/>
      <c r="G12" s="136">
        <v>7.4999999999999997E-2</v>
      </c>
      <c r="H12" s="137"/>
    </row>
    <row r="13" spans="1:8">
      <c r="A13" s="56"/>
      <c r="B13" s="57" t="s">
        <v>189</v>
      </c>
      <c r="C13" s="57"/>
      <c r="D13" s="57"/>
      <c r="E13" s="127">
        <v>570</v>
      </c>
      <c r="F13" s="112"/>
      <c r="G13" s="136">
        <v>0.13100000000000001</v>
      </c>
      <c r="H13" s="137"/>
    </row>
    <row r="14" spans="1:8">
      <c r="A14" s="123"/>
      <c r="B14" s="124"/>
      <c r="C14" s="124"/>
      <c r="D14" s="124"/>
      <c r="E14" s="128"/>
      <c r="F14" s="125"/>
      <c r="G14" s="132"/>
      <c r="H14" s="126"/>
    </row>
    <row r="15" spans="1:8">
      <c r="A15" s="61" t="s">
        <v>450</v>
      </c>
      <c r="B15" s="62"/>
      <c r="C15" s="62"/>
      <c r="D15" s="62"/>
      <c r="E15" s="127" t="s">
        <v>456</v>
      </c>
      <c r="F15" s="112"/>
      <c r="G15" s="136">
        <v>0.01</v>
      </c>
      <c r="H15" s="137"/>
    </row>
    <row r="16" spans="1:8">
      <c r="A16" s="56"/>
      <c r="B16" s="57" t="s">
        <v>195</v>
      </c>
      <c r="C16" s="57"/>
      <c r="D16" s="57"/>
      <c r="E16" s="127">
        <v>580</v>
      </c>
      <c r="F16" s="112"/>
      <c r="G16" s="136">
        <v>-4.9000000000000002E-2</v>
      </c>
      <c r="H16" s="137"/>
    </row>
    <row r="17" spans="1:8">
      <c r="A17" s="56"/>
      <c r="B17" s="57" t="s">
        <v>192</v>
      </c>
      <c r="C17" s="57"/>
      <c r="D17" s="57"/>
      <c r="E17" s="127">
        <v>836</v>
      </c>
      <c r="F17" s="112"/>
      <c r="G17" s="136">
        <v>4.4999999999999998E-2</v>
      </c>
      <c r="H17" s="137"/>
    </row>
    <row r="18" spans="1:8">
      <c r="A18" s="56"/>
      <c r="B18" s="57" t="s">
        <v>191</v>
      </c>
      <c r="C18" s="57"/>
      <c r="D18" s="57"/>
      <c r="E18" s="127">
        <v>487</v>
      </c>
      <c r="F18" s="112"/>
      <c r="G18" s="136">
        <v>2.1000000000000001E-2</v>
      </c>
      <c r="H18" s="137"/>
    </row>
    <row r="19" spans="1:8">
      <c r="A19" s="56"/>
      <c r="B19" s="57" t="s">
        <v>183</v>
      </c>
      <c r="C19" s="57"/>
      <c r="D19" s="57"/>
      <c r="E19" s="127">
        <v>294</v>
      </c>
      <c r="F19" s="112"/>
      <c r="G19" s="136">
        <v>0.114</v>
      </c>
      <c r="H19" s="137"/>
    </row>
    <row r="20" spans="1:8">
      <c r="A20" s="56"/>
      <c r="B20" s="57" t="s">
        <v>184</v>
      </c>
      <c r="C20" s="57"/>
      <c r="D20" s="57"/>
      <c r="E20" s="127">
        <v>271</v>
      </c>
      <c r="F20" s="112"/>
      <c r="G20" s="136">
        <v>5.4000000000000006E-2</v>
      </c>
      <c r="H20" s="137"/>
    </row>
    <row r="21" spans="1:8" ht="15.75" thickBot="1">
      <c r="A21" s="113"/>
      <c r="B21" s="65" t="s">
        <v>194</v>
      </c>
      <c r="C21" s="65"/>
      <c r="D21" s="65"/>
      <c r="E21" s="129" t="s">
        <v>457</v>
      </c>
      <c r="F21" s="114"/>
      <c r="G21" s="134">
        <v>6.0000000000000001E-3</v>
      </c>
      <c r="H21" s="135"/>
    </row>
    <row r="22" spans="1:8">
      <c r="A22" s="119" t="s">
        <v>453</v>
      </c>
      <c r="B22" s="115"/>
      <c r="C22" s="115"/>
      <c r="D22" s="115"/>
      <c r="E22" s="115"/>
      <c r="F22" s="116"/>
    </row>
    <row r="23" spans="1:8">
      <c r="A23" s="119" t="s">
        <v>217</v>
      </c>
      <c r="B23" s="117"/>
      <c r="C23" s="117"/>
      <c r="D23" s="118"/>
      <c r="E23" s="118"/>
      <c r="F23" s="118"/>
    </row>
    <row r="24" spans="1:8">
      <c r="A24" s="119" t="s">
        <v>193</v>
      </c>
      <c r="B24" s="117"/>
      <c r="C24" s="117"/>
      <c r="D24" s="117"/>
      <c r="E24" s="117"/>
      <c r="F24" s="117"/>
    </row>
    <row r="25" spans="1:8">
      <c r="A25" s="119" t="s">
        <v>417</v>
      </c>
    </row>
    <row r="43" spans="1:9">
      <c r="A43" s="22"/>
      <c r="B43" s="22"/>
      <c r="C43" s="22"/>
      <c r="D43" s="22"/>
      <c r="E43" s="22"/>
      <c r="F43" s="22"/>
      <c r="G43" s="22"/>
      <c r="H43" s="22"/>
      <c r="I43" s="22"/>
    </row>
    <row r="44" spans="1:9">
      <c r="A44" s="22"/>
      <c r="B44" s="22"/>
      <c r="C44" s="22"/>
      <c r="D44" s="22"/>
      <c r="E44" s="22"/>
      <c r="F44" s="22"/>
      <c r="G44" s="22"/>
      <c r="H44" s="22"/>
      <c r="I44" s="22"/>
    </row>
    <row r="47" spans="1:9">
      <c r="A47" s="22"/>
      <c r="B47" s="22"/>
      <c r="C47" s="22"/>
      <c r="D47" s="22"/>
      <c r="E47" s="22"/>
      <c r="F47" s="22"/>
      <c r="G47" s="22"/>
      <c r="H47" s="22"/>
      <c r="I47" s="22"/>
    </row>
    <row r="48" spans="1:9">
      <c r="A48" s="22"/>
      <c r="B48" s="22"/>
      <c r="C48" s="22"/>
      <c r="D48" s="22"/>
      <c r="E48" s="22"/>
      <c r="F48" s="22"/>
      <c r="G48" s="22"/>
      <c r="H48" s="22"/>
      <c r="I48" s="22"/>
    </row>
    <row r="49" spans="1:9">
      <c r="A49" s="22"/>
      <c r="B49" s="22"/>
      <c r="C49" s="22"/>
      <c r="D49" s="22"/>
      <c r="E49" s="22"/>
      <c r="F49" s="22"/>
      <c r="G49" s="22"/>
      <c r="H49" s="22"/>
      <c r="I49" s="22"/>
    </row>
  </sheetData>
  <mergeCells count="13">
    <mergeCell ref="G8:H8"/>
    <mergeCell ref="G10:H10"/>
    <mergeCell ref="G11:H11"/>
    <mergeCell ref="G12:H12"/>
    <mergeCell ref="G13:H13"/>
    <mergeCell ref="G9:H9"/>
    <mergeCell ref="G21:H21"/>
    <mergeCell ref="G15:H15"/>
    <mergeCell ref="G16:H16"/>
    <mergeCell ref="G17:H17"/>
    <mergeCell ref="G18:H18"/>
    <mergeCell ref="G19:H19"/>
    <mergeCell ref="G20:H20"/>
  </mergeCells>
  <pageMargins left="0.5" right="0.5" top="0.5" bottom="0.5" header="0.5" footer="0.5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J49"/>
  <sheetViews>
    <sheetView zoomScaleNormal="100" zoomScalePageLayoutView="85" workbookViewId="0">
      <selection activeCell="M31" sqref="M31"/>
    </sheetView>
  </sheetViews>
  <sheetFormatPr defaultRowHeight="15"/>
  <cols>
    <col min="1" max="16384" width="9.140625" style="33"/>
  </cols>
  <sheetData>
    <row r="1" spans="1:10">
      <c r="A1" s="22"/>
      <c r="B1" s="22"/>
      <c r="C1" s="22"/>
      <c r="D1" s="22"/>
      <c r="E1" s="22"/>
      <c r="F1" s="22"/>
      <c r="G1" s="22"/>
      <c r="H1" s="22"/>
      <c r="I1" s="22"/>
      <c r="J1" s="22"/>
    </row>
    <row r="2" spans="1:10">
      <c r="A2" s="22"/>
      <c r="B2" s="22"/>
      <c r="C2" s="22"/>
      <c r="D2" s="22"/>
      <c r="E2" s="22"/>
      <c r="F2" s="22"/>
      <c r="G2" s="22"/>
      <c r="H2" s="22"/>
      <c r="I2" s="22"/>
      <c r="J2" s="22"/>
    </row>
    <row r="3" spans="1:10">
      <c r="A3" s="22"/>
      <c r="B3" s="22"/>
      <c r="C3" s="22"/>
      <c r="D3" s="22"/>
      <c r="E3" s="22"/>
      <c r="F3" s="22"/>
      <c r="G3" s="22"/>
      <c r="H3" s="22"/>
      <c r="I3" s="22"/>
      <c r="J3" s="22"/>
    </row>
    <row r="4" spans="1:10">
      <c r="A4" s="22"/>
      <c r="B4" s="22"/>
      <c r="C4" s="22"/>
      <c r="D4" s="22"/>
      <c r="E4" s="22"/>
      <c r="F4" s="22"/>
      <c r="G4" s="22"/>
      <c r="H4" s="22"/>
      <c r="I4" s="22"/>
      <c r="J4" s="22"/>
    </row>
    <row r="49" s="22" customFormat="1"/>
  </sheetData>
  <pageMargins left="0.5" right="0.5" top="0.5" bottom="0.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/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1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4" t="s">
        <v>284</v>
      </c>
      <c r="L2" s="101" t="s">
        <v>218</v>
      </c>
      <c r="O2" s="9"/>
    </row>
    <row r="3" spans="1:21">
      <c r="A3" s="25" t="s">
        <v>287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1" t="s">
        <v>207</v>
      </c>
      <c r="M4" s="71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69"/>
      <c r="L5" s="72" t="s">
        <v>206</v>
      </c>
      <c r="M5" s="72" t="s">
        <v>205</v>
      </c>
      <c r="O5" t="s">
        <v>146</v>
      </c>
    </row>
    <row r="6" spans="1:21">
      <c r="A6" s="9" t="s">
        <v>26</v>
      </c>
      <c r="C6" t="s">
        <v>285</v>
      </c>
      <c r="D6" t="s">
        <v>285</v>
      </c>
      <c r="E6" t="s">
        <v>285</v>
      </c>
      <c r="F6" t="s">
        <v>286</v>
      </c>
      <c r="O6" t="s">
        <v>445</v>
      </c>
    </row>
    <row r="7" spans="1:21">
      <c r="A7" s="9" t="s">
        <v>288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>
        <v>1000</v>
      </c>
      <c r="L7" s="73" t="e">
        <v>#N/A</v>
      </c>
      <c r="M7" s="73" t="e">
        <v>#N/A</v>
      </c>
      <c r="O7" s="15">
        <v>-1</v>
      </c>
      <c r="S7" s="15"/>
      <c r="T7" s="15"/>
      <c r="U7" s="15"/>
    </row>
    <row r="8" spans="1:21">
      <c r="A8" s="9" t="s">
        <v>289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((C8+D8)-(C7+D7))*1000</f>
        <v>13000</v>
      </c>
      <c r="J8" s="40" t="e">
        <v>#N/A</v>
      </c>
      <c r="L8" s="73">
        <f t="shared" ref="L8:L39" si="1">((E8-F8)-(E7-F7))*1000</f>
        <v>299.99999999995453</v>
      </c>
      <c r="M8" s="73" t="e">
        <v>#N/A</v>
      </c>
      <c r="O8" s="15">
        <v>-1</v>
      </c>
      <c r="S8" s="26"/>
      <c r="U8" s="16"/>
    </row>
    <row r="9" spans="1:21">
      <c r="A9" s="9" t="s">
        <v>290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38000</v>
      </c>
      <c r="J9" s="40" t="e">
        <v>#N/A</v>
      </c>
      <c r="K9" s="70"/>
      <c r="L9" s="73">
        <f t="shared" si="1"/>
        <v>2900.0000000000909</v>
      </c>
      <c r="M9" s="73" t="e">
        <v>#N/A</v>
      </c>
      <c r="O9" s="15">
        <v>-1</v>
      </c>
      <c r="S9" s="15"/>
      <c r="U9" s="16"/>
    </row>
    <row r="10" spans="1:21">
      <c r="A10" s="9" t="s">
        <v>291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4000</v>
      </c>
      <c r="J10" s="40">
        <f>(AVERAGE(I8:I10))</f>
        <v>18333.333333333332</v>
      </c>
      <c r="K10" s="70"/>
      <c r="L10" s="73">
        <f t="shared" si="1"/>
        <v>23299.999999999956</v>
      </c>
      <c r="M10" s="109">
        <f>AVERAGE(L8:L10)</f>
        <v>8833.3333333333339</v>
      </c>
      <c r="N10" s="16"/>
      <c r="O10" s="15">
        <v>-1</v>
      </c>
      <c r="S10" s="26"/>
    </row>
    <row r="11" spans="1:21">
      <c r="A11" s="9" t="s">
        <v>292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23000</v>
      </c>
      <c r="J11" s="40">
        <f t="shared" ref="J11:J74" si="2">(AVERAGE(I9:I11))</f>
        <v>21666.666666666668</v>
      </c>
      <c r="K11" s="70"/>
      <c r="L11" s="73">
        <f t="shared" si="1"/>
        <v>-18000</v>
      </c>
      <c r="M11" s="73">
        <f t="shared" ref="M11:M74" si="3">AVERAGE(L9:L11)</f>
        <v>2733.3333333333489</v>
      </c>
      <c r="N11" s="16"/>
      <c r="O11" s="15">
        <v>-1</v>
      </c>
      <c r="S11" s="15"/>
    </row>
    <row r="12" spans="1:21">
      <c r="A12" s="9" t="s">
        <v>293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 t="shared" si="0"/>
        <v>-13000</v>
      </c>
      <c r="J12" s="40">
        <f t="shared" si="2"/>
        <v>4666.666666666667</v>
      </c>
      <c r="L12" s="73">
        <f t="shared" si="1"/>
        <v>1000</v>
      </c>
      <c r="M12" s="73">
        <f t="shared" si="3"/>
        <v>2099.9999999999854</v>
      </c>
      <c r="N12" s="16"/>
      <c r="O12" s="15">
        <v>-1</v>
      </c>
      <c r="S12" s="26"/>
    </row>
    <row r="13" spans="1:21">
      <c r="A13" s="9" t="s">
        <v>294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6000</v>
      </c>
      <c r="J13" s="40">
        <f t="shared" si="2"/>
        <v>5333.333333333333</v>
      </c>
      <c r="K13" s="70"/>
      <c r="L13" s="73">
        <f t="shared" si="1"/>
        <v>900.00000000009095</v>
      </c>
      <c r="M13" s="73">
        <f t="shared" si="3"/>
        <v>-5366.666666666636</v>
      </c>
      <c r="N13" s="16"/>
      <c r="O13" s="15">
        <v>-1</v>
      </c>
      <c r="S13" s="15"/>
    </row>
    <row r="14" spans="1:21">
      <c r="A14" s="9" t="s">
        <v>295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20000</v>
      </c>
      <c r="J14" s="40">
        <f t="shared" si="2"/>
        <v>4333.333333333333</v>
      </c>
      <c r="K14" s="70"/>
      <c r="L14" s="73">
        <f t="shared" si="1"/>
        <v>799.99999999995453</v>
      </c>
      <c r="M14" s="73">
        <f t="shared" si="3"/>
        <v>900.00000000001512</v>
      </c>
      <c r="N14" s="16"/>
      <c r="O14" s="15">
        <v>-1</v>
      </c>
      <c r="S14" s="26"/>
    </row>
    <row r="15" spans="1:21">
      <c r="A15" s="9" t="s">
        <v>296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9000</v>
      </c>
      <c r="J15" s="40">
        <f t="shared" si="2"/>
        <v>11666.666666666666</v>
      </c>
      <c r="K15" s="70"/>
      <c r="L15" s="73">
        <f t="shared" si="1"/>
        <v>1399.9999999998636</v>
      </c>
      <c r="M15" s="73">
        <f t="shared" si="3"/>
        <v>1033.333333333303</v>
      </c>
      <c r="N15" s="16"/>
      <c r="O15" s="15">
        <v>-1</v>
      </c>
      <c r="S15" s="15"/>
    </row>
    <row r="16" spans="1:21">
      <c r="A16" s="9" t="s">
        <v>297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26000</v>
      </c>
      <c r="J16" s="40">
        <f t="shared" si="2"/>
        <v>18333.333333333332</v>
      </c>
      <c r="K16" s="70"/>
      <c r="L16" s="73">
        <f t="shared" si="1"/>
        <v>-3199.9999999998181</v>
      </c>
      <c r="M16" s="73">
        <f t="shared" si="3"/>
        <v>-333.33333333333331</v>
      </c>
      <c r="N16" s="16"/>
      <c r="O16" s="15">
        <v>-1</v>
      </c>
      <c r="S16" s="26"/>
    </row>
    <row r="17" spans="1:19">
      <c r="A17" s="9" t="s">
        <v>298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33000</v>
      </c>
      <c r="J17" s="40">
        <f t="shared" si="2"/>
        <v>22666.666666666668</v>
      </c>
      <c r="K17" s="70"/>
      <c r="L17" s="73">
        <f t="shared" si="1"/>
        <v>4099.9999999999091</v>
      </c>
      <c r="M17" s="73">
        <f t="shared" si="3"/>
        <v>766.66666666665151</v>
      </c>
      <c r="N17" s="16"/>
      <c r="O17" s="15">
        <v>-1</v>
      </c>
      <c r="S17" s="15"/>
    </row>
    <row r="18" spans="1:19">
      <c r="A18" s="9" t="s">
        <v>299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0">
        <f t="shared" si="2"/>
        <v>19666.666666666668</v>
      </c>
      <c r="K18" s="70"/>
      <c r="L18" s="73">
        <f t="shared" si="1"/>
        <v>99.999999999909051</v>
      </c>
      <c r="M18" s="73">
        <f t="shared" si="3"/>
        <v>333.33333333333331</v>
      </c>
      <c r="N18" s="16"/>
      <c r="O18" s="15">
        <v>-1</v>
      </c>
      <c r="S18" s="26"/>
    </row>
    <row r="19" spans="1:19">
      <c r="A19" s="9" t="s">
        <v>300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43000</v>
      </c>
      <c r="J19" s="40">
        <f t="shared" si="2"/>
        <v>25333.333333333332</v>
      </c>
      <c r="K19" s="70"/>
      <c r="L19" s="73">
        <f t="shared" si="1"/>
        <v>-1299.9999999999545</v>
      </c>
      <c r="M19" s="73">
        <f t="shared" si="3"/>
        <v>966.66666666662115</v>
      </c>
      <c r="N19" s="16"/>
      <c r="O19" s="15">
        <v>-1</v>
      </c>
      <c r="S19" s="15"/>
    </row>
    <row r="20" spans="1:19">
      <c r="A20" s="9" t="s">
        <v>301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8000</v>
      </c>
      <c r="J20" s="40">
        <f t="shared" si="2"/>
        <v>17000</v>
      </c>
      <c r="K20" s="70"/>
      <c r="L20" s="73">
        <f t="shared" si="1"/>
        <v>2799.9999999999545</v>
      </c>
      <c r="M20" s="73">
        <f t="shared" si="3"/>
        <v>533.33333333330302</v>
      </c>
      <c r="N20" s="16"/>
      <c r="O20" s="15">
        <v>-1</v>
      </c>
      <c r="S20" s="26"/>
    </row>
    <row r="21" spans="1:19">
      <c r="A21" s="9" t="s">
        <v>302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-9000</v>
      </c>
      <c r="J21" s="40">
        <f t="shared" si="2"/>
        <v>14000</v>
      </c>
      <c r="K21" s="70"/>
      <c r="L21" s="73">
        <f t="shared" si="1"/>
        <v>4800.0000000001819</v>
      </c>
      <c r="M21" s="73">
        <f t="shared" si="3"/>
        <v>2100.0000000000605</v>
      </c>
      <c r="N21" s="16"/>
      <c r="O21" s="15">
        <v>-1</v>
      </c>
      <c r="S21" s="15"/>
    </row>
    <row r="22" spans="1:19">
      <c r="A22" s="9" t="s">
        <v>303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22000</v>
      </c>
      <c r="J22" s="40">
        <f t="shared" si="2"/>
        <v>7000</v>
      </c>
      <c r="K22" s="70"/>
      <c r="L22" s="73">
        <f t="shared" si="1"/>
        <v>-2500</v>
      </c>
      <c r="M22" s="73">
        <f t="shared" si="3"/>
        <v>1700.0000000000455</v>
      </c>
      <c r="N22" s="16"/>
      <c r="O22" s="15">
        <v>-1</v>
      </c>
      <c r="S22" s="26"/>
    </row>
    <row r="23" spans="1:19">
      <c r="A23" s="9" t="s">
        <v>304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18000</v>
      </c>
      <c r="J23" s="40">
        <f t="shared" si="2"/>
        <v>10333.333333333334</v>
      </c>
      <c r="K23" s="70"/>
      <c r="L23" s="73">
        <f t="shared" si="1"/>
        <v>1899.9999999998636</v>
      </c>
      <c r="M23" s="73">
        <f t="shared" si="3"/>
        <v>1400.0000000000152</v>
      </c>
      <c r="N23" s="16"/>
      <c r="O23" s="15">
        <v>-1</v>
      </c>
      <c r="S23" s="15"/>
    </row>
    <row r="24" spans="1:19">
      <c r="A24" s="9" t="s">
        <v>305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-17000</v>
      </c>
      <c r="J24" s="40">
        <f t="shared" si="2"/>
        <v>7666.666666666667</v>
      </c>
      <c r="K24" s="70"/>
      <c r="L24" s="73">
        <f t="shared" si="1"/>
        <v>-1000</v>
      </c>
      <c r="M24" s="73">
        <f t="shared" si="3"/>
        <v>-533.33333333337885</v>
      </c>
      <c r="N24" s="16"/>
      <c r="O24" s="15">
        <v>-1</v>
      </c>
      <c r="S24" s="26"/>
    </row>
    <row r="25" spans="1:19">
      <c r="A25" s="9" t="s">
        <v>306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99000</v>
      </c>
      <c r="J25" s="40">
        <f t="shared" si="2"/>
        <v>33333.333333333336</v>
      </c>
      <c r="K25" s="70"/>
      <c r="L25" s="73">
        <f t="shared" si="1"/>
        <v>-2299.9999999999545</v>
      </c>
      <c r="M25" s="73">
        <f t="shared" si="3"/>
        <v>-466.66666666669698</v>
      </c>
      <c r="N25" s="16"/>
      <c r="O25" s="15">
        <v>-1</v>
      </c>
      <c r="S25" s="15"/>
    </row>
    <row r="26" spans="1:19">
      <c r="A26" s="9" t="s">
        <v>307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3000</v>
      </c>
      <c r="J26" s="40">
        <f t="shared" si="2"/>
        <v>28333.333333333332</v>
      </c>
      <c r="K26" s="70"/>
      <c r="L26" s="73">
        <f t="shared" si="1"/>
        <v>1599.9999999999091</v>
      </c>
      <c r="M26" s="73">
        <f t="shared" si="3"/>
        <v>-566.66666666668186</v>
      </c>
      <c r="N26" s="16"/>
      <c r="O26" s="15">
        <v>-1</v>
      </c>
      <c r="S26" s="26"/>
    </row>
    <row r="27" spans="1:19">
      <c r="A27" s="9" t="s">
        <v>308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-19000</v>
      </c>
      <c r="J27" s="40">
        <f t="shared" si="2"/>
        <v>27666.666666666668</v>
      </c>
      <c r="K27" s="70"/>
      <c r="L27" s="73">
        <f t="shared" si="1"/>
        <v>1200.0000000000455</v>
      </c>
      <c r="M27" s="73">
        <f t="shared" si="3"/>
        <v>166.66666666666666</v>
      </c>
      <c r="N27" s="16"/>
      <c r="O27" s="15">
        <v>-1</v>
      </c>
      <c r="S27" s="15"/>
    </row>
    <row r="28" spans="1:19">
      <c r="A28" s="9" t="s">
        <v>309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-19000</v>
      </c>
      <c r="J28" s="40">
        <f t="shared" si="2"/>
        <v>-11666.666666666666</v>
      </c>
      <c r="K28" s="70"/>
      <c r="L28" s="73">
        <f t="shared" si="1"/>
        <v>3799.9999999999545</v>
      </c>
      <c r="M28" s="73">
        <f t="shared" si="3"/>
        <v>2199.9999999999695</v>
      </c>
      <c r="N28" s="16"/>
      <c r="O28" s="15">
        <v>-1</v>
      </c>
      <c r="S28" s="26"/>
    </row>
    <row r="29" spans="1:19">
      <c r="A29" s="9" t="s">
        <v>310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26000</v>
      </c>
      <c r="J29" s="40">
        <f t="shared" si="2"/>
        <v>-4000</v>
      </c>
      <c r="K29" s="70"/>
      <c r="L29" s="73">
        <f t="shared" si="1"/>
        <v>3200.0000000000455</v>
      </c>
      <c r="M29" s="73">
        <f t="shared" si="3"/>
        <v>2733.3333333333485</v>
      </c>
      <c r="N29" s="16"/>
      <c r="O29" s="15">
        <v>-1</v>
      </c>
      <c r="S29" s="15"/>
    </row>
    <row r="30" spans="1:19">
      <c r="A30" s="9" t="s">
        <v>311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26000</v>
      </c>
      <c r="J30" s="40">
        <f t="shared" si="2"/>
        <v>11000</v>
      </c>
      <c r="K30" s="70"/>
      <c r="L30" s="73">
        <f t="shared" si="1"/>
        <v>-5899.9999999998636</v>
      </c>
      <c r="M30" s="73">
        <f t="shared" si="3"/>
        <v>366.66666666671216</v>
      </c>
      <c r="N30" s="16"/>
      <c r="O30" s="15">
        <v>-1</v>
      </c>
      <c r="S30" s="26"/>
    </row>
    <row r="31" spans="1:19">
      <c r="A31" s="9" t="s">
        <v>312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-26000</v>
      </c>
      <c r="J31" s="40">
        <f t="shared" si="2"/>
        <v>8666.6666666666661</v>
      </c>
      <c r="K31" s="70"/>
      <c r="L31" s="73">
        <f t="shared" si="1"/>
        <v>-4100.0000000001364</v>
      </c>
      <c r="M31" s="73">
        <f t="shared" si="3"/>
        <v>-2266.6666666666515</v>
      </c>
      <c r="N31" s="16"/>
      <c r="O31" s="15">
        <v>-1</v>
      </c>
      <c r="S31" s="15"/>
    </row>
    <row r="32" spans="1:19">
      <c r="A32" s="9" t="s">
        <v>313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 t="shared" si="0"/>
        <v>25000</v>
      </c>
      <c r="J32" s="40">
        <f t="shared" si="2"/>
        <v>8333.3333333333339</v>
      </c>
      <c r="K32" s="70"/>
      <c r="L32" s="73">
        <f t="shared" si="1"/>
        <v>5100.0000000001364</v>
      </c>
      <c r="M32" s="73">
        <f t="shared" si="3"/>
        <v>-1633.3333333332878</v>
      </c>
      <c r="N32" s="16"/>
      <c r="O32" s="15">
        <v>-1</v>
      </c>
      <c r="S32" s="26"/>
    </row>
    <row r="33" spans="1:19">
      <c r="A33" s="9" t="s">
        <v>314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25000</v>
      </c>
      <c r="J33" s="40">
        <f t="shared" si="2"/>
        <v>8000</v>
      </c>
      <c r="K33" s="70"/>
      <c r="L33" s="73">
        <f t="shared" si="1"/>
        <v>1500</v>
      </c>
      <c r="M33" s="73">
        <f t="shared" si="3"/>
        <v>833.33333333333337</v>
      </c>
      <c r="N33" s="16"/>
      <c r="O33" s="15">
        <v>-1</v>
      </c>
      <c r="S33" s="15"/>
    </row>
    <row r="34" spans="1:19">
      <c r="A34" s="9" t="s">
        <v>315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16000</v>
      </c>
      <c r="J34" s="40">
        <f t="shared" si="2"/>
        <v>22000</v>
      </c>
      <c r="K34" s="70"/>
      <c r="L34" s="73">
        <f t="shared" si="1"/>
        <v>1699.9999999998181</v>
      </c>
      <c r="M34" s="73">
        <f t="shared" si="3"/>
        <v>2766.6666666666515</v>
      </c>
      <c r="N34" s="16"/>
      <c r="O34" s="15">
        <v>-1</v>
      </c>
      <c r="S34" s="26"/>
    </row>
    <row r="35" spans="1:19">
      <c r="A35" s="9" t="s">
        <v>316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6000</v>
      </c>
      <c r="J35" s="40">
        <f t="shared" si="2"/>
        <v>15666.666666666666</v>
      </c>
      <c r="K35" s="70"/>
      <c r="L35" s="73">
        <f t="shared" si="1"/>
        <v>1200.0000000000455</v>
      </c>
      <c r="M35" s="73">
        <f t="shared" si="3"/>
        <v>1466.6666666666213</v>
      </c>
      <c r="N35" s="16"/>
      <c r="O35" s="15">
        <v>-1</v>
      </c>
      <c r="S35" s="15"/>
    </row>
    <row r="36" spans="1:19">
      <c r="A36" s="9" t="s">
        <v>317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-6000</v>
      </c>
      <c r="J36" s="40">
        <f t="shared" si="2"/>
        <v>5333.333333333333</v>
      </c>
      <c r="K36" s="70"/>
      <c r="L36" s="73">
        <f t="shared" si="1"/>
        <v>1000</v>
      </c>
      <c r="M36" s="73">
        <f t="shared" si="3"/>
        <v>1299.9999999999545</v>
      </c>
      <c r="N36" s="16"/>
      <c r="O36" s="15">
        <v>-1</v>
      </c>
      <c r="S36" s="26"/>
    </row>
    <row r="37" spans="1:19">
      <c r="A37" s="9" t="s">
        <v>318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47000</v>
      </c>
      <c r="J37" s="40">
        <f t="shared" si="2"/>
        <v>15666.666666666666</v>
      </c>
      <c r="K37" s="70"/>
      <c r="L37" s="73">
        <f t="shared" si="1"/>
        <v>1600.0000000001364</v>
      </c>
      <c r="M37" s="73">
        <f t="shared" si="3"/>
        <v>1266.6666666667272</v>
      </c>
      <c r="N37" s="16"/>
      <c r="O37" s="15">
        <v>-1</v>
      </c>
      <c r="S37" s="15"/>
    </row>
    <row r="38" spans="1:19">
      <c r="A38" s="9" t="s">
        <v>319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45000</v>
      </c>
      <c r="J38" s="40">
        <f t="shared" si="2"/>
        <v>28666.666666666668</v>
      </c>
      <c r="K38" s="70"/>
      <c r="L38" s="73">
        <f t="shared" si="1"/>
        <v>-2100.0000000001364</v>
      </c>
      <c r="M38" s="73">
        <f t="shared" si="3"/>
        <v>166.66666666666666</v>
      </c>
      <c r="N38" s="16"/>
      <c r="O38" s="15">
        <v>-1</v>
      </c>
      <c r="S38" s="26"/>
    </row>
    <row r="39" spans="1:19">
      <c r="A39" s="9" t="s">
        <v>320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72000</v>
      </c>
      <c r="J39" s="40">
        <f t="shared" si="2"/>
        <v>54666.666666666664</v>
      </c>
      <c r="K39" s="70"/>
      <c r="L39" s="73">
        <f t="shared" si="1"/>
        <v>-500</v>
      </c>
      <c r="M39" s="73">
        <f t="shared" si="3"/>
        <v>-333.33333333333331</v>
      </c>
      <c r="N39" s="16"/>
      <c r="O39" s="15">
        <v>-1</v>
      </c>
      <c r="S39" s="15"/>
    </row>
    <row r="40" spans="1:19">
      <c r="A40" s="9" t="s">
        <v>321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((C40+D40)-(C39+D39))*1000</f>
        <v>-13000</v>
      </c>
      <c r="J40" s="40">
        <f t="shared" si="2"/>
        <v>34666.666666666664</v>
      </c>
      <c r="K40" s="70"/>
      <c r="L40" s="73">
        <f t="shared" ref="L40:L71" si="5">((E40-F40)-(E39-F39))*1000</f>
        <v>-200.00000000004547</v>
      </c>
      <c r="M40" s="73">
        <f t="shared" si="3"/>
        <v>-933.33333333339397</v>
      </c>
      <c r="N40" s="16"/>
      <c r="O40" s="15">
        <v>-1</v>
      </c>
      <c r="S40" s="26"/>
    </row>
    <row r="41" spans="1:19">
      <c r="A41" s="9" t="s">
        <v>322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17000</v>
      </c>
      <c r="J41" s="40">
        <f t="shared" si="2"/>
        <v>25333.333333333332</v>
      </c>
      <c r="K41" s="70"/>
      <c r="L41" s="73">
        <f t="shared" si="5"/>
        <v>-1299.9999999999545</v>
      </c>
      <c r="M41" s="73">
        <f t="shared" si="3"/>
        <v>-666.66666666666663</v>
      </c>
      <c r="N41" s="16"/>
      <c r="O41" s="15">
        <v>-1</v>
      </c>
      <c r="S41" s="15"/>
    </row>
    <row r="42" spans="1:19">
      <c r="A42" s="9" t="s">
        <v>323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4000</v>
      </c>
      <c r="J42" s="40">
        <f t="shared" si="2"/>
        <v>2666.6666666666665</v>
      </c>
      <c r="K42" s="70"/>
      <c r="L42" s="73">
        <f t="shared" si="5"/>
        <v>400.00000000009095</v>
      </c>
      <c r="M42" s="73">
        <f t="shared" si="3"/>
        <v>-366.66666666663633</v>
      </c>
      <c r="N42" s="16"/>
      <c r="O42" s="15">
        <v>-1</v>
      </c>
      <c r="S42" s="26"/>
    </row>
    <row r="43" spans="1:19">
      <c r="A43" s="9" t="s">
        <v>324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6000</v>
      </c>
      <c r="J43" s="40">
        <f t="shared" si="2"/>
        <v>9000</v>
      </c>
      <c r="K43" s="70"/>
      <c r="L43" s="73">
        <f t="shared" si="5"/>
        <v>1799.9999999999545</v>
      </c>
      <c r="M43" s="73">
        <f t="shared" si="3"/>
        <v>300.0000000000303</v>
      </c>
      <c r="N43" s="16"/>
      <c r="O43" s="15">
        <v>-1</v>
      </c>
      <c r="S43" s="15"/>
    </row>
    <row r="44" spans="1:19">
      <c r="A44" s="9" t="s">
        <v>325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35000</v>
      </c>
      <c r="J44" s="40">
        <f t="shared" si="2"/>
        <v>15000</v>
      </c>
      <c r="K44" s="70"/>
      <c r="L44" s="73">
        <f t="shared" si="5"/>
        <v>400.00000000009095</v>
      </c>
      <c r="M44" s="73">
        <f t="shared" si="3"/>
        <v>866.6666666667121</v>
      </c>
      <c r="N44" s="16"/>
      <c r="O44" s="15">
        <v>-1</v>
      </c>
      <c r="S44" s="26"/>
    </row>
    <row r="45" spans="1:19">
      <c r="A45" s="9" t="s">
        <v>326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19000</v>
      </c>
      <c r="J45" s="40">
        <f t="shared" si="2"/>
        <v>20000</v>
      </c>
      <c r="K45" s="70"/>
      <c r="L45" s="73">
        <f t="shared" si="5"/>
        <v>699.9999999998181</v>
      </c>
      <c r="M45" s="73">
        <f t="shared" si="3"/>
        <v>966.66666666662115</v>
      </c>
      <c r="N45" s="16"/>
      <c r="O45" s="15">
        <v>-1</v>
      </c>
      <c r="S45" s="15"/>
    </row>
    <row r="46" spans="1:19">
      <c r="A46" s="9" t="s">
        <v>327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25000</v>
      </c>
      <c r="J46" s="40">
        <f t="shared" si="2"/>
        <v>26333.333333333332</v>
      </c>
      <c r="K46" s="70"/>
      <c r="L46" s="73">
        <f t="shared" si="5"/>
        <v>200.00000000004547</v>
      </c>
      <c r="M46" s="73">
        <f t="shared" si="3"/>
        <v>433.33333333331819</v>
      </c>
      <c r="N46" s="16"/>
      <c r="O46" s="15">
        <v>-1</v>
      </c>
      <c r="S46" s="26"/>
    </row>
    <row r="47" spans="1:19">
      <c r="A47" s="9" t="s">
        <v>328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17000</v>
      </c>
      <c r="J47" s="40">
        <f t="shared" si="2"/>
        <v>20333.333333333332</v>
      </c>
      <c r="K47" s="70"/>
      <c r="L47" s="73">
        <f t="shared" si="5"/>
        <v>-2399.9999999998636</v>
      </c>
      <c r="M47" s="73">
        <f t="shared" si="3"/>
        <v>-500</v>
      </c>
      <c r="N47" s="16"/>
      <c r="O47" s="15">
        <v>-1</v>
      </c>
      <c r="S47" s="15"/>
    </row>
    <row r="48" spans="1:19">
      <c r="A48" s="9" t="s">
        <v>329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18000</v>
      </c>
      <c r="J48" s="40">
        <f t="shared" si="2"/>
        <v>20000</v>
      </c>
      <c r="K48" s="70"/>
      <c r="L48" s="73">
        <f t="shared" si="5"/>
        <v>-2900.0000000000909</v>
      </c>
      <c r="M48" s="73">
        <f t="shared" si="3"/>
        <v>-1699.9999999999698</v>
      </c>
      <c r="N48" s="16"/>
      <c r="O48" s="15">
        <v>-1</v>
      </c>
      <c r="S48" s="26"/>
    </row>
    <row r="49" spans="1:19">
      <c r="A49" s="9" t="s">
        <v>330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-34000</v>
      </c>
      <c r="J49" s="40">
        <f t="shared" si="2"/>
        <v>333.33333333333331</v>
      </c>
      <c r="K49" s="70"/>
      <c r="L49" s="73">
        <f t="shared" si="5"/>
        <v>4500</v>
      </c>
      <c r="M49" s="73">
        <f t="shared" si="3"/>
        <v>-266.66666666665151</v>
      </c>
      <c r="N49" s="16"/>
      <c r="O49" s="15">
        <v>-1</v>
      </c>
      <c r="S49" s="15"/>
    </row>
    <row r="50" spans="1:19">
      <c r="A50" s="9" t="s">
        <v>331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44000</v>
      </c>
      <c r="J50" s="40">
        <f t="shared" si="2"/>
        <v>9333.3333333333339</v>
      </c>
      <c r="K50" s="70"/>
      <c r="L50" s="73">
        <f t="shared" si="5"/>
        <v>2299.9999999999545</v>
      </c>
      <c r="M50" s="73">
        <f t="shared" si="3"/>
        <v>1299.9999999999545</v>
      </c>
      <c r="N50" s="16"/>
      <c r="O50" s="15">
        <v>-1</v>
      </c>
      <c r="S50" s="26"/>
    </row>
    <row r="51" spans="1:19">
      <c r="A51" s="9" t="s">
        <v>332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54000</v>
      </c>
      <c r="J51" s="40">
        <f t="shared" si="2"/>
        <v>21333.333333333332</v>
      </c>
      <c r="K51" s="70"/>
      <c r="L51" s="73">
        <f t="shared" si="5"/>
        <v>-799.99999999995453</v>
      </c>
      <c r="M51" s="73">
        <f t="shared" si="3"/>
        <v>2000</v>
      </c>
      <c r="N51" s="16"/>
      <c r="O51" s="15">
        <v>-1</v>
      </c>
      <c r="S51" s="15"/>
    </row>
    <row r="52" spans="1:19">
      <c r="A52" s="9" t="s">
        <v>333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21000</v>
      </c>
      <c r="J52" s="40">
        <f t="shared" si="2"/>
        <v>39666.666666666664</v>
      </c>
      <c r="K52" s="70"/>
      <c r="L52" s="73">
        <f t="shared" si="5"/>
        <v>-299.99999999995453</v>
      </c>
      <c r="M52" s="73">
        <f t="shared" si="3"/>
        <v>400.00000000001518</v>
      </c>
      <c r="N52" s="16"/>
      <c r="O52" s="15">
        <v>-1</v>
      </c>
      <c r="S52" s="26"/>
    </row>
    <row r="53" spans="1:19">
      <c r="A53" s="9" t="s">
        <v>334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27000</v>
      </c>
      <c r="J53" s="40">
        <f t="shared" si="2"/>
        <v>34000</v>
      </c>
      <c r="K53" s="70"/>
      <c r="L53" s="73">
        <f t="shared" si="5"/>
        <v>4099.9999999999091</v>
      </c>
      <c r="M53" s="73">
        <f t="shared" si="3"/>
        <v>1000</v>
      </c>
      <c r="N53" s="16"/>
      <c r="O53" s="15">
        <v>-1</v>
      </c>
      <c r="S53" s="15"/>
    </row>
    <row r="54" spans="1:19">
      <c r="A54" s="9" t="s">
        <v>335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30000</v>
      </c>
      <c r="J54" s="40">
        <f t="shared" si="2"/>
        <v>26000</v>
      </c>
      <c r="K54" s="70"/>
      <c r="L54" s="73">
        <f t="shared" si="5"/>
        <v>4600.0000000001364</v>
      </c>
      <c r="M54" s="73">
        <f t="shared" si="3"/>
        <v>2800.0000000000305</v>
      </c>
      <c r="N54" s="16"/>
      <c r="O54" s="15">
        <v>1</v>
      </c>
      <c r="S54" s="26"/>
    </row>
    <row r="55" spans="1:19">
      <c r="A55" s="9" t="s">
        <v>336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30000</v>
      </c>
      <c r="J55" s="40">
        <f t="shared" si="2"/>
        <v>29000</v>
      </c>
      <c r="K55" s="70"/>
      <c r="L55" s="73">
        <f t="shared" si="5"/>
        <v>6599.9999999999091</v>
      </c>
      <c r="M55" s="73">
        <f t="shared" si="3"/>
        <v>5099.9999999999845</v>
      </c>
      <c r="N55" s="16"/>
      <c r="O55" s="15">
        <v>1</v>
      </c>
      <c r="S55" s="15"/>
    </row>
    <row r="56" spans="1:19">
      <c r="A56" s="9" t="s">
        <v>337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20000</v>
      </c>
      <c r="J56" s="40">
        <f t="shared" si="2"/>
        <v>26666.666666666668</v>
      </c>
      <c r="K56" s="70"/>
      <c r="L56" s="73">
        <f t="shared" si="5"/>
        <v>5900.0000000000909</v>
      </c>
      <c r="M56" s="73">
        <f t="shared" si="3"/>
        <v>5700.0000000000464</v>
      </c>
      <c r="N56" s="16"/>
      <c r="O56" s="15">
        <v>1</v>
      </c>
      <c r="S56" s="26"/>
    </row>
    <row r="57" spans="1:19">
      <c r="A57" s="9" t="s">
        <v>338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21000</v>
      </c>
      <c r="J57" s="40">
        <f t="shared" si="2"/>
        <v>23666.666666666668</v>
      </c>
      <c r="K57" s="70"/>
      <c r="L57" s="73">
        <f t="shared" si="5"/>
        <v>4500</v>
      </c>
      <c r="M57" s="73">
        <f t="shared" si="3"/>
        <v>5666.666666666667</v>
      </c>
      <c r="N57" s="16"/>
      <c r="O57" s="15">
        <v>1</v>
      </c>
      <c r="S57" s="15"/>
    </row>
    <row r="58" spans="1:19">
      <c r="A58" s="9" t="s">
        <v>339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4000</v>
      </c>
      <c r="J58" s="40">
        <f t="shared" si="2"/>
        <v>15000</v>
      </c>
      <c r="K58" s="70"/>
      <c r="L58" s="73">
        <f t="shared" si="5"/>
        <v>5699.9999999998181</v>
      </c>
      <c r="M58" s="73">
        <f t="shared" si="3"/>
        <v>5366.666666666636</v>
      </c>
      <c r="N58" s="16"/>
      <c r="O58" s="15">
        <v>1</v>
      </c>
      <c r="S58" s="26"/>
    </row>
    <row r="59" spans="1:19">
      <c r="A59" s="9" t="s">
        <v>340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31000</v>
      </c>
      <c r="J59" s="40">
        <f t="shared" si="2"/>
        <v>18666.666666666668</v>
      </c>
      <c r="K59" s="70"/>
      <c r="L59" s="73">
        <f t="shared" si="5"/>
        <v>5700.0000000000455</v>
      </c>
      <c r="M59" s="73">
        <f t="shared" si="3"/>
        <v>5299.9999999999545</v>
      </c>
      <c r="N59" s="16"/>
      <c r="O59" s="15">
        <v>1</v>
      </c>
      <c r="S59" s="15"/>
    </row>
    <row r="60" spans="1:19">
      <c r="A60" s="9" t="s">
        <v>341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32000</v>
      </c>
      <c r="J60" s="40">
        <f t="shared" si="2"/>
        <v>22333.333333333332</v>
      </c>
      <c r="K60" s="70"/>
      <c r="L60" s="73">
        <f t="shared" si="5"/>
        <v>4900.0000000000909</v>
      </c>
      <c r="M60" s="73">
        <f t="shared" si="3"/>
        <v>5433.3333333333185</v>
      </c>
      <c r="N60" s="16"/>
      <c r="O60" s="15">
        <v>1</v>
      </c>
      <c r="S60" s="26"/>
    </row>
    <row r="61" spans="1:19">
      <c r="A61" s="9" t="s">
        <v>342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43000</v>
      </c>
      <c r="J61" s="40">
        <f t="shared" si="2"/>
        <v>35333.333333333336</v>
      </c>
      <c r="K61" s="70"/>
      <c r="L61" s="73">
        <f t="shared" si="5"/>
        <v>9000</v>
      </c>
      <c r="M61" s="73">
        <f t="shared" si="3"/>
        <v>6533.3333333333794</v>
      </c>
      <c r="N61" s="16"/>
      <c r="O61" s="15">
        <v>1</v>
      </c>
      <c r="S61" s="15"/>
    </row>
    <row r="62" spans="1:19">
      <c r="A62" s="9" t="s">
        <v>343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0">
        <f t="shared" si="2"/>
        <v>25000</v>
      </c>
      <c r="K62" s="70"/>
      <c r="L62" s="73">
        <f t="shared" si="5"/>
        <v>6599.9999999999091</v>
      </c>
      <c r="M62" s="73">
        <f t="shared" si="3"/>
        <v>6833.333333333333</v>
      </c>
      <c r="N62" s="16"/>
      <c r="O62" s="15">
        <v>1</v>
      </c>
      <c r="S62" s="26"/>
    </row>
    <row r="63" spans="1:19">
      <c r="A63" s="9" t="s">
        <v>344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-32000</v>
      </c>
      <c r="J63" s="40">
        <f t="shared" si="2"/>
        <v>3666.6666666666665</v>
      </c>
      <c r="K63" s="70"/>
      <c r="L63" s="73">
        <f t="shared" si="5"/>
        <v>5100.0000000001364</v>
      </c>
      <c r="M63" s="73">
        <f t="shared" si="3"/>
        <v>6900.0000000000146</v>
      </c>
      <c r="N63" s="16"/>
      <c r="O63" s="15">
        <v>1</v>
      </c>
      <c r="S63" s="15"/>
    </row>
    <row r="64" spans="1:19">
      <c r="A64" s="9" t="s">
        <v>345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8000</v>
      </c>
      <c r="J64" s="40">
        <f t="shared" si="2"/>
        <v>-8000</v>
      </c>
      <c r="K64" s="70"/>
      <c r="L64" s="73">
        <f t="shared" si="5"/>
        <v>6599.9999999999091</v>
      </c>
      <c r="M64" s="73">
        <f t="shared" si="3"/>
        <v>6099.9999999999854</v>
      </c>
      <c r="N64" s="16"/>
      <c r="O64" s="15">
        <v>1</v>
      </c>
      <c r="S64" s="26"/>
    </row>
    <row r="65" spans="1:19">
      <c r="A65" s="9" t="s">
        <v>346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5000</v>
      </c>
      <c r="J65" s="40">
        <f t="shared" si="2"/>
        <v>-6333.333333333333</v>
      </c>
      <c r="K65" s="70"/>
      <c r="L65" s="73">
        <f t="shared" si="5"/>
        <v>8700.0000000000455</v>
      </c>
      <c r="M65" s="73">
        <f t="shared" si="3"/>
        <v>6800.00000000003</v>
      </c>
      <c r="N65" s="16"/>
      <c r="O65" s="15">
        <v>1</v>
      </c>
      <c r="S65" s="15"/>
    </row>
    <row r="66" spans="1:19">
      <c r="A66" s="9" t="s">
        <v>347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-1000</v>
      </c>
      <c r="J66" s="40">
        <f t="shared" si="2"/>
        <v>4000</v>
      </c>
      <c r="K66" s="70"/>
      <c r="L66" s="73">
        <f t="shared" si="5"/>
        <v>2899.9999999998636</v>
      </c>
      <c r="M66" s="73">
        <f t="shared" si="3"/>
        <v>6066.666666666606</v>
      </c>
      <c r="N66" s="16"/>
      <c r="O66" s="15">
        <v>1</v>
      </c>
      <c r="S66" s="26"/>
    </row>
    <row r="67" spans="1:19">
      <c r="A67" s="9" t="s">
        <v>348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12000</v>
      </c>
      <c r="J67" s="40">
        <f t="shared" si="2"/>
        <v>5333.333333333333</v>
      </c>
      <c r="K67" s="70"/>
      <c r="L67" s="73">
        <f t="shared" si="5"/>
        <v>7900.0000000000909</v>
      </c>
      <c r="M67" s="73">
        <f t="shared" si="3"/>
        <v>6500</v>
      </c>
      <c r="N67" s="16"/>
      <c r="O67" s="15">
        <v>1</v>
      </c>
      <c r="S67" s="15"/>
    </row>
    <row r="68" spans="1:19">
      <c r="A68" s="9" t="s">
        <v>349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-12000</v>
      </c>
      <c r="J68" s="40">
        <f t="shared" si="2"/>
        <v>-333.33333333333331</v>
      </c>
      <c r="K68" s="70"/>
      <c r="L68" s="73">
        <f t="shared" si="5"/>
        <v>7699.9999999998181</v>
      </c>
      <c r="M68" s="73">
        <f t="shared" si="3"/>
        <v>6166.6666666665915</v>
      </c>
      <c r="N68" s="16"/>
      <c r="O68" s="15">
        <v>1</v>
      </c>
      <c r="S68" s="26"/>
    </row>
    <row r="69" spans="1:19">
      <c r="A69" s="9" t="s">
        <v>350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-18000</v>
      </c>
      <c r="J69" s="40">
        <f t="shared" si="2"/>
        <v>-6000</v>
      </c>
      <c r="K69" s="70"/>
      <c r="L69" s="73">
        <f t="shared" si="5"/>
        <v>800.0000000001819</v>
      </c>
      <c r="M69" s="73">
        <f t="shared" si="3"/>
        <v>5466.666666666697</v>
      </c>
      <c r="N69" s="16"/>
      <c r="O69" s="15">
        <v>1</v>
      </c>
      <c r="S69" s="15"/>
    </row>
    <row r="70" spans="1:19">
      <c r="A70" s="9" t="s">
        <v>351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-8000</v>
      </c>
      <c r="J70" s="40">
        <f t="shared" si="2"/>
        <v>-12666.666666666666</v>
      </c>
      <c r="K70" s="70"/>
      <c r="L70" s="73">
        <f t="shared" si="5"/>
        <v>11800.000000000182</v>
      </c>
      <c r="M70" s="73">
        <f t="shared" si="3"/>
        <v>6766.666666666727</v>
      </c>
      <c r="N70" s="16"/>
      <c r="O70" s="15">
        <v>1</v>
      </c>
      <c r="S70" s="26"/>
    </row>
    <row r="71" spans="1:19">
      <c r="A71" s="9" t="s">
        <v>352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2000</v>
      </c>
      <c r="J71" s="40">
        <f t="shared" si="2"/>
        <v>-8000</v>
      </c>
      <c r="K71" s="70"/>
      <c r="L71" s="73">
        <f t="shared" si="5"/>
        <v>7799.9999999997272</v>
      </c>
      <c r="M71" s="73">
        <f t="shared" si="3"/>
        <v>6800.00000000003</v>
      </c>
      <c r="N71" s="16"/>
      <c r="O71" s="15">
        <v>1</v>
      </c>
      <c r="S71" s="15"/>
    </row>
    <row r="72" spans="1:19">
      <c r="A72" s="9" t="s">
        <v>353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((C72+D72)-(C71+D71))*1000</f>
        <v>5000</v>
      </c>
      <c r="J72" s="40">
        <f t="shared" si="2"/>
        <v>-333.33333333333331</v>
      </c>
      <c r="K72" s="70"/>
      <c r="L72" s="73">
        <f t="shared" ref="L72:L103" si="7">((E72-F72)-(E71-F71))*1000</f>
        <v>17400.000000000091</v>
      </c>
      <c r="M72" s="73">
        <f t="shared" si="3"/>
        <v>12333.333333333334</v>
      </c>
      <c r="N72" s="16"/>
      <c r="O72" s="15">
        <v>1</v>
      </c>
      <c r="S72" s="26"/>
    </row>
    <row r="73" spans="1:19">
      <c r="A73" s="9" t="s">
        <v>354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-67000</v>
      </c>
      <c r="J73" s="40">
        <f t="shared" si="2"/>
        <v>-20000</v>
      </c>
      <c r="K73" s="70"/>
      <c r="L73" s="73">
        <f t="shared" si="7"/>
        <v>15800.000000000182</v>
      </c>
      <c r="M73" s="73">
        <f t="shared" si="3"/>
        <v>13666.666666666666</v>
      </c>
      <c r="N73" s="16"/>
      <c r="O73" s="15">
        <v>-1</v>
      </c>
      <c r="S73" s="15"/>
    </row>
    <row r="74" spans="1:19">
      <c r="A74" s="9" t="s">
        <v>355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17000</v>
      </c>
      <c r="J74" s="40">
        <f t="shared" si="2"/>
        <v>-15000</v>
      </c>
      <c r="K74" s="70"/>
      <c r="L74" s="73">
        <f t="shared" si="7"/>
        <v>8899.9999999996362</v>
      </c>
      <c r="M74" s="73">
        <f t="shared" si="3"/>
        <v>14033.333333333305</v>
      </c>
      <c r="N74" s="16"/>
      <c r="O74" s="15">
        <v>-1</v>
      </c>
      <c r="S74" s="26"/>
    </row>
    <row r="75" spans="1:19">
      <c r="A75" s="9" t="s">
        <v>356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-87000</v>
      </c>
      <c r="J75" s="40">
        <f t="shared" ref="J75:J133" si="8">(AVERAGE(I73:I75))</f>
        <v>-45666.666666666664</v>
      </c>
      <c r="K75" s="70"/>
      <c r="L75" s="73">
        <f t="shared" si="7"/>
        <v>3900.0000000000909</v>
      </c>
      <c r="M75" s="73">
        <f t="shared" ref="M75:M132" si="9">AVERAGE(L73:L75)</f>
        <v>9533.333333333303</v>
      </c>
      <c r="N75" s="16"/>
      <c r="O75" s="15">
        <v>-1</v>
      </c>
      <c r="S75" s="15"/>
    </row>
    <row r="76" spans="1:19">
      <c r="A76" s="9" t="s">
        <v>357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56000</v>
      </c>
      <c r="J76" s="40">
        <f t="shared" si="8"/>
        <v>-4666.666666666667</v>
      </c>
      <c r="K76" s="70"/>
      <c r="L76" s="73">
        <f t="shared" si="7"/>
        <v>11000</v>
      </c>
      <c r="M76" s="73">
        <f t="shared" si="9"/>
        <v>7933.3333333332421</v>
      </c>
      <c r="N76" s="16"/>
      <c r="O76" s="15">
        <v>-1</v>
      </c>
      <c r="S76" s="26"/>
    </row>
    <row r="77" spans="1:19">
      <c r="A77" s="9" t="s">
        <v>358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10000</v>
      </c>
      <c r="J77" s="40">
        <f t="shared" si="8"/>
        <v>-7000</v>
      </c>
      <c r="K77" s="70"/>
      <c r="L77" s="73">
        <f t="shared" si="7"/>
        <v>6400.0000000000909</v>
      </c>
      <c r="M77" s="73">
        <f t="shared" si="9"/>
        <v>7100.0000000000609</v>
      </c>
      <c r="N77" s="16"/>
      <c r="O77" s="15">
        <v>-1</v>
      </c>
      <c r="S77" s="15"/>
    </row>
    <row r="78" spans="1:19">
      <c r="A78" s="9" t="s">
        <v>359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-40000</v>
      </c>
      <c r="J78" s="40">
        <f t="shared" si="8"/>
        <v>8666.6666666666661</v>
      </c>
      <c r="K78" s="70"/>
      <c r="L78" s="73">
        <f t="shared" si="7"/>
        <v>9199.9999999998181</v>
      </c>
      <c r="M78" s="73">
        <f t="shared" si="9"/>
        <v>8866.666666666637</v>
      </c>
      <c r="N78" s="16"/>
      <c r="O78" s="15">
        <v>-1</v>
      </c>
      <c r="S78" s="26"/>
    </row>
    <row r="79" spans="1:19">
      <c r="A79" s="9" t="s">
        <v>360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-31000</v>
      </c>
      <c r="J79" s="40">
        <f t="shared" si="8"/>
        <v>-20333.333333333332</v>
      </c>
      <c r="K79" s="70"/>
      <c r="L79" s="73">
        <f t="shared" si="7"/>
        <v>5400.0000000000909</v>
      </c>
      <c r="M79" s="73">
        <f t="shared" si="9"/>
        <v>7000</v>
      </c>
      <c r="N79" s="16"/>
      <c r="O79" s="15">
        <v>-1</v>
      </c>
      <c r="S79" s="15"/>
    </row>
    <row r="80" spans="1:19">
      <c r="A80" s="9" t="s">
        <v>361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-23000</v>
      </c>
      <c r="J80" s="40">
        <f t="shared" si="8"/>
        <v>-31333.333333333332</v>
      </c>
      <c r="K80" s="70"/>
      <c r="L80" s="73">
        <f t="shared" si="7"/>
        <v>3700.0000000002728</v>
      </c>
      <c r="M80" s="73">
        <f t="shared" si="9"/>
        <v>6100.0000000000609</v>
      </c>
      <c r="N80" s="16"/>
      <c r="O80" s="15">
        <v>-1</v>
      </c>
      <c r="S80" s="26"/>
    </row>
    <row r="81" spans="1:19">
      <c r="A81" s="9" t="s">
        <v>362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-8000</v>
      </c>
      <c r="J81" s="40">
        <f t="shared" si="8"/>
        <v>-20666.666666666668</v>
      </c>
      <c r="K81" s="70"/>
      <c r="L81" s="73">
        <f t="shared" si="7"/>
        <v>6099.9999999999091</v>
      </c>
      <c r="M81" s="73">
        <f t="shared" si="9"/>
        <v>5066.6666666667579</v>
      </c>
      <c r="N81" s="16"/>
      <c r="O81" s="15">
        <v>-1</v>
      </c>
      <c r="S81" s="15"/>
    </row>
    <row r="82" spans="1:19">
      <c r="A82" s="9" t="s">
        <v>363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-5000</v>
      </c>
      <c r="J82" s="40">
        <f t="shared" si="8"/>
        <v>-12000</v>
      </c>
      <c r="K82" s="70"/>
      <c r="L82" s="73">
        <f t="shared" si="7"/>
        <v>400.00000000009095</v>
      </c>
      <c r="M82" s="73">
        <f t="shared" si="9"/>
        <v>3400.0000000000909</v>
      </c>
      <c r="N82" s="16"/>
      <c r="O82" s="15">
        <v>-1</v>
      </c>
      <c r="S82" s="26"/>
    </row>
    <row r="83" spans="1:19">
      <c r="A83" s="9" t="s">
        <v>364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-7000</v>
      </c>
      <c r="J83" s="40">
        <f t="shared" si="8"/>
        <v>-6666.666666666667</v>
      </c>
      <c r="K83" s="70"/>
      <c r="L83" s="73">
        <f t="shared" si="7"/>
        <v>21299.999999999727</v>
      </c>
      <c r="M83" s="73">
        <f t="shared" si="9"/>
        <v>9266.6666666665751</v>
      </c>
      <c r="N83" s="16"/>
      <c r="O83" s="15">
        <v>-1</v>
      </c>
      <c r="S83" s="15"/>
    </row>
    <row r="84" spans="1:19">
      <c r="A84" s="9" t="s">
        <v>365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-10000</v>
      </c>
      <c r="J84" s="40">
        <f t="shared" si="8"/>
        <v>-7333.333333333333</v>
      </c>
      <c r="K84" s="70"/>
      <c r="L84" s="73">
        <f t="shared" si="7"/>
        <v>3099.9999999999091</v>
      </c>
      <c r="M84" s="73">
        <f t="shared" si="9"/>
        <v>8266.6666666665751</v>
      </c>
      <c r="N84" s="16"/>
      <c r="O84" s="15">
        <v>-1</v>
      </c>
      <c r="S84" s="26"/>
    </row>
    <row r="85" spans="1:19">
      <c r="A85" s="9" t="s">
        <v>366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-42000</v>
      </c>
      <c r="J85" s="40">
        <f t="shared" si="8"/>
        <v>-19666.666666666668</v>
      </c>
      <c r="K85" s="70"/>
      <c r="L85" s="73">
        <f t="shared" si="7"/>
        <v>6000</v>
      </c>
      <c r="M85" s="73">
        <f t="shared" si="9"/>
        <v>10133.333333333212</v>
      </c>
      <c r="N85" s="16"/>
      <c r="O85" s="15">
        <v>-1</v>
      </c>
      <c r="S85" s="15"/>
    </row>
    <row r="86" spans="1:19">
      <c r="A86" s="9" t="s">
        <v>367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-50000</v>
      </c>
      <c r="J86" s="40">
        <f t="shared" si="8"/>
        <v>-34000</v>
      </c>
      <c r="K86" s="70"/>
      <c r="L86" s="73">
        <f t="shared" si="7"/>
        <v>5700.0000000002728</v>
      </c>
      <c r="M86" s="73">
        <f t="shared" si="9"/>
        <v>4933.333333333394</v>
      </c>
      <c r="N86" s="16"/>
      <c r="O86" s="15">
        <v>-1</v>
      </c>
      <c r="S86" s="26"/>
    </row>
    <row r="87" spans="1:19">
      <c r="A87" s="9" t="s">
        <v>368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-88000</v>
      </c>
      <c r="J87" s="40">
        <f t="shared" si="8"/>
        <v>-60000</v>
      </c>
      <c r="K87" s="70"/>
      <c r="L87" s="73">
        <f t="shared" si="7"/>
        <v>1099.9999999999091</v>
      </c>
      <c r="M87" s="73">
        <f t="shared" si="9"/>
        <v>4266.666666666727</v>
      </c>
      <c r="N87" s="16"/>
      <c r="O87" s="15">
        <v>-1</v>
      </c>
      <c r="S87" s="15"/>
    </row>
    <row r="88" spans="1:19">
      <c r="A88" s="9" t="s">
        <v>369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45000</v>
      </c>
      <c r="J88" s="40">
        <f t="shared" si="8"/>
        <v>-31000</v>
      </c>
      <c r="K88" s="70"/>
      <c r="L88" s="73">
        <f t="shared" si="7"/>
        <v>4599.9999999999091</v>
      </c>
      <c r="M88" s="73">
        <f t="shared" si="9"/>
        <v>3800.0000000000305</v>
      </c>
      <c r="N88" s="16"/>
      <c r="O88" s="15">
        <v>-1</v>
      </c>
      <c r="S88" s="26"/>
    </row>
    <row r="89" spans="1:19">
      <c r="A89" s="9" t="s">
        <v>370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-12000</v>
      </c>
      <c r="J89" s="40">
        <f t="shared" si="8"/>
        <v>-18333.333333333332</v>
      </c>
      <c r="K89" s="70"/>
      <c r="L89" s="73">
        <f t="shared" si="7"/>
        <v>2599.9999999999091</v>
      </c>
      <c r="M89" s="73">
        <f t="shared" si="9"/>
        <v>2766.6666666665756</v>
      </c>
      <c r="N89" s="16"/>
      <c r="O89" s="15">
        <v>-1</v>
      </c>
      <c r="S89" s="15"/>
    </row>
    <row r="90" spans="1:19">
      <c r="A90" s="9" t="s">
        <v>371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-27000</v>
      </c>
      <c r="J90" s="40">
        <f t="shared" si="8"/>
        <v>2000</v>
      </c>
      <c r="K90" s="70"/>
      <c r="L90" s="73">
        <f t="shared" si="7"/>
        <v>6100.0000000003638</v>
      </c>
      <c r="M90" s="73">
        <f t="shared" si="9"/>
        <v>4433.333333333394</v>
      </c>
      <c r="N90" s="16"/>
      <c r="O90" s="15">
        <v>-1</v>
      </c>
      <c r="S90" s="26"/>
    </row>
    <row r="91" spans="1:19">
      <c r="A91" s="9" t="s">
        <v>372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-6000</v>
      </c>
      <c r="J91" s="40">
        <f t="shared" si="8"/>
        <v>-15000</v>
      </c>
      <c r="K91" s="70"/>
      <c r="L91" s="73">
        <f t="shared" si="7"/>
        <v>5899.9999999996362</v>
      </c>
      <c r="M91" s="73">
        <f t="shared" si="9"/>
        <v>4866.666666666636</v>
      </c>
      <c r="N91" s="16"/>
      <c r="O91" s="15">
        <v>-1</v>
      </c>
      <c r="S91" s="15"/>
    </row>
    <row r="92" spans="1:19">
      <c r="A92" s="9" t="s">
        <v>373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-56000</v>
      </c>
      <c r="J92" s="40">
        <f t="shared" si="8"/>
        <v>-29666.666666666668</v>
      </c>
      <c r="K92" s="70"/>
      <c r="L92" s="73">
        <f t="shared" si="7"/>
        <v>2600.0000000003638</v>
      </c>
      <c r="M92" s="73">
        <f t="shared" si="9"/>
        <v>4866.6666666667879</v>
      </c>
      <c r="N92" s="16"/>
      <c r="O92" s="15">
        <v>-1</v>
      </c>
      <c r="S92" s="26"/>
    </row>
    <row r="93" spans="1:19">
      <c r="A93" s="9" t="s">
        <v>374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-20000</v>
      </c>
      <c r="J93" s="40">
        <f t="shared" si="8"/>
        <v>-27333.333333333332</v>
      </c>
      <c r="K93" s="70"/>
      <c r="L93" s="73">
        <f t="shared" si="7"/>
        <v>3500</v>
      </c>
      <c r="M93" s="73">
        <f t="shared" si="9"/>
        <v>4000</v>
      </c>
      <c r="N93" s="16"/>
      <c r="O93" s="15">
        <v>-1</v>
      </c>
      <c r="S93" s="15"/>
    </row>
    <row r="94" spans="1:19">
      <c r="A94" s="9" t="s">
        <v>375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6000</v>
      </c>
      <c r="J94" s="40">
        <f t="shared" si="8"/>
        <v>-23333.333333333332</v>
      </c>
      <c r="K94" s="70"/>
      <c r="L94" s="73">
        <f t="shared" si="7"/>
        <v>1599.9999999999091</v>
      </c>
      <c r="M94" s="73">
        <f t="shared" si="9"/>
        <v>2566.6666666667575</v>
      </c>
      <c r="N94" s="16"/>
      <c r="O94" s="15">
        <v>-1</v>
      </c>
      <c r="S94" s="26"/>
    </row>
    <row r="95" spans="1:19">
      <c r="A95" s="9" t="s">
        <v>376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-64000</v>
      </c>
      <c r="J95" s="40">
        <f t="shared" si="8"/>
        <v>-26000</v>
      </c>
      <c r="K95" s="70"/>
      <c r="L95" s="73">
        <f t="shared" si="7"/>
        <v>1500</v>
      </c>
      <c r="M95" s="73">
        <f t="shared" si="9"/>
        <v>2199.9999999999695</v>
      </c>
      <c r="N95" s="16"/>
      <c r="O95" s="15">
        <v>-1</v>
      </c>
      <c r="S95" s="15"/>
    </row>
    <row r="96" spans="1:19">
      <c r="A96" s="9" t="s">
        <v>377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44000</v>
      </c>
      <c r="J96" s="40">
        <f t="shared" si="8"/>
        <v>-4666.666666666667</v>
      </c>
      <c r="K96" s="70"/>
      <c r="L96" s="73">
        <f t="shared" si="7"/>
        <v>-8800.0000000001819</v>
      </c>
      <c r="M96" s="73">
        <f t="shared" si="9"/>
        <v>-1900.0000000000909</v>
      </c>
      <c r="N96" s="16"/>
      <c r="O96" s="15">
        <v>-1</v>
      </c>
      <c r="S96" s="26"/>
    </row>
    <row r="97" spans="1:19">
      <c r="A97" s="9" t="s">
        <v>378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-114000</v>
      </c>
      <c r="J97" s="40">
        <f t="shared" si="8"/>
        <v>-44666.666666666664</v>
      </c>
      <c r="K97" s="70"/>
      <c r="L97" s="73">
        <f t="shared" si="7"/>
        <v>-2299.9999999997272</v>
      </c>
      <c r="M97" s="73">
        <f t="shared" si="9"/>
        <v>-3199.9999999999695</v>
      </c>
      <c r="N97" s="16"/>
      <c r="O97" s="15">
        <v>-1</v>
      </c>
      <c r="S97" s="15"/>
    </row>
    <row r="98" spans="1:19">
      <c r="A98" s="9" t="s">
        <v>379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5000</v>
      </c>
      <c r="J98" s="40">
        <f t="shared" si="8"/>
        <v>-21666.666666666668</v>
      </c>
      <c r="K98" s="70"/>
      <c r="L98" s="73">
        <f t="shared" si="7"/>
        <v>-1100.0000000003638</v>
      </c>
      <c r="M98" s="73">
        <f t="shared" si="9"/>
        <v>-4066.6666666667575</v>
      </c>
      <c r="N98" s="16"/>
      <c r="O98" s="15">
        <v>-1</v>
      </c>
      <c r="S98" s="26"/>
    </row>
    <row r="99" spans="1:19">
      <c r="A99" s="9" t="s">
        <v>380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-41000</v>
      </c>
      <c r="J99" s="40">
        <f t="shared" si="8"/>
        <v>-50000</v>
      </c>
      <c r="K99" s="70"/>
      <c r="L99" s="73">
        <f t="shared" si="7"/>
        <v>-99.999999999909051</v>
      </c>
      <c r="M99" s="73">
        <f t="shared" si="9"/>
        <v>-1166.6666666666667</v>
      </c>
      <c r="N99" s="16"/>
      <c r="O99" s="15">
        <v>-1</v>
      </c>
      <c r="S99" s="15"/>
    </row>
    <row r="100" spans="1:19">
      <c r="A100" s="9" t="s">
        <v>381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3000</v>
      </c>
      <c r="J100" s="40">
        <f t="shared" si="8"/>
        <v>-11000</v>
      </c>
      <c r="K100" s="70"/>
      <c r="L100" s="73">
        <f t="shared" si="7"/>
        <v>-699.9999999998181</v>
      </c>
      <c r="M100" s="73">
        <f t="shared" si="9"/>
        <v>-633.33333333336361</v>
      </c>
      <c r="N100" s="16"/>
      <c r="O100" s="15">
        <v>-1</v>
      </c>
      <c r="S100" s="26"/>
    </row>
    <row r="101" spans="1:19">
      <c r="A101" s="9" t="s">
        <v>382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-21000</v>
      </c>
      <c r="J101" s="40">
        <f t="shared" si="8"/>
        <v>-19666.666666666668</v>
      </c>
      <c r="K101" s="70"/>
      <c r="L101" s="73">
        <f t="shared" si="7"/>
        <v>-3000</v>
      </c>
      <c r="M101" s="73">
        <f t="shared" si="9"/>
        <v>-1266.6666666665758</v>
      </c>
      <c r="N101" s="16"/>
      <c r="O101" s="15">
        <v>-1</v>
      </c>
      <c r="S101" s="15"/>
    </row>
    <row r="102" spans="1:19">
      <c r="A102" s="9" t="s">
        <v>383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-22000</v>
      </c>
      <c r="J102" s="40">
        <f t="shared" si="8"/>
        <v>-13333.333333333334</v>
      </c>
      <c r="K102" s="70"/>
      <c r="L102" s="73">
        <f t="shared" si="7"/>
        <v>-1500</v>
      </c>
      <c r="M102" s="73">
        <f t="shared" si="9"/>
        <v>-1733.3333333332728</v>
      </c>
      <c r="N102" s="16"/>
      <c r="O102" s="15">
        <v>-1</v>
      </c>
      <c r="S102" s="26"/>
    </row>
    <row r="103" spans="1:19">
      <c r="A103" s="9" t="s">
        <v>384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2000</v>
      </c>
      <c r="J103" s="40">
        <f t="shared" si="8"/>
        <v>-13666.666666666666</v>
      </c>
      <c r="K103" s="70"/>
      <c r="L103" s="73">
        <f t="shared" si="7"/>
        <v>-5800.0000000001819</v>
      </c>
      <c r="M103" s="73">
        <f t="shared" si="9"/>
        <v>-3433.333333333394</v>
      </c>
      <c r="N103" s="16"/>
      <c r="O103" s="15">
        <v>-1</v>
      </c>
      <c r="S103" s="15"/>
    </row>
    <row r="104" spans="1:19">
      <c r="A104" s="9" t="s">
        <v>385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((C104+D104)-(C103+D103))*1000</f>
        <v>4000</v>
      </c>
      <c r="J104" s="40">
        <f t="shared" si="8"/>
        <v>-5333.333333333333</v>
      </c>
      <c r="K104" s="70"/>
      <c r="L104" s="73">
        <f t="shared" ref="L104:L133" si="11">((E104-F104)-(E103-F103))*1000</f>
        <v>-3699.9999999998181</v>
      </c>
      <c r="M104" s="73">
        <f t="shared" si="9"/>
        <v>-3666.6666666666665</v>
      </c>
      <c r="N104" s="16"/>
      <c r="O104" s="15">
        <v>-1</v>
      </c>
      <c r="S104" s="26"/>
    </row>
    <row r="105" spans="1:19">
      <c r="A105" s="9" t="s">
        <v>386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-2000</v>
      </c>
      <c r="J105" s="40">
        <f t="shared" si="8"/>
        <v>1333.3333333333333</v>
      </c>
      <c r="K105" s="70"/>
      <c r="L105" s="73">
        <f t="shared" si="11"/>
        <v>1400.0000000000909</v>
      </c>
      <c r="M105" s="73">
        <f t="shared" si="9"/>
        <v>-2699.9999999999695</v>
      </c>
      <c r="N105" s="16"/>
      <c r="O105" s="15">
        <v>-1</v>
      </c>
      <c r="S105" s="15"/>
    </row>
    <row r="106" spans="1:19">
      <c r="A106" s="9" t="s">
        <v>387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-6000</v>
      </c>
      <c r="J106" s="40">
        <f t="shared" si="8"/>
        <v>-1333.3333333333333</v>
      </c>
      <c r="K106" s="70"/>
      <c r="L106" s="73">
        <f t="shared" si="11"/>
        <v>-700.00000000027285</v>
      </c>
      <c r="M106" s="73">
        <f t="shared" si="9"/>
        <v>-1000</v>
      </c>
      <c r="N106" s="16"/>
      <c r="O106" s="15">
        <v>-1</v>
      </c>
      <c r="S106" s="26"/>
    </row>
    <row r="107" spans="1:19">
      <c r="A107" s="9" t="s">
        <v>388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-20000</v>
      </c>
      <c r="J107" s="40">
        <f t="shared" si="8"/>
        <v>-9333.3333333333339</v>
      </c>
      <c r="K107" s="70"/>
      <c r="L107" s="73">
        <f t="shared" si="11"/>
        <v>900.00000000009095</v>
      </c>
      <c r="M107" s="73">
        <f t="shared" si="9"/>
        <v>533.33333333330302</v>
      </c>
      <c r="N107" s="16"/>
      <c r="O107" s="15">
        <v>-1</v>
      </c>
      <c r="S107" s="15"/>
    </row>
    <row r="108" spans="1:19">
      <c r="A108" s="9" t="s">
        <v>389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14000</v>
      </c>
      <c r="J108" s="40">
        <f t="shared" si="8"/>
        <v>-4000</v>
      </c>
      <c r="K108" s="70"/>
      <c r="L108" s="73">
        <f t="shared" si="11"/>
        <v>-199.9999999998181</v>
      </c>
      <c r="M108" s="73">
        <f t="shared" si="9"/>
        <v>0</v>
      </c>
      <c r="N108" s="16"/>
      <c r="O108" s="15">
        <v>-1</v>
      </c>
      <c r="S108" s="26"/>
    </row>
    <row r="109" spans="1:19">
      <c r="A109" s="9" t="s">
        <v>390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-2000</v>
      </c>
      <c r="J109" s="40">
        <f t="shared" si="8"/>
        <v>-2666.6666666666665</v>
      </c>
      <c r="K109" s="70"/>
      <c r="L109" s="73">
        <f t="shared" si="11"/>
        <v>-8400.0000000000909</v>
      </c>
      <c r="M109" s="73">
        <f t="shared" si="9"/>
        <v>-2566.666666666606</v>
      </c>
      <c r="N109" s="16"/>
      <c r="O109" s="15">
        <v>-1</v>
      </c>
      <c r="S109" s="15"/>
    </row>
    <row r="110" spans="1:19">
      <c r="A110" s="9" t="s">
        <v>391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9000</v>
      </c>
      <c r="J110" s="40">
        <f t="shared" si="8"/>
        <v>7000</v>
      </c>
      <c r="K110" s="70"/>
      <c r="L110" s="73">
        <f t="shared" si="11"/>
        <v>7199.9999999998181</v>
      </c>
      <c r="M110" s="73">
        <f t="shared" si="9"/>
        <v>-466.66666666669698</v>
      </c>
      <c r="N110" s="16"/>
      <c r="O110" s="15">
        <v>-1</v>
      </c>
      <c r="S110" s="26"/>
    </row>
    <row r="111" spans="1:19">
      <c r="A111" s="9" t="s">
        <v>392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2000</v>
      </c>
      <c r="J111" s="40">
        <f t="shared" si="8"/>
        <v>3000</v>
      </c>
      <c r="K111" s="70"/>
      <c r="L111" s="73">
        <f t="shared" si="11"/>
        <v>6300.0000000001819</v>
      </c>
      <c r="M111" s="73">
        <f t="shared" si="9"/>
        <v>1699.9999999999698</v>
      </c>
      <c r="N111" s="16"/>
      <c r="O111" s="15">
        <v>-1</v>
      </c>
      <c r="S111" s="15"/>
    </row>
    <row r="112" spans="1:19">
      <c r="A112" s="9" t="s">
        <v>393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-32000</v>
      </c>
      <c r="J112" s="40">
        <f t="shared" si="8"/>
        <v>-7000</v>
      </c>
      <c r="K112" s="70"/>
      <c r="L112" s="73">
        <f t="shared" si="11"/>
        <v>-3900.0000000000909</v>
      </c>
      <c r="M112" s="73">
        <f t="shared" si="9"/>
        <v>3199.9999999999695</v>
      </c>
      <c r="N112" s="16"/>
      <c r="O112" s="15">
        <v>-1</v>
      </c>
      <c r="S112" s="26"/>
    </row>
    <row r="113" spans="1:19">
      <c r="A113" s="9" t="s">
        <v>394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-3000</v>
      </c>
      <c r="J113" s="40">
        <f t="shared" si="8"/>
        <v>-11000</v>
      </c>
      <c r="K113" s="70"/>
      <c r="L113" s="73">
        <f t="shared" si="11"/>
        <v>-599.99999999990905</v>
      </c>
      <c r="M113" s="73">
        <f t="shared" si="9"/>
        <v>600.0000000000606</v>
      </c>
      <c r="N113" s="16"/>
      <c r="O113" s="15">
        <v>-1</v>
      </c>
      <c r="S113" s="15"/>
    </row>
    <row r="114" spans="1:19">
      <c r="A114" s="9" t="s">
        <v>395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1000</v>
      </c>
      <c r="J114" s="40">
        <f t="shared" si="8"/>
        <v>-11333.333333333334</v>
      </c>
      <c r="K114" s="70"/>
      <c r="L114" s="73">
        <f t="shared" si="11"/>
        <v>-1500</v>
      </c>
      <c r="M114" s="73">
        <f t="shared" si="9"/>
        <v>-2000</v>
      </c>
      <c r="N114" s="16"/>
      <c r="O114" s="15">
        <v>-1</v>
      </c>
      <c r="S114" s="26"/>
    </row>
    <row r="115" spans="1:19">
      <c r="A115" s="9" t="s">
        <v>396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-17000</v>
      </c>
      <c r="J115" s="40">
        <f t="shared" si="8"/>
        <v>-6333.333333333333</v>
      </c>
      <c r="K115" s="70"/>
      <c r="L115" s="73">
        <f t="shared" si="11"/>
        <v>-3900.0000000000909</v>
      </c>
      <c r="M115" s="73">
        <f t="shared" si="9"/>
        <v>-2000</v>
      </c>
      <c r="N115" s="16"/>
      <c r="O115" s="15">
        <v>-1</v>
      </c>
      <c r="S115" s="15"/>
    </row>
    <row r="116" spans="1:19">
      <c r="A116" s="9" t="s">
        <v>397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16000</v>
      </c>
      <c r="J116" s="40">
        <f t="shared" si="8"/>
        <v>0</v>
      </c>
      <c r="K116" s="70"/>
      <c r="L116" s="73">
        <f t="shared" si="11"/>
        <v>-2400.0000000000909</v>
      </c>
      <c r="M116" s="73">
        <f t="shared" si="9"/>
        <v>-2600.0000000000605</v>
      </c>
      <c r="N116" s="16"/>
      <c r="O116" s="15">
        <v>-1</v>
      </c>
      <c r="S116" s="26"/>
    </row>
    <row r="117" spans="1:19">
      <c r="A117" s="9" t="s">
        <v>398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-2000</v>
      </c>
      <c r="J117" s="40">
        <f t="shared" si="8"/>
        <v>-1000</v>
      </c>
      <c r="K117" s="70"/>
      <c r="L117" s="73">
        <f t="shared" si="11"/>
        <v>-4099.9999999999091</v>
      </c>
      <c r="M117" s="73">
        <f t="shared" si="9"/>
        <v>-3466.666666666697</v>
      </c>
      <c r="N117" s="16"/>
      <c r="O117" s="15">
        <v>-1</v>
      </c>
      <c r="S117" s="15"/>
    </row>
    <row r="118" spans="1:19">
      <c r="A118" s="9" t="s">
        <v>399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13000</v>
      </c>
      <c r="J118" s="40">
        <f t="shared" si="8"/>
        <v>9000</v>
      </c>
      <c r="K118" s="70"/>
      <c r="L118" s="73">
        <f t="shared" si="11"/>
        <v>-9300.0000000001819</v>
      </c>
      <c r="M118" s="73">
        <f t="shared" si="9"/>
        <v>-5266.666666666727</v>
      </c>
      <c r="N118" s="16"/>
      <c r="O118" s="15">
        <v>-1</v>
      </c>
      <c r="S118" s="26"/>
    </row>
    <row r="119" spans="1:19">
      <c r="A119" s="9" t="s">
        <v>400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0">
        <f t="shared" si="8"/>
        <v>3666.6666666666665</v>
      </c>
      <c r="K119" s="70"/>
      <c r="L119" s="73">
        <f t="shared" si="11"/>
        <v>-10699.999999999818</v>
      </c>
      <c r="M119" s="73">
        <f t="shared" si="9"/>
        <v>-8033.333333333303</v>
      </c>
      <c r="N119" s="16"/>
      <c r="O119" s="15">
        <v>-1</v>
      </c>
      <c r="S119" s="15"/>
    </row>
    <row r="120" spans="1:19">
      <c r="A120" s="9" t="s">
        <v>401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1000</v>
      </c>
      <c r="J120" s="40">
        <f t="shared" si="8"/>
        <v>4666.666666666667</v>
      </c>
      <c r="K120" s="70"/>
      <c r="L120" s="73">
        <f t="shared" si="11"/>
        <v>-6800.0000000001819</v>
      </c>
      <c r="M120" s="73">
        <f t="shared" si="9"/>
        <v>-8933.333333333394</v>
      </c>
      <c r="N120" s="16"/>
      <c r="O120" s="15">
        <v>-1</v>
      </c>
      <c r="S120" s="26"/>
    </row>
    <row r="121" spans="1:19">
      <c r="A121" s="9" t="s">
        <v>402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-10000</v>
      </c>
      <c r="J121" s="40">
        <f t="shared" si="8"/>
        <v>-3000</v>
      </c>
      <c r="K121" s="70"/>
      <c r="L121" s="73">
        <f t="shared" si="11"/>
        <v>-7199.9999999998181</v>
      </c>
      <c r="M121" s="73">
        <f t="shared" si="9"/>
        <v>-8233.3333333332721</v>
      </c>
      <c r="N121" s="16"/>
      <c r="O121" s="15">
        <v>-1</v>
      </c>
      <c r="S121" s="15"/>
    </row>
    <row r="122" spans="1:19">
      <c r="A122" s="9" t="s">
        <v>403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29000</v>
      </c>
      <c r="J122" s="40">
        <f t="shared" si="8"/>
        <v>6666.666666666667</v>
      </c>
      <c r="K122" s="70"/>
      <c r="L122" s="73">
        <f t="shared" si="11"/>
        <v>-7900.0000000000909</v>
      </c>
      <c r="M122" s="73">
        <f t="shared" si="9"/>
        <v>-7300.00000000003</v>
      </c>
      <c r="N122" s="16"/>
      <c r="O122" s="15">
        <v>-1</v>
      </c>
      <c r="S122" s="26"/>
    </row>
    <row r="123" spans="1:19">
      <c r="A123" s="9" t="s">
        <v>404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16000</v>
      </c>
      <c r="J123" s="40">
        <f t="shared" si="8"/>
        <v>11666.666666666666</v>
      </c>
      <c r="K123" s="70"/>
      <c r="L123" s="73">
        <f t="shared" si="11"/>
        <v>-4900.0000000000909</v>
      </c>
      <c r="M123" s="73">
        <f t="shared" si="9"/>
        <v>-6666.666666666667</v>
      </c>
      <c r="N123" s="16"/>
      <c r="O123" s="15">
        <v>-1</v>
      </c>
      <c r="S123" s="15"/>
    </row>
    <row r="124" spans="1:19">
      <c r="A124" s="9" t="s">
        <v>405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 t="shared" si="10"/>
        <v>2000</v>
      </c>
      <c r="J124" s="40">
        <f t="shared" si="8"/>
        <v>15666.666666666666</v>
      </c>
      <c r="K124" s="70"/>
      <c r="L124" s="73">
        <f t="shared" si="11"/>
        <v>-9299.9999999997272</v>
      </c>
      <c r="M124" s="73">
        <f t="shared" si="9"/>
        <v>-7366.666666666636</v>
      </c>
      <c r="N124" s="16"/>
      <c r="O124" s="15">
        <v>-1</v>
      </c>
      <c r="S124" s="26"/>
    </row>
    <row r="125" spans="1:19">
      <c r="A125" s="9" t="s">
        <v>406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-5000</v>
      </c>
      <c r="J125" s="40">
        <f t="shared" si="8"/>
        <v>4333.333333333333</v>
      </c>
      <c r="K125" s="70"/>
      <c r="L125" s="73">
        <f t="shared" si="11"/>
        <v>4199.9999999998181</v>
      </c>
      <c r="M125" s="73">
        <f t="shared" si="9"/>
        <v>-3333.3333333333335</v>
      </c>
      <c r="N125" s="16"/>
      <c r="O125" s="15">
        <v>-1</v>
      </c>
      <c r="S125" s="15"/>
    </row>
    <row r="126" spans="1:19">
      <c r="A126" s="9" t="s">
        <v>407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1000</v>
      </c>
      <c r="J126" s="40">
        <f t="shared" si="8"/>
        <v>-666.66666666666663</v>
      </c>
      <c r="K126" s="70"/>
      <c r="L126" s="73">
        <f t="shared" si="11"/>
        <v>-6299.9999999997272</v>
      </c>
      <c r="M126" s="73">
        <f t="shared" si="9"/>
        <v>-3799.9999999998786</v>
      </c>
      <c r="N126" s="16"/>
      <c r="O126" s="15">
        <v>-1</v>
      </c>
      <c r="S126" s="26"/>
    </row>
    <row r="127" spans="1:19">
      <c r="A127" s="9" t="s">
        <v>408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-7000</v>
      </c>
      <c r="J127" s="40">
        <f t="shared" si="8"/>
        <v>-3666.6666666666665</v>
      </c>
      <c r="K127" s="70"/>
      <c r="L127" s="73">
        <f t="shared" si="11"/>
        <v>-5600.0000000003638</v>
      </c>
      <c r="M127" s="73">
        <f t="shared" si="9"/>
        <v>-2566.6666666667575</v>
      </c>
      <c r="N127" s="16"/>
      <c r="O127" s="15">
        <v>-1</v>
      </c>
      <c r="S127" s="15"/>
    </row>
    <row r="128" spans="1:19">
      <c r="A128" s="9" t="s">
        <v>409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24000</v>
      </c>
      <c r="J128" s="40">
        <f t="shared" si="8"/>
        <v>6000</v>
      </c>
      <c r="K128" s="70"/>
      <c r="L128" s="73">
        <f t="shared" si="11"/>
        <v>-6299.9999999997272</v>
      </c>
      <c r="M128" s="73">
        <f t="shared" si="9"/>
        <v>-6066.666666666606</v>
      </c>
      <c r="N128" s="16"/>
      <c r="O128" s="15">
        <v>-1</v>
      </c>
      <c r="S128" s="26"/>
    </row>
    <row r="129" spans="1:19">
      <c r="A129" s="9" t="s">
        <v>410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8000</v>
      </c>
      <c r="J129" s="40">
        <f t="shared" si="8"/>
        <v>8333.3333333333339</v>
      </c>
      <c r="K129" s="70"/>
      <c r="L129" s="73">
        <f t="shared" si="11"/>
        <v>-4000</v>
      </c>
      <c r="M129" s="73">
        <f t="shared" si="9"/>
        <v>-5300.00000000003</v>
      </c>
      <c r="N129" s="16"/>
      <c r="O129" s="15">
        <v>-1</v>
      </c>
      <c r="S129" s="15"/>
    </row>
    <row r="130" spans="1:19">
      <c r="A130" s="9" t="s">
        <v>411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26000</v>
      </c>
      <c r="J130" s="40">
        <f t="shared" si="8"/>
        <v>19333.333333333332</v>
      </c>
      <c r="K130" s="70"/>
      <c r="L130" s="73">
        <f t="shared" si="11"/>
        <v>-2800.0000000001819</v>
      </c>
      <c r="M130" s="73">
        <f t="shared" si="9"/>
        <v>-4366.666666666636</v>
      </c>
      <c r="N130" s="16"/>
      <c r="O130" s="15">
        <v>-1</v>
      </c>
      <c r="S130" s="26"/>
    </row>
    <row r="131" spans="1:19">
      <c r="A131" s="9" t="s">
        <v>412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2000</v>
      </c>
      <c r="J131" s="40">
        <f t="shared" si="8"/>
        <v>12000</v>
      </c>
      <c r="K131" s="70"/>
      <c r="L131" s="73">
        <f t="shared" si="11"/>
        <v>200.00000000027285</v>
      </c>
      <c r="M131" s="73">
        <f t="shared" si="9"/>
        <v>-2199.9999999999695</v>
      </c>
      <c r="N131" s="16"/>
      <c r="O131" s="15">
        <v>-1</v>
      </c>
      <c r="S131" s="15"/>
    </row>
    <row r="132" spans="1:19">
      <c r="A132" s="9" t="s">
        <v>413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26000</v>
      </c>
      <c r="J132" s="40">
        <f t="shared" si="8"/>
        <v>18000</v>
      </c>
      <c r="K132" s="70"/>
      <c r="L132" s="73">
        <f t="shared" si="11"/>
        <v>0</v>
      </c>
      <c r="M132" s="73">
        <f t="shared" si="9"/>
        <v>-866.66666666663639</v>
      </c>
      <c r="O132" s="15">
        <v>-1</v>
      </c>
      <c r="S132" s="26"/>
    </row>
    <row r="133" spans="1:19">
      <c r="A133" s="9" t="s">
        <v>414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11000</v>
      </c>
      <c r="J133" s="40">
        <f t="shared" si="8"/>
        <v>13000</v>
      </c>
      <c r="K133" s="70"/>
      <c r="L133" s="73">
        <f t="shared" si="11"/>
        <v>1599.9999999999091</v>
      </c>
      <c r="M133" s="73">
        <f t="shared" ref="M133" si="12">AVERAGE(L131:L133)</f>
        <v>600.0000000000606</v>
      </c>
      <c r="N133" s="26"/>
      <c r="O133" s="15">
        <v>-1</v>
      </c>
    </row>
    <row r="134" spans="1:19">
      <c r="A134" s="9" t="s">
        <v>262</v>
      </c>
      <c r="B134" s="14" t="s">
        <v>262</v>
      </c>
      <c r="C134" t="s">
        <v>262</v>
      </c>
      <c r="D134" t="s">
        <v>262</v>
      </c>
      <c r="E134" t="s">
        <v>262</v>
      </c>
      <c r="F134" t="s">
        <v>262</v>
      </c>
      <c r="I134" s="40"/>
      <c r="J134" s="41"/>
      <c r="K134" s="70"/>
      <c r="L134" s="73"/>
      <c r="M134" s="73"/>
      <c r="N134" s="26"/>
      <c r="O134" s="15" t="s">
        <v>262</v>
      </c>
    </row>
    <row r="135" spans="1:19">
      <c r="A135" s="9" t="s">
        <v>262</v>
      </c>
      <c r="B135" s="14" t="s">
        <v>262</v>
      </c>
      <c r="C135" t="s">
        <v>262</v>
      </c>
      <c r="D135" t="s">
        <v>262</v>
      </c>
      <c r="E135" t="s">
        <v>262</v>
      </c>
      <c r="F135" t="s">
        <v>262</v>
      </c>
      <c r="I135" s="40"/>
      <c r="J135" s="41"/>
      <c r="K135" s="70"/>
      <c r="L135" s="73"/>
      <c r="M135" s="73"/>
      <c r="N135" s="26"/>
      <c r="O135" s="15" t="s">
        <v>262</v>
      </c>
    </row>
    <row r="136" spans="1:19">
      <c r="A136" s="9" t="s">
        <v>262</v>
      </c>
      <c r="B136" s="14" t="s">
        <v>262</v>
      </c>
      <c r="C136" t="s">
        <v>262</v>
      </c>
      <c r="D136" t="s">
        <v>262</v>
      </c>
      <c r="E136" t="s">
        <v>262</v>
      </c>
      <c r="F136" t="s">
        <v>262</v>
      </c>
      <c r="I136" s="40"/>
      <c r="J136" s="41"/>
      <c r="K136" s="70"/>
      <c r="L136" s="73"/>
      <c r="M136" s="73"/>
      <c r="N136" s="26"/>
      <c r="O136" s="15" t="s">
        <v>262</v>
      </c>
    </row>
    <row r="137" spans="1:19">
      <c r="A137" s="9" t="s">
        <v>262</v>
      </c>
      <c r="B137" s="14" t="s">
        <v>262</v>
      </c>
      <c r="C137" t="s">
        <v>262</v>
      </c>
      <c r="D137" t="s">
        <v>262</v>
      </c>
      <c r="E137" t="s">
        <v>262</v>
      </c>
      <c r="F137" t="s">
        <v>262</v>
      </c>
      <c r="I137" s="40"/>
      <c r="J137" s="41"/>
      <c r="K137" s="70"/>
      <c r="L137" s="73"/>
      <c r="M137" s="73"/>
      <c r="N137" s="26"/>
      <c r="O137" s="15" t="s">
        <v>262</v>
      </c>
    </row>
    <row r="138" spans="1:19">
      <c r="A138" s="9" t="s">
        <v>262</v>
      </c>
      <c r="B138" s="14" t="s">
        <v>262</v>
      </c>
      <c r="C138" t="s">
        <v>262</v>
      </c>
      <c r="D138" t="s">
        <v>262</v>
      </c>
      <c r="E138" t="s">
        <v>262</v>
      </c>
      <c r="F138" t="s">
        <v>262</v>
      </c>
      <c r="I138" s="40"/>
      <c r="J138" s="41"/>
      <c r="K138" s="70"/>
      <c r="L138" s="73"/>
      <c r="M138" s="73"/>
      <c r="N138" s="26"/>
      <c r="O138" s="15" t="s">
        <v>262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>
      <selection activeCell="A9" sqref="A9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5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415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5"/>
      <c r="B46" s="41"/>
    </row>
    <row r="47" spans="1:2">
      <c r="A47" s="75"/>
      <c r="B47" s="41"/>
    </row>
    <row r="48" spans="1:2">
      <c r="A48" s="75"/>
      <c r="B48" s="41"/>
    </row>
    <row r="49" spans="1:2">
      <c r="A49" s="75"/>
      <c r="B49" s="41"/>
    </row>
    <row r="50" spans="1:2">
      <c r="A50" s="75"/>
      <c r="B50" s="41"/>
    </row>
    <row r="51" spans="1:2">
      <c r="A51" s="75"/>
      <c r="B51" s="41"/>
    </row>
    <row r="52" spans="1:2">
      <c r="A52" s="75"/>
      <c r="B52" s="41"/>
    </row>
    <row r="53" spans="1:2">
      <c r="A53" s="75"/>
      <c r="B53" s="41"/>
    </row>
    <row r="54" spans="1:2">
      <c r="A54" s="75"/>
      <c r="B54" s="41"/>
    </row>
    <row r="55" spans="1:2">
      <c r="A55" s="75"/>
      <c r="B55" s="41"/>
    </row>
    <row r="56" spans="1:2">
      <c r="A56" s="75"/>
      <c r="B56" s="41"/>
    </row>
    <row r="57" spans="1:2">
      <c r="A57" s="75"/>
      <c r="B57" s="41"/>
    </row>
    <row r="58" spans="1:2">
      <c r="A58" s="75"/>
      <c r="B58" s="41"/>
    </row>
    <row r="59" spans="1:2">
      <c r="A59" s="75"/>
      <c r="B59" s="41"/>
    </row>
    <row r="60" spans="1:2">
      <c r="A60" s="75"/>
      <c r="B60" s="41"/>
    </row>
    <row r="61" spans="1:2">
      <c r="A61" s="75"/>
      <c r="B61" s="41"/>
    </row>
    <row r="62" spans="1:2">
      <c r="A62" s="75"/>
      <c r="B62" s="41"/>
    </row>
    <row r="63" spans="1:2">
      <c r="A63" s="75"/>
      <c r="B63" s="41"/>
    </row>
    <row r="64" spans="1:2">
      <c r="A64" s="75"/>
      <c r="B64" s="41"/>
    </row>
    <row r="65" spans="1:2">
      <c r="A65" s="75"/>
      <c r="B65" s="41"/>
    </row>
    <row r="66" spans="1:2">
      <c r="A66" s="75"/>
      <c r="B66" s="41"/>
    </row>
    <row r="67" spans="1:2">
      <c r="A67" s="75"/>
      <c r="B67" s="41"/>
    </row>
    <row r="68" spans="1:2">
      <c r="A68" s="91"/>
      <c r="B68" s="70"/>
    </row>
    <row r="69" spans="1:2">
      <c r="A69" s="91"/>
      <c r="B69" s="70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278</v>
      </c>
      <c r="B2" s="13" t="s">
        <v>0</v>
      </c>
      <c r="C2" s="68" t="s">
        <v>219</v>
      </c>
      <c r="D2" s="68" t="s">
        <v>220</v>
      </c>
      <c r="E2" s="68" t="s">
        <v>221</v>
      </c>
      <c r="F2" s="68" t="s">
        <v>222</v>
      </c>
    </row>
    <row r="3" spans="1:9">
      <c r="A3" s="12" t="s">
        <v>7</v>
      </c>
      <c r="C3" t="s">
        <v>267</v>
      </c>
      <c r="D3" t="s">
        <v>268</v>
      </c>
      <c r="E3" t="s">
        <v>269</v>
      </c>
      <c r="F3" t="s">
        <v>270</v>
      </c>
    </row>
    <row r="4" spans="1:9">
      <c r="A4" s="12" t="s">
        <v>22</v>
      </c>
      <c r="C4" t="s">
        <v>266</v>
      </c>
      <c r="D4" t="s">
        <v>266</v>
      </c>
      <c r="E4" t="s">
        <v>266</v>
      </c>
      <c r="F4" t="s">
        <v>266</v>
      </c>
      <c r="G4" s="22" t="s">
        <v>272</v>
      </c>
      <c r="I4" t="s">
        <v>283</v>
      </c>
    </row>
    <row r="5" spans="1:9">
      <c r="A5" s="12" t="s">
        <v>26</v>
      </c>
      <c r="C5" t="s">
        <v>265</v>
      </c>
      <c r="D5" t="s">
        <v>265</v>
      </c>
      <c r="E5" t="s">
        <v>265</v>
      </c>
      <c r="F5" t="s">
        <v>265</v>
      </c>
      <c r="H5" s="102" t="s">
        <v>277</v>
      </c>
    </row>
    <row r="6" spans="1:9">
      <c r="A6" s="12" t="s">
        <v>16</v>
      </c>
      <c r="B6" s="14"/>
      <c r="C6" s="15" t="s">
        <v>264</v>
      </c>
      <c r="D6" s="15" t="s">
        <v>264</v>
      </c>
      <c r="E6" s="15" t="s">
        <v>264</v>
      </c>
      <c r="F6" t="s">
        <v>264</v>
      </c>
    </row>
    <row r="7" spans="1:9">
      <c r="A7" s="12" t="s">
        <v>19</v>
      </c>
      <c r="B7" s="14"/>
      <c r="C7" s="15" t="s">
        <v>263</v>
      </c>
      <c r="D7" s="15" t="s">
        <v>263</v>
      </c>
      <c r="E7" s="15" t="s">
        <v>263</v>
      </c>
      <c r="F7" t="s">
        <v>263</v>
      </c>
    </row>
    <row r="8" spans="1:9">
      <c r="A8" s="12" t="s">
        <v>280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6">
        <f>SUM(C8:F8)/1000</f>
        <v>186.52</v>
      </c>
    </row>
    <row r="9" spans="1:9">
      <c r="A9" s="12" t="s">
        <v>279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6">
        <f t="shared" ref="G9:G60" si="0">SUM(C9:F9)/1000</f>
        <v>161.21100000000001</v>
      </c>
    </row>
    <row r="10" spans="1:9">
      <c r="A10" s="12" t="s">
        <v>281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6">
        <f t="shared" si="0"/>
        <v>211.60400000000001</v>
      </c>
    </row>
    <row r="11" spans="1:9">
      <c r="A11" s="12" t="s">
        <v>282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6">
        <f t="shared" si="0"/>
        <v>186.81</v>
      </c>
    </row>
    <row r="12" spans="1:9">
      <c r="A12" s="12" t="s">
        <v>276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6">
        <f t="shared" si="0"/>
        <v>182.95599999999999</v>
      </c>
      <c r="H12">
        <f>G12/G8-1</f>
        <v>-1.9107870469654897E-2</v>
      </c>
    </row>
    <row r="13" spans="1:9">
      <c r="A13" s="12" t="s">
        <v>273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6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274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6">
        <f t="shared" si="0"/>
        <v>226.303</v>
      </c>
      <c r="H14" s="23">
        <f t="shared" si="1"/>
        <v>6.9464660403395051E-2</v>
      </c>
    </row>
    <row r="15" spans="1:9">
      <c r="A15" s="12" t="s">
        <v>275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6">
        <f t="shared" si="0"/>
        <v>200.739</v>
      </c>
      <c r="H15" s="23">
        <f t="shared" si="1"/>
        <v>7.456238959370487E-2</v>
      </c>
    </row>
    <row r="16" spans="1:9">
      <c r="A16" s="12" t="s">
        <v>271</v>
      </c>
      <c r="B16" s="77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6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223</v>
      </c>
      <c r="B17" s="77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6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224</v>
      </c>
      <c r="B18" s="77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6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225</v>
      </c>
      <c r="B19" s="77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6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226</v>
      </c>
      <c r="B20" s="77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6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227</v>
      </c>
      <c r="B21" s="77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6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228</v>
      </c>
      <c r="B22" s="77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6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229</v>
      </c>
      <c r="B23" s="77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6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230</v>
      </c>
      <c r="B24" s="77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6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231</v>
      </c>
      <c r="B25" s="77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6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232</v>
      </c>
      <c r="B26" s="77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6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233</v>
      </c>
      <c r="B27" s="77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6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234</v>
      </c>
      <c r="B28" s="77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6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235</v>
      </c>
      <c r="B29" s="77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6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236</v>
      </c>
      <c r="B30" s="77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6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237</v>
      </c>
      <c r="B31" s="77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6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238</v>
      </c>
      <c r="B32" s="77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6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239</v>
      </c>
      <c r="B33" s="77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6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240</v>
      </c>
      <c r="B34" s="77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6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241</v>
      </c>
      <c r="B35" s="77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6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242</v>
      </c>
      <c r="B36" s="77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6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243</v>
      </c>
      <c r="B37" s="77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6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244</v>
      </c>
      <c r="B38" s="77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6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245</v>
      </c>
      <c r="B39" s="77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6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246</v>
      </c>
      <c r="B40" s="77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6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247</v>
      </c>
      <c r="B41" s="77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6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248</v>
      </c>
      <c r="B42" s="77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6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249</v>
      </c>
      <c r="B43" s="77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6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250</v>
      </c>
      <c r="B44" s="77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6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251</v>
      </c>
      <c r="B45" s="77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6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252</v>
      </c>
      <c r="B46" s="77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6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253</v>
      </c>
      <c r="B47" s="77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6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254</v>
      </c>
      <c r="B48" s="77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6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255</v>
      </c>
      <c r="B49" s="77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6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256</v>
      </c>
      <c r="B50" s="77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6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257</v>
      </c>
      <c r="B51" s="77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6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258</v>
      </c>
      <c r="B52" s="77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6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259</v>
      </c>
      <c r="B53" s="77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6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260</v>
      </c>
      <c r="B54" s="77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6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261</v>
      </c>
      <c r="B55" s="77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6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262</v>
      </c>
      <c r="B56" s="14" t="s">
        <v>262</v>
      </c>
      <c r="C56" t="s">
        <v>262</v>
      </c>
      <c r="D56" t="s">
        <v>262</v>
      </c>
      <c r="E56" t="s">
        <v>262</v>
      </c>
      <c r="F56" t="s">
        <v>262</v>
      </c>
      <c r="G56" s="76">
        <f t="shared" si="0"/>
        <v>0</v>
      </c>
      <c r="H56" s="23"/>
      <c r="I56" s="23"/>
    </row>
    <row r="57" spans="1:9">
      <c r="A57" s="12" t="s">
        <v>262</v>
      </c>
      <c r="B57" s="14" t="s">
        <v>262</v>
      </c>
      <c r="C57" t="s">
        <v>262</v>
      </c>
      <c r="D57" t="s">
        <v>262</v>
      </c>
      <c r="E57" t="s">
        <v>262</v>
      </c>
      <c r="F57" t="s">
        <v>262</v>
      </c>
      <c r="G57" s="76">
        <f t="shared" si="0"/>
        <v>0</v>
      </c>
      <c r="H57" s="23"/>
      <c r="I57" s="23"/>
    </row>
    <row r="58" spans="1:9">
      <c r="A58" s="12" t="s">
        <v>262</v>
      </c>
      <c r="B58" s="14" t="s">
        <v>262</v>
      </c>
      <c r="C58" t="s">
        <v>262</v>
      </c>
      <c r="D58" t="s">
        <v>262</v>
      </c>
      <c r="E58" t="s">
        <v>262</v>
      </c>
      <c r="F58" t="s">
        <v>262</v>
      </c>
      <c r="G58" s="76">
        <f t="shared" si="0"/>
        <v>0</v>
      </c>
      <c r="H58" s="23"/>
      <c r="I58" s="23"/>
    </row>
    <row r="59" spans="1:9">
      <c r="A59" s="12" t="s">
        <v>262</v>
      </c>
      <c r="B59" s="14" t="s">
        <v>262</v>
      </c>
      <c r="C59" t="s">
        <v>262</v>
      </c>
      <c r="D59" t="s">
        <v>262</v>
      </c>
      <c r="E59" t="s">
        <v>262</v>
      </c>
      <c r="F59" t="s">
        <v>262</v>
      </c>
      <c r="G59" s="76">
        <f t="shared" si="0"/>
        <v>0</v>
      </c>
      <c r="H59" s="23"/>
      <c r="I59" s="23"/>
    </row>
    <row r="60" spans="1:9">
      <c r="A60" s="12" t="s">
        <v>262</v>
      </c>
      <c r="B60" s="14" t="s">
        <v>262</v>
      </c>
      <c r="C60" t="s">
        <v>262</v>
      </c>
      <c r="D60" t="s">
        <v>262</v>
      </c>
      <c r="E60" t="s">
        <v>262</v>
      </c>
      <c r="F60" t="s">
        <v>262</v>
      </c>
      <c r="G60" s="76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>
      <selection activeCell="I14" sqref="I14"/>
    </sheetView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3" t="s">
        <v>418</v>
      </c>
      <c r="B8" s="44"/>
      <c r="C8" s="44"/>
      <c r="D8" s="44"/>
      <c r="E8" s="44"/>
      <c r="F8" s="44"/>
      <c r="G8" s="45"/>
      <c r="H8" s="45"/>
      <c r="I8" s="46"/>
    </row>
    <row r="9" spans="1:9" ht="15.75" thickBot="1">
      <c r="A9" s="47" t="s">
        <v>214</v>
      </c>
      <c r="B9" s="48"/>
      <c r="C9" s="48"/>
      <c r="D9" s="48"/>
      <c r="E9" s="48"/>
      <c r="F9" s="48"/>
      <c r="G9" s="49"/>
      <c r="H9" s="49"/>
      <c r="I9" s="50"/>
    </row>
    <row r="10" spans="1:9" ht="15.75" customHeight="1" thickBot="1">
      <c r="A10" s="94"/>
      <c r="B10" s="95"/>
      <c r="C10" s="95"/>
      <c r="D10" s="95"/>
      <c r="E10" s="144" t="s">
        <v>215</v>
      </c>
      <c r="F10" s="145"/>
      <c r="G10" s="93"/>
      <c r="H10" s="144" t="s">
        <v>216</v>
      </c>
      <c r="I10" s="146"/>
    </row>
    <row r="11" spans="1:9">
      <c r="A11" s="96" t="s">
        <v>187</v>
      </c>
      <c r="B11" s="97"/>
      <c r="C11" s="97"/>
      <c r="D11" s="97"/>
      <c r="E11" s="97"/>
      <c r="F11" s="98">
        <v>487</v>
      </c>
      <c r="G11" s="99"/>
      <c r="H11" s="99"/>
      <c r="I11" s="100">
        <v>-82.870207527259936</v>
      </c>
    </row>
    <row r="12" spans="1:9">
      <c r="A12" s="52"/>
      <c r="B12" s="53" t="s">
        <v>188</v>
      </c>
      <c r="C12" s="54"/>
      <c r="D12" s="54"/>
      <c r="E12" s="54"/>
      <c r="F12" s="42">
        <v>-290</v>
      </c>
      <c r="G12" s="51"/>
      <c r="H12" s="51"/>
      <c r="I12" s="55">
        <v>-117.2927847346452</v>
      </c>
    </row>
    <row r="13" spans="1:9">
      <c r="A13" s="52"/>
      <c r="B13" s="57" t="s">
        <v>189</v>
      </c>
      <c r="C13" s="57"/>
      <c r="D13" s="57"/>
      <c r="E13" s="57"/>
      <c r="F13" s="42">
        <v>778</v>
      </c>
      <c r="G13" s="51"/>
      <c r="H13" s="51"/>
      <c r="I13" s="60">
        <v>-33.104041272570939</v>
      </c>
    </row>
    <row r="14" spans="1:9">
      <c r="A14" s="56"/>
      <c r="B14" s="57"/>
      <c r="C14" s="57"/>
      <c r="D14" s="57"/>
      <c r="E14" s="57"/>
      <c r="F14" s="57"/>
      <c r="G14" s="51"/>
      <c r="H14" s="51"/>
      <c r="I14" s="58"/>
    </row>
    <row r="15" spans="1:9">
      <c r="A15" s="61" t="s">
        <v>190</v>
      </c>
      <c r="B15" s="62"/>
      <c r="C15" s="62"/>
      <c r="D15" s="62"/>
      <c r="E15" s="62"/>
      <c r="F15" s="42">
        <v>564.86000000000013</v>
      </c>
      <c r="G15" s="51"/>
      <c r="H15" s="51"/>
      <c r="I15" s="63">
        <v>-83.651172530404054</v>
      </c>
    </row>
    <row r="16" spans="1:9">
      <c r="A16" s="52"/>
      <c r="B16" s="57" t="s">
        <v>195</v>
      </c>
      <c r="C16" s="57"/>
      <c r="D16" s="57"/>
      <c r="E16" s="57"/>
      <c r="F16" s="42">
        <v>100</v>
      </c>
      <c r="G16" s="51"/>
      <c r="H16" s="51"/>
      <c r="I16" s="58">
        <v>-83.844911147011317</v>
      </c>
    </row>
    <row r="17" spans="1:9">
      <c r="A17" s="56"/>
      <c r="B17" s="57" t="s">
        <v>192</v>
      </c>
      <c r="C17" s="51"/>
      <c r="D17" s="51"/>
      <c r="E17" s="51"/>
      <c r="F17" s="42">
        <v>135</v>
      </c>
      <c r="G17" s="51"/>
      <c r="H17" s="51"/>
      <c r="I17" s="58">
        <v>-83.061480552070265</v>
      </c>
    </row>
    <row r="18" spans="1:9">
      <c r="A18" s="52"/>
      <c r="B18" s="57" t="s">
        <v>191</v>
      </c>
      <c r="C18" s="57"/>
      <c r="D18" s="57"/>
      <c r="E18" s="57"/>
      <c r="F18" s="42">
        <v>46</v>
      </c>
      <c r="G18" s="51"/>
      <c r="H18" s="51"/>
      <c r="I18" s="58">
        <v>-82.509505703422064</v>
      </c>
    </row>
    <row r="19" spans="1:9">
      <c r="A19" s="56"/>
      <c r="B19" s="57" t="s">
        <v>183</v>
      </c>
      <c r="C19" s="57"/>
      <c r="D19" s="57"/>
      <c r="E19" s="57"/>
      <c r="F19" s="42">
        <v>10</v>
      </c>
      <c r="G19" s="51"/>
      <c r="H19" s="51"/>
      <c r="I19" s="58">
        <v>-86.842105263157904</v>
      </c>
    </row>
    <row r="20" spans="1:9">
      <c r="A20" s="52"/>
      <c r="B20" s="57" t="s">
        <v>184</v>
      </c>
      <c r="C20" s="57"/>
      <c r="D20" s="57"/>
      <c r="E20" s="57"/>
      <c r="F20" s="42">
        <v>42</v>
      </c>
      <c r="G20" s="51"/>
      <c r="H20" s="51"/>
      <c r="I20" s="58">
        <v>-83.464566929133852</v>
      </c>
    </row>
    <row r="21" spans="1:9" ht="15.75" thickBot="1">
      <c r="A21" s="64"/>
      <c r="B21" s="65" t="s">
        <v>194</v>
      </c>
      <c r="C21" s="65"/>
      <c r="D21" s="65"/>
      <c r="E21" s="65"/>
      <c r="F21" s="92">
        <v>229</v>
      </c>
      <c r="G21" s="66"/>
      <c r="H21" s="66"/>
      <c r="I21" s="67">
        <v>-84.185082872928177</v>
      </c>
    </row>
    <row r="22" spans="1:9">
      <c r="A22" s="33" t="s">
        <v>416</v>
      </c>
      <c r="B22" s="57"/>
      <c r="C22" s="57"/>
      <c r="D22" s="57"/>
      <c r="E22" s="57"/>
      <c r="F22" s="57"/>
      <c r="G22" s="51"/>
      <c r="H22" s="51"/>
      <c r="I22" s="57"/>
    </row>
    <row r="23" spans="1:9">
      <c r="A23" s="33" t="s">
        <v>217</v>
      </c>
      <c r="B23" s="59"/>
      <c r="C23" s="59"/>
      <c r="D23" s="33"/>
      <c r="E23" s="33"/>
      <c r="F23" s="59"/>
      <c r="G23" s="33"/>
      <c r="H23" s="59"/>
      <c r="I23" s="59"/>
    </row>
    <row r="24" spans="1:9">
      <c r="A24" s="33" t="s">
        <v>193</v>
      </c>
      <c r="B24" s="59"/>
      <c r="C24" s="59"/>
      <c r="D24" s="59"/>
      <c r="E24" s="59"/>
      <c r="F24" s="59"/>
      <c r="G24" s="59"/>
      <c r="H24" s="59"/>
      <c r="I24" s="59"/>
    </row>
    <row r="25" spans="1:9">
      <c r="A25" s="33" t="s">
        <v>417</v>
      </c>
      <c r="B25" s="59"/>
      <c r="C25" s="59"/>
      <c r="D25" s="59"/>
      <c r="E25" s="59"/>
      <c r="F25" s="59"/>
      <c r="G25" s="59"/>
      <c r="H25" s="59"/>
      <c r="I25" s="59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workbookViewId="0"/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444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435</v>
      </c>
      <c r="D7" t="s">
        <v>435</v>
      </c>
      <c r="E7" t="s">
        <v>443</v>
      </c>
      <c r="F7" t="s">
        <v>443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79">
        <v>28125</v>
      </c>
      <c r="C9" s="41" t="e">
        <v>#N/A</v>
      </c>
      <c r="D9" s="41" t="e">
        <v>#N/A</v>
      </c>
      <c r="E9" s="80">
        <v>16.649000000000001</v>
      </c>
      <c r="F9" s="80">
        <v>20.766999999999999</v>
      </c>
    </row>
    <row r="10" spans="1:14">
      <c r="A10" s="17" t="s">
        <v>33</v>
      </c>
      <c r="B10" s="79">
        <v>28490</v>
      </c>
      <c r="C10" s="41" t="e">
        <v>#N/A</v>
      </c>
      <c r="D10" s="41" t="e">
        <v>#N/A</v>
      </c>
      <c r="E10" s="80">
        <v>17.529</v>
      </c>
      <c r="F10" s="80">
        <v>20.175000000000001</v>
      </c>
    </row>
    <row r="11" spans="1:14">
      <c r="A11" s="17" t="s">
        <v>34</v>
      </c>
      <c r="B11" s="79">
        <v>28855</v>
      </c>
      <c r="C11" s="41" t="e">
        <v>#N/A</v>
      </c>
      <c r="D11" s="41" t="e">
        <v>#N/A</v>
      </c>
      <c r="E11" s="80">
        <v>17.538</v>
      </c>
      <c r="F11" s="80">
        <v>20.135999999999999</v>
      </c>
    </row>
    <row r="12" spans="1:14">
      <c r="A12" s="17" t="s">
        <v>35</v>
      </c>
      <c r="B12" s="79">
        <v>29220</v>
      </c>
      <c r="C12" s="41" t="e">
        <v>#N/A</v>
      </c>
      <c r="D12" s="41" t="e">
        <v>#N/A</v>
      </c>
      <c r="E12" s="80">
        <v>18.027000000000001</v>
      </c>
      <c r="F12" s="80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79">
        <v>29586</v>
      </c>
      <c r="C13" s="41" t="e">
        <v>#N/A</v>
      </c>
      <c r="D13" s="41" t="e">
        <v>#N/A</v>
      </c>
      <c r="E13" s="80">
        <v>18.489999999999998</v>
      </c>
      <c r="F13" s="80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79">
        <v>29951</v>
      </c>
      <c r="C14" s="41" t="e">
        <v>#N/A</v>
      </c>
      <c r="D14" s="41" t="e">
        <v>#N/A</v>
      </c>
      <c r="E14" s="80">
        <v>19.094999999999999</v>
      </c>
      <c r="F14" s="80">
        <v>21.611000000000001</v>
      </c>
    </row>
    <row r="15" spans="1:14">
      <c r="A15" s="17" t="s">
        <v>38</v>
      </c>
      <c r="B15" s="79">
        <v>30316</v>
      </c>
      <c r="C15" s="41" t="e">
        <v>#N/A</v>
      </c>
      <c r="D15" s="41" t="e">
        <v>#N/A</v>
      </c>
      <c r="E15" s="80">
        <v>18.641999999999999</v>
      </c>
      <c r="F15" s="80">
        <v>22.503</v>
      </c>
    </row>
    <row r="16" spans="1:14">
      <c r="A16" s="17" t="s">
        <v>39</v>
      </c>
      <c r="B16" s="79">
        <v>30681</v>
      </c>
      <c r="C16" s="41" t="e">
        <v>#N/A</v>
      </c>
      <c r="D16" s="41" t="e">
        <v>#N/A</v>
      </c>
      <c r="E16" s="80">
        <v>16.96</v>
      </c>
      <c r="F16" s="80">
        <v>22.827999999999999</v>
      </c>
    </row>
    <row r="17" spans="1:6">
      <c r="A17" s="17" t="s">
        <v>40</v>
      </c>
      <c r="B17" s="79">
        <v>31047</v>
      </c>
      <c r="C17" s="41" t="e">
        <v>#N/A</v>
      </c>
      <c r="D17" s="41" t="e">
        <v>#N/A</v>
      </c>
      <c r="E17" s="80">
        <v>16.86</v>
      </c>
      <c r="F17" s="80">
        <v>21.548999999999999</v>
      </c>
    </row>
    <row r="18" spans="1:6">
      <c r="A18" s="17" t="s">
        <v>41</v>
      </c>
      <c r="B18" s="79">
        <v>31412</v>
      </c>
      <c r="C18" s="41" t="e">
        <v>#N/A</v>
      </c>
      <c r="D18" s="41" t="e">
        <v>#N/A</v>
      </c>
      <c r="E18" s="80">
        <v>17.189</v>
      </c>
      <c r="F18" s="80">
        <v>22.161000000000001</v>
      </c>
    </row>
    <row r="19" spans="1:6">
      <c r="A19" s="17" t="s">
        <v>42</v>
      </c>
      <c r="B19" s="79">
        <v>31777</v>
      </c>
      <c r="C19" s="41" t="e">
        <v>#N/A</v>
      </c>
      <c r="D19" s="41" t="e">
        <v>#N/A</v>
      </c>
      <c r="E19" s="80">
        <v>16.956</v>
      </c>
      <c r="F19" s="80">
        <v>21.834</v>
      </c>
    </row>
    <row r="20" spans="1:6">
      <c r="A20" s="17" t="s">
        <v>43</v>
      </c>
      <c r="B20" s="79">
        <v>32142</v>
      </c>
      <c r="C20" s="41" t="e">
        <v>#N/A</v>
      </c>
      <c r="D20" s="41" t="e">
        <v>#N/A</v>
      </c>
      <c r="E20" s="80">
        <v>17.864999999999998</v>
      </c>
      <c r="F20" s="80">
        <v>20.995999999999999</v>
      </c>
    </row>
    <row r="21" spans="1:6">
      <c r="A21" s="17" t="s">
        <v>44</v>
      </c>
      <c r="B21" s="79">
        <v>32508</v>
      </c>
      <c r="C21" s="41" t="e">
        <v>#N/A</v>
      </c>
      <c r="D21" s="41" t="e">
        <v>#N/A</v>
      </c>
      <c r="E21" s="80">
        <v>17.638000000000002</v>
      </c>
      <c r="F21" s="80">
        <v>20.648</v>
      </c>
    </row>
    <row r="22" spans="1:6">
      <c r="A22" s="17" t="s">
        <v>45</v>
      </c>
      <c r="B22" s="79">
        <v>32873</v>
      </c>
      <c r="C22" s="41" t="e">
        <v>#N/A</v>
      </c>
      <c r="D22" s="41" t="e">
        <v>#N/A</v>
      </c>
      <c r="E22" s="80">
        <v>17.794</v>
      </c>
      <c r="F22" s="80">
        <v>20.533999999999999</v>
      </c>
    </row>
    <row r="23" spans="1:6">
      <c r="A23" s="17" t="s">
        <v>46</v>
      </c>
      <c r="B23" s="79">
        <v>33238</v>
      </c>
      <c r="C23" s="41" t="e">
        <v>#N/A</v>
      </c>
      <c r="D23" s="41" t="e">
        <v>#N/A</v>
      </c>
      <c r="E23" s="80">
        <v>17.448</v>
      </c>
      <c r="F23" s="80">
        <v>21.184999999999999</v>
      </c>
    </row>
    <row r="24" spans="1:6">
      <c r="A24" s="17" t="s">
        <v>47</v>
      </c>
      <c r="B24" s="79">
        <v>33603</v>
      </c>
      <c r="C24" s="41" t="e">
        <v>#N/A</v>
      </c>
      <c r="D24" s="41" t="e">
        <v>#N/A</v>
      </c>
      <c r="E24" s="80">
        <v>17.266999999999999</v>
      </c>
      <c r="F24" s="80">
        <v>21.672999999999998</v>
      </c>
    </row>
    <row r="25" spans="1:6">
      <c r="A25" s="17" t="s">
        <v>48</v>
      </c>
      <c r="B25" s="79">
        <v>33969</v>
      </c>
      <c r="C25" s="41" t="e">
        <v>#N/A</v>
      </c>
      <c r="D25" s="41" t="e">
        <v>#N/A</v>
      </c>
      <c r="E25" s="80">
        <v>16.957999999999998</v>
      </c>
      <c r="F25" s="80">
        <v>21.47</v>
      </c>
    </row>
    <row r="26" spans="1:6">
      <c r="A26" s="17" t="s">
        <v>49</v>
      </c>
      <c r="B26" s="79">
        <v>34334</v>
      </c>
      <c r="C26" s="41" t="e">
        <v>#N/A</v>
      </c>
      <c r="D26" s="41" t="e">
        <v>#N/A</v>
      </c>
      <c r="E26" s="80">
        <v>16.988</v>
      </c>
      <c r="F26" s="80">
        <v>20.742000000000001</v>
      </c>
    </row>
    <row r="27" spans="1:6">
      <c r="A27" s="17" t="s">
        <v>50</v>
      </c>
      <c r="B27" s="79">
        <v>34699</v>
      </c>
      <c r="C27" s="41" t="e">
        <v>#N/A</v>
      </c>
      <c r="D27" s="41" t="e">
        <v>#N/A</v>
      </c>
      <c r="E27" s="80">
        <v>17.486000000000001</v>
      </c>
      <c r="F27" s="80">
        <v>20.308</v>
      </c>
    </row>
    <row r="28" spans="1:6">
      <c r="A28" s="17" t="s">
        <v>51</v>
      </c>
      <c r="B28" s="79">
        <v>35064</v>
      </c>
      <c r="C28" s="41" t="e">
        <v>#N/A</v>
      </c>
      <c r="D28" s="41" t="e">
        <v>#N/A</v>
      </c>
      <c r="E28" s="80">
        <v>17.826000000000001</v>
      </c>
      <c r="F28" s="80">
        <v>19.988</v>
      </c>
    </row>
    <row r="29" spans="1:6">
      <c r="A29" s="17" t="s">
        <v>52</v>
      </c>
      <c r="B29" s="79">
        <v>35430</v>
      </c>
      <c r="C29" s="41" t="e">
        <v>#N/A</v>
      </c>
      <c r="D29" s="41" t="e">
        <v>#N/A</v>
      </c>
      <c r="E29" s="80">
        <v>18.213000000000001</v>
      </c>
      <c r="F29" s="80">
        <v>19.559000000000001</v>
      </c>
    </row>
    <row r="30" spans="1:6">
      <c r="A30" s="17" t="s">
        <v>53</v>
      </c>
      <c r="B30" s="79">
        <v>35795</v>
      </c>
      <c r="C30" s="41" t="e">
        <v>#N/A</v>
      </c>
      <c r="D30" s="41" t="e">
        <v>#N/A</v>
      </c>
      <c r="E30" s="80">
        <v>18.616</v>
      </c>
      <c r="F30" s="80">
        <v>18.873999999999999</v>
      </c>
    </row>
    <row r="31" spans="1:6">
      <c r="A31" s="17" t="s">
        <v>54</v>
      </c>
      <c r="B31" s="79">
        <v>36160</v>
      </c>
      <c r="C31" s="41" t="e">
        <v>#N/A</v>
      </c>
      <c r="D31" s="41" t="e">
        <v>#N/A</v>
      </c>
      <c r="E31" s="80">
        <v>19.227</v>
      </c>
      <c r="F31" s="80">
        <v>18.452999999999999</v>
      </c>
    </row>
    <row r="32" spans="1:6">
      <c r="A32" s="17" t="s">
        <v>55</v>
      </c>
      <c r="B32" s="79">
        <v>36525</v>
      </c>
      <c r="C32" s="41" t="e">
        <v>#N/A</v>
      </c>
      <c r="D32" s="41" t="e">
        <v>#N/A</v>
      </c>
      <c r="E32" s="80">
        <v>19.207999999999998</v>
      </c>
      <c r="F32" s="80">
        <v>17.888000000000002</v>
      </c>
    </row>
    <row r="33" spans="1:6">
      <c r="A33" s="17" t="s">
        <v>56</v>
      </c>
      <c r="B33" s="79">
        <v>36891</v>
      </c>
      <c r="C33" s="41" t="e">
        <v>#N/A</v>
      </c>
      <c r="D33" s="41" t="e">
        <v>#N/A</v>
      </c>
      <c r="E33" s="80">
        <v>19.945</v>
      </c>
      <c r="F33" s="80">
        <v>17.617999999999999</v>
      </c>
    </row>
    <row r="34" spans="1:6">
      <c r="A34" s="17" t="s">
        <v>57</v>
      </c>
      <c r="B34" s="79">
        <v>37256</v>
      </c>
      <c r="C34" s="41" t="e">
        <v>#N/A</v>
      </c>
      <c r="D34" s="41" t="e">
        <v>#N/A</v>
      </c>
      <c r="E34" s="80">
        <v>18.84</v>
      </c>
      <c r="F34" s="80">
        <v>17.626999999999999</v>
      </c>
    </row>
    <row r="35" spans="1:6">
      <c r="A35" s="17" t="s">
        <v>58</v>
      </c>
      <c r="B35" s="79">
        <v>37621</v>
      </c>
      <c r="C35" s="41" t="e">
        <v>#N/A</v>
      </c>
      <c r="D35" s="41" t="e">
        <v>#N/A</v>
      </c>
      <c r="E35" s="80">
        <v>17.033000000000001</v>
      </c>
      <c r="F35" s="80">
        <v>18.483000000000001</v>
      </c>
    </row>
    <row r="36" spans="1:6">
      <c r="A36" s="17" t="s">
        <v>59</v>
      </c>
      <c r="B36" s="79">
        <v>37986</v>
      </c>
      <c r="C36" s="41" t="e">
        <v>#N/A</v>
      </c>
      <c r="D36" s="41" t="e">
        <v>#N/A</v>
      </c>
      <c r="E36" s="80">
        <v>15.725</v>
      </c>
      <c r="F36" s="80">
        <v>19.056999999999999</v>
      </c>
    </row>
    <row r="37" spans="1:6">
      <c r="A37" s="17" t="s">
        <v>60</v>
      </c>
      <c r="B37" s="79">
        <v>38352</v>
      </c>
      <c r="C37" s="41" t="e">
        <v>#N/A</v>
      </c>
      <c r="D37" s="41" t="e">
        <v>#N/A</v>
      </c>
      <c r="E37" s="80">
        <v>15.55</v>
      </c>
      <c r="F37" s="80">
        <v>18.963999999999999</v>
      </c>
    </row>
    <row r="38" spans="1:6">
      <c r="A38" s="17" t="s">
        <v>61</v>
      </c>
      <c r="B38" s="79">
        <v>38717</v>
      </c>
      <c r="C38" s="41" t="e">
        <v>#N/A</v>
      </c>
      <c r="D38" s="41" t="e">
        <v>#N/A</v>
      </c>
      <c r="E38" s="80">
        <v>16.707000000000001</v>
      </c>
      <c r="F38" s="80">
        <v>19.177</v>
      </c>
    </row>
    <row r="39" spans="1:6">
      <c r="A39" s="17" t="s">
        <v>62</v>
      </c>
      <c r="B39" s="79">
        <v>39082</v>
      </c>
      <c r="C39" s="41" t="e">
        <v>#N/A</v>
      </c>
      <c r="D39" s="41" t="e">
        <v>#N/A</v>
      </c>
      <c r="E39" s="80">
        <v>17.585999999999999</v>
      </c>
      <c r="F39" s="80">
        <v>19.399000000000001</v>
      </c>
    </row>
    <row r="40" spans="1:6">
      <c r="A40" s="17" t="s">
        <v>63</v>
      </c>
      <c r="B40" s="79">
        <v>39447</v>
      </c>
      <c r="C40" s="41" t="e">
        <v>#N/A</v>
      </c>
      <c r="D40" s="41" t="e">
        <v>#N/A</v>
      </c>
      <c r="E40" s="80">
        <v>17.927</v>
      </c>
      <c r="F40" s="80">
        <v>19.047999999999998</v>
      </c>
    </row>
    <row r="41" spans="1:6">
      <c r="A41" s="17" t="s">
        <v>64</v>
      </c>
      <c r="B41" s="79">
        <v>39813</v>
      </c>
      <c r="C41" s="41" t="e">
        <v>#N/A</v>
      </c>
      <c r="D41" s="41" t="e">
        <v>#N/A</v>
      </c>
      <c r="E41" s="80">
        <v>17.105</v>
      </c>
      <c r="F41" s="80">
        <v>20.212</v>
      </c>
    </row>
    <row r="42" spans="1:6">
      <c r="A42" s="17" t="s">
        <v>65</v>
      </c>
      <c r="B42" s="79">
        <v>40178</v>
      </c>
      <c r="C42" s="41" t="e">
        <v>#N/A</v>
      </c>
      <c r="D42" s="41" t="e">
        <v>#N/A</v>
      </c>
      <c r="E42" s="80">
        <v>14.603999999999999</v>
      </c>
      <c r="F42" s="80">
        <v>24.405000000000001</v>
      </c>
    </row>
    <row r="43" spans="1:6">
      <c r="A43" s="17" t="s">
        <v>66</v>
      </c>
      <c r="B43" s="79">
        <v>40543</v>
      </c>
      <c r="C43" s="41" t="e">
        <v>#N/A</v>
      </c>
      <c r="D43" s="41" t="e">
        <v>#N/A</v>
      </c>
      <c r="E43" s="80">
        <v>14.621</v>
      </c>
      <c r="F43" s="80">
        <v>23.372</v>
      </c>
    </row>
    <row r="44" spans="1:6">
      <c r="A44" s="17" t="s">
        <v>67</v>
      </c>
      <c r="B44" s="79">
        <v>40908</v>
      </c>
      <c r="C44" s="41" t="e">
        <v>#N/A</v>
      </c>
      <c r="D44" s="41" t="e">
        <v>#N/A</v>
      </c>
      <c r="E44" s="80">
        <v>14.97</v>
      </c>
      <c r="F44" s="80">
        <v>23.416</v>
      </c>
    </row>
    <row r="45" spans="1:6">
      <c r="A45" s="17" t="s">
        <v>68</v>
      </c>
      <c r="B45" s="79">
        <v>41274</v>
      </c>
      <c r="C45" s="41">
        <v>15.2</v>
      </c>
      <c r="D45" s="41">
        <v>22</v>
      </c>
      <c r="E45" s="80">
        <v>15.224</v>
      </c>
      <c r="F45" s="80">
        <v>21.978000000000002</v>
      </c>
    </row>
    <row r="46" spans="1:6">
      <c r="A46" s="17" t="s">
        <v>69</v>
      </c>
      <c r="B46" s="79">
        <v>41639</v>
      </c>
      <c r="C46" s="41">
        <v>16.7</v>
      </c>
      <c r="D46" s="41">
        <v>20.8</v>
      </c>
      <c r="E46" s="80">
        <v>16.684999999999999</v>
      </c>
      <c r="F46" s="80">
        <v>20.77</v>
      </c>
    </row>
    <row r="47" spans="1:6">
      <c r="A47" s="17" t="s">
        <v>70</v>
      </c>
      <c r="B47" s="79">
        <v>42004</v>
      </c>
      <c r="C47" s="41">
        <v>17.5</v>
      </c>
      <c r="D47" s="41">
        <v>20.399999999999999</v>
      </c>
      <c r="E47" s="80" t="e">
        <v>#N/A</v>
      </c>
      <c r="F47" s="80" t="e">
        <v>#N/A</v>
      </c>
    </row>
    <row r="48" spans="1:6">
      <c r="A48" s="17" t="s">
        <v>71</v>
      </c>
      <c r="B48" s="79">
        <v>42369</v>
      </c>
      <c r="C48" s="41">
        <v>18.3</v>
      </c>
      <c r="D48" s="41">
        <v>20.9</v>
      </c>
      <c r="E48" s="80" t="e">
        <v>#N/A</v>
      </c>
      <c r="F48" s="80" t="e">
        <v>#N/A</v>
      </c>
    </row>
    <row r="49" spans="1:6">
      <c r="A49" s="17" t="s">
        <v>72</v>
      </c>
      <c r="B49" s="79">
        <v>42735</v>
      </c>
      <c r="C49" s="41">
        <v>18.100000000000001</v>
      </c>
      <c r="D49" s="41">
        <v>21</v>
      </c>
      <c r="E49" s="80" t="e">
        <v>#N/A</v>
      </c>
      <c r="F49" s="80" t="e">
        <v>#N/A</v>
      </c>
    </row>
    <row r="50" spans="1:6">
      <c r="A50" s="17" t="s">
        <v>73</v>
      </c>
      <c r="B50" s="79">
        <v>43100</v>
      </c>
      <c r="C50" s="41">
        <v>18.100000000000001</v>
      </c>
      <c r="D50" s="41">
        <v>20.8</v>
      </c>
      <c r="E50" s="80" t="e">
        <v>#N/A</v>
      </c>
      <c r="F50" s="80" t="e">
        <v>#N/A</v>
      </c>
    </row>
    <row r="51" spans="1:6">
      <c r="A51" s="17" t="s">
        <v>74</v>
      </c>
      <c r="B51" s="79">
        <v>43465</v>
      </c>
      <c r="C51" s="41">
        <v>18</v>
      </c>
      <c r="D51" s="41">
        <v>20.7</v>
      </c>
      <c r="E51" s="80" t="e">
        <v>#N/A</v>
      </c>
      <c r="F51" s="80" t="e">
        <v>#N/A</v>
      </c>
    </row>
    <row r="52" spans="1:6">
      <c r="A52" s="17" t="s">
        <v>75</v>
      </c>
      <c r="B52" s="79">
        <v>43830</v>
      </c>
      <c r="C52" s="41">
        <v>18</v>
      </c>
      <c r="D52" s="41">
        <v>21.1</v>
      </c>
      <c r="E52" s="80" t="e">
        <v>#N/A</v>
      </c>
      <c r="F52" s="80" t="e">
        <v>#N/A</v>
      </c>
    </row>
    <row r="53" spans="1:6">
      <c r="A53" s="17" t="s">
        <v>76</v>
      </c>
      <c r="B53" s="79">
        <v>44196</v>
      </c>
      <c r="C53" s="41">
        <v>18.100000000000001</v>
      </c>
      <c r="D53" s="41">
        <v>21.3</v>
      </c>
      <c r="E53" s="80" t="e">
        <v>#N/A</v>
      </c>
      <c r="F53" s="80" t="e">
        <v>#N/A</v>
      </c>
    </row>
    <row r="54" spans="1:6">
      <c r="A54" s="17" t="s">
        <v>77</v>
      </c>
      <c r="B54" s="79">
        <v>44561</v>
      </c>
      <c r="C54" s="41">
        <v>18.100000000000001</v>
      </c>
      <c r="D54" s="41">
        <v>21.5</v>
      </c>
      <c r="E54" s="80" t="e">
        <v>#N/A</v>
      </c>
      <c r="F54" s="80" t="e">
        <v>#N/A</v>
      </c>
    </row>
    <row r="55" spans="1:6">
      <c r="A55" s="17" t="s">
        <v>78</v>
      </c>
      <c r="B55" s="79">
        <v>44926</v>
      </c>
      <c r="C55" s="41">
        <v>18.100000000000001</v>
      </c>
      <c r="D55" s="41">
        <v>21.9</v>
      </c>
      <c r="E55" s="80" t="e">
        <v>#N/A</v>
      </c>
      <c r="F55" s="80" t="e">
        <v>#N/A</v>
      </c>
    </row>
    <row r="56" spans="1:6">
      <c r="A56" s="17" t="s">
        <v>79</v>
      </c>
      <c r="B56" s="79">
        <v>45291</v>
      </c>
      <c r="C56" s="41">
        <v>18.2</v>
      </c>
      <c r="D56" s="41">
        <v>21.9</v>
      </c>
      <c r="E56" s="80" t="e">
        <v>#N/A</v>
      </c>
      <c r="F56" s="80" t="e">
        <v>#N/A</v>
      </c>
    </row>
    <row r="57" spans="1:6">
      <c r="A57" s="17" t="s">
        <v>80</v>
      </c>
      <c r="B57" s="79">
        <v>45657</v>
      </c>
      <c r="C57" s="41">
        <v>18.2</v>
      </c>
      <c r="D57" s="41">
        <v>21.8</v>
      </c>
      <c r="E57" s="80" t="e">
        <v>#N/A</v>
      </c>
      <c r="F57" s="80" t="e">
        <v>#N/A</v>
      </c>
    </row>
    <row r="58" spans="1:6">
      <c r="A58" s="17" t="s">
        <v>262</v>
      </c>
      <c r="B58" s="27" t="s">
        <v>262</v>
      </c>
      <c r="C58" t="s">
        <v>262</v>
      </c>
      <c r="D58" t="s">
        <v>262</v>
      </c>
      <c r="E58" t="s">
        <v>262</v>
      </c>
      <c r="F58" t="s">
        <v>262</v>
      </c>
    </row>
    <row r="59" spans="1:6">
      <c r="A59" s="17" t="s">
        <v>262</v>
      </c>
      <c r="B59" s="27" t="s">
        <v>262</v>
      </c>
      <c r="C59" t="s">
        <v>262</v>
      </c>
      <c r="D59" t="s">
        <v>262</v>
      </c>
      <c r="E59" t="s">
        <v>262</v>
      </c>
      <c r="F59" t="s">
        <v>262</v>
      </c>
    </row>
    <row r="60" spans="1:6">
      <c r="A60" s="17" t="s">
        <v>262</v>
      </c>
      <c r="B60" s="27" t="s">
        <v>262</v>
      </c>
      <c r="C60" t="s">
        <v>262</v>
      </c>
      <c r="D60" t="s">
        <v>262</v>
      </c>
      <c r="E60" t="s">
        <v>262</v>
      </c>
      <c r="F60" t="s">
        <v>262</v>
      </c>
    </row>
    <row r="61" spans="1:6">
      <c r="A61" s="17" t="s">
        <v>262</v>
      </c>
      <c r="B61" s="27" t="s">
        <v>262</v>
      </c>
      <c r="C61" t="s">
        <v>262</v>
      </c>
      <c r="D61" t="s">
        <v>262</v>
      </c>
      <c r="E61" t="s">
        <v>262</v>
      </c>
      <c r="F61" t="s">
        <v>262</v>
      </c>
    </row>
    <row r="62" spans="1:6">
      <c r="A62" s="17" t="s">
        <v>262</v>
      </c>
      <c r="B62" s="27" t="s">
        <v>262</v>
      </c>
      <c r="C62" t="s">
        <v>262</v>
      </c>
      <c r="D62" t="s">
        <v>262</v>
      </c>
      <c r="E62" t="s">
        <v>262</v>
      </c>
      <c r="F62" t="s">
        <v>262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topLeftCell="A37" workbookViewId="0">
      <selection activeCell="F56" sqref="F7:F56"/>
    </sheetView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444</v>
      </c>
      <c r="B3" s="19" t="s">
        <v>0</v>
      </c>
      <c r="C3" s="81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430</v>
      </c>
      <c r="D6" s="23" t="s">
        <v>210</v>
      </c>
      <c r="E6" t="s">
        <v>211</v>
      </c>
    </row>
    <row r="7" spans="1:9">
      <c r="A7" s="17" t="s">
        <v>31</v>
      </c>
      <c r="B7" s="79">
        <v>27759</v>
      </c>
      <c r="C7" s="78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F7">
        <v>0</v>
      </c>
      <c r="H7" s="20"/>
      <c r="I7" s="20"/>
    </row>
    <row r="8" spans="1:9">
      <c r="A8" s="17" t="s">
        <v>32</v>
      </c>
      <c r="B8" s="79">
        <v>28125</v>
      </c>
      <c r="C8" s="78">
        <v>-74</v>
      </c>
      <c r="D8" s="40">
        <f t="shared" si="0"/>
        <v>-74</v>
      </c>
      <c r="E8" s="40" t="e">
        <f t="shared" si="1"/>
        <v>#N/A</v>
      </c>
      <c r="F8" s="23">
        <v>0</v>
      </c>
      <c r="H8" s="20"/>
      <c r="I8" s="20"/>
    </row>
    <row r="9" spans="1:9">
      <c r="A9" s="17" t="s">
        <v>33</v>
      </c>
      <c r="B9" s="79">
        <v>28490</v>
      </c>
      <c r="C9" s="78">
        <v>-54</v>
      </c>
      <c r="D9" s="40">
        <f t="shared" si="0"/>
        <v>-54</v>
      </c>
      <c r="E9" s="40" t="e">
        <f t="shared" si="1"/>
        <v>#N/A</v>
      </c>
      <c r="F9" s="23">
        <v>0</v>
      </c>
      <c r="H9" s="20"/>
      <c r="I9" s="20"/>
    </row>
    <row r="10" spans="1:9">
      <c r="A10" s="17" t="s">
        <v>34</v>
      </c>
      <c r="B10" s="79">
        <v>28855</v>
      </c>
      <c r="C10" s="78">
        <v>-59</v>
      </c>
      <c r="D10" s="40">
        <f t="shared" si="0"/>
        <v>-59</v>
      </c>
      <c r="E10" s="40" t="e">
        <f t="shared" si="1"/>
        <v>#N/A</v>
      </c>
      <c r="F10" s="23">
        <v>0</v>
      </c>
      <c r="H10" s="20"/>
      <c r="I10" s="20"/>
    </row>
    <row r="11" spans="1:9">
      <c r="A11" s="17" t="s">
        <v>35</v>
      </c>
      <c r="B11" s="79">
        <v>29220</v>
      </c>
      <c r="C11" s="78">
        <v>-41</v>
      </c>
      <c r="D11" s="40">
        <f t="shared" si="0"/>
        <v>-41</v>
      </c>
      <c r="E11" s="40" t="e">
        <f t="shared" si="1"/>
        <v>#N/A</v>
      </c>
      <c r="F11" s="23">
        <v>0</v>
      </c>
      <c r="H11" s="20"/>
      <c r="I11" s="20"/>
    </row>
    <row r="12" spans="1:9">
      <c r="A12" s="17" t="s">
        <v>36</v>
      </c>
      <c r="B12" s="79">
        <v>29586</v>
      </c>
      <c r="C12" s="78">
        <v>-74</v>
      </c>
      <c r="D12" s="40">
        <f t="shared" si="0"/>
        <v>-74</v>
      </c>
      <c r="E12" s="40" t="e">
        <f t="shared" si="1"/>
        <v>#N/A</v>
      </c>
      <c r="F12" s="23">
        <v>0</v>
      </c>
      <c r="H12" s="20"/>
      <c r="I12" s="20"/>
    </row>
    <row r="13" spans="1:9">
      <c r="A13" s="17" t="s">
        <v>37</v>
      </c>
      <c r="B13" s="79">
        <v>29951</v>
      </c>
      <c r="C13" s="78">
        <v>-79</v>
      </c>
      <c r="D13" s="40">
        <f t="shared" si="0"/>
        <v>-79</v>
      </c>
      <c r="E13" s="40" t="e">
        <f t="shared" si="1"/>
        <v>#N/A</v>
      </c>
      <c r="F13" s="23">
        <v>0</v>
      </c>
      <c r="H13" s="20"/>
      <c r="I13" s="20"/>
    </row>
    <row r="14" spans="1:9">
      <c r="A14" s="17" t="s">
        <v>38</v>
      </c>
      <c r="B14" s="79">
        <v>30316</v>
      </c>
      <c r="C14" s="78">
        <v>-128</v>
      </c>
      <c r="D14" s="40">
        <f t="shared" si="0"/>
        <v>-128</v>
      </c>
      <c r="E14" s="40" t="e">
        <f t="shared" si="1"/>
        <v>#N/A</v>
      </c>
      <c r="F14" s="23">
        <v>0</v>
      </c>
      <c r="H14" s="20"/>
      <c r="I14" s="20"/>
    </row>
    <row r="15" spans="1:9">
      <c r="A15" s="17" t="s">
        <v>39</v>
      </c>
      <c r="B15" s="79">
        <v>30681</v>
      </c>
      <c r="C15" s="78">
        <v>-208</v>
      </c>
      <c r="D15" s="40">
        <f t="shared" si="0"/>
        <v>-208</v>
      </c>
      <c r="E15" s="40" t="e">
        <f t="shared" si="1"/>
        <v>#N/A</v>
      </c>
      <c r="F15" s="23">
        <v>0</v>
      </c>
      <c r="H15" s="20"/>
      <c r="I15" s="20"/>
    </row>
    <row r="16" spans="1:9">
      <c r="A16" s="17" t="s">
        <v>40</v>
      </c>
      <c r="B16" s="79">
        <v>31047</v>
      </c>
      <c r="C16" s="78">
        <v>-185</v>
      </c>
      <c r="D16" s="40">
        <f t="shared" si="0"/>
        <v>-185</v>
      </c>
      <c r="E16" s="40" t="e">
        <f t="shared" si="1"/>
        <v>#N/A</v>
      </c>
      <c r="F16" s="23">
        <v>0</v>
      </c>
      <c r="H16" s="20"/>
      <c r="I16" s="20"/>
    </row>
    <row r="17" spans="1:9">
      <c r="A17" s="17" t="s">
        <v>41</v>
      </c>
      <c r="B17" s="79">
        <v>31412</v>
      </c>
      <c r="C17" s="78">
        <v>-212</v>
      </c>
      <c r="D17" s="40">
        <f t="shared" si="0"/>
        <v>-212</v>
      </c>
      <c r="E17" s="40" t="e">
        <f t="shared" si="1"/>
        <v>#N/A</v>
      </c>
      <c r="F17" s="23">
        <v>0</v>
      </c>
      <c r="H17" s="20"/>
      <c r="I17" s="20"/>
    </row>
    <row r="18" spans="1:9">
      <c r="A18" s="17" t="s">
        <v>42</v>
      </c>
      <c r="B18" s="79">
        <v>31777</v>
      </c>
      <c r="C18" s="78">
        <v>-221</v>
      </c>
      <c r="D18" s="40">
        <f t="shared" si="0"/>
        <v>-221</v>
      </c>
      <c r="E18" s="40" t="e">
        <f t="shared" si="1"/>
        <v>#N/A</v>
      </c>
      <c r="F18" s="23">
        <v>0</v>
      </c>
      <c r="H18" s="20"/>
      <c r="I18" s="20"/>
    </row>
    <row r="19" spans="1:9">
      <c r="A19" s="17" t="s">
        <v>43</v>
      </c>
      <c r="B19" s="79">
        <v>32142</v>
      </c>
      <c r="C19" s="78">
        <v>-150</v>
      </c>
      <c r="D19" s="40">
        <f t="shared" si="0"/>
        <v>-150</v>
      </c>
      <c r="E19" s="40" t="e">
        <f t="shared" si="1"/>
        <v>#N/A</v>
      </c>
      <c r="F19" s="23">
        <v>0</v>
      </c>
      <c r="H19" s="20"/>
      <c r="I19" s="20"/>
    </row>
    <row r="20" spans="1:9">
      <c r="A20" s="17" t="s">
        <v>44</v>
      </c>
      <c r="B20" s="79">
        <v>32508</v>
      </c>
      <c r="C20" s="78">
        <v>-155</v>
      </c>
      <c r="D20" s="40">
        <f t="shared" si="0"/>
        <v>-155</v>
      </c>
      <c r="E20" s="40" t="e">
        <f t="shared" si="1"/>
        <v>#N/A</v>
      </c>
      <c r="F20" s="23">
        <v>0</v>
      </c>
      <c r="H20" s="20"/>
      <c r="I20" s="20"/>
    </row>
    <row r="21" spans="1:9">
      <c r="A21" s="17" t="s">
        <v>45</v>
      </c>
      <c r="B21" s="79">
        <v>32873</v>
      </c>
      <c r="C21" s="78">
        <v>-153</v>
      </c>
      <c r="D21" s="40">
        <f t="shared" si="0"/>
        <v>-153</v>
      </c>
      <c r="E21" s="40" t="e">
        <f t="shared" si="1"/>
        <v>#N/A</v>
      </c>
      <c r="F21" s="23">
        <v>0</v>
      </c>
      <c r="H21" s="20"/>
      <c r="I21" s="20"/>
    </row>
    <row r="22" spans="1:9">
      <c r="A22" s="17" t="s">
        <v>46</v>
      </c>
      <c r="B22" s="79">
        <v>33238</v>
      </c>
      <c r="C22" s="78">
        <v>-221</v>
      </c>
      <c r="D22" s="40">
        <f t="shared" si="0"/>
        <v>-221</v>
      </c>
      <c r="E22" s="40" t="e">
        <f t="shared" si="1"/>
        <v>#N/A</v>
      </c>
      <c r="F22" s="23">
        <v>0</v>
      </c>
      <c r="H22" s="20"/>
      <c r="I22" s="20"/>
    </row>
    <row r="23" spans="1:9">
      <c r="A23" s="17" t="s">
        <v>47</v>
      </c>
      <c r="B23" s="79">
        <v>33603</v>
      </c>
      <c r="C23" s="78">
        <v>-269</v>
      </c>
      <c r="D23" s="40">
        <f t="shared" si="0"/>
        <v>-269</v>
      </c>
      <c r="E23" s="40" t="e">
        <f t="shared" si="1"/>
        <v>#N/A</v>
      </c>
      <c r="F23" s="23">
        <v>0</v>
      </c>
      <c r="H23" s="20"/>
      <c r="I23" s="20"/>
    </row>
    <row r="24" spans="1:9">
      <c r="A24" s="17" t="s">
        <v>48</v>
      </c>
      <c r="B24" s="79">
        <v>33969</v>
      </c>
      <c r="C24" s="78">
        <v>-290</v>
      </c>
      <c r="D24" s="40">
        <f t="shared" si="0"/>
        <v>-290</v>
      </c>
      <c r="E24" s="40" t="e">
        <f t="shared" si="1"/>
        <v>#N/A</v>
      </c>
      <c r="F24" s="23">
        <v>0</v>
      </c>
      <c r="H24" s="20"/>
      <c r="I24" s="20"/>
    </row>
    <row r="25" spans="1:9">
      <c r="A25" s="17" t="s">
        <v>49</v>
      </c>
      <c r="B25" s="79">
        <v>34334</v>
      </c>
      <c r="C25" s="78">
        <v>-255</v>
      </c>
      <c r="D25" s="40">
        <f t="shared" si="0"/>
        <v>-255</v>
      </c>
      <c r="E25" s="40" t="e">
        <f t="shared" si="1"/>
        <v>#N/A</v>
      </c>
      <c r="F25" s="23">
        <v>0</v>
      </c>
      <c r="H25" s="20"/>
      <c r="I25" s="20"/>
    </row>
    <row r="26" spans="1:9">
      <c r="A26" s="17" t="s">
        <v>50</v>
      </c>
      <c r="B26" s="79">
        <v>34699</v>
      </c>
      <c r="C26" s="78">
        <v>-203</v>
      </c>
      <c r="D26" s="40">
        <f t="shared" si="0"/>
        <v>-203</v>
      </c>
      <c r="E26" s="40" t="e">
        <f t="shared" si="1"/>
        <v>#N/A</v>
      </c>
      <c r="F26" s="23">
        <v>0</v>
      </c>
      <c r="H26" s="20"/>
      <c r="I26" s="20"/>
    </row>
    <row r="27" spans="1:9">
      <c r="A27" s="17" t="s">
        <v>51</v>
      </c>
      <c r="B27" s="79">
        <v>35064</v>
      </c>
      <c r="C27" s="78">
        <v>-164</v>
      </c>
      <c r="D27" s="40">
        <f t="shared" si="0"/>
        <v>-164</v>
      </c>
      <c r="E27" s="40" t="e">
        <f t="shared" si="1"/>
        <v>#N/A</v>
      </c>
      <c r="F27" s="23">
        <v>0</v>
      </c>
      <c r="H27" s="20"/>
      <c r="I27" s="20"/>
    </row>
    <row r="28" spans="1:9">
      <c r="A28" s="17" t="s">
        <v>52</v>
      </c>
      <c r="B28" s="79">
        <v>35430</v>
      </c>
      <c r="C28" s="78">
        <v>-107</v>
      </c>
      <c r="D28" s="40">
        <f t="shared" si="0"/>
        <v>-107</v>
      </c>
      <c r="E28" s="40" t="e">
        <f t="shared" si="1"/>
        <v>#N/A</v>
      </c>
      <c r="F28" s="23">
        <v>0</v>
      </c>
      <c r="H28" s="20"/>
      <c r="I28" s="20"/>
    </row>
    <row r="29" spans="1:9">
      <c r="A29" s="17" t="s">
        <v>53</v>
      </c>
      <c r="B29" s="79">
        <v>35795</v>
      </c>
      <c r="C29" s="78">
        <v>-22</v>
      </c>
      <c r="D29" s="40">
        <f t="shared" si="0"/>
        <v>-22</v>
      </c>
      <c r="E29" s="40" t="e">
        <f t="shared" si="1"/>
        <v>#N/A</v>
      </c>
      <c r="F29" s="23">
        <v>0</v>
      </c>
      <c r="H29" s="20"/>
      <c r="I29" s="20"/>
    </row>
    <row r="30" spans="1:9">
      <c r="A30" s="17" t="s">
        <v>54</v>
      </c>
      <c r="B30" s="79">
        <v>36160</v>
      </c>
      <c r="C30" s="78">
        <v>69</v>
      </c>
      <c r="D30" s="40">
        <f t="shared" si="0"/>
        <v>69</v>
      </c>
      <c r="E30" s="40" t="e">
        <f t="shared" si="1"/>
        <v>#N/A</v>
      </c>
      <c r="F30" s="23">
        <v>0</v>
      </c>
      <c r="H30" s="20"/>
      <c r="I30" s="20"/>
    </row>
    <row r="31" spans="1:9">
      <c r="A31" s="17" t="s">
        <v>55</v>
      </c>
      <c r="B31" s="79">
        <v>36525</v>
      </c>
      <c r="C31" s="78">
        <v>126</v>
      </c>
      <c r="D31" s="40">
        <f t="shared" si="0"/>
        <v>126</v>
      </c>
      <c r="E31" s="40" t="e">
        <f t="shared" si="1"/>
        <v>#N/A</v>
      </c>
      <c r="F31" s="23">
        <v>0</v>
      </c>
      <c r="H31" s="20"/>
      <c r="I31" s="20"/>
    </row>
    <row r="32" spans="1:9">
      <c r="A32" s="17" t="s">
        <v>56</v>
      </c>
      <c r="B32" s="79">
        <v>36891</v>
      </c>
      <c r="C32" s="78">
        <v>236</v>
      </c>
      <c r="D32" s="40">
        <f t="shared" si="0"/>
        <v>236</v>
      </c>
      <c r="E32" s="40" t="e">
        <f t="shared" si="1"/>
        <v>#N/A</v>
      </c>
      <c r="F32" s="23">
        <v>0</v>
      </c>
      <c r="H32" s="20"/>
      <c r="I32" s="20"/>
    </row>
    <row r="33" spans="1:9">
      <c r="A33" s="17" t="s">
        <v>57</v>
      </c>
      <c r="B33" s="79">
        <v>37256</v>
      </c>
      <c r="C33" s="78">
        <v>128</v>
      </c>
      <c r="D33" s="40">
        <f t="shared" si="0"/>
        <v>128</v>
      </c>
      <c r="E33" s="40" t="e">
        <f t="shared" si="1"/>
        <v>#N/A</v>
      </c>
      <c r="F33" s="23">
        <v>0</v>
      </c>
      <c r="H33" s="20"/>
      <c r="I33" s="20"/>
    </row>
    <row r="34" spans="1:9">
      <c r="A34" s="17" t="s">
        <v>58</v>
      </c>
      <c r="B34" s="79">
        <v>37621</v>
      </c>
      <c r="C34" s="78">
        <v>-158</v>
      </c>
      <c r="D34" s="40">
        <f t="shared" si="0"/>
        <v>-158</v>
      </c>
      <c r="E34" s="40" t="e">
        <f t="shared" si="1"/>
        <v>#N/A</v>
      </c>
      <c r="F34" s="23">
        <v>0</v>
      </c>
      <c r="H34" s="20"/>
      <c r="I34" s="20"/>
    </row>
    <row r="35" spans="1:9">
      <c r="A35" s="17" t="s">
        <v>59</v>
      </c>
      <c r="B35" s="79">
        <v>37986</v>
      </c>
      <c r="C35" s="78">
        <v>-378</v>
      </c>
      <c r="D35" s="40">
        <f t="shared" si="0"/>
        <v>-378</v>
      </c>
      <c r="E35" s="40" t="e">
        <f t="shared" si="1"/>
        <v>#N/A</v>
      </c>
      <c r="F35" s="23">
        <v>0</v>
      </c>
      <c r="H35" s="20"/>
      <c r="I35" s="20"/>
    </row>
    <row r="36" spans="1:9">
      <c r="A36" s="17" t="s">
        <v>60</v>
      </c>
      <c r="B36" s="79">
        <v>38352</v>
      </c>
      <c r="C36" s="78">
        <v>-413</v>
      </c>
      <c r="D36" s="40">
        <f t="shared" si="0"/>
        <v>-413</v>
      </c>
      <c r="E36" s="40" t="e">
        <f t="shared" si="1"/>
        <v>#N/A</v>
      </c>
      <c r="F36" s="23">
        <v>0</v>
      </c>
      <c r="H36" s="20"/>
      <c r="I36" s="20"/>
    </row>
    <row r="37" spans="1:9">
      <c r="A37" s="17" t="s">
        <v>61</v>
      </c>
      <c r="B37" s="79">
        <v>38717</v>
      </c>
      <c r="C37" s="78">
        <v>-318</v>
      </c>
      <c r="D37" s="40">
        <f t="shared" si="0"/>
        <v>-318</v>
      </c>
      <c r="E37" s="40" t="e">
        <f t="shared" si="1"/>
        <v>#N/A</v>
      </c>
      <c r="F37" s="23">
        <v>0</v>
      </c>
      <c r="H37" s="20"/>
      <c r="I37" s="20"/>
    </row>
    <row r="38" spans="1:9">
      <c r="A38" s="17" t="s">
        <v>62</v>
      </c>
      <c r="B38" s="79">
        <v>39082</v>
      </c>
      <c r="C38" s="78">
        <v>-248</v>
      </c>
      <c r="D38" s="40">
        <f t="shared" si="0"/>
        <v>-248</v>
      </c>
      <c r="E38" s="40" t="e">
        <f t="shared" si="1"/>
        <v>#N/A</v>
      </c>
      <c r="F38" s="23">
        <v>0</v>
      </c>
      <c r="H38" s="20"/>
      <c r="I38" s="20"/>
    </row>
    <row r="39" spans="1:9">
      <c r="A39" s="17" t="s">
        <v>63</v>
      </c>
      <c r="B39" s="79">
        <v>39447</v>
      </c>
      <c r="C39" s="78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F39" s="23">
        <v>0</v>
      </c>
      <c r="H39" s="20"/>
      <c r="I39" s="20"/>
    </row>
    <row r="40" spans="1:9">
      <c r="A40" s="17" t="s">
        <v>64</v>
      </c>
      <c r="B40" s="79">
        <v>39813</v>
      </c>
      <c r="C40" s="78">
        <v>-459</v>
      </c>
      <c r="D40" s="40">
        <f t="shared" si="2"/>
        <v>-459</v>
      </c>
      <c r="E40" s="40" t="e">
        <f t="shared" si="3"/>
        <v>#N/A</v>
      </c>
      <c r="F40" s="23">
        <v>0</v>
      </c>
      <c r="H40" s="20"/>
      <c r="I40" s="20"/>
    </row>
    <row r="41" spans="1:9">
      <c r="A41" s="17" t="s">
        <v>65</v>
      </c>
      <c r="B41" s="79">
        <v>40178</v>
      </c>
      <c r="C41" s="78">
        <v>-1413</v>
      </c>
      <c r="D41" s="40">
        <f t="shared" si="2"/>
        <v>-1413</v>
      </c>
      <c r="E41" s="40" t="e">
        <f t="shared" si="3"/>
        <v>#N/A</v>
      </c>
      <c r="F41" s="23">
        <v>0</v>
      </c>
      <c r="H41" s="20"/>
      <c r="I41" s="20"/>
    </row>
    <row r="42" spans="1:9">
      <c r="A42" s="17" t="s">
        <v>66</v>
      </c>
      <c r="B42" s="79">
        <v>40543</v>
      </c>
      <c r="C42" s="78">
        <v>-1294</v>
      </c>
      <c r="D42" s="40">
        <f t="shared" si="2"/>
        <v>-1294</v>
      </c>
      <c r="E42" s="40" t="e">
        <f t="shared" si="3"/>
        <v>#N/A</v>
      </c>
      <c r="F42" s="23">
        <v>0</v>
      </c>
      <c r="H42" s="20"/>
      <c r="I42" s="20"/>
    </row>
    <row r="43" spans="1:9">
      <c r="A43" s="17" t="s">
        <v>67</v>
      </c>
      <c r="B43" s="79">
        <v>40908</v>
      </c>
      <c r="C43" s="78">
        <v>-1300</v>
      </c>
      <c r="D43" s="40">
        <f t="shared" si="2"/>
        <v>-1300</v>
      </c>
      <c r="E43" s="40" t="e">
        <f t="shared" si="3"/>
        <v>#N/A</v>
      </c>
      <c r="F43" s="23">
        <v>0</v>
      </c>
      <c r="H43" s="20"/>
      <c r="I43" s="20"/>
    </row>
    <row r="44" spans="1:9">
      <c r="A44" s="17" t="s">
        <v>68</v>
      </c>
      <c r="B44" s="79">
        <v>41274</v>
      </c>
      <c r="C44" s="78">
        <v>-1087</v>
      </c>
      <c r="D44" s="40">
        <f t="shared" si="2"/>
        <v>-1087</v>
      </c>
      <c r="E44" s="40" t="e">
        <f t="shared" si="3"/>
        <v>#N/A</v>
      </c>
      <c r="F44" s="23">
        <v>0</v>
      </c>
      <c r="H44" s="20"/>
      <c r="I44" s="20"/>
    </row>
    <row r="45" spans="1:9">
      <c r="A45" s="17" t="s">
        <v>69</v>
      </c>
      <c r="B45" s="79">
        <v>41639</v>
      </c>
      <c r="C45" s="78">
        <v>-680</v>
      </c>
      <c r="D45" s="40">
        <f t="shared" si="2"/>
        <v>-680</v>
      </c>
      <c r="E45" s="40" t="e">
        <f t="shared" si="3"/>
        <v>#N/A</v>
      </c>
      <c r="F45" s="23">
        <v>0</v>
      </c>
      <c r="H45" s="20"/>
      <c r="I45" s="20"/>
    </row>
    <row r="46" spans="1:9">
      <c r="A46" s="17" t="s">
        <v>70</v>
      </c>
      <c r="B46" s="79">
        <v>42004</v>
      </c>
      <c r="C46" s="78">
        <v>-506</v>
      </c>
      <c r="D46" s="40">
        <f t="shared" si="2"/>
        <v>-506</v>
      </c>
      <c r="E46" s="40">
        <f t="shared" si="3"/>
        <v>-506</v>
      </c>
      <c r="F46" s="23">
        <v>0</v>
      </c>
      <c r="H46" s="20"/>
      <c r="I46" s="20"/>
    </row>
    <row r="47" spans="1:9">
      <c r="A47" s="17" t="s">
        <v>71</v>
      </c>
      <c r="B47" s="79">
        <v>42369</v>
      </c>
      <c r="C47" s="78">
        <v>-469</v>
      </c>
      <c r="D47" s="40" t="e">
        <f t="shared" si="2"/>
        <v>#N/A</v>
      </c>
      <c r="E47" s="40">
        <f t="shared" si="3"/>
        <v>-469</v>
      </c>
      <c r="F47" s="23">
        <v>0</v>
      </c>
      <c r="H47" s="20"/>
      <c r="I47" s="20"/>
    </row>
    <row r="48" spans="1:9">
      <c r="A48" s="17" t="s">
        <v>72</v>
      </c>
      <c r="B48" s="79">
        <v>42735</v>
      </c>
      <c r="C48" s="78">
        <v>-556</v>
      </c>
      <c r="D48" s="40" t="e">
        <f t="shared" si="2"/>
        <v>#N/A</v>
      </c>
      <c r="E48" s="40">
        <f t="shared" si="3"/>
        <v>-556</v>
      </c>
      <c r="F48" s="23">
        <v>0</v>
      </c>
      <c r="H48" s="20"/>
      <c r="I48" s="20"/>
    </row>
    <row r="49" spans="1:9">
      <c r="A49" s="17" t="s">
        <v>73</v>
      </c>
      <c r="B49" s="79">
        <v>43100</v>
      </c>
      <c r="C49" s="78">
        <v>-530</v>
      </c>
      <c r="D49" s="40" t="e">
        <f t="shared" si="2"/>
        <v>#N/A</v>
      </c>
      <c r="E49" s="40">
        <f t="shared" si="3"/>
        <v>-530</v>
      </c>
      <c r="F49" s="23">
        <v>0</v>
      </c>
      <c r="H49" s="20"/>
      <c r="I49" s="20"/>
    </row>
    <row r="50" spans="1:9">
      <c r="A50" s="17" t="s">
        <v>74</v>
      </c>
      <c r="B50" s="79">
        <v>43465</v>
      </c>
      <c r="C50" s="78">
        <v>-560</v>
      </c>
      <c r="D50" s="40" t="e">
        <f t="shared" si="2"/>
        <v>#N/A</v>
      </c>
      <c r="E50" s="40">
        <f t="shared" si="3"/>
        <v>-560</v>
      </c>
      <c r="F50" s="23">
        <v>0</v>
      </c>
      <c r="H50" s="20"/>
      <c r="I50" s="20"/>
    </row>
    <row r="51" spans="1:9">
      <c r="A51" s="17" t="s">
        <v>75</v>
      </c>
      <c r="B51" s="79">
        <v>43830</v>
      </c>
      <c r="C51" s="78">
        <v>-661</v>
      </c>
      <c r="D51" s="40" t="e">
        <f t="shared" si="2"/>
        <v>#N/A</v>
      </c>
      <c r="E51" s="40">
        <f t="shared" si="3"/>
        <v>-661</v>
      </c>
      <c r="F51" s="23">
        <v>0</v>
      </c>
      <c r="H51" s="20"/>
      <c r="I51" s="20"/>
    </row>
    <row r="52" spans="1:9">
      <c r="A52" s="17" t="s">
        <v>76</v>
      </c>
      <c r="B52" s="79">
        <v>44196</v>
      </c>
      <c r="C52" s="78">
        <v>-737</v>
      </c>
      <c r="D52" s="40" t="e">
        <f t="shared" si="2"/>
        <v>#N/A</v>
      </c>
      <c r="E52" s="40">
        <f t="shared" si="3"/>
        <v>-737</v>
      </c>
      <c r="F52" s="23">
        <v>0</v>
      </c>
      <c r="H52" s="20"/>
      <c r="I52" s="20"/>
    </row>
    <row r="53" spans="1:9">
      <c r="A53" s="17" t="s">
        <v>77</v>
      </c>
      <c r="B53" s="79">
        <v>44561</v>
      </c>
      <c r="C53" s="78">
        <v>-820</v>
      </c>
      <c r="D53" s="40" t="e">
        <f t="shared" si="2"/>
        <v>#N/A</v>
      </c>
      <c r="E53" s="40">
        <f t="shared" si="3"/>
        <v>-820</v>
      </c>
      <c r="F53" s="23">
        <v>0</v>
      </c>
      <c r="H53" s="20"/>
      <c r="I53" s="20"/>
    </row>
    <row r="54" spans="1:9">
      <c r="A54" s="17" t="s">
        <v>78</v>
      </c>
      <c r="B54" s="79">
        <v>44926</v>
      </c>
      <c r="C54" s="78">
        <v>-946</v>
      </c>
      <c r="D54" s="40" t="e">
        <f t="shared" si="2"/>
        <v>#N/A</v>
      </c>
      <c r="E54" s="40">
        <f t="shared" si="3"/>
        <v>-946</v>
      </c>
      <c r="F54" s="23">
        <v>0</v>
      </c>
      <c r="H54" s="20"/>
      <c r="I54" s="20"/>
    </row>
    <row r="55" spans="1:9">
      <c r="A55" s="17" t="s">
        <v>79</v>
      </c>
      <c r="B55" s="79">
        <v>45291</v>
      </c>
      <c r="C55" s="78">
        <v>-957</v>
      </c>
      <c r="D55" s="40" t="e">
        <f t="shared" si="2"/>
        <v>#N/A</v>
      </c>
      <c r="E55" s="40">
        <f t="shared" si="3"/>
        <v>-957</v>
      </c>
      <c r="F55" s="23">
        <v>0</v>
      </c>
      <c r="H55" s="20"/>
      <c r="I55" s="20"/>
    </row>
    <row r="56" spans="1:9">
      <c r="A56" s="17" t="s">
        <v>80</v>
      </c>
      <c r="B56" s="79">
        <v>45657</v>
      </c>
      <c r="C56" s="78">
        <v>-960</v>
      </c>
      <c r="D56" s="40" t="e">
        <f t="shared" si="2"/>
        <v>#N/A</v>
      </c>
      <c r="E56" s="40">
        <f t="shared" si="3"/>
        <v>-960</v>
      </c>
      <c r="F56" s="23">
        <v>0</v>
      </c>
      <c r="H56" s="20"/>
      <c r="I56" s="20"/>
    </row>
    <row r="57" spans="1:9">
      <c r="B57" s="79"/>
      <c r="C57" s="78"/>
      <c r="D57" s="40"/>
      <c r="E57" s="40"/>
      <c r="H57" s="20"/>
      <c r="I57" s="20"/>
    </row>
    <row r="58" spans="1:9">
      <c r="A58" s="17" t="s">
        <v>262</v>
      </c>
      <c r="B58" s="79" t="s">
        <v>262</v>
      </c>
      <c r="C58" s="78" t="s">
        <v>262</v>
      </c>
      <c r="D58" s="40"/>
      <c r="E58" s="40"/>
      <c r="H58" s="20"/>
      <c r="I58" s="20"/>
    </row>
    <row r="59" spans="1:9">
      <c r="A59" s="17" t="s">
        <v>262</v>
      </c>
      <c r="B59" s="79" t="s">
        <v>262</v>
      </c>
      <c r="C59" s="78" t="s">
        <v>262</v>
      </c>
      <c r="D59" s="40"/>
      <c r="E59" s="40"/>
      <c r="H59" s="20"/>
      <c r="I59" s="20"/>
    </row>
    <row r="60" spans="1:9">
      <c r="A60" s="17" t="s">
        <v>262</v>
      </c>
      <c r="B60" s="79" t="s">
        <v>262</v>
      </c>
      <c r="C60" s="78" t="s">
        <v>262</v>
      </c>
      <c r="D60" s="40"/>
      <c r="E60" s="40"/>
      <c r="H60" s="20"/>
      <c r="I60" s="20"/>
    </row>
    <row r="61" spans="1:9">
      <c r="A61" s="17" t="s">
        <v>262</v>
      </c>
      <c r="B61" s="79" t="s">
        <v>262</v>
      </c>
      <c r="C61" s="78" t="s">
        <v>262</v>
      </c>
      <c r="D61" s="40"/>
      <c r="E61" s="40"/>
      <c r="H61" s="20"/>
      <c r="I61" s="20"/>
    </row>
    <row r="62" spans="1:9">
      <c r="B62" s="79"/>
      <c r="C62" s="78"/>
      <c r="D62" s="40"/>
      <c r="E62" s="40"/>
      <c r="H62" s="20"/>
      <c r="I62" s="20"/>
    </row>
    <row r="63" spans="1:9">
      <c r="B63" s="79"/>
      <c r="C63" s="78"/>
      <c r="D63" s="40"/>
      <c r="E63" s="40"/>
      <c r="H63" s="20"/>
      <c r="I63" s="20"/>
    </row>
    <row r="64" spans="1:9">
      <c r="B64" s="79"/>
      <c r="C64" s="78"/>
      <c r="D64" s="40"/>
      <c r="E64" s="40"/>
      <c r="H64" s="20"/>
      <c r="I64" s="20"/>
    </row>
    <row r="65" spans="1:9">
      <c r="B65" s="79"/>
      <c r="C65" s="78"/>
      <c r="D65" s="40"/>
      <c r="E65" s="40"/>
      <c r="H65" s="20"/>
      <c r="I65" s="20"/>
    </row>
    <row r="66" spans="1:9">
      <c r="B66" s="79"/>
      <c r="C66" s="78"/>
      <c r="D66" s="40"/>
      <c r="E66" s="40"/>
      <c r="I66" s="20"/>
    </row>
    <row r="67" spans="1:9">
      <c r="B67" s="79"/>
      <c r="C67" s="78"/>
      <c r="D67" s="40"/>
      <c r="E67" s="40"/>
      <c r="I67" s="20"/>
    </row>
    <row r="68" spans="1:9">
      <c r="B68" s="79"/>
      <c r="C68" s="78"/>
      <c r="D68" s="40"/>
      <c r="E68" s="40"/>
      <c r="I68" s="20"/>
    </row>
    <row r="69" spans="1:9">
      <c r="B69" s="79"/>
      <c r="C69" s="78"/>
      <c r="D69" s="40"/>
      <c r="E69" s="40"/>
      <c r="I69" s="20"/>
    </row>
    <row r="70" spans="1:9">
      <c r="B70" s="79"/>
      <c r="C70" s="78"/>
      <c r="D70" s="40"/>
      <c r="E70" s="40"/>
      <c r="I70" s="20"/>
    </row>
    <row r="71" spans="1:9">
      <c r="B71" s="79"/>
      <c r="C71" s="78"/>
      <c r="D71" s="40"/>
      <c r="E71" s="40"/>
      <c r="I71" s="20"/>
    </row>
    <row r="72" spans="1:9">
      <c r="A72" s="17" t="s">
        <v>262</v>
      </c>
      <c r="B72" s="27" t="s">
        <v>262</v>
      </c>
      <c r="C72" t="s">
        <v>262</v>
      </c>
    </row>
    <row r="73" spans="1:9">
      <c r="A73" s="17" t="s">
        <v>262</v>
      </c>
      <c r="B73" s="27" t="s">
        <v>262</v>
      </c>
      <c r="C73" t="s">
        <v>262</v>
      </c>
    </row>
    <row r="74" spans="1:9">
      <c r="A74" s="17" t="s">
        <v>262</v>
      </c>
      <c r="B74" s="27" t="s">
        <v>262</v>
      </c>
      <c r="C74" t="s">
        <v>262</v>
      </c>
    </row>
    <row r="75" spans="1:9">
      <c r="A75" s="17" t="s">
        <v>262</v>
      </c>
      <c r="B75" s="27" t="s">
        <v>262</v>
      </c>
      <c r="C75" t="s">
        <v>262</v>
      </c>
    </row>
    <row r="76" spans="1:9">
      <c r="A76" s="17" t="s">
        <v>262</v>
      </c>
      <c r="B76" s="27" t="s">
        <v>262</v>
      </c>
      <c r="C76" t="s">
        <v>262</v>
      </c>
    </row>
  </sheetData>
  <hyperlinks>
    <hyperlink ref="C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B6" sqref="B6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444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435</v>
      </c>
      <c r="D5" t="s">
        <v>212</v>
      </c>
      <c r="E5" t="s">
        <v>213</v>
      </c>
    </row>
    <row r="6" spans="1:5">
      <c r="A6" s="23" t="s">
        <v>31</v>
      </c>
      <c r="B6" s="79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79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79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79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79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79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79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79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79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79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79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79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79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79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79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79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79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79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79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79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79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79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79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79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79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79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79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79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79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79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79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79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79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79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79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79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79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79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79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79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79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79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79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79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79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79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79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79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79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79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262</v>
      </c>
      <c r="B56" s="79" t="s">
        <v>262</v>
      </c>
      <c r="C56" s="26" t="s">
        <v>262</v>
      </c>
      <c r="D56" s="38"/>
      <c r="E56" s="40"/>
    </row>
    <row r="57" spans="1:5">
      <c r="A57" s="23" t="s">
        <v>262</v>
      </c>
      <c r="B57" s="79" t="s">
        <v>262</v>
      </c>
      <c r="C57" s="26" t="s">
        <v>262</v>
      </c>
      <c r="D57" s="38"/>
      <c r="E57" s="40"/>
    </row>
    <row r="58" spans="1:5">
      <c r="A58" s="23" t="s">
        <v>262</v>
      </c>
      <c r="B58" s="79" t="s">
        <v>262</v>
      </c>
      <c r="C58" s="26" t="s">
        <v>262</v>
      </c>
      <c r="D58" s="38"/>
      <c r="E58" s="40"/>
    </row>
    <row r="59" spans="1:5">
      <c r="A59" s="23" t="s">
        <v>262</v>
      </c>
      <c r="B59" s="79" t="s">
        <v>262</v>
      </c>
      <c r="C59" s="26" t="s">
        <v>262</v>
      </c>
      <c r="D59" s="38"/>
      <c r="E59" s="40"/>
    </row>
    <row r="60" spans="1:5">
      <c r="A60" s="23" t="s">
        <v>262</v>
      </c>
      <c r="B60" s="79" t="s">
        <v>262</v>
      </c>
      <c r="C60" s="26" t="s">
        <v>262</v>
      </c>
      <c r="D60" s="38"/>
      <c r="E60" s="40"/>
    </row>
    <row r="61" spans="1:5">
      <c r="B61" s="79"/>
      <c r="C61" s="26"/>
      <c r="D61" s="38"/>
      <c r="E61" s="40"/>
    </row>
    <row r="62" spans="1:5">
      <c r="B62" s="79"/>
      <c r="C62" s="26"/>
      <c r="D62" s="38"/>
      <c r="E62" s="40"/>
    </row>
    <row r="63" spans="1:5">
      <c r="B63" s="79"/>
      <c r="C63" s="26"/>
      <c r="D63" s="38"/>
      <c r="E63" s="40"/>
    </row>
    <row r="64" spans="1:5">
      <c r="B64" s="79"/>
      <c r="C64" s="26"/>
      <c r="D64" s="38"/>
      <c r="E64" s="40"/>
    </row>
    <row r="65" spans="2:5">
      <c r="B65" s="79"/>
      <c r="C65" s="26"/>
      <c r="D65" s="38"/>
      <c r="E65" s="40"/>
    </row>
    <row r="66" spans="2:5">
      <c r="B66" s="79"/>
      <c r="C66" s="26"/>
      <c r="D66" s="38"/>
      <c r="E66" s="40"/>
    </row>
    <row r="67" spans="2:5">
      <c r="B67" s="79"/>
      <c r="C67" s="26"/>
      <c r="D67" s="38"/>
      <c r="E67" s="40"/>
    </row>
    <row r="68" spans="2:5">
      <c r="B68" s="79"/>
      <c r="C68" s="26"/>
      <c r="D68" s="38"/>
      <c r="E68" s="40"/>
    </row>
    <row r="69" spans="2:5">
      <c r="B69" s="79"/>
      <c r="C69" s="26"/>
      <c r="D69" s="38"/>
      <c r="E69" s="40"/>
    </row>
    <row r="70" spans="2:5">
      <c r="B70" s="79"/>
      <c r="C70" s="26"/>
      <c r="D70" s="38"/>
      <c r="E70" s="40"/>
    </row>
    <row r="71" spans="2:5">
      <c r="B71" s="79"/>
      <c r="C71" s="26"/>
      <c r="D71" s="38"/>
      <c r="E71" s="40"/>
    </row>
    <row r="72" spans="2:5">
      <c r="B72" s="79"/>
      <c r="C72" s="26"/>
      <c r="D72" s="38"/>
      <c r="E72" s="40"/>
    </row>
    <row r="73" spans="2:5">
      <c r="B73" s="79"/>
      <c r="C73" s="26"/>
      <c r="D73" s="38"/>
      <c r="E73" s="40"/>
    </row>
    <row r="74" spans="2:5">
      <c r="B74" s="79"/>
      <c r="C74" s="26"/>
      <c r="D74" s="38"/>
      <c r="E74" s="40"/>
    </row>
    <row r="75" spans="2:5">
      <c r="B75" s="79"/>
      <c r="C75" s="26"/>
      <c r="D75" s="38"/>
      <c r="E75" s="40"/>
    </row>
    <row r="76" spans="2:5">
      <c r="B76" s="79"/>
      <c r="C76" s="26"/>
      <c r="D76" s="38"/>
      <c r="E76" s="40"/>
    </row>
    <row r="77" spans="2:5">
      <c r="B77" s="79"/>
      <c r="C77" s="26"/>
      <c r="D77" s="38"/>
      <c r="E77" s="40"/>
    </row>
    <row r="78" spans="2:5">
      <c r="B78" s="79"/>
      <c r="C78" s="26"/>
      <c r="D78" s="38"/>
      <c r="E78" s="40"/>
    </row>
    <row r="79" spans="2:5">
      <c r="B79" s="79"/>
      <c r="C79" s="26"/>
      <c r="D79" s="38"/>
      <c r="E79" s="40"/>
    </row>
    <row r="80" spans="2:5">
      <c r="B80" s="79"/>
      <c r="C80" s="26"/>
      <c r="D80" s="38"/>
      <c r="E80" s="40"/>
    </row>
    <row r="81" spans="2:5">
      <c r="B81" s="79"/>
      <c r="C81" s="26"/>
      <c r="D81" s="38"/>
      <c r="E81" s="40"/>
    </row>
    <row r="82" spans="2:5">
      <c r="B82" s="79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3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429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4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441</v>
      </c>
      <c r="D3" s="6" t="s">
        <v>442</v>
      </c>
      <c r="E3" s="6" t="s">
        <v>442</v>
      </c>
      <c r="F3" s="6" t="s">
        <v>442</v>
      </c>
      <c r="G3" s="105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5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5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5"/>
      <c r="H6" s="6" t="s">
        <v>443</v>
      </c>
      <c r="I6" s="7" t="s">
        <v>29</v>
      </c>
    </row>
    <row r="7" spans="1:10">
      <c r="A7" s="2" t="s">
        <v>30</v>
      </c>
      <c r="B7" s="82">
        <v>27394</v>
      </c>
      <c r="C7" s="83" t="e">
        <v>#N/A</v>
      </c>
      <c r="D7" s="84" t="e">
        <v>#N/A</v>
      </c>
      <c r="E7" s="84" t="e">
        <v>#N/A</v>
      </c>
      <c r="F7" s="84" t="e">
        <v>#N/A</v>
      </c>
      <c r="G7" s="106">
        <v>0.99515542995559136</v>
      </c>
      <c r="H7" s="85">
        <v>3.7</v>
      </c>
      <c r="I7" s="85">
        <v>1.4430000000000001</v>
      </c>
      <c r="J7" s="108">
        <v>11.985844570044407</v>
      </c>
    </row>
    <row r="8" spans="1:10">
      <c r="A8" s="2" t="s">
        <v>31</v>
      </c>
      <c r="B8" s="82">
        <v>27759</v>
      </c>
      <c r="C8" s="83" t="e">
        <v>#N/A</v>
      </c>
      <c r="D8" s="84" t="e">
        <v>#N/A</v>
      </c>
      <c r="E8" s="84" t="e">
        <v>#N/A</v>
      </c>
      <c r="F8" s="84" t="e">
        <v>#N/A</v>
      </c>
      <c r="G8" s="106">
        <v>1.1830373773748915</v>
      </c>
      <c r="H8" s="85">
        <v>3.9460000000000002</v>
      </c>
      <c r="I8" s="85">
        <v>1.4430000000000001</v>
      </c>
      <c r="J8" s="108">
        <v>14.061962622625108</v>
      </c>
    </row>
    <row r="9" spans="1:10">
      <c r="A9" s="2" t="s">
        <v>32</v>
      </c>
      <c r="B9" s="82">
        <v>28125</v>
      </c>
      <c r="C9" s="83" t="e">
        <v>#N/A</v>
      </c>
      <c r="D9" s="84" t="e">
        <v>#N/A</v>
      </c>
      <c r="E9" s="84" t="e">
        <v>#N/A</v>
      </c>
      <c r="F9" s="84" t="e">
        <v>#N/A</v>
      </c>
      <c r="G9" s="106">
        <v>1.3162782254122969</v>
      </c>
      <c r="H9" s="85">
        <v>4.0609999999999999</v>
      </c>
      <c r="I9" s="85">
        <v>1.4930000000000001</v>
      </c>
      <c r="J9" s="108">
        <v>13.896721774587704</v>
      </c>
    </row>
    <row r="10" spans="1:10">
      <c r="A10" s="2" t="s">
        <v>33</v>
      </c>
      <c r="B10" s="82">
        <v>28490</v>
      </c>
      <c r="C10" s="83" t="e">
        <v>#N/A</v>
      </c>
      <c r="D10" s="84" t="e">
        <v>#N/A</v>
      </c>
      <c r="E10" s="84" t="e">
        <v>#N/A</v>
      </c>
      <c r="F10" s="84" t="e">
        <v>#N/A</v>
      </c>
      <c r="G10" s="106">
        <v>1.4026992050286557</v>
      </c>
      <c r="H10" s="85">
        <v>4.1260000000000003</v>
      </c>
      <c r="I10" s="85">
        <v>1.474</v>
      </c>
      <c r="J10" s="108">
        <v>13.172300794971344</v>
      </c>
    </row>
    <row r="11" spans="1:10">
      <c r="A11" s="2" t="s">
        <v>34</v>
      </c>
      <c r="B11" s="82">
        <v>28855</v>
      </c>
      <c r="C11" s="83" t="e">
        <v>#N/A</v>
      </c>
      <c r="D11" s="84" t="e">
        <v>#N/A</v>
      </c>
      <c r="E11" s="84" t="e">
        <v>#N/A</v>
      </c>
      <c r="F11" s="84" t="e">
        <v>#N/A</v>
      </c>
      <c r="G11" s="106">
        <v>1.4270759033897003</v>
      </c>
      <c r="H11" s="85">
        <v>4.0579999999999998</v>
      </c>
      <c r="I11" s="85">
        <v>1.556</v>
      </c>
      <c r="J11" s="108">
        <v>13.094924096610299</v>
      </c>
    </row>
    <row r="12" spans="1:10">
      <c r="A12" s="2" t="s">
        <v>35</v>
      </c>
      <c r="B12" s="82">
        <v>29220</v>
      </c>
      <c r="C12" s="83" t="e">
        <v>#N/A</v>
      </c>
      <c r="D12" s="84" t="e">
        <v>#N/A</v>
      </c>
      <c r="E12" s="84" t="e">
        <v>#N/A</v>
      </c>
      <c r="F12" s="84" t="e">
        <v>#N/A</v>
      </c>
      <c r="G12" s="106">
        <v>1.4752385677182129</v>
      </c>
      <c r="H12" s="85">
        <v>3.992</v>
      </c>
      <c r="I12" s="85">
        <v>1.659</v>
      </c>
      <c r="J12" s="108">
        <v>12.485761432281786</v>
      </c>
    </row>
    <row r="13" spans="1:10">
      <c r="A13" s="2" t="s">
        <v>36</v>
      </c>
      <c r="B13" s="82">
        <v>29586</v>
      </c>
      <c r="C13" s="83" t="e">
        <v>#N/A</v>
      </c>
      <c r="D13" s="84" t="e">
        <v>#N/A</v>
      </c>
      <c r="E13" s="84" t="e">
        <v>#N/A</v>
      </c>
      <c r="F13" s="84" t="e">
        <v>#N/A</v>
      </c>
      <c r="G13" s="106">
        <v>1.6078161453817341</v>
      </c>
      <c r="H13" s="85">
        <v>4.1849999999999996</v>
      </c>
      <c r="I13" s="85">
        <v>1.8779999999999999</v>
      </c>
      <c r="J13" s="108">
        <v>13.458183854618268</v>
      </c>
    </row>
    <row r="14" spans="1:10">
      <c r="A14" s="2" t="s">
        <v>37</v>
      </c>
      <c r="B14" s="82">
        <v>29951</v>
      </c>
      <c r="C14" s="83" t="e">
        <v>#N/A</v>
      </c>
      <c r="D14" s="84" t="e">
        <v>#N/A</v>
      </c>
      <c r="E14" s="84" t="e">
        <v>#N/A</v>
      </c>
      <c r="F14" s="84" t="e">
        <v>#N/A</v>
      </c>
      <c r="G14" s="106">
        <v>1.7448242350860701</v>
      </c>
      <c r="H14" s="85">
        <v>4.3929999999999998</v>
      </c>
      <c r="I14" s="85">
        <v>2.1909999999999998</v>
      </c>
      <c r="J14" s="108">
        <v>13.28217576491393</v>
      </c>
    </row>
    <row r="15" spans="1:10">
      <c r="A15" s="2" t="s">
        <v>38</v>
      </c>
      <c r="B15" s="82">
        <v>30316</v>
      </c>
      <c r="C15" s="83" t="e">
        <v>#N/A</v>
      </c>
      <c r="D15" s="84" t="e">
        <v>#N/A</v>
      </c>
      <c r="E15" s="84" t="e">
        <v>#N/A</v>
      </c>
      <c r="F15" s="84" t="e">
        <v>#N/A</v>
      </c>
      <c r="G15" s="106">
        <v>1.8921067917952274</v>
      </c>
      <c r="H15" s="85">
        <v>4.6449999999999996</v>
      </c>
      <c r="I15" s="85">
        <v>2.5659999999999998</v>
      </c>
      <c r="J15" s="108">
        <v>13.399893208204775</v>
      </c>
    </row>
    <row r="16" spans="1:10">
      <c r="A16" s="2" t="s">
        <v>39</v>
      </c>
      <c r="B16" s="82">
        <v>30681</v>
      </c>
      <c r="C16" s="83" t="e">
        <v>#N/A</v>
      </c>
      <c r="D16" s="84" t="e">
        <v>#N/A</v>
      </c>
      <c r="E16" s="84" t="e">
        <v>#N/A</v>
      </c>
      <c r="F16" s="84" t="e">
        <v>#N/A</v>
      </c>
      <c r="G16" s="106">
        <v>1.9833100351590627</v>
      </c>
      <c r="H16" s="85">
        <v>4.7590000000000003</v>
      </c>
      <c r="I16" s="85">
        <v>2.536</v>
      </c>
      <c r="J16" s="108">
        <v>13.549689964840935</v>
      </c>
    </row>
    <row r="17" spans="1:10">
      <c r="A17" s="2" t="s">
        <v>40</v>
      </c>
      <c r="B17" s="82">
        <v>31047</v>
      </c>
      <c r="C17" s="83" t="e">
        <v>#N/A</v>
      </c>
      <c r="D17" s="84" t="e">
        <v>#N/A</v>
      </c>
      <c r="E17" s="84" t="e">
        <v>#N/A</v>
      </c>
      <c r="F17" s="84" t="e">
        <v>#N/A</v>
      </c>
      <c r="G17" s="106">
        <v>1.9244464402041577</v>
      </c>
      <c r="H17" s="85">
        <v>4.4539999999999997</v>
      </c>
      <c r="I17" s="85">
        <v>2.8109999999999999</v>
      </c>
      <c r="J17" s="108">
        <v>12.359553559795842</v>
      </c>
    </row>
    <row r="18" spans="1:10">
      <c r="A18" s="2" t="s">
        <v>41</v>
      </c>
      <c r="B18" s="82">
        <v>31412</v>
      </c>
      <c r="C18" s="83" t="e">
        <v>#N/A</v>
      </c>
      <c r="D18" s="84" t="e">
        <v>#N/A</v>
      </c>
      <c r="E18" s="84" t="e">
        <v>#N/A</v>
      </c>
      <c r="F18" s="84" t="e">
        <v>#N/A</v>
      </c>
      <c r="G18" s="106">
        <v>2.0312501829464629</v>
      </c>
      <c r="H18" s="85">
        <v>4.3659999999999997</v>
      </c>
      <c r="I18" s="85">
        <v>3.032</v>
      </c>
      <c r="J18" s="108">
        <v>12.731749817053538</v>
      </c>
    </row>
    <row r="19" spans="1:10">
      <c r="A19" s="2" t="s">
        <v>42</v>
      </c>
      <c r="B19" s="82">
        <v>31777</v>
      </c>
      <c r="C19" s="83" t="e">
        <v>#N/A</v>
      </c>
      <c r="D19" s="84" t="e">
        <v>#N/A</v>
      </c>
      <c r="E19" s="84" t="e">
        <v>#N/A</v>
      </c>
      <c r="F19" s="84" t="e">
        <v>#N/A</v>
      </c>
      <c r="G19" s="106">
        <v>2.0599420200394616</v>
      </c>
      <c r="H19" s="85">
        <v>4.3330000000000002</v>
      </c>
      <c r="I19" s="85">
        <v>2.9990000000000001</v>
      </c>
      <c r="J19" s="108">
        <v>12.44205797996054</v>
      </c>
    </row>
    <row r="20" spans="1:10">
      <c r="A20" s="2" t="s">
        <v>43</v>
      </c>
      <c r="B20" s="82">
        <v>32142</v>
      </c>
      <c r="C20" s="83" t="e">
        <v>#N/A</v>
      </c>
      <c r="D20" s="84" t="e">
        <v>#N/A</v>
      </c>
      <c r="E20" s="84" t="e">
        <v>#N/A</v>
      </c>
      <c r="F20" s="84" t="e">
        <v>#N/A</v>
      </c>
      <c r="G20" s="106">
        <v>2.1085452881976217</v>
      </c>
      <c r="H20" s="85">
        <v>4.2889999999999997</v>
      </c>
      <c r="I20" s="85">
        <v>2.899</v>
      </c>
      <c r="J20" s="108">
        <v>11.699454711802376</v>
      </c>
    </row>
    <row r="21" spans="1:10">
      <c r="A21" s="2" t="s">
        <v>44</v>
      </c>
      <c r="B21" s="82">
        <v>32508</v>
      </c>
      <c r="C21" s="83" t="e">
        <v>#N/A</v>
      </c>
      <c r="D21" s="84" t="e">
        <v>#N/A</v>
      </c>
      <c r="E21" s="84" t="e">
        <v>#N/A</v>
      </c>
      <c r="F21" s="84" t="e">
        <v>#N/A</v>
      </c>
      <c r="G21" s="106">
        <v>2.0827429014815357</v>
      </c>
      <c r="H21" s="85">
        <v>4.2060000000000004</v>
      </c>
      <c r="I21" s="85">
        <v>2.9449999999999998</v>
      </c>
      <c r="J21" s="108">
        <v>11.414257098518464</v>
      </c>
    </row>
    <row r="22" spans="1:10">
      <c r="A22" s="2" t="s">
        <v>45</v>
      </c>
      <c r="B22" s="82">
        <v>32873</v>
      </c>
      <c r="C22" s="83" t="e">
        <v>#N/A</v>
      </c>
      <c r="D22" s="84" t="e">
        <v>#N/A</v>
      </c>
      <c r="E22" s="84" t="e">
        <v>#N/A</v>
      </c>
      <c r="F22" s="84" t="e">
        <v>#N/A</v>
      </c>
      <c r="G22" s="106">
        <v>2.1061853958051873</v>
      </c>
      <c r="H22" s="85">
        <v>4.1360000000000001</v>
      </c>
      <c r="I22" s="85">
        <v>3.0339999999999998</v>
      </c>
      <c r="J22" s="108">
        <v>11.257814604194813</v>
      </c>
    </row>
    <row r="23" spans="1:10">
      <c r="A23" s="2" t="s">
        <v>46</v>
      </c>
      <c r="B23" s="82">
        <v>33238</v>
      </c>
      <c r="C23" s="83" t="e">
        <v>#N/A</v>
      </c>
      <c r="D23" s="84" t="e">
        <v>#N/A</v>
      </c>
      <c r="E23" s="84" t="e">
        <v>#N/A</v>
      </c>
      <c r="F23" s="84" t="e">
        <v>#N/A</v>
      </c>
      <c r="G23" s="106">
        <v>2.2999999999999998</v>
      </c>
      <c r="H23" s="85">
        <v>4.1680000000000001</v>
      </c>
      <c r="I23" s="85">
        <v>3.117</v>
      </c>
      <c r="J23" s="108">
        <v>11.585277471331413</v>
      </c>
    </row>
    <row r="24" spans="1:10">
      <c r="A24" s="2" t="s">
        <v>47</v>
      </c>
      <c r="B24" s="82">
        <v>33603</v>
      </c>
      <c r="C24" s="83" t="e">
        <v>#N/A</v>
      </c>
      <c r="D24" s="84" t="e">
        <v>#N/A</v>
      </c>
      <c r="E24" s="84" t="e">
        <v>#N/A</v>
      </c>
      <c r="F24" s="84" t="e">
        <v>#N/A</v>
      </c>
      <c r="G24" s="106">
        <v>2.5299078154344707</v>
      </c>
      <c r="H24" s="85">
        <v>4.3659999999999997</v>
      </c>
      <c r="I24" s="85">
        <v>3.1819999999999999</v>
      </c>
      <c r="J24" s="108">
        <v>11.59509218456553</v>
      </c>
    </row>
    <row r="25" spans="1:10">
      <c r="A25" s="2" t="s">
        <v>48</v>
      </c>
      <c r="B25" s="82">
        <v>33969</v>
      </c>
      <c r="C25" s="83" t="e">
        <v>#N/A</v>
      </c>
      <c r="D25" s="84" t="e">
        <v>#N/A</v>
      </c>
      <c r="E25" s="84" t="e">
        <v>#N/A</v>
      </c>
      <c r="F25" s="84" t="e">
        <v>#N/A</v>
      </c>
      <c r="G25" s="106">
        <v>2.8595627629774385</v>
      </c>
      <c r="H25" s="85">
        <v>4.4320000000000004</v>
      </c>
      <c r="I25" s="85">
        <v>3.0979999999999999</v>
      </c>
      <c r="J25" s="108">
        <v>11.080437237022561</v>
      </c>
    </row>
    <row r="26" spans="1:10">
      <c r="A26" s="2" t="s">
        <v>49</v>
      </c>
      <c r="B26" s="82">
        <v>34334</v>
      </c>
      <c r="C26" s="83" t="e">
        <v>#N/A</v>
      </c>
      <c r="D26" s="84" t="e">
        <v>#N/A</v>
      </c>
      <c r="E26" s="84" t="e">
        <v>#N/A</v>
      </c>
      <c r="F26" s="84" t="e">
        <v>#N/A</v>
      </c>
      <c r="G26" s="106">
        <v>2.9974944351441342</v>
      </c>
      <c r="H26" s="85">
        <v>4.444</v>
      </c>
      <c r="I26" s="85">
        <v>2.9239999999999999</v>
      </c>
      <c r="J26" s="108">
        <v>10.376505564855869</v>
      </c>
    </row>
    <row r="27" spans="1:10">
      <c r="A27" s="2" t="s">
        <v>50</v>
      </c>
      <c r="B27" s="82">
        <v>34699</v>
      </c>
      <c r="C27" s="83" t="e">
        <v>#N/A</v>
      </c>
      <c r="D27" s="84" t="e">
        <v>#N/A</v>
      </c>
      <c r="E27" s="84" t="e">
        <v>#N/A</v>
      </c>
      <c r="F27" s="84" t="e">
        <v>#N/A</v>
      </c>
      <c r="G27" s="106">
        <v>3.1102358375881352</v>
      </c>
      <c r="H27" s="85">
        <v>4.4029999999999996</v>
      </c>
      <c r="I27" s="85">
        <v>2.819</v>
      </c>
      <c r="J27" s="108">
        <v>9.9757641624118669</v>
      </c>
    </row>
    <row r="28" spans="1:10">
      <c r="A28" s="2" t="s">
        <v>51</v>
      </c>
      <c r="B28" s="82">
        <v>35064</v>
      </c>
      <c r="C28" s="83" t="e">
        <v>#N/A</v>
      </c>
      <c r="D28" s="84" t="e">
        <v>#N/A</v>
      </c>
      <c r="E28" s="84" t="e">
        <v>#N/A</v>
      </c>
      <c r="F28" s="84" t="e">
        <v>#N/A</v>
      </c>
      <c r="G28" s="106">
        <v>3.2433530146736427</v>
      </c>
      <c r="H28" s="85">
        <v>4.3949999999999996</v>
      </c>
      <c r="I28" s="85">
        <v>3.0609999999999999</v>
      </c>
      <c r="J28" s="108">
        <v>9.2886469853263574</v>
      </c>
    </row>
    <row r="29" spans="1:10">
      <c r="A29" s="2" t="s">
        <v>52</v>
      </c>
      <c r="B29" s="82">
        <v>35430</v>
      </c>
      <c r="C29" s="83" t="e">
        <v>#N/A</v>
      </c>
      <c r="D29" s="84" t="e">
        <v>#N/A</v>
      </c>
      <c r="E29" s="84" t="e">
        <v>#N/A</v>
      </c>
      <c r="F29" s="84" t="e">
        <v>#N/A</v>
      </c>
      <c r="G29" s="106">
        <v>3.299735845154498</v>
      </c>
      <c r="H29" s="85">
        <v>4.3499999999999996</v>
      </c>
      <c r="I29" s="85">
        <v>3.0209999999999999</v>
      </c>
      <c r="J29" s="108">
        <v>8.888264154845503</v>
      </c>
    </row>
    <row r="30" spans="1:10">
      <c r="A30" s="2" t="s">
        <v>53</v>
      </c>
      <c r="B30" s="82">
        <v>35795</v>
      </c>
      <c r="C30" s="83" t="e">
        <v>#N/A</v>
      </c>
      <c r="D30" s="84" t="e">
        <v>#N/A</v>
      </c>
      <c r="E30" s="84" t="e">
        <v>#N/A</v>
      </c>
      <c r="F30" s="84" t="e">
        <v>#N/A</v>
      </c>
      <c r="G30" s="106">
        <v>3.335942427046557</v>
      </c>
      <c r="H30" s="85">
        <v>4.2709999999999999</v>
      </c>
      <c r="I30" s="85">
        <v>2.8759999999999999</v>
      </c>
      <c r="J30" s="108">
        <v>8.3910575729534429</v>
      </c>
    </row>
    <row r="31" spans="1:10">
      <c r="A31" s="2" t="s">
        <v>54</v>
      </c>
      <c r="B31" s="82">
        <v>36160</v>
      </c>
      <c r="C31" s="83" t="e">
        <v>#N/A</v>
      </c>
      <c r="D31" s="84" t="e">
        <v>#N/A</v>
      </c>
      <c r="E31" s="84" t="e">
        <v>#N/A</v>
      </c>
      <c r="F31" s="84" t="e">
        <v>#N/A</v>
      </c>
      <c r="G31" s="106">
        <v>3.2549247331040334</v>
      </c>
      <c r="H31" s="85">
        <v>4.2</v>
      </c>
      <c r="I31" s="85">
        <v>2.6930000000000001</v>
      </c>
      <c r="J31" s="108">
        <v>8.3050752668959653</v>
      </c>
    </row>
    <row r="32" spans="1:10">
      <c r="A32" s="2" t="s">
        <v>55</v>
      </c>
      <c r="B32" s="82">
        <v>36525</v>
      </c>
      <c r="C32" s="83" t="e">
        <v>#N/A</v>
      </c>
      <c r="D32" s="84" t="e">
        <v>#N/A</v>
      </c>
      <c r="E32" s="84" t="e">
        <v>#N/A</v>
      </c>
      <c r="F32" s="84" t="e">
        <v>#N/A</v>
      </c>
      <c r="G32" s="106">
        <v>3.1143601157238918</v>
      </c>
      <c r="H32" s="85">
        <v>4.0679999999999996</v>
      </c>
      <c r="I32" s="85">
        <v>2.415</v>
      </c>
      <c r="J32" s="108">
        <v>8.2906398842761106</v>
      </c>
    </row>
    <row r="33" spans="1:10">
      <c r="A33" s="2" t="s">
        <v>56</v>
      </c>
      <c r="B33" s="82">
        <v>36891</v>
      </c>
      <c r="C33" s="83" t="e">
        <v>#N/A</v>
      </c>
      <c r="D33" s="84" t="e">
        <v>#N/A</v>
      </c>
      <c r="E33" s="84" t="e">
        <v>#N/A</v>
      </c>
      <c r="F33" s="84" t="e">
        <v>#N/A</v>
      </c>
      <c r="G33" s="106">
        <v>3.0850578221829381</v>
      </c>
      <c r="H33" s="85">
        <v>3.9990000000000001</v>
      </c>
      <c r="I33" s="85">
        <v>2.1960000000000002</v>
      </c>
      <c r="J33" s="108">
        <v>8.3379421778170606</v>
      </c>
    </row>
    <row r="34" spans="1:10">
      <c r="A34" s="2" t="s">
        <v>57</v>
      </c>
      <c r="B34" s="82">
        <v>37256</v>
      </c>
      <c r="C34" s="83" t="e">
        <v>#N/A</v>
      </c>
      <c r="D34" s="84" t="e">
        <v>#N/A</v>
      </c>
      <c r="E34" s="84" t="e">
        <v>#N/A</v>
      </c>
      <c r="F34" s="84" t="e">
        <v>#N/A</v>
      </c>
      <c r="G34" s="106">
        <v>3.2846332353212522</v>
      </c>
      <c r="H34" s="85">
        <v>4.0629999999999997</v>
      </c>
      <c r="I34" s="85">
        <v>1.9510000000000001</v>
      </c>
      <c r="J34" s="108">
        <v>8.3283667646787478</v>
      </c>
    </row>
    <row r="35" spans="1:10">
      <c r="A35" s="2" t="s">
        <v>58</v>
      </c>
      <c r="B35" s="82">
        <v>37621</v>
      </c>
      <c r="C35" s="83" t="e">
        <v>#N/A</v>
      </c>
      <c r="D35" s="84" t="e">
        <v>#N/A</v>
      </c>
      <c r="E35" s="84" t="e">
        <v>#N/A</v>
      </c>
      <c r="F35" s="84" t="e">
        <v>#N/A</v>
      </c>
      <c r="G35" s="106">
        <v>3.482648479472767</v>
      </c>
      <c r="H35" s="85">
        <v>4.1550000000000002</v>
      </c>
      <c r="I35" s="85">
        <v>1.571</v>
      </c>
      <c r="J35" s="108">
        <v>9.2743515205272313</v>
      </c>
    </row>
    <row r="36" spans="1:10">
      <c r="A36" s="2" t="s">
        <v>59</v>
      </c>
      <c r="B36" s="82">
        <v>37986</v>
      </c>
      <c r="C36" s="83" t="e">
        <v>#N/A</v>
      </c>
      <c r="D36" s="84" t="e">
        <v>#N/A</v>
      </c>
      <c r="E36" s="84" t="e">
        <v>#N/A</v>
      </c>
      <c r="F36" s="84" t="e">
        <v>#N/A</v>
      </c>
      <c r="G36" s="106">
        <v>3.6240893059204211</v>
      </c>
      <c r="H36" s="85">
        <v>4.1509999999999998</v>
      </c>
      <c r="I36" s="85">
        <v>1.351</v>
      </c>
      <c r="J36" s="108">
        <v>9.9309106940795786</v>
      </c>
    </row>
    <row r="37" spans="1:10">
      <c r="A37" s="2" t="s">
        <v>60</v>
      </c>
      <c r="B37" s="82">
        <v>38352</v>
      </c>
      <c r="C37" s="83" t="e">
        <v>#N/A</v>
      </c>
      <c r="D37" s="84" t="e">
        <v>#N/A</v>
      </c>
      <c r="E37" s="84" t="e">
        <v>#N/A</v>
      </c>
      <c r="F37" s="84" t="e">
        <v>#N/A</v>
      </c>
      <c r="G37" s="106">
        <v>3.6865359325762777</v>
      </c>
      <c r="H37" s="85">
        <v>4.0650000000000004</v>
      </c>
      <c r="I37" s="85">
        <v>1.325</v>
      </c>
      <c r="J37" s="108">
        <v>9.8874640674237213</v>
      </c>
    </row>
    <row r="38" spans="1:10">
      <c r="A38" s="2" t="s">
        <v>61</v>
      </c>
      <c r="B38" s="82">
        <v>38717</v>
      </c>
      <c r="C38" s="83" t="e">
        <v>#N/A</v>
      </c>
      <c r="D38" s="84" t="e">
        <v>#N/A</v>
      </c>
      <c r="E38" s="84" t="e">
        <v>#N/A</v>
      </c>
      <c r="F38" s="84" t="e">
        <v>#N/A</v>
      </c>
      <c r="G38" s="106">
        <v>3.7328352940720144</v>
      </c>
      <c r="H38" s="85">
        <v>4.024</v>
      </c>
      <c r="I38" s="85">
        <v>1.427</v>
      </c>
      <c r="J38" s="108">
        <v>9.9931647059279847</v>
      </c>
    </row>
    <row r="39" spans="1:10">
      <c r="A39" s="2" t="s">
        <v>62</v>
      </c>
      <c r="B39" s="82">
        <v>39082</v>
      </c>
      <c r="C39" s="83" t="e">
        <v>#N/A</v>
      </c>
      <c r="D39" s="84" t="e">
        <v>#N/A</v>
      </c>
      <c r="E39" s="84" t="e">
        <v>#N/A</v>
      </c>
      <c r="F39" s="84" t="e">
        <v>#N/A</v>
      </c>
      <c r="G39" s="106">
        <v>3.7332432210278284</v>
      </c>
      <c r="H39" s="85">
        <v>3.9740000000000002</v>
      </c>
      <c r="I39" s="85">
        <v>1.6559999999999999</v>
      </c>
      <c r="J39" s="108">
        <v>10.035756778972173</v>
      </c>
    </row>
    <row r="40" spans="1:10">
      <c r="A40" s="2" t="s">
        <v>63</v>
      </c>
      <c r="B40" s="82">
        <v>39447</v>
      </c>
      <c r="C40" s="83" t="e">
        <v>#N/A</v>
      </c>
      <c r="D40" s="84" t="e">
        <v>#N/A</v>
      </c>
      <c r="E40" s="84" t="e">
        <v>#N/A</v>
      </c>
      <c r="F40" s="84" t="e">
        <v>#N/A</v>
      </c>
      <c r="G40" s="106">
        <v>3.9609143487411824</v>
      </c>
      <c r="H40" s="85">
        <v>4.0590000000000002</v>
      </c>
      <c r="I40" s="85">
        <v>1.655</v>
      </c>
      <c r="J40" s="108">
        <v>9.3730856512588137</v>
      </c>
    </row>
    <row r="41" spans="1:10">
      <c r="A41" s="2" t="s">
        <v>64</v>
      </c>
      <c r="B41" s="82">
        <v>39813</v>
      </c>
      <c r="C41" s="83" t="e">
        <v>#N/A</v>
      </c>
      <c r="D41" s="84" t="e">
        <v>#N/A</v>
      </c>
      <c r="E41" s="84" t="e">
        <v>#N/A</v>
      </c>
      <c r="F41" s="84" t="e">
        <v>#N/A</v>
      </c>
      <c r="G41" s="106">
        <v>4.0264297924753025</v>
      </c>
      <c r="H41" s="85">
        <v>4.1479999999999997</v>
      </c>
      <c r="I41" s="85">
        <v>1.7130000000000001</v>
      </c>
      <c r="J41" s="108">
        <v>10.324570207524697</v>
      </c>
    </row>
    <row r="42" spans="1:10">
      <c r="A42" s="2" t="s">
        <v>65</v>
      </c>
      <c r="B42" s="82">
        <v>40178</v>
      </c>
      <c r="C42" s="83" t="e">
        <v>#N/A</v>
      </c>
      <c r="D42" s="84" t="e">
        <v>#N/A</v>
      </c>
      <c r="E42" s="84" t="e">
        <v>#N/A</v>
      </c>
      <c r="F42" s="84" t="e">
        <v>#N/A</v>
      </c>
      <c r="G42" s="106">
        <v>4.7425070766498312</v>
      </c>
      <c r="H42" s="85">
        <v>4.702</v>
      </c>
      <c r="I42" s="85">
        <v>1.2969999999999999</v>
      </c>
      <c r="J42" s="108">
        <v>13.663492923350168</v>
      </c>
    </row>
    <row r="43" spans="1:10">
      <c r="A43" s="2" t="s">
        <v>66</v>
      </c>
      <c r="B43" s="82">
        <v>40543</v>
      </c>
      <c r="C43" s="83" t="e">
        <v>#N/A</v>
      </c>
      <c r="D43" s="84" t="e">
        <v>#N/A</v>
      </c>
      <c r="E43" s="84" t="e">
        <v>#N/A</v>
      </c>
      <c r="F43" s="84" t="e">
        <v>#N/A</v>
      </c>
      <c r="G43" s="106">
        <v>4.9159376394391332</v>
      </c>
      <c r="H43" s="85">
        <v>4.7380000000000004</v>
      </c>
      <c r="I43" s="85">
        <v>1.3260000000000001</v>
      </c>
      <c r="J43" s="108">
        <v>12.392062360560868</v>
      </c>
    </row>
    <row r="44" spans="1:10">
      <c r="A44" s="2" t="s">
        <v>67</v>
      </c>
      <c r="B44" s="82">
        <v>40908</v>
      </c>
      <c r="C44" s="83" t="e">
        <v>#N/A</v>
      </c>
      <c r="D44" s="84" t="e">
        <v>#N/A</v>
      </c>
      <c r="E44" s="84" t="e">
        <v>#N/A</v>
      </c>
      <c r="F44" s="84" t="e">
        <v>#N/A</v>
      </c>
      <c r="G44" s="106">
        <v>4.9622166656105851</v>
      </c>
      <c r="H44" s="85">
        <v>4.7110000000000003</v>
      </c>
      <c r="I44" s="85">
        <v>1.4950000000000001</v>
      </c>
      <c r="J44" s="108">
        <v>12.247783334389416</v>
      </c>
    </row>
    <row r="45" spans="1:10">
      <c r="A45" s="2" t="s">
        <v>68</v>
      </c>
      <c r="B45" s="82">
        <v>41274</v>
      </c>
      <c r="C45" s="83" t="e">
        <v>#N/A</v>
      </c>
      <c r="D45" s="84" t="e">
        <v>#N/A</v>
      </c>
      <c r="E45" s="84" t="e">
        <v>#N/A</v>
      </c>
      <c r="F45" s="84" t="e">
        <v>#N/A</v>
      </c>
      <c r="G45" s="106">
        <v>4.5096067365988004</v>
      </c>
      <c r="H45" s="85">
        <v>4.7699999999999996</v>
      </c>
      <c r="I45" s="85">
        <v>1.369</v>
      </c>
      <c r="J45" s="108">
        <v>11.329393263401201</v>
      </c>
    </row>
    <row r="46" spans="1:10">
      <c r="A46" s="2" t="s">
        <v>69</v>
      </c>
      <c r="B46" s="82">
        <v>41639</v>
      </c>
      <c r="C46" s="83" t="e">
        <v>#N/A</v>
      </c>
      <c r="D46" s="84" t="e">
        <v>#N/A</v>
      </c>
      <c r="E46" s="84" t="e">
        <v>#N/A</v>
      </c>
      <c r="F46" s="84" t="e">
        <v>#N/A</v>
      </c>
      <c r="G46" s="106">
        <v>4.6168276011391223</v>
      </c>
      <c r="H46" s="85">
        <v>4.8570000000000002</v>
      </c>
      <c r="I46" s="85">
        <v>1.3280000000000001</v>
      </c>
      <c r="J46" s="108">
        <v>9.9731723988608785</v>
      </c>
    </row>
    <row r="47" spans="1:10">
      <c r="A47" s="2" t="s">
        <v>70</v>
      </c>
      <c r="B47" s="82">
        <v>42004</v>
      </c>
      <c r="C47" s="83">
        <v>4.9000000000000004</v>
      </c>
      <c r="D47" s="84">
        <v>4.9000000000000004</v>
      </c>
      <c r="E47" s="84">
        <v>1.3</v>
      </c>
      <c r="F47" s="84">
        <v>9.3000000000000007</v>
      </c>
      <c r="G47" s="107">
        <v>4.9000000000000004</v>
      </c>
      <c r="H47" s="85" t="e">
        <v>#N/A</v>
      </c>
      <c r="I47" s="85" t="e">
        <v>#N/A</v>
      </c>
      <c r="J47" s="106">
        <v>9.3000000000000007</v>
      </c>
    </row>
    <row r="48" spans="1:10">
      <c r="A48" s="2" t="s">
        <v>71</v>
      </c>
      <c r="B48" s="82">
        <v>42369</v>
      </c>
      <c r="C48" s="83">
        <v>5.0999999999999996</v>
      </c>
      <c r="D48" s="84">
        <v>4.9000000000000004</v>
      </c>
      <c r="E48" s="84">
        <v>1.5</v>
      </c>
      <c r="F48" s="84">
        <v>9.4</v>
      </c>
      <c r="G48" s="107"/>
      <c r="H48" s="85" t="e">
        <v>#N/A</v>
      </c>
      <c r="I48" s="85" t="e">
        <v>#N/A</v>
      </c>
      <c r="J48" s="84"/>
    </row>
    <row r="49" spans="1:10">
      <c r="A49" s="2" t="s">
        <v>72</v>
      </c>
      <c r="B49" s="82">
        <v>42735</v>
      </c>
      <c r="C49" s="83">
        <v>5.3</v>
      </c>
      <c r="D49" s="84">
        <v>4.9000000000000004</v>
      </c>
      <c r="E49" s="84">
        <v>1.7</v>
      </c>
      <c r="F49" s="84">
        <v>9.1</v>
      </c>
      <c r="G49" s="106"/>
      <c r="H49" s="85" t="e">
        <v>#N/A</v>
      </c>
      <c r="I49" s="85" t="e">
        <v>#N/A</v>
      </c>
      <c r="J49" s="90"/>
    </row>
    <row r="50" spans="1:10">
      <c r="A50" s="2" t="s">
        <v>73</v>
      </c>
      <c r="B50" s="82">
        <v>43100</v>
      </c>
      <c r="C50" s="83">
        <v>5.3</v>
      </c>
      <c r="D50" s="84">
        <v>4.9000000000000004</v>
      </c>
      <c r="E50" s="84">
        <v>2</v>
      </c>
      <c r="F50" s="84">
        <v>8.6999999999999993</v>
      </c>
      <c r="G50" s="106"/>
      <c r="H50" s="85" t="e">
        <v>#N/A</v>
      </c>
      <c r="I50" s="85" t="e">
        <v>#N/A</v>
      </c>
      <c r="J50" s="90"/>
    </row>
    <row r="51" spans="1:10">
      <c r="A51" s="2" t="s">
        <v>74</v>
      </c>
      <c r="B51" s="82">
        <v>43465</v>
      </c>
      <c r="C51" s="83">
        <v>5.3</v>
      </c>
      <c r="D51" s="84">
        <v>5</v>
      </c>
      <c r="E51" s="84">
        <v>2.2999999999999998</v>
      </c>
      <c r="F51" s="84">
        <v>8.3000000000000007</v>
      </c>
      <c r="G51" s="106"/>
      <c r="H51" s="85" t="e">
        <v>#N/A</v>
      </c>
      <c r="I51" s="85" t="e">
        <v>#N/A</v>
      </c>
      <c r="J51" s="90"/>
    </row>
    <row r="52" spans="1:10">
      <c r="A52" s="2" t="s">
        <v>75</v>
      </c>
      <c r="B52" s="82">
        <v>43830</v>
      </c>
      <c r="C52" s="83">
        <v>5.4</v>
      </c>
      <c r="D52" s="84">
        <v>5.0999999999999996</v>
      </c>
      <c r="E52" s="84">
        <v>2.6</v>
      </c>
      <c r="F52" s="84">
        <v>8.1</v>
      </c>
      <c r="G52" s="106"/>
      <c r="H52" s="85" t="e">
        <v>#N/A</v>
      </c>
      <c r="I52" s="85" t="e">
        <v>#N/A</v>
      </c>
      <c r="J52" s="90"/>
    </row>
    <row r="53" spans="1:10">
      <c r="A53" s="2" t="s">
        <v>76</v>
      </c>
      <c r="B53" s="82">
        <v>44196</v>
      </c>
      <c r="C53" s="83">
        <v>5.6</v>
      </c>
      <c r="D53" s="84">
        <v>5.2</v>
      </c>
      <c r="E53" s="84">
        <v>2.8</v>
      </c>
      <c r="F53" s="84">
        <v>7.9</v>
      </c>
      <c r="G53" s="106"/>
      <c r="H53" s="85" t="e">
        <v>#N/A</v>
      </c>
      <c r="I53" s="85" t="e">
        <v>#N/A</v>
      </c>
      <c r="J53" s="90"/>
    </row>
    <row r="54" spans="1:10">
      <c r="A54" s="2" t="s">
        <v>77</v>
      </c>
      <c r="B54" s="82">
        <v>44561</v>
      </c>
      <c r="C54" s="83">
        <v>5.7</v>
      </c>
      <c r="D54" s="84">
        <v>5.3</v>
      </c>
      <c r="E54" s="84">
        <v>2.9</v>
      </c>
      <c r="F54" s="84">
        <v>7.8</v>
      </c>
      <c r="G54" s="106"/>
      <c r="H54" s="85" t="e">
        <v>#N/A</v>
      </c>
      <c r="I54" s="85" t="e">
        <v>#N/A</v>
      </c>
      <c r="J54" s="90"/>
    </row>
    <row r="55" spans="1:10">
      <c r="A55" s="2" t="s">
        <v>78</v>
      </c>
      <c r="B55" s="82">
        <v>44926</v>
      </c>
      <c r="C55" s="83">
        <v>5.9</v>
      </c>
      <c r="D55" s="84">
        <v>5.4</v>
      </c>
      <c r="E55" s="84">
        <v>3.1</v>
      </c>
      <c r="F55" s="84">
        <v>7.7</v>
      </c>
      <c r="G55" s="106"/>
      <c r="H55" s="85" t="e">
        <v>#N/A</v>
      </c>
      <c r="I55" s="85" t="e">
        <v>#N/A</v>
      </c>
      <c r="J55" s="90"/>
    </row>
    <row r="56" spans="1:10">
      <c r="A56" s="2" t="s">
        <v>79</v>
      </c>
      <c r="B56" s="82">
        <v>45291</v>
      </c>
      <c r="C56" s="83">
        <v>6</v>
      </c>
      <c r="D56" s="84">
        <v>5.5</v>
      </c>
      <c r="E56" s="84">
        <v>3.2</v>
      </c>
      <c r="F56" s="84">
        <v>7.5</v>
      </c>
      <c r="G56" s="106"/>
      <c r="H56" s="85" t="e">
        <v>#N/A</v>
      </c>
      <c r="I56" s="85" t="e">
        <v>#N/A</v>
      </c>
      <c r="J56" s="90"/>
    </row>
    <row r="57" spans="1:10">
      <c r="A57" s="2" t="s">
        <v>80</v>
      </c>
      <c r="B57" s="82">
        <v>45657</v>
      </c>
      <c r="C57" s="83">
        <v>5.9</v>
      </c>
      <c r="D57" s="84">
        <v>5.6</v>
      </c>
      <c r="E57" s="84">
        <v>3.3</v>
      </c>
      <c r="F57" s="84">
        <v>7.3</v>
      </c>
      <c r="G57" s="106"/>
      <c r="H57" s="85" t="e">
        <v>#N/A</v>
      </c>
      <c r="I57" s="85" t="e">
        <v>#N/A</v>
      </c>
      <c r="J57" s="90"/>
    </row>
    <row r="58" spans="1:10">
      <c r="A58" s="2" t="s">
        <v>81</v>
      </c>
      <c r="B58" s="82">
        <v>46022</v>
      </c>
      <c r="C58" s="83">
        <v>6.1</v>
      </c>
      <c r="D58" s="84">
        <v>5.7</v>
      </c>
      <c r="E58" s="84">
        <v>3.4</v>
      </c>
      <c r="F58" s="84">
        <v>7.3</v>
      </c>
      <c r="G58" s="106"/>
      <c r="H58" s="85" t="e">
        <v>#N/A</v>
      </c>
      <c r="I58" s="85" t="e">
        <v>#N/A</v>
      </c>
      <c r="J58" s="90"/>
    </row>
    <row r="59" spans="1:10">
      <c r="A59" s="2" t="s">
        <v>82</v>
      </c>
      <c r="B59" s="82">
        <v>46387</v>
      </c>
      <c r="C59" s="83">
        <v>6.3</v>
      </c>
      <c r="D59" s="84">
        <v>5.8</v>
      </c>
      <c r="E59" s="84">
        <v>3.5</v>
      </c>
      <c r="F59" s="84">
        <v>7.3</v>
      </c>
      <c r="G59" s="106"/>
      <c r="H59" s="85" t="e">
        <v>#N/A</v>
      </c>
      <c r="I59" s="85" t="e">
        <v>#N/A</v>
      </c>
      <c r="J59" s="90"/>
    </row>
    <row r="60" spans="1:10">
      <c r="A60" s="2" t="s">
        <v>83</v>
      </c>
      <c r="B60" s="82">
        <v>46752</v>
      </c>
      <c r="C60" s="83">
        <v>6.3</v>
      </c>
      <c r="D60" s="84">
        <v>5.9</v>
      </c>
      <c r="E60" s="84">
        <v>3.6</v>
      </c>
      <c r="F60" s="84">
        <v>7.3</v>
      </c>
      <c r="G60" s="106"/>
      <c r="H60" s="85" t="e">
        <v>#N/A</v>
      </c>
      <c r="I60" s="85" t="e">
        <v>#N/A</v>
      </c>
      <c r="J60" s="90"/>
    </row>
    <row r="61" spans="1:10">
      <c r="A61" s="2" t="s">
        <v>84</v>
      </c>
      <c r="B61" s="82">
        <v>47118</v>
      </c>
      <c r="C61" s="83">
        <v>6.5</v>
      </c>
      <c r="D61" s="84">
        <v>6</v>
      </c>
      <c r="E61" s="84">
        <v>3.7</v>
      </c>
      <c r="F61" s="84">
        <v>7.2</v>
      </c>
      <c r="G61" s="106"/>
      <c r="H61" s="85" t="e">
        <v>#N/A</v>
      </c>
      <c r="I61" s="85" t="e">
        <v>#N/A</v>
      </c>
      <c r="J61" s="90"/>
    </row>
    <row r="62" spans="1:10">
      <c r="A62" s="2" t="s">
        <v>85</v>
      </c>
      <c r="B62" s="82">
        <v>47483</v>
      </c>
      <c r="C62" s="83">
        <v>6.6</v>
      </c>
      <c r="D62" s="84">
        <v>6.1</v>
      </c>
      <c r="E62" s="84">
        <v>3.8</v>
      </c>
      <c r="F62" s="84">
        <v>7.2</v>
      </c>
      <c r="G62" s="106"/>
      <c r="H62" s="85" t="e">
        <v>#N/A</v>
      </c>
      <c r="I62" s="85" t="e">
        <v>#N/A</v>
      </c>
      <c r="J62" s="90"/>
    </row>
    <row r="63" spans="1:10">
      <c r="A63" s="2" t="s">
        <v>86</v>
      </c>
      <c r="B63" s="82">
        <v>47848</v>
      </c>
      <c r="C63" s="83">
        <v>6.8</v>
      </c>
      <c r="D63" s="84">
        <v>6.2</v>
      </c>
      <c r="E63" s="84">
        <v>3.9</v>
      </c>
      <c r="F63" s="84">
        <v>7.2</v>
      </c>
      <c r="G63" s="106"/>
      <c r="H63" s="85" t="e">
        <v>#N/A</v>
      </c>
      <c r="I63" s="85" t="e">
        <v>#N/A</v>
      </c>
      <c r="J63" s="90"/>
    </row>
    <row r="64" spans="1:10">
      <c r="A64" s="2" t="s">
        <v>87</v>
      </c>
      <c r="B64" s="82">
        <v>48213</v>
      </c>
      <c r="C64" s="83">
        <v>6.9</v>
      </c>
      <c r="D64" s="84">
        <v>6.2</v>
      </c>
      <c r="E64" s="84">
        <v>4</v>
      </c>
      <c r="F64" s="84">
        <v>7.1</v>
      </c>
      <c r="G64" s="106"/>
      <c r="H64" s="85" t="e">
        <v>#N/A</v>
      </c>
      <c r="I64" s="85" t="e">
        <v>#N/A</v>
      </c>
      <c r="J64" s="90"/>
    </row>
    <row r="65" spans="1:10">
      <c r="A65" s="2" t="s">
        <v>88</v>
      </c>
      <c r="B65" s="82">
        <v>48579</v>
      </c>
      <c r="C65" s="83">
        <v>7.1</v>
      </c>
      <c r="D65" s="84">
        <v>6.3</v>
      </c>
      <c r="E65" s="84">
        <v>4.0999999999999996</v>
      </c>
      <c r="F65" s="84">
        <v>7.1</v>
      </c>
      <c r="G65" s="106"/>
      <c r="H65" s="85" t="e">
        <v>#N/A</v>
      </c>
      <c r="I65" s="85" t="e">
        <v>#N/A</v>
      </c>
      <c r="J65" s="90"/>
    </row>
    <row r="66" spans="1:10">
      <c r="A66" s="2" t="s">
        <v>89</v>
      </c>
      <c r="B66" s="82">
        <v>48944</v>
      </c>
      <c r="C66" s="83">
        <v>7.1999999999999993</v>
      </c>
      <c r="D66" s="84">
        <v>6.3</v>
      </c>
      <c r="E66" s="84">
        <v>4.0999999999999996</v>
      </c>
      <c r="F66" s="84">
        <v>7.1</v>
      </c>
      <c r="G66" s="106"/>
      <c r="H66" s="85" t="e">
        <v>#N/A</v>
      </c>
      <c r="I66" s="85" t="e">
        <v>#N/A</v>
      </c>
      <c r="J66" s="90"/>
    </row>
    <row r="67" spans="1:10">
      <c r="A67" s="2" t="s">
        <v>90</v>
      </c>
      <c r="B67" s="82">
        <v>49309</v>
      </c>
      <c r="C67" s="83">
        <v>7.3000000000000007</v>
      </c>
      <c r="D67" s="84">
        <v>6.4</v>
      </c>
      <c r="E67" s="84">
        <v>4.2</v>
      </c>
      <c r="F67" s="84">
        <v>7</v>
      </c>
      <c r="G67" s="106"/>
      <c r="H67" s="85" t="e">
        <v>#N/A</v>
      </c>
      <c r="I67" s="85" t="e">
        <v>#N/A</v>
      </c>
      <c r="J67" s="90"/>
    </row>
    <row r="68" spans="1:10">
      <c r="A68" s="2" t="s">
        <v>91</v>
      </c>
      <c r="B68" s="82">
        <v>49674</v>
      </c>
      <c r="C68" s="83">
        <v>7.5</v>
      </c>
      <c r="D68" s="84">
        <v>6.4</v>
      </c>
      <c r="E68" s="84">
        <v>4.3</v>
      </c>
      <c r="F68" s="84">
        <v>7</v>
      </c>
      <c r="G68" s="106"/>
      <c r="H68" s="85" t="e">
        <v>#N/A</v>
      </c>
      <c r="I68" s="85" t="e">
        <v>#N/A</v>
      </c>
      <c r="J68" s="90"/>
    </row>
    <row r="69" spans="1:10">
      <c r="A69" s="2" t="s">
        <v>92</v>
      </c>
      <c r="B69" s="86">
        <v>50040</v>
      </c>
      <c r="C69" s="87">
        <v>7.6000000000000005</v>
      </c>
      <c r="D69" s="88">
        <v>6.4</v>
      </c>
      <c r="E69" s="88">
        <v>4.4000000000000004</v>
      </c>
      <c r="F69" s="88">
        <v>7</v>
      </c>
      <c r="G69" s="105"/>
      <c r="H69" s="7" t="e">
        <v>#N/A</v>
      </c>
      <c r="I69" s="7" t="e">
        <v>#N/A</v>
      </c>
    </row>
    <row r="70" spans="1:10">
      <c r="A70" s="2" t="s">
        <v>93</v>
      </c>
      <c r="B70" s="86">
        <v>50405</v>
      </c>
      <c r="C70" s="87">
        <v>7.8</v>
      </c>
      <c r="D70" s="88">
        <v>6.4</v>
      </c>
      <c r="E70" s="88">
        <v>4.5</v>
      </c>
      <c r="F70" s="88">
        <v>6.9</v>
      </c>
      <c r="G70" s="105"/>
      <c r="H70" s="7" t="e">
        <v>#N/A</v>
      </c>
      <c r="I70" s="7" t="e">
        <v>#N/A</v>
      </c>
    </row>
    <row r="71" spans="1:10">
      <c r="A71" s="2" t="s">
        <v>94</v>
      </c>
      <c r="B71" s="86">
        <v>50770</v>
      </c>
      <c r="C71" s="87">
        <v>7.8999999999999995</v>
      </c>
      <c r="D71" s="88">
        <v>6.4</v>
      </c>
      <c r="E71" s="88">
        <v>4.5999999999999996</v>
      </c>
      <c r="F71" s="88">
        <v>6.9</v>
      </c>
      <c r="G71" s="105"/>
      <c r="H71" s="7" t="e">
        <v>#N/A</v>
      </c>
      <c r="I71" s="7" t="e">
        <v>#N/A</v>
      </c>
    </row>
    <row r="72" spans="1:10">
      <c r="A72" s="2" t="s">
        <v>95</v>
      </c>
      <c r="B72" s="86">
        <v>51135</v>
      </c>
      <c r="C72" s="87">
        <v>8</v>
      </c>
      <c r="D72" s="88">
        <v>6.3</v>
      </c>
      <c r="E72" s="88">
        <v>4.7</v>
      </c>
      <c r="F72" s="88">
        <v>6.8</v>
      </c>
      <c r="G72" s="105"/>
      <c r="H72" s="7" t="e">
        <v>#N/A</v>
      </c>
      <c r="I72" s="7" t="e">
        <v>#N/A</v>
      </c>
    </row>
    <row r="73" spans="1:10">
      <c r="A73" s="2" t="s">
        <v>96</v>
      </c>
      <c r="B73" s="86">
        <v>51501</v>
      </c>
      <c r="C73" s="87">
        <v>8.1</v>
      </c>
      <c r="D73" s="88">
        <v>6.3</v>
      </c>
      <c r="E73" s="88">
        <v>4.8</v>
      </c>
      <c r="F73" s="88">
        <v>6.8</v>
      </c>
      <c r="G73" s="105"/>
      <c r="H73" s="7" t="e">
        <v>#N/A</v>
      </c>
      <c r="I73" s="7" t="e">
        <v>#N/A</v>
      </c>
    </row>
    <row r="74" spans="1:10">
      <c r="A74" s="2" t="s">
        <v>97</v>
      </c>
      <c r="B74" s="86">
        <v>51866</v>
      </c>
      <c r="C74" s="87">
        <v>8.1999999999999993</v>
      </c>
      <c r="D74" s="88">
        <v>6.3</v>
      </c>
      <c r="E74" s="88">
        <v>4.8</v>
      </c>
      <c r="F74" s="88">
        <v>6.8</v>
      </c>
      <c r="G74" s="105"/>
      <c r="H74" s="7" t="e">
        <v>#N/A</v>
      </c>
      <c r="I74" s="7" t="e">
        <v>#N/A</v>
      </c>
    </row>
    <row r="75" spans="1:10">
      <c r="A75" s="2" t="s">
        <v>98</v>
      </c>
      <c r="B75" s="86">
        <v>52231</v>
      </c>
      <c r="C75" s="87">
        <v>8.4</v>
      </c>
      <c r="D75" s="88">
        <v>6.2</v>
      </c>
      <c r="E75" s="88">
        <v>4.9000000000000004</v>
      </c>
      <c r="F75" s="88">
        <v>6.8</v>
      </c>
      <c r="G75" s="105"/>
      <c r="H75" s="7" t="e">
        <v>#N/A</v>
      </c>
      <c r="I75" s="7" t="e">
        <v>#N/A</v>
      </c>
    </row>
    <row r="76" spans="1:10">
      <c r="A76" s="2" t="s">
        <v>99</v>
      </c>
      <c r="B76" s="86">
        <v>52596</v>
      </c>
      <c r="C76" s="87">
        <v>8.5</v>
      </c>
      <c r="D76" s="88">
        <v>6.2</v>
      </c>
      <c r="E76" s="88">
        <v>5</v>
      </c>
      <c r="F76" s="88">
        <v>6.7</v>
      </c>
      <c r="G76" s="105"/>
      <c r="H76" s="7" t="e">
        <v>#N/A</v>
      </c>
      <c r="I76" s="7" t="e">
        <v>#N/A</v>
      </c>
    </row>
    <row r="77" spans="1:10">
      <c r="A77" s="2" t="s">
        <v>100</v>
      </c>
      <c r="B77" s="86">
        <v>52962</v>
      </c>
      <c r="C77" s="87">
        <v>8.6</v>
      </c>
      <c r="D77" s="88">
        <v>6.2</v>
      </c>
      <c r="E77" s="88">
        <v>5.0999999999999996</v>
      </c>
      <c r="F77" s="88">
        <v>6.7</v>
      </c>
      <c r="G77" s="105"/>
      <c r="H77" s="7" t="e">
        <v>#N/A</v>
      </c>
      <c r="I77" s="7" t="e">
        <v>#N/A</v>
      </c>
    </row>
    <row r="78" spans="1:10">
      <c r="A78" s="2" t="s">
        <v>101</v>
      </c>
      <c r="B78" s="86">
        <v>53327</v>
      </c>
      <c r="C78" s="87">
        <v>8.6999999999999993</v>
      </c>
      <c r="D78" s="88">
        <v>6.2</v>
      </c>
      <c r="E78" s="88">
        <v>5.2</v>
      </c>
      <c r="F78" s="88">
        <v>6.7</v>
      </c>
      <c r="G78" s="105"/>
      <c r="H78" s="7" t="e">
        <v>#N/A</v>
      </c>
      <c r="I78" s="7" t="e">
        <v>#N/A</v>
      </c>
    </row>
    <row r="79" spans="1:10">
      <c r="A79" s="2" t="s">
        <v>102</v>
      </c>
      <c r="B79" s="86">
        <v>53692</v>
      </c>
      <c r="C79" s="87">
        <v>8.8000000000000007</v>
      </c>
      <c r="D79" s="88">
        <v>6.2</v>
      </c>
      <c r="E79" s="88">
        <v>5.3</v>
      </c>
      <c r="F79" s="88">
        <v>6.6</v>
      </c>
      <c r="G79" s="105"/>
      <c r="H79" s="7" t="e">
        <v>#N/A</v>
      </c>
      <c r="I79" s="7" t="e">
        <v>#N/A</v>
      </c>
    </row>
    <row r="80" spans="1:10">
      <c r="A80" s="2" t="s">
        <v>103</v>
      </c>
      <c r="B80" s="86">
        <v>54057</v>
      </c>
      <c r="C80" s="87">
        <v>9</v>
      </c>
      <c r="D80" s="88">
        <v>6.2</v>
      </c>
      <c r="E80" s="88">
        <v>5.3</v>
      </c>
      <c r="F80" s="88">
        <v>6.6</v>
      </c>
      <c r="G80" s="105"/>
      <c r="H80" s="7" t="e">
        <v>#N/A</v>
      </c>
      <c r="I80" s="7" t="e">
        <v>#N/A</v>
      </c>
    </row>
    <row r="81" spans="1:9">
      <c r="A81" s="2" t="s">
        <v>104</v>
      </c>
      <c r="B81" s="86">
        <v>54423</v>
      </c>
      <c r="C81" s="87">
        <v>9</v>
      </c>
      <c r="D81" s="88">
        <v>6.2</v>
      </c>
      <c r="E81" s="88">
        <v>5.4</v>
      </c>
      <c r="F81" s="88">
        <v>6.6</v>
      </c>
      <c r="G81" s="105"/>
      <c r="H81" s="7" t="e">
        <v>#N/A</v>
      </c>
      <c r="I81" s="7" t="e">
        <v>#N/A</v>
      </c>
    </row>
    <row r="82" spans="1:9">
      <c r="A82" s="2" t="s">
        <v>105</v>
      </c>
      <c r="B82" s="86">
        <v>54788</v>
      </c>
      <c r="C82" s="87">
        <v>9.1000000000000014</v>
      </c>
      <c r="D82" s="88">
        <v>6.2</v>
      </c>
      <c r="E82" s="88">
        <v>5.5</v>
      </c>
      <c r="F82" s="88">
        <v>6.5</v>
      </c>
      <c r="G82" s="105"/>
      <c r="H82" s="7" t="e">
        <v>#N/A</v>
      </c>
      <c r="I82" s="7" t="e">
        <v>#N/A</v>
      </c>
    </row>
    <row r="83" spans="1:9">
      <c r="A83" s="2" t="s">
        <v>106</v>
      </c>
      <c r="B83" s="86">
        <v>55153</v>
      </c>
      <c r="C83" s="87">
        <v>9.3000000000000007</v>
      </c>
      <c r="D83" s="88">
        <v>6.2</v>
      </c>
      <c r="E83" s="88">
        <v>5.6</v>
      </c>
      <c r="F83" s="88">
        <v>6.5</v>
      </c>
      <c r="G83" s="105"/>
      <c r="H83" s="7" t="e">
        <v>#N/A</v>
      </c>
      <c r="I83" s="7" t="e">
        <v>#N/A</v>
      </c>
    </row>
    <row r="84" spans="1:9">
      <c r="A84" s="2" t="s">
        <v>107</v>
      </c>
      <c r="B84" s="86">
        <v>55518</v>
      </c>
      <c r="C84" s="87">
        <v>9.3999999999999986</v>
      </c>
      <c r="D84" s="88">
        <v>6.2</v>
      </c>
      <c r="E84" s="88">
        <v>5.7</v>
      </c>
      <c r="F84" s="88">
        <v>6.5</v>
      </c>
      <c r="G84" s="105"/>
      <c r="H84" s="7" t="e">
        <v>#N/A</v>
      </c>
      <c r="I84" s="7" t="e">
        <v>#N/A</v>
      </c>
    </row>
    <row r="85" spans="1:9">
      <c r="A85" s="2" t="s">
        <v>108</v>
      </c>
      <c r="B85" s="86">
        <v>55884</v>
      </c>
      <c r="C85" s="87">
        <v>9.3999999999999986</v>
      </c>
      <c r="D85" s="88">
        <v>6.2</v>
      </c>
      <c r="E85" s="88">
        <v>5.8</v>
      </c>
      <c r="F85" s="88">
        <v>6.5</v>
      </c>
      <c r="G85" s="105"/>
      <c r="H85" s="7" t="e">
        <v>#N/A</v>
      </c>
      <c r="I85" s="7" t="e">
        <v>#N/A</v>
      </c>
    </row>
    <row r="86" spans="1:9">
      <c r="A86" s="2" t="s">
        <v>109</v>
      </c>
      <c r="B86" s="86">
        <v>56249</v>
      </c>
      <c r="C86" s="87">
        <v>9.6</v>
      </c>
      <c r="D86" s="88">
        <v>6.2</v>
      </c>
      <c r="E86" s="88">
        <v>5.9</v>
      </c>
      <c r="F86" s="88">
        <v>6.4</v>
      </c>
      <c r="G86" s="105"/>
      <c r="H86" s="7" t="e">
        <v>#N/A</v>
      </c>
      <c r="I86" s="7" t="e">
        <v>#N/A</v>
      </c>
    </row>
    <row r="87" spans="1:9">
      <c r="A87" s="2" t="s">
        <v>110</v>
      </c>
      <c r="B87" s="86">
        <v>56614</v>
      </c>
      <c r="C87" s="87">
        <v>9.6999999999999993</v>
      </c>
      <c r="D87" s="88">
        <v>6.2</v>
      </c>
      <c r="E87" s="88">
        <v>5.9</v>
      </c>
      <c r="F87" s="88">
        <v>6.4</v>
      </c>
      <c r="G87" s="105"/>
      <c r="H87" s="7" t="e">
        <v>#N/A</v>
      </c>
      <c r="I87" s="7" t="e">
        <v>#N/A</v>
      </c>
    </row>
    <row r="88" spans="1:9">
      <c r="A88" s="2" t="s">
        <v>111</v>
      </c>
      <c r="B88" s="86">
        <v>56979</v>
      </c>
      <c r="C88" s="87">
        <v>9.8000000000000007</v>
      </c>
      <c r="D88" s="88">
        <v>6.3</v>
      </c>
      <c r="E88" s="88">
        <v>6</v>
      </c>
      <c r="F88" s="88">
        <v>6.4</v>
      </c>
      <c r="G88" s="105"/>
      <c r="H88" s="7" t="e">
        <v>#N/A</v>
      </c>
      <c r="I88" s="7" t="e">
        <v>#N/A</v>
      </c>
    </row>
    <row r="89" spans="1:9">
      <c r="A89" s="2" t="s">
        <v>112</v>
      </c>
      <c r="B89" s="86">
        <v>57345</v>
      </c>
      <c r="C89" s="87">
        <v>9.8000000000000007</v>
      </c>
      <c r="D89" s="88">
        <v>6.3</v>
      </c>
      <c r="E89" s="88">
        <v>6.1</v>
      </c>
      <c r="F89" s="88">
        <v>6.4</v>
      </c>
      <c r="G89" s="105"/>
      <c r="H89" s="7" t="e">
        <v>#N/A</v>
      </c>
      <c r="I89" s="7" t="e">
        <v>#N/A</v>
      </c>
    </row>
    <row r="90" spans="1:9">
      <c r="A90" s="2" t="s">
        <v>113</v>
      </c>
      <c r="B90" s="86">
        <v>57710</v>
      </c>
      <c r="C90" s="87">
        <v>10</v>
      </c>
      <c r="D90" s="88">
        <v>6.3</v>
      </c>
      <c r="E90" s="88">
        <v>6.2</v>
      </c>
      <c r="F90" s="88">
        <v>6.3</v>
      </c>
      <c r="G90" s="105"/>
      <c r="H90" s="7" t="e">
        <v>#N/A</v>
      </c>
      <c r="I90" s="7" t="e">
        <v>#N/A</v>
      </c>
    </row>
    <row r="91" spans="1:9">
      <c r="A91" s="2" t="s">
        <v>114</v>
      </c>
      <c r="B91" s="86">
        <v>58075</v>
      </c>
      <c r="C91" s="87">
        <v>10.1</v>
      </c>
      <c r="D91" s="88">
        <v>6.4</v>
      </c>
      <c r="E91" s="88">
        <v>6.3</v>
      </c>
      <c r="F91" s="88">
        <v>6.3</v>
      </c>
      <c r="G91" s="105"/>
      <c r="H91" s="7" t="e">
        <v>#N/A</v>
      </c>
      <c r="I91" s="7" t="e">
        <v>#N/A</v>
      </c>
    </row>
    <row r="92" spans="1:9">
      <c r="A92" s="2" t="s">
        <v>115</v>
      </c>
      <c r="B92" s="86">
        <v>58440</v>
      </c>
      <c r="C92" s="87">
        <v>10.199999999999999</v>
      </c>
      <c r="D92" s="88">
        <v>6.4</v>
      </c>
      <c r="E92" s="88">
        <v>6.4</v>
      </c>
      <c r="F92" s="88">
        <v>6.3</v>
      </c>
      <c r="G92" s="105"/>
      <c r="H92" s="7" t="e">
        <v>#N/A</v>
      </c>
      <c r="I92" s="7" t="e">
        <v>#N/A</v>
      </c>
    </row>
    <row r="93" spans="1:9">
      <c r="A93" s="2" t="s">
        <v>116</v>
      </c>
      <c r="B93" s="86">
        <v>58806</v>
      </c>
      <c r="C93" s="87">
        <v>10.3</v>
      </c>
      <c r="D93" s="88">
        <v>6.4</v>
      </c>
      <c r="E93" s="88">
        <v>6.5</v>
      </c>
      <c r="F93" s="88">
        <v>6.3</v>
      </c>
      <c r="G93" s="105"/>
      <c r="H93" s="7" t="e">
        <v>#N/A</v>
      </c>
      <c r="I93" s="7" t="e">
        <v>#N/A</v>
      </c>
    </row>
    <row r="94" spans="1:9">
      <c r="A94" s="2" t="s">
        <v>117</v>
      </c>
      <c r="B94" s="86">
        <v>59171</v>
      </c>
      <c r="C94" s="87">
        <v>10.5</v>
      </c>
      <c r="D94" s="88">
        <v>6.5</v>
      </c>
      <c r="E94" s="88">
        <v>6.6</v>
      </c>
      <c r="F94" s="88">
        <v>6.3</v>
      </c>
      <c r="G94" s="105"/>
      <c r="H94" s="7" t="e">
        <v>#N/A</v>
      </c>
      <c r="I94" s="7" t="e">
        <v>#N/A</v>
      </c>
    </row>
    <row r="95" spans="1:9">
      <c r="A95" s="2" t="s">
        <v>118</v>
      </c>
      <c r="B95" s="86">
        <v>59536</v>
      </c>
      <c r="C95" s="87">
        <v>10.6</v>
      </c>
      <c r="D95" s="88">
        <v>6.5</v>
      </c>
      <c r="E95" s="88">
        <v>6.7</v>
      </c>
      <c r="F95" s="88">
        <v>6.2</v>
      </c>
      <c r="G95" s="105"/>
      <c r="H95" s="7" t="e">
        <v>#N/A</v>
      </c>
      <c r="I95" s="7" t="e">
        <v>#N/A</v>
      </c>
    </row>
    <row r="96" spans="1:9">
      <c r="A96" s="2" t="s">
        <v>119</v>
      </c>
      <c r="B96" s="86">
        <v>59901</v>
      </c>
      <c r="C96" s="87">
        <v>10.7</v>
      </c>
      <c r="D96" s="88">
        <v>6.5</v>
      </c>
      <c r="E96" s="88">
        <v>6.8</v>
      </c>
      <c r="F96" s="88">
        <v>6.2</v>
      </c>
      <c r="G96" s="105"/>
      <c r="H96" s="7" t="e">
        <v>#N/A</v>
      </c>
      <c r="I96" s="7" t="e">
        <v>#N/A</v>
      </c>
    </row>
    <row r="97" spans="1:9">
      <c r="A97" s="2" t="s">
        <v>120</v>
      </c>
      <c r="B97" s="86">
        <v>60267</v>
      </c>
      <c r="C97" s="87">
        <v>10.8</v>
      </c>
      <c r="D97" s="88">
        <v>6.6</v>
      </c>
      <c r="E97" s="88">
        <v>6.9</v>
      </c>
      <c r="F97" s="88">
        <v>6.2</v>
      </c>
      <c r="G97" s="105"/>
      <c r="H97" s="7" t="e">
        <v>#N/A</v>
      </c>
      <c r="I97" s="7" t="e">
        <v>#N/A</v>
      </c>
    </row>
    <row r="98" spans="1:9">
      <c r="A98" s="2" t="s">
        <v>121</v>
      </c>
      <c r="B98" s="86">
        <v>60632</v>
      </c>
      <c r="C98" s="87">
        <v>11</v>
      </c>
      <c r="D98" s="88">
        <v>6.5</v>
      </c>
      <c r="E98" s="88">
        <v>7</v>
      </c>
      <c r="F98" s="88">
        <v>6.2</v>
      </c>
      <c r="G98" s="105"/>
      <c r="H98" s="7" t="e">
        <v>#N/A</v>
      </c>
      <c r="I98" s="7" t="e">
        <v>#N/A</v>
      </c>
    </row>
    <row r="99" spans="1:9">
      <c r="A99" s="2" t="s">
        <v>122</v>
      </c>
      <c r="B99" s="86">
        <v>60997</v>
      </c>
      <c r="C99" s="87">
        <v>11.100000000000001</v>
      </c>
      <c r="D99" s="88">
        <v>6.6</v>
      </c>
      <c r="E99" s="88">
        <v>7.1</v>
      </c>
      <c r="F99" s="88">
        <v>6.2</v>
      </c>
      <c r="G99" s="105"/>
      <c r="H99" s="7" t="e">
        <v>#N/A</v>
      </c>
      <c r="I99" s="7" t="e">
        <v>#N/A</v>
      </c>
    </row>
    <row r="100" spans="1:9">
      <c r="A100" s="2" t="s">
        <v>123</v>
      </c>
      <c r="B100" s="86">
        <v>61362</v>
      </c>
      <c r="C100" s="87">
        <v>11.2</v>
      </c>
      <c r="D100" s="88">
        <v>6.6</v>
      </c>
      <c r="E100" s="88">
        <v>7.3</v>
      </c>
      <c r="F100" s="88">
        <v>6.1</v>
      </c>
      <c r="G100" s="105"/>
      <c r="H100" s="7" t="e">
        <v>#N/A</v>
      </c>
      <c r="I100" s="7" t="e">
        <v>#N/A</v>
      </c>
    </row>
    <row r="101" spans="1:9">
      <c r="A101" s="2" t="s">
        <v>124</v>
      </c>
      <c r="B101" s="86">
        <v>61728</v>
      </c>
      <c r="C101" s="87">
        <v>11.3</v>
      </c>
      <c r="D101" s="88">
        <v>6.6</v>
      </c>
      <c r="E101" s="88">
        <v>7.4</v>
      </c>
      <c r="F101" s="88">
        <v>6.1</v>
      </c>
      <c r="G101" s="105"/>
      <c r="H101" s="7" t="e">
        <v>#N/A</v>
      </c>
      <c r="I101" s="7" t="e">
        <v>#N/A</v>
      </c>
    </row>
    <row r="102" spans="1:9">
      <c r="A102" s="2" t="s">
        <v>125</v>
      </c>
      <c r="B102" s="86">
        <v>62093</v>
      </c>
      <c r="C102" s="87">
        <v>11.5</v>
      </c>
      <c r="D102" s="88">
        <v>6.6</v>
      </c>
      <c r="E102" s="88">
        <v>7.5</v>
      </c>
      <c r="F102" s="88">
        <v>6.1</v>
      </c>
      <c r="G102" s="105"/>
      <c r="H102" s="7" t="e">
        <v>#N/A</v>
      </c>
      <c r="I102" s="7" t="e">
        <v>#N/A</v>
      </c>
    </row>
    <row r="103" spans="1:9">
      <c r="A103" s="2" t="s">
        <v>126</v>
      </c>
      <c r="B103" s="86">
        <v>62458</v>
      </c>
      <c r="C103" s="87">
        <v>11.6</v>
      </c>
      <c r="D103" s="88">
        <v>6.6</v>
      </c>
      <c r="E103" s="88">
        <v>7.6</v>
      </c>
      <c r="F103" s="88">
        <v>6.1</v>
      </c>
      <c r="G103" s="105"/>
      <c r="H103" s="7" t="e">
        <v>#N/A</v>
      </c>
      <c r="I103" s="7" t="e">
        <v>#N/A</v>
      </c>
    </row>
    <row r="104" spans="1:9">
      <c r="A104" s="2" t="s">
        <v>127</v>
      </c>
      <c r="B104" s="86">
        <v>62823</v>
      </c>
      <c r="C104" s="87">
        <v>11.7</v>
      </c>
      <c r="D104" s="88">
        <v>6.6</v>
      </c>
      <c r="E104" s="88">
        <v>7.7</v>
      </c>
      <c r="F104" s="88">
        <v>6.1</v>
      </c>
      <c r="G104" s="105"/>
      <c r="H104" s="7" t="e">
        <v>#N/A</v>
      </c>
      <c r="I104" s="7" t="e">
        <v>#N/A</v>
      </c>
    </row>
    <row r="105" spans="1:9">
      <c r="A105" s="2" t="s">
        <v>128</v>
      </c>
      <c r="B105" s="86">
        <v>63189</v>
      </c>
      <c r="C105" s="87">
        <v>11.8</v>
      </c>
      <c r="D105" s="88">
        <v>6.6</v>
      </c>
      <c r="E105" s="88">
        <v>7.8</v>
      </c>
      <c r="F105" s="88">
        <v>6.1</v>
      </c>
      <c r="G105" s="105"/>
      <c r="H105" s="7" t="e">
        <v>#N/A</v>
      </c>
      <c r="I105" s="7" t="e">
        <v>#N/A</v>
      </c>
    </row>
    <row r="106" spans="1:9">
      <c r="A106" s="2" t="s">
        <v>129</v>
      </c>
      <c r="B106" s="86">
        <v>63554</v>
      </c>
      <c r="C106" s="87">
        <v>12</v>
      </c>
      <c r="D106" s="88">
        <v>6.6</v>
      </c>
      <c r="E106" s="88">
        <v>7.9</v>
      </c>
      <c r="F106" s="88">
        <v>6</v>
      </c>
      <c r="G106" s="105"/>
      <c r="H106" s="7" t="e">
        <v>#N/A</v>
      </c>
      <c r="I106" s="7" t="e">
        <v>#N/A</v>
      </c>
    </row>
    <row r="107" spans="1:9">
      <c r="A107" s="2" t="s">
        <v>130</v>
      </c>
      <c r="B107" s="86">
        <v>63919</v>
      </c>
      <c r="C107" s="87">
        <v>12.100000000000001</v>
      </c>
      <c r="D107" s="88">
        <v>6.6</v>
      </c>
      <c r="E107" s="88">
        <v>8</v>
      </c>
      <c r="F107" s="88">
        <v>6</v>
      </c>
      <c r="G107" s="105"/>
      <c r="H107" s="7" t="e">
        <v>#N/A</v>
      </c>
      <c r="I107" s="7" t="e">
        <v>#N/A</v>
      </c>
    </row>
    <row r="108" spans="1:9">
      <c r="A108" s="2" t="s">
        <v>131</v>
      </c>
      <c r="B108" s="86">
        <v>64284</v>
      </c>
      <c r="C108" s="87">
        <v>12.2</v>
      </c>
      <c r="D108" s="88">
        <v>6.7</v>
      </c>
      <c r="E108" s="88">
        <v>8.1</v>
      </c>
      <c r="F108" s="88">
        <v>6</v>
      </c>
      <c r="G108" s="105"/>
      <c r="H108" s="7" t="e">
        <v>#N/A</v>
      </c>
      <c r="I108" s="7" t="e">
        <v>#N/A</v>
      </c>
    </row>
    <row r="109" spans="1:9">
      <c r="A109" s="2" t="s">
        <v>132</v>
      </c>
      <c r="B109" s="86">
        <v>64650</v>
      </c>
      <c r="C109" s="87">
        <v>12.3</v>
      </c>
      <c r="D109" s="88">
        <v>6.6</v>
      </c>
      <c r="E109" s="88">
        <v>8.3000000000000007</v>
      </c>
      <c r="F109" s="88">
        <v>6</v>
      </c>
      <c r="G109" s="105"/>
      <c r="H109" s="7" t="e">
        <v>#N/A</v>
      </c>
      <c r="I109" s="7" t="e">
        <v>#N/A</v>
      </c>
    </row>
    <row r="110" spans="1:9">
      <c r="A110" s="2" t="s">
        <v>133</v>
      </c>
      <c r="B110" s="86">
        <v>65015</v>
      </c>
      <c r="C110" s="87">
        <v>12.4</v>
      </c>
      <c r="D110" s="88">
        <v>6.7</v>
      </c>
      <c r="E110" s="88">
        <v>8.3000000000000007</v>
      </c>
      <c r="F110" s="88">
        <v>6</v>
      </c>
      <c r="G110" s="105"/>
      <c r="H110" s="7" t="e">
        <v>#N/A</v>
      </c>
      <c r="I110" s="7" t="e">
        <v>#N/A</v>
      </c>
    </row>
    <row r="111" spans="1:9">
      <c r="A111" s="2" t="s">
        <v>134</v>
      </c>
      <c r="B111" s="86">
        <v>65380</v>
      </c>
      <c r="C111" s="87">
        <v>12.6</v>
      </c>
      <c r="D111" s="88">
        <v>6.7</v>
      </c>
      <c r="E111" s="88">
        <v>8.5</v>
      </c>
      <c r="F111" s="88">
        <v>6</v>
      </c>
      <c r="G111" s="105"/>
      <c r="H111" s="7" t="e">
        <v>#N/A</v>
      </c>
      <c r="I111" s="7" t="e">
        <v>#N/A</v>
      </c>
    </row>
    <row r="112" spans="1:9">
      <c r="A112" s="2" t="s">
        <v>135</v>
      </c>
      <c r="B112" s="86">
        <v>65745</v>
      </c>
      <c r="C112" s="87">
        <v>12.7</v>
      </c>
      <c r="D112" s="88">
        <v>6.7</v>
      </c>
      <c r="E112" s="88">
        <v>8.6</v>
      </c>
      <c r="F112" s="88">
        <v>5.9</v>
      </c>
      <c r="G112" s="105"/>
      <c r="H112" s="7" t="e">
        <v>#N/A</v>
      </c>
      <c r="I112" s="7" t="e">
        <v>#N/A</v>
      </c>
    </row>
    <row r="113" spans="1:9">
      <c r="A113" s="2" t="s">
        <v>136</v>
      </c>
      <c r="B113" s="86">
        <v>66111</v>
      </c>
      <c r="C113" s="87">
        <v>12.8</v>
      </c>
      <c r="D113" s="88">
        <v>6.7</v>
      </c>
      <c r="E113" s="88">
        <v>8.8000000000000007</v>
      </c>
      <c r="F113" s="88">
        <v>5.9</v>
      </c>
      <c r="G113" s="105"/>
      <c r="H113" s="7" t="e">
        <v>#N/A</v>
      </c>
      <c r="I113" s="7" t="e">
        <v>#N/A</v>
      </c>
    </row>
    <row r="114" spans="1:9">
      <c r="A114" s="2" t="s">
        <v>137</v>
      </c>
      <c r="B114" s="86">
        <v>66476</v>
      </c>
      <c r="C114" s="87">
        <v>12.9</v>
      </c>
      <c r="D114" s="88">
        <v>6.7</v>
      </c>
      <c r="E114" s="88">
        <v>8.9</v>
      </c>
      <c r="F114" s="88">
        <v>5.9</v>
      </c>
      <c r="G114" s="105"/>
      <c r="H114" s="7" t="e">
        <v>#N/A</v>
      </c>
      <c r="I114" s="7" t="e">
        <v>#N/A</v>
      </c>
    </row>
    <row r="115" spans="1:9">
      <c r="A115" s="2" t="s">
        <v>138</v>
      </c>
      <c r="B115" s="86">
        <v>66841</v>
      </c>
      <c r="C115" s="87">
        <v>13.1</v>
      </c>
      <c r="D115" s="88">
        <v>6.7</v>
      </c>
      <c r="E115" s="88">
        <v>9</v>
      </c>
      <c r="F115" s="88">
        <v>5.9</v>
      </c>
      <c r="G115" s="105"/>
      <c r="H115" s="7" t="e">
        <v>#N/A</v>
      </c>
      <c r="I115" s="7" t="e">
        <v>#N/A</v>
      </c>
    </row>
    <row r="116" spans="1:9">
      <c r="A116" s="2" t="s">
        <v>139</v>
      </c>
      <c r="B116" s="86">
        <v>67206</v>
      </c>
      <c r="C116" s="87">
        <v>13.2</v>
      </c>
      <c r="D116" s="88">
        <v>6.7</v>
      </c>
      <c r="E116" s="88">
        <v>9.1999999999999993</v>
      </c>
      <c r="F116" s="88">
        <v>5.9</v>
      </c>
      <c r="G116" s="105"/>
      <c r="H116" s="7" t="e">
        <v>#N/A</v>
      </c>
      <c r="I116" s="7" t="e">
        <v>#N/A</v>
      </c>
    </row>
    <row r="117" spans="1:9">
      <c r="A117" s="2" t="s">
        <v>140</v>
      </c>
      <c r="B117" s="86">
        <v>67572</v>
      </c>
      <c r="C117" s="87">
        <v>13.299999999999999</v>
      </c>
      <c r="D117" s="88">
        <v>6.8</v>
      </c>
      <c r="E117" s="88">
        <v>9.3000000000000007</v>
      </c>
      <c r="F117" s="88">
        <v>5.9</v>
      </c>
      <c r="G117" s="105"/>
      <c r="H117" s="7" t="e">
        <v>#N/A</v>
      </c>
      <c r="I117" s="7" t="e">
        <v>#N/A</v>
      </c>
    </row>
    <row r="118" spans="1:9">
      <c r="A118" s="2" t="s">
        <v>141</v>
      </c>
      <c r="B118" s="86">
        <v>67937</v>
      </c>
      <c r="C118" s="87">
        <v>13.4</v>
      </c>
      <c r="D118" s="88">
        <v>6.8</v>
      </c>
      <c r="E118" s="88">
        <v>9.4</v>
      </c>
      <c r="F118" s="88">
        <v>5.9</v>
      </c>
      <c r="G118" s="105"/>
      <c r="H118" s="7" t="e">
        <v>#N/A</v>
      </c>
      <c r="I118" s="7" t="e">
        <v>#N/A</v>
      </c>
    </row>
    <row r="119" spans="1:9">
      <c r="A119" s="2" t="s">
        <v>142</v>
      </c>
      <c r="B119" s="86">
        <v>68302</v>
      </c>
      <c r="C119" s="87">
        <v>13.6</v>
      </c>
      <c r="D119" s="88">
        <v>6.8</v>
      </c>
      <c r="E119" s="88">
        <v>9.6</v>
      </c>
      <c r="F119" s="88">
        <v>5.9</v>
      </c>
      <c r="G119" s="105"/>
      <c r="H119" s="7" t="e">
        <v>#N/A</v>
      </c>
      <c r="I119" s="7" t="e">
        <v>#N/A</v>
      </c>
    </row>
    <row r="120" spans="1:9">
      <c r="A120" s="2" t="s">
        <v>143</v>
      </c>
      <c r="B120" s="86">
        <v>68667</v>
      </c>
      <c r="C120" s="87">
        <v>13.6</v>
      </c>
      <c r="D120" s="88">
        <v>6.8</v>
      </c>
      <c r="E120" s="88">
        <v>9.6999999999999993</v>
      </c>
      <c r="F120" s="88">
        <v>5.8</v>
      </c>
      <c r="G120" s="105"/>
      <c r="H120" s="7" t="e">
        <v>#N/A</v>
      </c>
      <c r="I120" s="7" t="e">
        <v>#N/A</v>
      </c>
    </row>
    <row r="121" spans="1:9">
      <c r="A121" s="2" t="s">
        <v>144</v>
      </c>
      <c r="B121" s="86">
        <v>69033</v>
      </c>
      <c r="C121" s="87">
        <v>13.799999999999999</v>
      </c>
      <c r="D121" s="88">
        <v>6.8</v>
      </c>
      <c r="E121" s="88">
        <v>9.9</v>
      </c>
      <c r="F121" s="88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6">
        <v>69398</v>
      </c>
      <c r="C122" s="87">
        <v>14</v>
      </c>
      <c r="D122" s="88">
        <v>6.9</v>
      </c>
      <c r="E122" s="88">
        <v>10</v>
      </c>
      <c r="F122" s="88">
        <v>5.8</v>
      </c>
      <c r="H122" s="7" t="e">
        <v>#N/A</v>
      </c>
      <c r="I122" s="7" t="e">
        <v>#N/A</v>
      </c>
    </row>
    <row r="123" spans="1:9">
      <c r="A123" s="2" t="s">
        <v>262</v>
      </c>
      <c r="B123" s="86" t="s">
        <v>262</v>
      </c>
      <c r="C123" s="87" t="s">
        <v>262</v>
      </c>
      <c r="D123" s="88" t="s">
        <v>262</v>
      </c>
      <c r="E123" s="88" t="s">
        <v>262</v>
      </c>
      <c r="F123" s="88" t="s">
        <v>262</v>
      </c>
      <c r="H123" s="7" t="s">
        <v>262</v>
      </c>
      <c r="I123" s="7" t="s">
        <v>262</v>
      </c>
    </row>
    <row r="124" spans="1:9">
      <c r="A124" s="2" t="s">
        <v>262</v>
      </c>
      <c r="B124" s="86" t="s">
        <v>262</v>
      </c>
      <c r="C124" s="89" t="s">
        <v>262</v>
      </c>
      <c r="D124" s="89" t="s">
        <v>262</v>
      </c>
      <c r="E124" s="89" t="s">
        <v>262</v>
      </c>
      <c r="F124" s="89" t="s">
        <v>262</v>
      </c>
      <c r="H124" s="2" t="s">
        <v>262</v>
      </c>
      <c r="I124" s="2" t="s">
        <v>262</v>
      </c>
    </row>
    <row r="125" spans="1:9">
      <c r="A125" s="2" t="s">
        <v>262</v>
      </c>
      <c r="B125" s="86" t="s">
        <v>262</v>
      </c>
      <c r="C125" s="89" t="s">
        <v>262</v>
      </c>
      <c r="D125" s="89" t="s">
        <v>262</v>
      </c>
      <c r="E125" s="89" t="s">
        <v>262</v>
      </c>
      <c r="F125" s="89" t="s">
        <v>262</v>
      </c>
      <c r="H125" s="2" t="s">
        <v>262</v>
      </c>
      <c r="I125" s="2" t="s">
        <v>262</v>
      </c>
    </row>
    <row r="126" spans="1:9">
      <c r="A126" s="2" t="s">
        <v>262</v>
      </c>
      <c r="B126" s="8" t="s">
        <v>262</v>
      </c>
      <c r="C126" s="2" t="s">
        <v>262</v>
      </c>
      <c r="D126" s="2" t="s">
        <v>262</v>
      </c>
      <c r="E126" s="2" t="s">
        <v>262</v>
      </c>
      <c r="F126" s="2" t="s">
        <v>262</v>
      </c>
      <c r="H126" s="2" t="s">
        <v>262</v>
      </c>
      <c r="I126" s="2" t="s">
        <v>262</v>
      </c>
    </row>
    <row r="127" spans="1:9">
      <c r="A127" s="2" t="s">
        <v>262</v>
      </c>
      <c r="B127" s="8" t="s">
        <v>262</v>
      </c>
      <c r="C127" s="2" t="s">
        <v>262</v>
      </c>
      <c r="D127" s="2" t="s">
        <v>262</v>
      </c>
      <c r="E127" s="2" t="s">
        <v>262</v>
      </c>
      <c r="F127" s="2" t="s">
        <v>262</v>
      </c>
      <c r="H127" s="2" t="s">
        <v>262</v>
      </c>
      <c r="I127" s="2" t="s">
        <v>262</v>
      </c>
    </row>
    <row r="128" spans="1:9">
      <c r="A128" s="2" t="s">
        <v>262</v>
      </c>
      <c r="B128" s="8" t="s">
        <v>262</v>
      </c>
      <c r="C128" s="2" t="s">
        <v>262</v>
      </c>
      <c r="D128" s="2" t="s">
        <v>262</v>
      </c>
      <c r="E128" s="2" t="s">
        <v>262</v>
      </c>
      <c r="F128" s="2" t="s">
        <v>262</v>
      </c>
      <c r="H128" s="2" t="s">
        <v>262</v>
      </c>
      <c r="I128" s="2" t="s">
        <v>262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419</v>
      </c>
      <c r="C1" t="s">
        <v>420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13000.00</v>
      </c>
      <c r="C2" s="25" t="e">
        <f>IF('Change in Employment'!J8&lt;&gt;"",TEXT('Change in Employment'!J8, "0.00"),"")</f>
        <v>#N/A</v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38000.00</v>
      </c>
      <c r="C3" s="25" t="e">
        <f>IF('Change in Employment'!J9&lt;&gt;"",TEXT('Change in Employment'!J9, "0.00"),"")</f>
        <v>#N/A</v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4000.00</v>
      </c>
      <c r="C4" s="25" t="str">
        <f>IF('Change in Employment'!J10&lt;&gt;"",TEXT('Change in Employment'!J10, "0.00"),"")</f>
        <v>18333.33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23000.00</v>
      </c>
      <c r="C5" s="25" t="str">
        <f>IF('Change in Employment'!J11&lt;&gt;"",TEXT('Change in Employment'!J11, "0.00"),"")</f>
        <v>21666.67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-13000.00</v>
      </c>
      <c r="C6" s="25" t="str">
        <f>IF('Change in Employment'!J12&lt;&gt;"",TEXT('Change in Employment'!J12, "0.00"),"")</f>
        <v>4666.67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6000.00</v>
      </c>
      <c r="C7" s="25" t="str">
        <f>IF('Change in Employment'!J13&lt;&gt;"",TEXT('Change in Employment'!J13, "0.00"),"")</f>
        <v>5333.33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20000.00</v>
      </c>
      <c r="C8" s="25" t="str">
        <f>IF('Change in Employment'!J14&lt;&gt;"",TEXT('Change in Employment'!J14, "0.00"),"")</f>
        <v>4333.33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9000.00</v>
      </c>
      <c r="C9" s="25" t="str">
        <f>IF('Change in Employment'!J15&lt;&gt;"",TEXT('Change in Employment'!J15, "0.00"),"")</f>
        <v>11666.67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26000.00</v>
      </c>
      <c r="C10" s="25" t="str">
        <f>IF('Change in Employment'!J16&lt;&gt;"",TEXT('Change in Employment'!J16, "0.00"),"")</f>
        <v>18333.33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33000.00</v>
      </c>
      <c r="C11" s="25" t="str">
        <f>IF('Change in Employment'!J17&lt;&gt;"",TEXT('Change in Employment'!J17, "0.00"),"")</f>
        <v>22666.67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19666.67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43000.00</v>
      </c>
      <c r="C13" s="25" t="str">
        <f>IF('Change in Employment'!J19&lt;&gt;"",TEXT('Change in Employment'!J19, "0.00"),"")</f>
        <v>25333.33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8000.00</v>
      </c>
      <c r="C14" s="25" t="str">
        <f>IF('Change in Employment'!J20&lt;&gt;"",TEXT('Change in Employment'!J20, "0.00"),"")</f>
        <v>17000.00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-9000.00</v>
      </c>
      <c r="C15" s="25" t="str">
        <f>IF('Change in Employment'!J21&lt;&gt;"",TEXT('Change in Employment'!J21, "0.00"),"")</f>
        <v>14000.00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22000.00</v>
      </c>
      <c r="C16" s="25" t="str">
        <f>IF('Change in Employment'!J22&lt;&gt;"",TEXT('Change in Employment'!J22, "0.00"),"")</f>
        <v>7000.00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18000.00</v>
      </c>
      <c r="C17" s="25" t="str">
        <f>IF('Change in Employment'!J23&lt;&gt;"",TEXT('Change in Employment'!J23, "0.00"),"")</f>
        <v>10333.33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-17000.00</v>
      </c>
      <c r="C18" s="25" t="str">
        <f>IF('Change in Employment'!J24&lt;&gt;"",TEXT('Change in Employment'!J24, "0.00"),"")</f>
        <v>7666.67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99000.00</v>
      </c>
      <c r="C19" s="25" t="str">
        <f>IF('Change in Employment'!J25&lt;&gt;"",TEXT('Change in Employment'!J25, "0.00"),"")</f>
        <v>33333.33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3000.00</v>
      </c>
      <c r="C20" s="25" t="str">
        <f>IF('Change in Employment'!J26&lt;&gt;"",TEXT('Change in Employment'!J26, "0.00"),"")</f>
        <v>28333.33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-19000.00</v>
      </c>
      <c r="C21" s="25" t="str">
        <f>IF('Change in Employment'!J27&lt;&gt;"",TEXT('Change in Employment'!J27, "0.00"),"")</f>
        <v>27666.67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-19000.00</v>
      </c>
      <c r="C22" s="25" t="str">
        <f>IF('Change in Employment'!J28&lt;&gt;"",TEXT('Change in Employment'!J28, "0.00"),"")</f>
        <v>-11666.67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26000.00</v>
      </c>
      <c r="C23" s="25" t="str">
        <f>IF('Change in Employment'!J29&lt;&gt;"",TEXT('Change in Employment'!J29, "0.00"),"")</f>
        <v>-4000.00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26000.00</v>
      </c>
      <c r="C24" s="25" t="str">
        <f>IF('Change in Employment'!J30&lt;&gt;"",TEXT('Change in Employment'!J30, "0.00"),"")</f>
        <v>11000.00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-26000.00</v>
      </c>
      <c r="C25" s="25" t="str">
        <f>IF('Change in Employment'!J31&lt;&gt;"",TEXT('Change in Employment'!J31, "0.00"),"")</f>
        <v>8666.67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25000.00</v>
      </c>
      <c r="C26" s="25" t="str">
        <f>IF('Change in Employment'!J32&lt;&gt;"",TEXT('Change in Employment'!J32, "0.00"),"")</f>
        <v>8333.33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25000.00</v>
      </c>
      <c r="C27" s="25" t="str">
        <f>IF('Change in Employment'!J33&lt;&gt;"",TEXT('Change in Employment'!J33, "0.00"),"")</f>
        <v>8000.00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16000.00</v>
      </c>
      <c r="C28" s="25" t="str">
        <f>IF('Change in Employment'!J34&lt;&gt;"",TEXT('Change in Employment'!J34, "0.00"),"")</f>
        <v>22000.00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6000.00</v>
      </c>
      <c r="C29" s="25" t="str">
        <f>IF('Change in Employment'!J35&lt;&gt;"",TEXT('Change in Employment'!J35, "0.00"),"")</f>
        <v>15666.67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-6000.00</v>
      </c>
      <c r="C30" s="25" t="str">
        <f>IF('Change in Employment'!J36&lt;&gt;"",TEXT('Change in Employment'!J36, "0.00"),"")</f>
        <v>5333.33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47000.00</v>
      </c>
      <c r="C31" s="25" t="str">
        <f>IF('Change in Employment'!J37&lt;&gt;"",TEXT('Change in Employment'!J37, "0.00"),"")</f>
        <v>15666.67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45000.00</v>
      </c>
      <c r="C32" s="25" t="str">
        <f>IF('Change in Employment'!J38&lt;&gt;"",TEXT('Change in Employment'!J38, "0.00"),"")</f>
        <v>28666.67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72000.00</v>
      </c>
      <c r="C33" s="25" t="str">
        <f>IF('Change in Employment'!J39&lt;&gt;"",TEXT('Change in Employment'!J39, "0.00"),"")</f>
        <v>54666.67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-13000.00</v>
      </c>
      <c r="C34" s="25" t="str">
        <f>IF('Change in Employment'!J40&lt;&gt;"",TEXT('Change in Employment'!J40, "0.00"),"")</f>
        <v>34666.67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17000.00</v>
      </c>
      <c r="C35" s="25" t="str">
        <f>IF('Change in Employment'!J41&lt;&gt;"",TEXT('Change in Employment'!J41, "0.00"),"")</f>
        <v>25333.33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4000.00</v>
      </c>
      <c r="C36" s="25" t="str">
        <f>IF('Change in Employment'!J42&lt;&gt;"",TEXT('Change in Employment'!J42, "0.00"),"")</f>
        <v>2666.67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6000.00</v>
      </c>
      <c r="C37" s="25" t="str">
        <f>IF('Change in Employment'!J43&lt;&gt;"",TEXT('Change in Employment'!J43, "0.00"),"")</f>
        <v>9000.00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35000.00</v>
      </c>
      <c r="C38" s="25" t="str">
        <f>IF('Change in Employment'!J44&lt;&gt;"",TEXT('Change in Employment'!J44, "0.00"),"")</f>
        <v>15000.00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19000.00</v>
      </c>
      <c r="C39" s="25" t="str">
        <f>IF('Change in Employment'!J45&lt;&gt;"",TEXT('Change in Employment'!J45, "0.00"),"")</f>
        <v>20000.00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25000.00</v>
      </c>
      <c r="C40" s="25" t="str">
        <f>IF('Change in Employment'!J46&lt;&gt;"",TEXT('Change in Employment'!J46, "0.00"),"")</f>
        <v>26333.33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17000.00</v>
      </c>
      <c r="C41" s="25" t="str">
        <f>IF('Change in Employment'!J47&lt;&gt;"",TEXT('Change in Employment'!J47, "0.00"),"")</f>
        <v>20333.33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18000.00</v>
      </c>
      <c r="C42" s="25" t="str">
        <f>IF('Change in Employment'!J48&lt;&gt;"",TEXT('Change in Employment'!J48, "0.00"),"")</f>
        <v>20000.00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-34000.00</v>
      </c>
      <c r="C43" s="25" t="str">
        <f>IF('Change in Employment'!J49&lt;&gt;"",TEXT('Change in Employment'!J49, "0.00"),"")</f>
        <v>333.33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44000.00</v>
      </c>
      <c r="C44" s="25" t="str">
        <f>IF('Change in Employment'!J50&lt;&gt;"",TEXT('Change in Employment'!J50, "0.00"),"")</f>
        <v>9333.33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54000.00</v>
      </c>
      <c r="C45" s="25" t="str">
        <f>IF('Change in Employment'!J51&lt;&gt;"",TEXT('Change in Employment'!J51, "0.00"),"")</f>
        <v>21333.33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21000.00</v>
      </c>
      <c r="C46" s="25" t="str">
        <f>IF('Change in Employment'!J52&lt;&gt;"",TEXT('Change in Employment'!J52, "0.00"),"")</f>
        <v>39666.67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27000.00</v>
      </c>
      <c r="C47" s="25" t="str">
        <f>IF('Change in Employment'!J53&lt;&gt;"",TEXT('Change in Employment'!J53, "0.00"),"")</f>
        <v>34000.00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30000.00</v>
      </c>
      <c r="C48" s="25" t="str">
        <f>IF('Change in Employment'!J54&lt;&gt;"",TEXT('Change in Employment'!J54, "0.00"),"")</f>
        <v>26000.00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30000.00</v>
      </c>
      <c r="C49" s="25" t="str">
        <f>IF('Change in Employment'!J55&lt;&gt;"",TEXT('Change in Employment'!J55, "0.00"),"")</f>
        <v>29000.00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20000.00</v>
      </c>
      <c r="C50" s="25" t="str">
        <f>IF('Change in Employment'!J56&lt;&gt;"",TEXT('Change in Employment'!J56, "0.00"),"")</f>
        <v>26666.67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21000.00</v>
      </c>
      <c r="C51" s="25" t="str">
        <f>IF('Change in Employment'!J57&lt;&gt;"",TEXT('Change in Employment'!J57, "0.00"),"")</f>
        <v>23666.67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4000.00</v>
      </c>
      <c r="C52" s="25" t="str">
        <f>IF('Change in Employment'!J58&lt;&gt;"",TEXT('Change in Employment'!J58, "0.00"),"")</f>
        <v>15000.00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31000.00</v>
      </c>
      <c r="C53" s="25" t="str">
        <f>IF('Change in Employment'!J59&lt;&gt;"",TEXT('Change in Employment'!J59, "0.00"),"")</f>
        <v>18666.67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32000.00</v>
      </c>
      <c r="C54" s="25" t="str">
        <f>IF('Change in Employment'!J60&lt;&gt;"",TEXT('Change in Employment'!J60, "0.00"),"")</f>
        <v>22333.33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43000.00</v>
      </c>
      <c r="C55" s="25" t="str">
        <f>IF('Change in Employment'!J61&lt;&gt;"",TEXT('Change in Employment'!J61, "0.00"),"")</f>
        <v>35333.33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25000.00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-32000.00</v>
      </c>
      <c r="C57" s="25" t="str">
        <f>IF('Change in Employment'!J63&lt;&gt;"",TEXT('Change in Employment'!J63, "0.00"),"")</f>
        <v>3666.67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8000.00</v>
      </c>
      <c r="C58" s="25" t="str">
        <f>IF('Change in Employment'!J64&lt;&gt;"",TEXT('Change in Employment'!J64, "0.00"),"")</f>
        <v>-8000.00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5000.00</v>
      </c>
      <c r="C59" s="25" t="str">
        <f>IF('Change in Employment'!J65&lt;&gt;"",TEXT('Change in Employment'!J65, "0.00"),"")</f>
        <v>-6333.33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-1000.00</v>
      </c>
      <c r="C60" s="25" t="str">
        <f>IF('Change in Employment'!J66&lt;&gt;"",TEXT('Change in Employment'!J66, "0.00"),"")</f>
        <v>4000.00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12000.00</v>
      </c>
      <c r="C61" s="25" t="str">
        <f>IF('Change in Employment'!J67&lt;&gt;"",TEXT('Change in Employment'!J67, "0.00"),"")</f>
        <v>5333.33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-12000.00</v>
      </c>
      <c r="C62" s="25" t="str">
        <f>IF('Change in Employment'!J68&lt;&gt;"",TEXT('Change in Employment'!J68, "0.00"),"")</f>
        <v>-333.33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-18000.00</v>
      </c>
      <c r="C63" s="25" t="str">
        <f>IF('Change in Employment'!J69&lt;&gt;"",TEXT('Change in Employment'!J69, "0.00"),"")</f>
        <v>-6000.00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-8000.00</v>
      </c>
      <c r="C64" s="25" t="str">
        <f>IF('Change in Employment'!J70&lt;&gt;"",TEXT('Change in Employment'!J70, "0.00"),"")</f>
        <v>-12666.67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2000.00</v>
      </c>
      <c r="C65" s="25" t="str">
        <f>IF('Change in Employment'!J71&lt;&gt;"",TEXT('Change in Employment'!J71, "0.00"),"")</f>
        <v>-8000.00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5000.00</v>
      </c>
      <c r="C66" s="25" t="str">
        <f>IF('Change in Employment'!J72&lt;&gt;"",TEXT('Change in Employment'!J72, "0.00"),"")</f>
        <v>-333.33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-67000.00</v>
      </c>
      <c r="C67" s="25" t="str">
        <f>IF('Change in Employment'!J73&lt;&gt;"",TEXT('Change in Employment'!J73, "0.00"),"")</f>
        <v>-20000.00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17000.00</v>
      </c>
      <c r="C68" s="25" t="str">
        <f>IF('Change in Employment'!J74&lt;&gt;"",TEXT('Change in Employment'!J74, "0.00"),"")</f>
        <v>-15000.00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-87000.00</v>
      </c>
      <c r="C69" s="25" t="str">
        <f>IF('Change in Employment'!J75&lt;&gt;"",TEXT('Change in Employment'!J75, "0.00"),"")</f>
        <v>-45666.67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56000.00</v>
      </c>
      <c r="C70" s="25" t="str">
        <f>IF('Change in Employment'!J76&lt;&gt;"",TEXT('Change in Employment'!J76, "0.00"),"")</f>
        <v>-4666.67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10000.00</v>
      </c>
      <c r="C71" s="25" t="str">
        <f>IF('Change in Employment'!J77&lt;&gt;"",TEXT('Change in Employment'!J77, "0.00"),"")</f>
        <v>-7000.00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-40000.00</v>
      </c>
      <c r="C72" s="25" t="str">
        <f>IF('Change in Employment'!J78&lt;&gt;"",TEXT('Change in Employment'!J78, "0.00"),"")</f>
        <v>8666.67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-31000.00</v>
      </c>
      <c r="C73" s="25" t="str">
        <f>IF('Change in Employment'!J79&lt;&gt;"",TEXT('Change in Employment'!J79, "0.00"),"")</f>
        <v>-20333.33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-23000.00</v>
      </c>
      <c r="C74" s="25" t="str">
        <f>IF('Change in Employment'!J80&lt;&gt;"",TEXT('Change in Employment'!J80, "0.00"),"")</f>
        <v>-31333.33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-8000.00</v>
      </c>
      <c r="C75" s="25" t="str">
        <f>IF('Change in Employment'!J81&lt;&gt;"",TEXT('Change in Employment'!J81, "0.00"),"")</f>
        <v>-20666.67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-5000.00</v>
      </c>
      <c r="C76" s="25" t="str">
        <f>IF('Change in Employment'!J82&lt;&gt;"",TEXT('Change in Employment'!J82, "0.00"),"")</f>
        <v>-12000.00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-7000.00</v>
      </c>
      <c r="C77" s="25" t="str">
        <f>IF('Change in Employment'!J83&lt;&gt;"",TEXT('Change in Employment'!J83, "0.00"),"")</f>
        <v>-6666.67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-10000.00</v>
      </c>
      <c r="C78" s="25" t="str">
        <f>IF('Change in Employment'!J84&lt;&gt;"",TEXT('Change in Employment'!J84, "0.00"),"")</f>
        <v>-7333.33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-42000.00</v>
      </c>
      <c r="C79" s="25" t="str">
        <f>IF('Change in Employment'!J85&lt;&gt;"",TEXT('Change in Employment'!J85, "0.00"),"")</f>
        <v>-19666.67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-50000.00</v>
      </c>
      <c r="C80" s="25" t="str">
        <f>IF('Change in Employment'!J86&lt;&gt;"",TEXT('Change in Employment'!J86, "0.00"),"")</f>
        <v>-34000.00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-88000.00</v>
      </c>
      <c r="C81" s="25" t="str">
        <f>IF('Change in Employment'!J87&lt;&gt;"",TEXT('Change in Employment'!J87, "0.00"),"")</f>
        <v>-60000.00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45000.00</v>
      </c>
      <c r="C82" s="25" t="str">
        <f>IF('Change in Employment'!J88&lt;&gt;"",TEXT('Change in Employment'!J88, "0.00"),"")</f>
        <v>-31000.00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-12000.00</v>
      </c>
      <c r="C83" s="25" t="str">
        <f>IF('Change in Employment'!J89&lt;&gt;"",TEXT('Change in Employment'!J89, "0.00"),"")</f>
        <v>-18333.33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-27000.00</v>
      </c>
      <c r="C84" s="25" t="str">
        <f>IF('Change in Employment'!J90&lt;&gt;"",TEXT('Change in Employment'!J90, "0.00"),"")</f>
        <v>2000.00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-6000.00</v>
      </c>
      <c r="C85" s="25" t="str">
        <f>IF('Change in Employment'!J91&lt;&gt;"",TEXT('Change in Employment'!J91, "0.00"),"")</f>
        <v>-15000.00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-56000.00</v>
      </c>
      <c r="C86" s="25" t="str">
        <f>IF('Change in Employment'!J92&lt;&gt;"",TEXT('Change in Employment'!J92, "0.00"),"")</f>
        <v>-29666.67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-20000.00</v>
      </c>
      <c r="C87" s="25" t="str">
        <f>IF('Change in Employment'!J93&lt;&gt;"",TEXT('Change in Employment'!J93, "0.00"),"")</f>
        <v>-27333.33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6000.00</v>
      </c>
      <c r="C88" s="25" t="str">
        <f>IF('Change in Employment'!J94&lt;&gt;"",TEXT('Change in Employment'!J94, "0.00"),"")</f>
        <v>-23333.33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-64000.00</v>
      </c>
      <c r="C89" s="25" t="str">
        <f>IF('Change in Employment'!J95&lt;&gt;"",TEXT('Change in Employment'!J95, "0.00"),"")</f>
        <v>-26000.00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44000.00</v>
      </c>
      <c r="C90" s="25" t="str">
        <f>IF('Change in Employment'!J96&lt;&gt;"",TEXT('Change in Employment'!J96, "0.00"),"")</f>
        <v>-4666.67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-114000.00</v>
      </c>
      <c r="C91" s="25" t="str">
        <f>IF('Change in Employment'!J97&lt;&gt;"",TEXT('Change in Employment'!J97, "0.00"),"")</f>
        <v>-44666.67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5000.00</v>
      </c>
      <c r="C92" s="25" t="str">
        <f>IF('Change in Employment'!J98&lt;&gt;"",TEXT('Change in Employment'!J98, "0.00"),"")</f>
        <v>-21666.67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-41000.00</v>
      </c>
      <c r="C93" s="25" t="str">
        <f>IF('Change in Employment'!J99&lt;&gt;"",TEXT('Change in Employment'!J99, "0.00"),"")</f>
        <v>-50000.00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3000.00</v>
      </c>
      <c r="C94" s="25" t="str">
        <f>IF('Change in Employment'!J100&lt;&gt;"",TEXT('Change in Employment'!J100, "0.00"),"")</f>
        <v>-11000.00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-21000.00</v>
      </c>
      <c r="C95" s="25" t="str">
        <f>IF('Change in Employment'!J101&lt;&gt;"",TEXT('Change in Employment'!J101, "0.00"),"")</f>
        <v>-19666.67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-22000.00</v>
      </c>
      <c r="C96" s="25" t="str">
        <f>IF('Change in Employment'!J102&lt;&gt;"",TEXT('Change in Employment'!J102, "0.00"),"")</f>
        <v>-13333.33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2000.00</v>
      </c>
      <c r="C97" s="25" t="str">
        <f>IF('Change in Employment'!J103&lt;&gt;"",TEXT('Change in Employment'!J103, "0.00"),"")</f>
        <v>-13666.67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4000.00</v>
      </c>
      <c r="C98" s="25" t="str">
        <f>IF('Change in Employment'!J104&lt;&gt;"",TEXT('Change in Employment'!J104, "0.00"),"")</f>
        <v>-5333.33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-2000.00</v>
      </c>
      <c r="C99" s="25" t="str">
        <f>IF('Change in Employment'!J105&lt;&gt;"",TEXT('Change in Employment'!J105, "0.00"),"")</f>
        <v>1333.33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-6000.00</v>
      </c>
      <c r="C100" s="25" t="str">
        <f>IF('Change in Employment'!J106&lt;&gt;"",TEXT('Change in Employment'!J106, "0.00"),"")</f>
        <v>-1333.33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-20000.00</v>
      </c>
      <c r="C101" s="25" t="str">
        <f>IF('Change in Employment'!J107&lt;&gt;"",TEXT('Change in Employment'!J107, "0.00"),"")</f>
        <v>-9333.33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14000.00</v>
      </c>
      <c r="C102" s="25" t="str">
        <f>IF('Change in Employment'!J108&lt;&gt;"",TEXT('Change in Employment'!J108, "0.00"),"")</f>
        <v>-4000.00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-2000.00</v>
      </c>
      <c r="C103" s="25" t="str">
        <f>IF('Change in Employment'!J109&lt;&gt;"",TEXT('Change in Employment'!J109, "0.00"),"")</f>
        <v>-2666.67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9000.00</v>
      </c>
      <c r="C104" s="25" t="str">
        <f>IF('Change in Employment'!J110&lt;&gt;"",TEXT('Change in Employment'!J110, "0.00"),"")</f>
        <v>7000.00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2000.00</v>
      </c>
      <c r="C105" s="25" t="str">
        <f>IF('Change in Employment'!J111&lt;&gt;"",TEXT('Change in Employment'!J111, "0.00"),"")</f>
        <v>3000.00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-32000.00</v>
      </c>
      <c r="C106" s="25" t="str">
        <f>IF('Change in Employment'!J112&lt;&gt;"",TEXT('Change in Employment'!J112, "0.00"),"")</f>
        <v>-7000.00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-3000.00</v>
      </c>
      <c r="C107" s="25" t="str">
        <f>IF('Change in Employment'!J113&lt;&gt;"",TEXT('Change in Employment'!J113, "0.00"),"")</f>
        <v>-11000.00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1000.00</v>
      </c>
      <c r="C108" s="25" t="str">
        <f>IF('Change in Employment'!J114&lt;&gt;"",TEXT('Change in Employment'!J114, "0.00"),"")</f>
        <v>-11333.33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-17000.00</v>
      </c>
      <c r="C109" s="25" t="str">
        <f>IF('Change in Employment'!J115&lt;&gt;"",TEXT('Change in Employment'!J115, "0.00"),"")</f>
        <v>-6333.33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16000.00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-2000.00</v>
      </c>
      <c r="C111" s="25" t="str">
        <f>IF('Change in Employment'!J117&lt;&gt;"",TEXT('Change in Employment'!J117, "0.00"),"")</f>
        <v>-1000.00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13000.00</v>
      </c>
      <c r="C112" s="25" t="str">
        <f>IF('Change in Employment'!J118&lt;&gt;"",TEXT('Change in Employment'!J118, "0.00"),"")</f>
        <v>9000.00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3666.67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1000.00</v>
      </c>
      <c r="C114" s="25" t="str">
        <f>IF('Change in Employment'!J120&lt;&gt;"",TEXT('Change in Employment'!J120, "0.00"),"")</f>
        <v>4666.67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-10000.00</v>
      </c>
      <c r="C115" s="25" t="str">
        <f>IF('Change in Employment'!J121&lt;&gt;"",TEXT('Change in Employment'!J121, "0.00"),"")</f>
        <v>-3000.00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29000.00</v>
      </c>
      <c r="C116" s="25" t="str">
        <f>IF('Change in Employment'!J122&lt;&gt;"",TEXT('Change in Employment'!J122, "0.00"),"")</f>
        <v>6666.67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16000.00</v>
      </c>
      <c r="C117" s="25" t="str">
        <f>IF('Change in Employment'!J123&lt;&gt;"",TEXT('Change in Employment'!J123, "0.00"),"")</f>
        <v>11666.67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2000.00</v>
      </c>
      <c r="C118" s="25" t="str">
        <f>IF('Change in Employment'!J124&lt;&gt;"",TEXT('Change in Employment'!J124, "0.00"),"")</f>
        <v>15666.67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-5000.00</v>
      </c>
      <c r="C119" s="25" t="str">
        <f>IF('Change in Employment'!J125&lt;&gt;"",TEXT('Change in Employment'!J125, "0.00"),"")</f>
        <v>4333.33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1000.00</v>
      </c>
      <c r="C120" s="25" t="str">
        <f>IF('Change in Employment'!J126&lt;&gt;"",TEXT('Change in Employment'!J126, "0.00"),"")</f>
        <v>-666.67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-7000.00</v>
      </c>
      <c r="C121" s="25" t="str">
        <f>IF('Change in Employment'!J127&lt;&gt;"",TEXT('Change in Employment'!J127, "0.00"),"")</f>
        <v>-3666.67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24000.00</v>
      </c>
      <c r="C122" s="25" t="str">
        <f>IF('Change in Employment'!J128&lt;&gt;"",TEXT('Change in Employment'!J128, "0.00"),"")</f>
        <v>6000.00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8000.00</v>
      </c>
      <c r="C123" s="25" t="str">
        <f>IF('Change in Employment'!J129&lt;&gt;"",TEXT('Change in Employment'!J129, "0.00"),"")</f>
        <v>8333.33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26000.00</v>
      </c>
      <c r="C124" s="25" t="str">
        <f>IF('Change in Employment'!J130&lt;&gt;"",TEXT('Change in Employment'!J130, "0.00"),"")</f>
        <v>19333.33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2000.00</v>
      </c>
      <c r="C125" s="25" t="str">
        <f>IF('Change in Employment'!J131&lt;&gt;"",TEXT('Change in Employment'!J131, "0.00"),"")</f>
        <v>12000.00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26000.00</v>
      </c>
      <c r="C126" s="25" t="str">
        <f>IF('Change in Employment'!J132&lt;&gt;"",TEXT('Change in Employment'!J132, "0.00"),"")</f>
        <v>18000.00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11000.00</v>
      </c>
      <c r="C127" s="25" t="str">
        <f>IF('Change in Employment'!J133&lt;&gt;"",TEXT('Change in Employment'!J133, "0.00"),"")</f>
        <v>13000.00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/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421</v>
      </c>
      <c r="C1" s="23" t="s">
        <v>422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299.99999999995453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2900.0000000000909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23299.999999999956</v>
      </c>
      <c r="C4" s="23" t="str">
        <f>IFERROR(IF('Change in Employment'!M10&lt;&gt;0,TEXT('Change in Employment'!M10, "0.00"), ""), "")</f>
        <v>8833.33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-18000</v>
      </c>
      <c r="C5" s="23" t="str">
        <f>IFERROR(IF('Change in Employment'!M11&lt;&gt;0,TEXT('Change in Employment'!M11, "0.00"), ""), "")</f>
        <v>2733.33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1000</v>
      </c>
      <c r="C6" s="23" t="str">
        <f>IFERROR(IF('Change in Employment'!M12&lt;&gt;0,TEXT('Change in Employment'!M12, "0.00"), ""), "")</f>
        <v>2100.00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900.00000000009095</v>
      </c>
      <c r="C7" s="23" t="str">
        <f>IFERROR(IF('Change in Employment'!M13&lt;&gt;0,TEXT('Change in Employment'!M13, "0.00"), ""), "")</f>
        <v>-5366.67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799.99999999995453</v>
      </c>
      <c r="C8" s="23" t="str">
        <f>IFERROR(IF('Change in Employment'!M14&lt;&gt;0,TEXT('Change in Employment'!M14, "0.00"), ""), "")</f>
        <v>900.00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1399.9999999998636</v>
      </c>
      <c r="C9" s="23" t="str">
        <f>IFERROR(IF('Change in Employment'!M15&lt;&gt;0,TEXT('Change in Employment'!M15, "0.00"), ""), "")</f>
        <v>1033.33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-3199.9999999998181</v>
      </c>
      <c r="C10" s="23" t="str">
        <f>IFERROR(IF('Change in Employment'!M16&lt;&gt;0,TEXT('Change in Employment'!M16, "0.00"), ""), "")</f>
        <v>-333.33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4099.9999999999091</v>
      </c>
      <c r="C11" s="23" t="str">
        <f>IFERROR(IF('Change in Employment'!M17&lt;&gt;0,TEXT('Change in Employment'!M17, "0.00"), ""), "")</f>
        <v>766.67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99.999999999909051</v>
      </c>
      <c r="C12" s="23" t="str">
        <f>IFERROR(IF('Change in Employment'!M18&lt;&gt;0,TEXT('Change in Employment'!M18, "0.00"), ""), "")</f>
        <v>333.33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-1299.9999999999545</v>
      </c>
      <c r="C13" s="23" t="str">
        <f>IFERROR(IF('Change in Employment'!M19&lt;&gt;0,TEXT('Change in Employment'!M19, "0.00"), ""), "")</f>
        <v>966.67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2799.9999999999545</v>
      </c>
      <c r="C14" s="23" t="str">
        <f>IFERROR(IF('Change in Employment'!M20&lt;&gt;0,TEXT('Change in Employment'!M20, "0.00"), ""), "")</f>
        <v>533.33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4800.0000000001819</v>
      </c>
      <c r="C15" s="23" t="str">
        <f>IFERROR(IF('Change in Employment'!M21&lt;&gt;0,TEXT('Change in Employment'!M21, "0.00"), ""), "")</f>
        <v>2100.00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-2500</v>
      </c>
      <c r="C16" s="23" t="str">
        <f>IFERROR(IF('Change in Employment'!M22&lt;&gt;0,TEXT('Change in Employment'!M22, "0.00"), ""), "")</f>
        <v>1700.00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1899.9999999998636</v>
      </c>
      <c r="C17" s="23" t="str">
        <f>IFERROR(IF('Change in Employment'!M23&lt;&gt;0,TEXT('Change in Employment'!M23, "0.00"), ""), "")</f>
        <v>1400.00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-1000</v>
      </c>
      <c r="C18" s="23" t="str">
        <f>IFERROR(IF('Change in Employment'!M24&lt;&gt;0,TEXT('Change in Employment'!M24, "0.00"), ""), "")</f>
        <v>-533.33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-2299.9999999999545</v>
      </c>
      <c r="C19" s="23" t="str">
        <f>IFERROR(IF('Change in Employment'!M25&lt;&gt;0,TEXT('Change in Employment'!M25, "0.00"), ""), "")</f>
        <v>-466.67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1599.9999999999091</v>
      </c>
      <c r="C20" s="23" t="str">
        <f>IFERROR(IF('Change in Employment'!M26&lt;&gt;0,TEXT('Change in Employment'!M26, "0.00"), ""), "")</f>
        <v>-566.67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1200.0000000000455</v>
      </c>
      <c r="C21" s="23" t="str">
        <f>IFERROR(IF('Change in Employment'!M27&lt;&gt;0,TEXT('Change in Employment'!M27, "0.00"), ""), "")</f>
        <v>166.67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3799.9999999999545</v>
      </c>
      <c r="C22" s="23" t="str">
        <f>IFERROR(IF('Change in Employment'!M28&lt;&gt;0,TEXT('Change in Employment'!M28, "0.00"), ""), "")</f>
        <v>2200.00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3200.0000000000455</v>
      </c>
      <c r="C23" s="23" t="str">
        <f>IFERROR(IF('Change in Employment'!M29&lt;&gt;0,TEXT('Change in Employment'!M29, "0.00"), ""), "")</f>
        <v>2733.33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-5899.9999999998636</v>
      </c>
      <c r="C24" s="23" t="str">
        <f>IFERROR(IF('Change in Employment'!M30&lt;&gt;0,TEXT('Change in Employment'!M30, "0.00"), ""), "")</f>
        <v>366.67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-4100.0000000001364</v>
      </c>
      <c r="C25" s="23" t="str">
        <f>IFERROR(IF('Change in Employment'!M31&lt;&gt;0,TEXT('Change in Employment'!M31, "0.00"), ""), "")</f>
        <v>-2266.67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5100.0000000001364</v>
      </c>
      <c r="C26" s="23" t="str">
        <f>IFERROR(IF('Change in Employment'!M32&lt;&gt;0,TEXT('Change in Employment'!M32, "0.00"), ""), "")</f>
        <v>-1633.33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1500</v>
      </c>
      <c r="C27" s="23" t="str">
        <f>IFERROR(IF('Change in Employment'!M33&lt;&gt;0,TEXT('Change in Employment'!M33, "0.00"), ""), "")</f>
        <v>833.33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1699.9999999998181</v>
      </c>
      <c r="C28" s="23" t="str">
        <f>IFERROR(IF('Change in Employment'!M34&lt;&gt;0,TEXT('Change in Employment'!M34, "0.00"), ""), "")</f>
        <v>2766.67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1200.0000000000455</v>
      </c>
      <c r="C29" s="23" t="str">
        <f>IFERROR(IF('Change in Employment'!M35&lt;&gt;0,TEXT('Change in Employment'!M35, "0.00"), ""), "")</f>
        <v>1466.67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1000</v>
      </c>
      <c r="C30" s="23" t="str">
        <f>IFERROR(IF('Change in Employment'!M36&lt;&gt;0,TEXT('Change in Employment'!M36, "0.00"), ""), "")</f>
        <v>1300.00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1600.0000000001364</v>
      </c>
      <c r="C31" s="23" t="str">
        <f>IFERROR(IF('Change in Employment'!M37&lt;&gt;0,TEXT('Change in Employment'!M37, "0.00"), ""), "")</f>
        <v>1266.67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-2100.0000000001364</v>
      </c>
      <c r="C32" s="23" t="str">
        <f>IFERROR(IF('Change in Employment'!M38&lt;&gt;0,TEXT('Change in Employment'!M38, "0.00"), ""), "")</f>
        <v>166.67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-500</v>
      </c>
      <c r="C33" s="23" t="str">
        <f>IFERROR(IF('Change in Employment'!M39&lt;&gt;0,TEXT('Change in Employment'!M39, "0.00"), ""), "")</f>
        <v>-333.33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-200.00000000004547</v>
      </c>
      <c r="C34" s="23" t="str">
        <f>IFERROR(IF('Change in Employment'!M40&lt;&gt;0,TEXT('Change in Employment'!M40, "0.00"), ""), "")</f>
        <v>-933.33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-1299.9999999999545</v>
      </c>
      <c r="C35" s="23" t="str">
        <f>IFERROR(IF('Change in Employment'!M41&lt;&gt;0,TEXT('Change in Employment'!M41, "0.00"), ""), "")</f>
        <v>-666.67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400.00000000009095</v>
      </c>
      <c r="C36" s="23" t="str">
        <f>IFERROR(IF('Change in Employment'!M42&lt;&gt;0,TEXT('Change in Employment'!M42, "0.00"), ""), "")</f>
        <v>-366.67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1799.9999999999545</v>
      </c>
      <c r="C37" s="23" t="str">
        <f>IFERROR(IF('Change in Employment'!M43&lt;&gt;0,TEXT('Change in Employment'!M43, "0.00"), ""), "")</f>
        <v>300.00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400.00000000009095</v>
      </c>
      <c r="C38" s="23" t="str">
        <f>IFERROR(IF('Change in Employment'!M44&lt;&gt;0,TEXT('Change in Employment'!M44, "0.00"), ""), "")</f>
        <v>866.67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699.9999999998181</v>
      </c>
      <c r="C39" s="23" t="str">
        <f>IFERROR(IF('Change in Employment'!M45&lt;&gt;0,TEXT('Change in Employment'!M45, "0.00"), ""), "")</f>
        <v>966.67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200.00000000004547</v>
      </c>
      <c r="C40" s="23" t="str">
        <f>IFERROR(IF('Change in Employment'!M46&lt;&gt;0,TEXT('Change in Employment'!M46, "0.00"), ""), "")</f>
        <v>433.33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-2399.9999999998636</v>
      </c>
      <c r="C41" s="23" t="str">
        <f>IFERROR(IF('Change in Employment'!M47&lt;&gt;0,TEXT('Change in Employment'!M47, "0.00"), ""), "")</f>
        <v>-500.00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-2900.0000000000909</v>
      </c>
      <c r="C42" s="23" t="str">
        <f>IFERROR(IF('Change in Employment'!M48&lt;&gt;0,TEXT('Change in Employment'!M48, "0.00"), ""), "")</f>
        <v>-1700.00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4500</v>
      </c>
      <c r="C43" s="23" t="str">
        <f>IFERROR(IF('Change in Employment'!M49&lt;&gt;0,TEXT('Change in Employment'!M49, "0.00"), ""), "")</f>
        <v>-266.67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2299.9999999999545</v>
      </c>
      <c r="C44" s="23" t="str">
        <f>IFERROR(IF('Change in Employment'!M50&lt;&gt;0,TEXT('Change in Employment'!M50, "0.00"), ""), "")</f>
        <v>1300.00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-799.99999999995453</v>
      </c>
      <c r="C45" s="23" t="str">
        <f>IFERROR(IF('Change in Employment'!M51&lt;&gt;0,TEXT('Change in Employment'!M51, "0.00"), ""), "")</f>
        <v>2000.00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-299.99999999995453</v>
      </c>
      <c r="C46" s="23" t="str">
        <f>IFERROR(IF('Change in Employment'!M52&lt;&gt;0,TEXT('Change in Employment'!M52, "0.00"), ""), "")</f>
        <v>400.00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4099.9999999999091</v>
      </c>
      <c r="C47" s="23" t="str">
        <f>IFERROR(IF('Change in Employment'!M53&lt;&gt;0,TEXT('Change in Employment'!M53, "0.00"), ""), "")</f>
        <v>1000.00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4600.0000000001364</v>
      </c>
      <c r="C48" s="23" t="str">
        <f>IFERROR(IF('Change in Employment'!M54&lt;&gt;0,TEXT('Change in Employment'!M54, "0.00"), ""), "")</f>
        <v>2800.00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6599.9999999999091</v>
      </c>
      <c r="C49" s="23" t="str">
        <f>IFERROR(IF('Change in Employment'!M55&lt;&gt;0,TEXT('Change in Employment'!M55, "0.00"), ""), "")</f>
        <v>5100.00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5900.0000000000909</v>
      </c>
      <c r="C50" s="23" t="str">
        <f>IFERROR(IF('Change in Employment'!M56&lt;&gt;0,TEXT('Change in Employment'!M56, "0.00"), ""), "")</f>
        <v>5700.00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4500</v>
      </c>
      <c r="C51" s="23" t="str">
        <f>IFERROR(IF('Change in Employment'!M57&lt;&gt;0,TEXT('Change in Employment'!M57, "0.00"), ""), "")</f>
        <v>5666.67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5699.9999999998181</v>
      </c>
      <c r="C52" s="23" t="str">
        <f>IFERROR(IF('Change in Employment'!M58&lt;&gt;0,TEXT('Change in Employment'!M58, "0.00"), ""), "")</f>
        <v>5366.67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5700.0000000000455</v>
      </c>
      <c r="C53" s="23" t="str">
        <f>IFERROR(IF('Change in Employment'!M59&lt;&gt;0,TEXT('Change in Employment'!M59, "0.00"), ""), "")</f>
        <v>5300.00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4900.0000000000909</v>
      </c>
      <c r="C54" s="23" t="str">
        <f>IFERROR(IF('Change in Employment'!M60&lt;&gt;0,TEXT('Change in Employment'!M60, "0.00"), ""), "")</f>
        <v>5433.33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9000</v>
      </c>
      <c r="C55" s="23" t="str">
        <f>IFERROR(IF('Change in Employment'!M61&lt;&gt;0,TEXT('Change in Employment'!M61, "0.00"), ""), "")</f>
        <v>6533.33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6599.9999999999091</v>
      </c>
      <c r="C56" s="23" t="str">
        <f>IFERROR(IF('Change in Employment'!M62&lt;&gt;0,TEXT('Change in Employment'!M62, "0.00"), ""), "")</f>
        <v>6833.33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5100.0000000001364</v>
      </c>
      <c r="C57" s="23" t="str">
        <f>IFERROR(IF('Change in Employment'!M63&lt;&gt;0,TEXT('Change in Employment'!M63, "0.00"), ""), "")</f>
        <v>6900.00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6599.9999999999091</v>
      </c>
      <c r="C58" s="23" t="str">
        <f>IFERROR(IF('Change in Employment'!M64&lt;&gt;0,TEXT('Change in Employment'!M64, "0.00"), ""), "")</f>
        <v>6100.00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8700.0000000000455</v>
      </c>
      <c r="C59" s="23" t="str">
        <f>IFERROR(IF('Change in Employment'!M65&lt;&gt;0,TEXT('Change in Employment'!M65, "0.00"), ""), "")</f>
        <v>6800.00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2899.9999999998636</v>
      </c>
      <c r="C60" s="23" t="str">
        <f>IFERROR(IF('Change in Employment'!M66&lt;&gt;0,TEXT('Change in Employment'!M66, "0.00"), ""), "")</f>
        <v>6066.67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7900.0000000000909</v>
      </c>
      <c r="C61" s="23" t="str">
        <f>IFERROR(IF('Change in Employment'!M67&lt;&gt;0,TEXT('Change in Employment'!M67, "0.00"), ""), "")</f>
        <v>6500.00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7699.9999999998181</v>
      </c>
      <c r="C62" s="23" t="str">
        <f>IFERROR(IF('Change in Employment'!M68&lt;&gt;0,TEXT('Change in Employment'!M68, "0.00"), ""), "")</f>
        <v>6166.67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800.0000000001819</v>
      </c>
      <c r="C63" s="23" t="str">
        <f>IFERROR(IF('Change in Employment'!M69&lt;&gt;0,TEXT('Change in Employment'!M69, "0.00"), ""), "")</f>
        <v>5466.67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11800.000000000182</v>
      </c>
      <c r="C64" s="23" t="str">
        <f>IFERROR(IF('Change in Employment'!M70&lt;&gt;0,TEXT('Change in Employment'!M70, "0.00"), ""), "")</f>
        <v>6766.67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7799.9999999997272</v>
      </c>
      <c r="C65" s="23" t="str">
        <f>IFERROR(IF('Change in Employment'!M71&lt;&gt;0,TEXT('Change in Employment'!M71, "0.00"), ""), "")</f>
        <v>6800.00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17400.000000000091</v>
      </c>
      <c r="C66" s="23" t="str">
        <f>IFERROR(IF('Change in Employment'!M72&lt;&gt;0,TEXT('Change in Employment'!M72, "0.00"), ""), "")</f>
        <v>12333.33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15800.000000000182</v>
      </c>
      <c r="C67" s="23" t="str">
        <f>IFERROR(IF('Change in Employment'!M73&lt;&gt;0,TEXT('Change in Employment'!M73, "0.00"), ""), "")</f>
        <v>13666.67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8899.9999999996362</v>
      </c>
      <c r="C68" s="23" t="str">
        <f>IFERROR(IF('Change in Employment'!M74&lt;&gt;0,TEXT('Change in Employment'!M74, "0.00"), ""), "")</f>
        <v>14033.33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3900.0000000000909</v>
      </c>
      <c r="C69" s="23" t="str">
        <f>IFERROR(IF('Change in Employment'!M75&lt;&gt;0,TEXT('Change in Employment'!M75, "0.00"), ""), "")</f>
        <v>9533.33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11000</v>
      </c>
      <c r="C70" s="23" t="str">
        <f>IFERROR(IF('Change in Employment'!M76&lt;&gt;0,TEXT('Change in Employment'!M76, "0.00"), ""), "")</f>
        <v>7933.33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6400.0000000000909</v>
      </c>
      <c r="C71" s="23" t="str">
        <f>IFERROR(IF('Change in Employment'!M77&lt;&gt;0,TEXT('Change in Employment'!M77, "0.00"), ""), "")</f>
        <v>7100.00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9199.9999999998181</v>
      </c>
      <c r="C72" s="23" t="str">
        <f>IFERROR(IF('Change in Employment'!M78&lt;&gt;0,TEXT('Change in Employment'!M78, "0.00"), ""), "")</f>
        <v>8866.67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5400.0000000000909</v>
      </c>
      <c r="C73" s="23" t="str">
        <f>IFERROR(IF('Change in Employment'!M79&lt;&gt;0,TEXT('Change in Employment'!M79, "0.00"), ""), "")</f>
        <v>7000.00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3700.0000000002728</v>
      </c>
      <c r="C74" s="23" t="str">
        <f>IFERROR(IF('Change in Employment'!M80&lt;&gt;0,TEXT('Change in Employment'!M80, "0.00"), ""), "")</f>
        <v>6100.00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6099.9999999999091</v>
      </c>
      <c r="C75" s="23" t="str">
        <f>IFERROR(IF('Change in Employment'!M81&lt;&gt;0,TEXT('Change in Employment'!M81, "0.00"), ""), "")</f>
        <v>5066.67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400.00000000009095</v>
      </c>
      <c r="C76" s="23" t="str">
        <f>IFERROR(IF('Change in Employment'!M82&lt;&gt;0,TEXT('Change in Employment'!M82, "0.00"), ""), "")</f>
        <v>3400.00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21299.999999999727</v>
      </c>
      <c r="C77" s="23" t="str">
        <f>IFERROR(IF('Change in Employment'!M83&lt;&gt;0,TEXT('Change in Employment'!M83, "0.00"), ""), "")</f>
        <v>9266.67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3099.9999999999091</v>
      </c>
      <c r="C78" s="23" t="str">
        <f>IFERROR(IF('Change in Employment'!M84&lt;&gt;0,TEXT('Change in Employment'!M84, "0.00"), ""), "")</f>
        <v>8266.67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6000</v>
      </c>
      <c r="C79" s="23" t="str">
        <f>IFERROR(IF('Change in Employment'!M85&lt;&gt;0,TEXT('Change in Employment'!M85, "0.00"), ""), "")</f>
        <v>10133.33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5700.0000000002728</v>
      </c>
      <c r="C80" s="23" t="str">
        <f>IFERROR(IF('Change in Employment'!M86&lt;&gt;0,TEXT('Change in Employment'!M86, "0.00"), ""), "")</f>
        <v>4933.33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1099.9999999999091</v>
      </c>
      <c r="C81" s="23" t="str">
        <f>IFERROR(IF('Change in Employment'!M87&lt;&gt;0,TEXT('Change in Employment'!M87, "0.00"), ""), "")</f>
        <v>4266.67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4599.9999999999091</v>
      </c>
      <c r="C82" s="23" t="str">
        <f>IFERROR(IF('Change in Employment'!M88&lt;&gt;0,TEXT('Change in Employment'!M88, "0.00"), ""), "")</f>
        <v>3800.00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2599.9999999999091</v>
      </c>
      <c r="C83" s="23" t="str">
        <f>IFERROR(IF('Change in Employment'!M89&lt;&gt;0,TEXT('Change in Employment'!M89, "0.00"), ""), "")</f>
        <v>2766.67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6100.0000000003638</v>
      </c>
      <c r="C84" s="23" t="str">
        <f>IFERROR(IF('Change in Employment'!M90&lt;&gt;0,TEXT('Change in Employment'!M90, "0.00"), ""), "")</f>
        <v>4433.33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5899.9999999996362</v>
      </c>
      <c r="C85" s="23" t="str">
        <f>IFERROR(IF('Change in Employment'!M91&lt;&gt;0,TEXT('Change in Employment'!M91, "0.00"), ""), "")</f>
        <v>4866.67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2600.0000000003638</v>
      </c>
      <c r="C86" s="23" t="str">
        <f>IFERROR(IF('Change in Employment'!M92&lt;&gt;0,TEXT('Change in Employment'!M92, "0.00"), ""), "")</f>
        <v>4866.67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3500</v>
      </c>
      <c r="C87" s="23" t="str">
        <f>IFERROR(IF('Change in Employment'!M93&lt;&gt;0,TEXT('Change in Employment'!M93, "0.00"), ""), "")</f>
        <v>4000.00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1599.9999999999091</v>
      </c>
      <c r="C88" s="23" t="str">
        <f>IFERROR(IF('Change in Employment'!M94&lt;&gt;0,TEXT('Change in Employment'!M94, "0.00"), ""), "")</f>
        <v>2566.67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1500</v>
      </c>
      <c r="C89" s="23" t="str">
        <f>IFERROR(IF('Change in Employment'!M95&lt;&gt;0,TEXT('Change in Employment'!M95, "0.00"), ""), "")</f>
        <v>2200.00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-8800.0000000001819</v>
      </c>
      <c r="C90" s="23" t="str">
        <f>IFERROR(IF('Change in Employment'!M96&lt;&gt;0,TEXT('Change in Employment'!M96, "0.00"), ""), "")</f>
        <v>-1900.00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-2299.9999999997272</v>
      </c>
      <c r="C91" s="23" t="str">
        <f>IFERROR(IF('Change in Employment'!M97&lt;&gt;0,TEXT('Change in Employment'!M97, "0.00"), ""), "")</f>
        <v>-3200.00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-1100.0000000003638</v>
      </c>
      <c r="C92" s="23" t="str">
        <f>IFERROR(IF('Change in Employment'!M98&lt;&gt;0,TEXT('Change in Employment'!M98, "0.00"), ""), "")</f>
        <v>-4066.67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-99.999999999909051</v>
      </c>
      <c r="C93" s="23" t="str">
        <f>IFERROR(IF('Change in Employment'!M99&lt;&gt;0,TEXT('Change in Employment'!M99, "0.00"), ""), "")</f>
        <v>-1166.67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-699.9999999998181</v>
      </c>
      <c r="C94" s="23" t="str">
        <f>IFERROR(IF('Change in Employment'!M100&lt;&gt;0,TEXT('Change in Employment'!M100, "0.00"), ""), "")</f>
        <v>-633.33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-3000</v>
      </c>
      <c r="C95" s="23" t="str">
        <f>IFERROR(IF('Change in Employment'!M101&lt;&gt;0,TEXT('Change in Employment'!M101, "0.00"), ""), "")</f>
        <v>-1266.67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-1500</v>
      </c>
      <c r="C96" s="23" t="str">
        <f>IFERROR(IF('Change in Employment'!M102&lt;&gt;0,TEXT('Change in Employment'!M102, "0.00"), ""), "")</f>
        <v>-1733.33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-5800.0000000001819</v>
      </c>
      <c r="C97" s="23" t="str">
        <f>IFERROR(IF('Change in Employment'!M103&lt;&gt;0,TEXT('Change in Employment'!M103, "0.00"), ""), "")</f>
        <v>-3433.33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-3699.9999999998181</v>
      </c>
      <c r="C98" s="23" t="str">
        <f>IFERROR(IF('Change in Employment'!M104&lt;&gt;0,TEXT('Change in Employment'!M104, "0.00"), ""), "")</f>
        <v>-3666.67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1400.0000000000909</v>
      </c>
      <c r="C99" s="23" t="str">
        <f>IFERROR(IF('Change in Employment'!M105&lt;&gt;0,TEXT('Change in Employment'!M105, "0.00"), ""), "")</f>
        <v>-2700.00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-700.00000000027285</v>
      </c>
      <c r="C100" s="23" t="str">
        <f>IFERROR(IF('Change in Employment'!M106&lt;&gt;0,TEXT('Change in Employment'!M106, "0.00"), ""), "")</f>
        <v>-1000.00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900.00000000009095</v>
      </c>
      <c r="C101" s="23" t="str">
        <f>IFERROR(IF('Change in Employment'!M107&lt;&gt;0,TEXT('Change in Employment'!M107, "0.00"), ""), "")</f>
        <v>533.33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-199.9999999998181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-8400.0000000000909</v>
      </c>
      <c r="C103" s="23" t="str">
        <f>IFERROR(IF('Change in Employment'!M109&lt;&gt;0,TEXT('Change in Employment'!M109, "0.00"), ""), "")</f>
        <v>-2566.67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7199.9999999998181</v>
      </c>
      <c r="C104" s="23" t="str">
        <f>IFERROR(IF('Change in Employment'!M110&lt;&gt;0,TEXT('Change in Employment'!M110, "0.00"), ""), "")</f>
        <v>-466.67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6300.0000000001819</v>
      </c>
      <c r="C105" s="23" t="str">
        <f>IFERROR(IF('Change in Employment'!M111&lt;&gt;0,TEXT('Change in Employment'!M111, "0.00"), ""), "")</f>
        <v>1700.00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-3900.0000000000909</v>
      </c>
      <c r="C106" s="23" t="str">
        <f>IFERROR(IF('Change in Employment'!M112&lt;&gt;0,TEXT('Change in Employment'!M112, "0.00"), ""), "")</f>
        <v>3200.00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-599.99999999990905</v>
      </c>
      <c r="C107" s="23" t="str">
        <f>IFERROR(IF('Change in Employment'!M113&lt;&gt;0,TEXT('Change in Employment'!M113, "0.00"), ""), "")</f>
        <v>600.00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-1500</v>
      </c>
      <c r="C108" s="23" t="str">
        <f>IFERROR(IF('Change in Employment'!M114&lt;&gt;0,TEXT('Change in Employment'!M114, "0.00"), ""), "")</f>
        <v>-2000.00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-3900.0000000000909</v>
      </c>
      <c r="C109" s="23" t="str">
        <f>IFERROR(IF('Change in Employment'!M115&lt;&gt;0,TEXT('Change in Employment'!M115, "0.00"), ""), "")</f>
        <v>-2000.00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-2400.0000000000909</v>
      </c>
      <c r="C110" s="23" t="str">
        <f>IFERROR(IF('Change in Employment'!M116&lt;&gt;0,TEXT('Change in Employment'!M116, "0.00"), ""), "")</f>
        <v>-2600.00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-4099.9999999999091</v>
      </c>
      <c r="C111" s="23" t="str">
        <f>IFERROR(IF('Change in Employment'!M117&lt;&gt;0,TEXT('Change in Employment'!M117, "0.00"), ""), "")</f>
        <v>-3466.67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-9300.0000000001819</v>
      </c>
      <c r="C112" s="23" t="str">
        <f>IFERROR(IF('Change in Employment'!M118&lt;&gt;0,TEXT('Change in Employment'!M118, "0.00"), ""), "")</f>
        <v>-5266.67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-10699.999999999818</v>
      </c>
      <c r="C113" s="23" t="str">
        <f>IFERROR(IF('Change in Employment'!M119&lt;&gt;0,TEXT('Change in Employment'!M119, "0.00"), ""), "")</f>
        <v>-8033.33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-6800.0000000001819</v>
      </c>
      <c r="C114" s="23" t="str">
        <f>IFERROR(IF('Change in Employment'!M120&lt;&gt;0,TEXT('Change in Employment'!M120, "0.00"), ""), "")</f>
        <v>-8933.33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-7199.9999999998181</v>
      </c>
      <c r="C115" s="23" t="str">
        <f>IFERROR(IF('Change in Employment'!M121&lt;&gt;0,TEXT('Change in Employment'!M121, "0.00"), ""), "")</f>
        <v>-8233.33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-7900.0000000000909</v>
      </c>
      <c r="C116" s="23" t="str">
        <f>IFERROR(IF('Change in Employment'!M122&lt;&gt;0,TEXT('Change in Employment'!M122, "0.00"), ""), "")</f>
        <v>-7300.00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-4900.0000000000909</v>
      </c>
      <c r="C117" s="23" t="str">
        <f>IFERROR(IF('Change in Employment'!M123&lt;&gt;0,TEXT('Change in Employment'!M123, "0.00"), ""), "")</f>
        <v>-6666.67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-9299.9999999997272</v>
      </c>
      <c r="C118" s="23" t="str">
        <f>IFERROR(IF('Change in Employment'!M124&lt;&gt;0,TEXT('Change in Employment'!M124, "0.00"), ""), "")</f>
        <v>-7366.67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4199.9999999998181</v>
      </c>
      <c r="C119" s="23" t="str">
        <f>IFERROR(IF('Change in Employment'!M125&lt;&gt;0,TEXT('Change in Employment'!M125, "0.00"), ""), "")</f>
        <v>-3333.33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-6299.9999999997272</v>
      </c>
      <c r="C120" s="23" t="str">
        <f>IFERROR(IF('Change in Employment'!M126&lt;&gt;0,TEXT('Change in Employment'!M126, "0.00"), ""), "")</f>
        <v>-3800.00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-5600.0000000003638</v>
      </c>
      <c r="C121" s="23" t="str">
        <f>IFERROR(IF('Change in Employment'!M127&lt;&gt;0,TEXT('Change in Employment'!M127, "0.00"), ""), "")</f>
        <v>-2566.67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-6299.9999999997272</v>
      </c>
      <c r="C122" s="23" t="str">
        <f>IFERROR(IF('Change in Employment'!M128&lt;&gt;0,TEXT('Change in Employment'!M128, "0.00"), ""), "")</f>
        <v>-6066.67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-4000</v>
      </c>
      <c r="C123" s="23" t="str">
        <f>IFERROR(IF('Change in Employment'!M129&lt;&gt;0,TEXT('Change in Employment'!M129, "0.00"), ""), "")</f>
        <v>-5300.00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-2800.0000000001819</v>
      </c>
      <c r="C124" s="23" t="str">
        <f>IFERROR(IF('Change in Employment'!M130&lt;&gt;0,TEXT('Change in Employment'!M130, "0.00"), ""), "")</f>
        <v>-4366.67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200.00000000027285</v>
      </c>
      <c r="C125" s="23" t="str">
        <f>IFERROR(IF('Change in Employment'!M131&lt;&gt;0,TEXT('Change in Employment'!M131, "0.00"), ""), "")</f>
        <v>-2200.00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-866.67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1599.9999999999091</v>
      </c>
      <c r="C127" s="23" t="str">
        <f>IFERROR(IF('Change in Employment'!M133&lt;&gt;0,TEXT('Change in Employment'!M133, "0.00"), ""), "")</f>
        <v>600.00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423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sheetData>
    <row r="1" spans="1:2">
      <c r="A1" t="s">
        <v>203</v>
      </c>
      <c r="B1" t="s">
        <v>424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/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425</v>
      </c>
      <c r="C1" s="23" t="s">
        <v>426</v>
      </c>
      <c r="D1" t="s">
        <v>427</v>
      </c>
      <c r="E1" t="s">
        <v>428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2" sqref="A2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431</v>
      </c>
      <c r="C1" s="23" t="s">
        <v>432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C285"/>
  <sheetViews>
    <sheetView workbookViewId="0">
      <selection activeCell="B13" sqref="B13"/>
    </sheetView>
  </sheetViews>
  <sheetFormatPr defaultRowHeight="15"/>
  <cols>
    <col min="1" max="1" width="9.710937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203</v>
      </c>
      <c r="B1" s="23" t="s">
        <v>431</v>
      </c>
      <c r="C1" s="23" t="s">
        <v>432</v>
      </c>
    </row>
    <row r="2" spans="1:3">
      <c r="A2" s="23" t="str">
        <f>TEXT(IF(Deficit!B7&lt;&gt;0,Deficit!B7, ""), "yyyy")</f>
        <v>1975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3">
      <c r="A3" s="23" t="str">
        <f>TEXT(IF(Deficit!B8&lt;&gt;0,Deficit!B8, ""), "yyyy")</f>
        <v>1976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3">
      <c r="A4" s="23" t="str">
        <f>TEXT(IF(Deficit!B9&lt;&gt;0,Deficit!B9, ""), "yyyy")</f>
        <v>1977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3">
      <c r="A5" s="23" t="str">
        <f>TEXT(IF(Deficit!B10&lt;&gt;0,Deficit!B10, ""), "yyyy")</f>
        <v>1978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3">
      <c r="A6" s="23" t="str">
        <f>TEXT(IF(Deficit!B11&lt;&gt;0,Deficit!B11, ""), "yyyy")</f>
        <v>1979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3">
      <c r="A7" s="23" t="str">
        <f>TEXT(IF(Deficit!B12&lt;&gt;0,Deficit!B12, ""), "yyyy")</f>
        <v>1980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3">
      <c r="A8" s="23" t="str">
        <f>TEXT(IF(Deficit!B13&lt;&gt;0,Deficit!B13, ""), "yyyy")</f>
        <v>1981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3">
      <c r="A9" s="23" t="str">
        <f>TEXT(IF(Deficit!B14&lt;&gt;0,Deficit!B14, ""), "yyyy")</f>
        <v>1982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3">
      <c r="A10" s="23" t="str">
        <f>TEXT(IF(Deficit!B15&lt;&gt;0,Deficit!B15, ""), "yyyy")</f>
        <v>1983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3">
      <c r="A11" s="23" t="str">
        <f>TEXT(IF(Deficit!B16&lt;&gt;0,Deficit!B16, ""), "yyyy")</f>
        <v>1984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3">
      <c r="A12" s="23" t="str">
        <f>TEXT(IF(Deficit!B17&lt;&gt;0,Deficit!B17, ""), "yyyy")</f>
        <v>1985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3">
      <c r="A13" s="23" t="str">
        <f>TEXT(IF(Deficit!B18&lt;&gt;0,Deficit!B18, ""), "yyyy")</f>
        <v>1986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3">
      <c r="A14" s="23" t="str">
        <f>TEXT(IF(Deficit!B19&lt;&gt;0,Deficit!B19, ""), "yyyy")</f>
        <v>1987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3">
      <c r="A15" s="23" t="str">
        <f>TEXT(IF(Deficit!B20&lt;&gt;0,Deficit!B20, ""), "yyyy")</f>
        <v>1988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3">
      <c r="A16" s="23" t="str">
        <f>TEXT(IF(Deficit!B21&lt;&gt;0,Deficit!B21, ""), "yyyy")</f>
        <v>1989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"yyyy")</f>
        <v>1990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"yyyy")</f>
        <v>1991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"yyyy")</f>
        <v>1992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"yyyy")</f>
        <v>1993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"yyyy")</f>
        <v>1994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"yyyy")</f>
        <v>1995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"yyyy")</f>
        <v>1996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"yyyy")</f>
        <v>1997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"yyyy")</f>
        <v>1998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"yyyy")</f>
        <v>1999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"yyyy")</f>
        <v>2000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"yyyy")</f>
        <v>2001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"yyyy")</f>
        <v>2002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"yyyy")</f>
        <v>2003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"yyyy")</f>
        <v>2004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"yyyy")</f>
        <v>2005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"yyyy")</f>
        <v>2006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"yyyy")</f>
        <v>2007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"yyyy")</f>
        <v>2008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"yyyy")</f>
        <v>2009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"yyyy")</f>
        <v>2010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"yyyy")</f>
        <v>2011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"yyyy")</f>
        <v>2012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"yyyy")</f>
        <v>2013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"yyyy")</f>
        <v>2014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"yyyy")</f>
        <v>2015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"yyyy")</f>
        <v>2016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"yyyy")</f>
        <v>2017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"yyyy")</f>
        <v>2018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"yyyy")</f>
        <v>2019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"yyyy")</f>
        <v>2020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"yyyy")</f>
        <v>2021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"yyyy")</f>
        <v>2022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"yyyy")</f>
        <v>2023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"yyyy")</f>
        <v>2024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"yyyy")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"yyyy")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"yyyy")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"yyyy")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"yyyy")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"yyyy")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"yyyy")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"yyyy")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"yyyy")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"yyyy")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"yyyy")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"yyyy")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"yyyy")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"yyyy")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"yyyy")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"yyyy")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"yyyy")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"yyyy")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"yyyy")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"yyyy")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"yyyy")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"yyyy")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"yyyy")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"yyyy")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"yyyy")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"yyyy")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"yyyy")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"yyyy")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"yyyy")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"yyyy")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"yyyy")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"yyyy")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"yyyy")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"yyyy")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"yyyy")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"yyyy")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"yyyy")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"yyyy")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"yyyy")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"yyyy")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"yyyy")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"yyyy")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"yyyy")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"yyyy")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"yyyy")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"yyyy")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"yyyy")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"yyyy")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"yyyy")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"yyyy")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"yyyy")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"yyyy")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"yyyy")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"yyyy")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"yyyy")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"yyyy")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"yyyy")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"yyyy")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"yyyy")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"yyyy")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"yyyy")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"yyyy")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"yyyy")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"yyyy")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"yyyy")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"yyyy")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"yyyy")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"yyyy")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"yyyy")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"yyyy")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"yyyy")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"yyyy")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"yyyy")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"yyyy")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"yyyy")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"yyyy")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"yyyy")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"yyyy")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"yyyy")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"yyyy")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"yyyy")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"yyyy")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"yyyy")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"yyyy")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"yyyy")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"yyyy")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"yyyy")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"yyyy")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"yyyy")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"yyyy")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"yyyy")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"yyyy")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"yyyy")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"yyyy")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"yyyy")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"yyyy")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"yyyy")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"yyyy")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"yyyy")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"yyyy")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"yyyy")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"yyyy")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"yyyy")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"yyyy")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"yyyy")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"yyyy")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"yyyy")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"yyyy")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"yyyy")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"yyyy")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"yyyy")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"yyyy")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"yyyy")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"yyyy")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"yyyy")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"yyyy")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"yyyy")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"yyyy")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"yyyy")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"yyyy")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"yyyy")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"yyyy")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"yyyy")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"yyyy")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"yyyy")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"yyyy")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"yyyy")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"yyyy")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"yyyy")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"yyyy")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"yyyy")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"yyyy")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"yyyy")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"yyyy")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"yyyy")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"yyyy")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"yyyy")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"yyyy")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"yyyy")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"yyyy")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"yyyy")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"yyyy")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"yyyy")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"yyyy")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"yyyy")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"yyyy")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"yyyy")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"yyyy")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"yyyy")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"yyyy")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"yyyy")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"yyyy")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"yyyy")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"yyyy")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"yyyy")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"yyyy")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"yyyy")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"yyyy")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"yyyy")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"yyyy")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"yyyy")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"yyyy")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"yyyy")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"yyyy")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"yyyy")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"yyyy")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"yyyy")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"yyyy")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"yyyy")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"yyyy")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"yyyy")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"yyyy")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"yyyy")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"yyyy")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"yyyy")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"yyyy")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"yyyy")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"yyyy")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"yyyy")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"yyyy")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"yyyy")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"yyyy")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"yyyy")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"yyyy")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"yyyy")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"yyyy")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"yyyy")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"yyyy")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"yyyy")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"yyyy")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"yyyy")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"yyyy")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"yyyy")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"yyyy")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"yyyy")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"yyyy")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"yyyy")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"yyyy")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"yyyy")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"yyyy")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"yyyy")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"yyyy")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"yyyy")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"yyyy")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"yyyy")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"yyyy")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"yyyy")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"yyyy")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"yyyy")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"yyyy")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"yyyy")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"yyyy")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"yyyy")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"yyyy")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"yyyy")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"yyyy")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"yyyy")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"yyyy")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"yyyy")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"yyyy")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"yyyy")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"yyyy")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"yyyy")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"yyyy")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"yyyy")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"yyyy")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"yyyy")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"yyyy")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"yyyy")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"yyyy")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"yyyy")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"yyyy")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"yyyy")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"yyyy")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abSelected="1" workbookViewId="0">
      <selection activeCell="F21" sqref="F21"/>
    </sheetView>
  </sheetViews>
  <sheetFormatPr defaultRowHeight="15"/>
  <cols>
    <col min="1" max="1" width="10.4257812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203</v>
      </c>
      <c r="B1" s="23" t="s">
        <v>431</v>
      </c>
      <c r="C1" s="23" t="s">
        <v>432</v>
      </c>
    </row>
    <row r="2" spans="1:3">
      <c r="A2" s="23" t="str">
        <f>TEXT(IF(Deficit!B7&lt;&gt;0,Deficit!B7-364, ""), "mm-dd-yyyy")</f>
        <v>01-01-1975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3">
      <c r="A3" s="23" t="str">
        <f>TEXT(IF(Deficit!B8&lt;&gt;0,Deficit!B8-364, ""), "mm-dd-yyyy")</f>
        <v>01-02-1976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3">
      <c r="A4" s="23" t="str">
        <f>TEXT(IF(Deficit!B9&lt;&gt;0,Deficit!B9-364, ""), "mm-dd-yyyy")</f>
        <v>01-01-1977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3">
      <c r="A5" s="23" t="str">
        <f>TEXT(IF(Deficit!B10&lt;&gt;0,Deficit!B10-364, ""), "mm-dd-yyyy")</f>
        <v>01-01-1978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3">
      <c r="A6" s="23" t="str">
        <f>TEXT(IF(Deficit!B11&lt;&gt;0,Deficit!B11-364, ""), "mm-dd-yyyy")</f>
        <v>01-01-1979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3">
      <c r="A7" s="23" t="str">
        <f>TEXT(IF(Deficit!B12&lt;&gt;0,Deficit!B12-364, ""), "mm-dd-yyyy")</f>
        <v>01-02-1980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3">
      <c r="A8" s="23" t="str">
        <f>TEXT(IF(Deficit!B13&lt;&gt;0,Deficit!B13-364, ""), "mm-dd-yyyy")</f>
        <v>01-01-1981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3">
      <c r="A9" s="23" t="str">
        <f>TEXT(IF(Deficit!B14&lt;&gt;0,Deficit!B14-364, ""), "mm-dd-yyyy")</f>
        <v>01-01-1982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3">
      <c r="A10" s="23" t="str">
        <f>TEXT(IF(Deficit!B15&lt;&gt;0,Deficit!B15-364, ""), "mm-dd-yyyy")</f>
        <v>01-01-1983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3">
      <c r="A11" s="23" t="str">
        <f>TEXT(IF(Deficit!B16&lt;&gt;0,Deficit!B16-364, ""), "mm-dd-yyyy")</f>
        <v>01-02-1984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3">
      <c r="A12" s="23" t="str">
        <f>TEXT(IF(Deficit!B17&lt;&gt;0,Deficit!B17-364, ""), "mm-dd-yyyy")</f>
        <v>01-01-1985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3">
      <c r="A13" s="23" t="str">
        <f>TEXT(IF(Deficit!B18&lt;&gt;0,Deficit!B18-364, ""), "mm-dd-yyyy")</f>
        <v>01-01-1986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3">
      <c r="A14" s="23" t="str">
        <f>TEXT(IF(Deficit!B19&lt;&gt;0,Deficit!B19-364, ""), "mm-dd-yyyy")</f>
        <v>01-01-1987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3">
      <c r="A15" s="23" t="str">
        <f>TEXT(IF(Deficit!B20&lt;&gt;0,Deficit!B20-364, ""), "mm-dd-yyyy")</f>
        <v>01-02-1988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3">
      <c r="A16" s="23" t="str">
        <f>TEXT(IF(Deficit!B21&lt;&gt;0,Deficit!B21-364, ""), "mm-dd-yyyy")</f>
        <v>01-01-1989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TEXT(IF(Deficit!B22&lt;&gt;0,Deficit!B22-364, ""), "mm-dd-yyyy")</f>
        <v>01-01-1990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TEXT(IF(Deficit!B23&lt;&gt;0,Deficit!B23-364, ""), "mm-dd-yyyy")</f>
        <v>01-01-1991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TEXT(IF(Deficit!B24&lt;&gt;0,Deficit!B24-364, ""), "mm-dd-yyyy")</f>
        <v>01-02-1992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TEXT(IF(Deficit!B25&lt;&gt;0,Deficit!B25-364, ""), "mm-dd-yyyy")</f>
        <v>01-01-1993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TEXT(IF(Deficit!B26&lt;&gt;0,Deficit!B26-364, ""), "mm-dd-yyyy")</f>
        <v>01-01-1994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TEXT(IF(Deficit!B27&lt;&gt;0,Deficit!B27-364, ""), "mm-dd-yyyy")</f>
        <v>01-01-1995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TEXT(IF(Deficit!B28&lt;&gt;0,Deficit!B28-364, ""), "mm-dd-yyyy")</f>
        <v>01-02-1996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TEXT(IF(Deficit!B29&lt;&gt;0,Deficit!B29-364, ""), "mm-dd-yyyy")</f>
        <v>01-01-1997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TEXT(IF(Deficit!B30&lt;&gt;0,Deficit!B30-364, ""), "mm-dd-yyyy")</f>
        <v>01-01-1998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TEXT(IF(Deficit!B31&lt;&gt;0,Deficit!B31-364, ""), "mm-dd-yyyy")</f>
        <v>01-01-1999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TEXT(IF(Deficit!B32&lt;&gt;0,Deficit!B32-364, ""), "mm-dd-yyyy")</f>
        <v>01-02-2000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TEXT(IF(Deficit!B33&lt;&gt;0,Deficit!B33-364, ""), "mm-dd-yyyy")</f>
        <v>01-01-2001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TEXT(IF(Deficit!B34&lt;&gt;0,Deficit!B34-364, ""), "mm-dd-yyyy")</f>
        <v>01-01-2002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TEXT(IF(Deficit!B35&lt;&gt;0,Deficit!B35-364, ""), "mm-dd-yyyy")</f>
        <v>01-01-2003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TEXT(IF(Deficit!B36&lt;&gt;0,Deficit!B36-364, ""), "mm-dd-yyyy")</f>
        <v>01-02-2004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TEXT(IF(Deficit!B37&lt;&gt;0,Deficit!B37-364, ""), "mm-dd-yyyy")</f>
        <v>01-01-2005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TEXT(IF(Deficit!B38&lt;&gt;0,Deficit!B38-364, ""), "mm-dd-yyyy")</f>
        <v>01-01-2006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TEXT(IF(Deficit!B39&lt;&gt;0,Deficit!B39-364, ""), "mm-dd-yyyy")</f>
        <v>01-01-2007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TEXT(IF(Deficit!B40&lt;&gt;0,Deficit!B40-364, ""), "mm-dd-yyyy")</f>
        <v>01-02-2008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TEXT(IF(Deficit!B41&lt;&gt;0,Deficit!B41-364, ""), "mm-dd-yyyy")</f>
        <v>01-01-2009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TEXT(IF(Deficit!B42&lt;&gt;0,Deficit!B42-364, ""), "mm-dd-yyyy")</f>
        <v>01-01-2010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TEXT(IF(Deficit!B43&lt;&gt;0,Deficit!B43-364, ""), "mm-dd-yyyy")</f>
        <v>01-01-2011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TEXT(IF(Deficit!B44&lt;&gt;0,Deficit!B44-364, ""), "mm-dd-yyyy")</f>
        <v>01-02-2012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TEXT(IF(Deficit!B45&lt;&gt;0,Deficit!B45-364, ""), "mm-dd-yyyy")</f>
        <v>01-01-2013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TEXT(IF(Deficit!B46&lt;&gt;0,Deficit!B46-364, ""), "mm-dd-yyyy")</f>
        <v>01-01-2014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TEXT(IF(Deficit!B47&lt;&gt;0,Deficit!B47-364, ""), "mm-dd-yyyy")</f>
        <v>01-01-2015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TEXT(IF(Deficit!B48&lt;&gt;0,Deficit!B48-364, ""), "mm-dd-yyyy")</f>
        <v>01-02-2016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TEXT(IF(Deficit!B49&lt;&gt;0,Deficit!B49-364, ""), "mm-dd-yyyy")</f>
        <v>01-01-2017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TEXT(IF(Deficit!B50&lt;&gt;0,Deficit!B50-364, ""), "mm-dd-yyyy")</f>
        <v>01-01-2018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TEXT(IF(Deficit!B51&lt;&gt;0,Deficit!B51-364, ""), "mm-dd-yyyy")</f>
        <v>01-01-2019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TEXT(IF(Deficit!B52&lt;&gt;0,Deficit!B52-364, ""), "mm-dd-yyyy")</f>
        <v>01-02-2020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TEXT(IF(Deficit!B53&lt;&gt;0,Deficit!B53-364, ""), "mm-dd-yyyy")</f>
        <v>01-01-2021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TEXT(IF(Deficit!B54&lt;&gt;0,Deficit!B54-364, ""), "mm-dd-yyyy")</f>
        <v>01-01-2022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TEXT(IF(Deficit!B55&lt;&gt;0,Deficit!B55-364, ""), "mm-dd-yyyy")</f>
        <v>01-01-2023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TEXT(IF(Deficit!B56&lt;&gt;0,Deficit!B56-364, ""), "mm-dd-yyyy")</f>
        <v>01-02-2024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TEXT(IF(Deficit!B57&lt;&gt;0,Deficit!B57-364, ""), "mm-dd-yyyy")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e">
        <f>TEXT(IF(Deficit!B58&lt;&gt;0,Deficit!B58-364, ""), "mm-dd-yyyy")</f>
        <v>#VALUE!</v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e">
        <f>TEXT(IF(Deficit!B59&lt;&gt;0,Deficit!B59-364, ""), "mm-dd-yyyy")</f>
        <v>#VALUE!</v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e">
        <f>TEXT(IF(Deficit!B60&lt;&gt;0,Deficit!B60-364, ""), "mm-dd-yyyy")</f>
        <v>#VALUE!</v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e">
        <f>TEXT(IF(Deficit!B61&lt;&gt;0,Deficit!B61-364, ""), "mm-dd-yyyy")</f>
        <v>#VALUE!</v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TEXT(IF(Deficit!B62&lt;&gt;0,Deficit!B62-364, ""), "mm-dd-yyyy")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TEXT(IF(Deficit!B63&lt;&gt;0,Deficit!B63-364, ""), "mm-dd-yyyy")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TEXT(IF(Deficit!B64&lt;&gt;0,Deficit!B64-364, ""), "mm-dd-yyyy")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TEXT(IF(Deficit!B65&lt;&gt;0,Deficit!B65-364, ""), "mm-dd-yyyy")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TEXT(IF(Deficit!B66&lt;&gt;0,Deficit!B66-364, ""), "mm-dd-yyyy")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TEXT(IF(Deficit!B67&lt;&gt;0,Deficit!B67-364, ""), "mm-dd-yyyy")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TEXT(IF(Deficit!B68&lt;&gt;0,Deficit!B68-364, ""), "mm-dd-yyyy")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TEXT(IF(Deficit!B69&lt;&gt;0,Deficit!B69-364, ""), "mm-dd-yyyy")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TEXT(IF(Deficit!B70&lt;&gt;0,Deficit!B70-364, ""), "mm-dd-yyyy")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TEXT(IF(Deficit!B71&lt;&gt;0,Deficit!B71-364, ""), "mm-dd-yyyy")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e">
        <f>TEXT(IF(Deficit!B72&lt;&gt;0,Deficit!B72-364, ""), "mm-dd-yyyy")</f>
        <v>#VALUE!</v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e">
        <f>TEXT(IF(Deficit!B73&lt;&gt;0,Deficit!B73-364, ""), "mm-dd-yyyy")</f>
        <v>#VALUE!</v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e">
        <f>TEXT(IF(Deficit!B74&lt;&gt;0,Deficit!B74-364, ""), "mm-dd-yyyy")</f>
        <v>#VALUE!</v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e">
        <f>TEXT(IF(Deficit!B75&lt;&gt;0,Deficit!B75-364, ""), "mm-dd-yyyy")</f>
        <v>#VALUE!</v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e">
        <f>TEXT(IF(Deficit!B76&lt;&gt;0,Deficit!B76-364, ""), "mm-dd-yyyy")</f>
        <v>#VALUE!</v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TEXT(IF(Deficit!B77&lt;&gt;0,Deficit!B77-364, ""), "mm-dd-yyyy")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TEXT(IF(Deficit!B78&lt;&gt;0,Deficit!B78-364, ""), "mm-dd-yyyy")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TEXT(IF(Deficit!B79&lt;&gt;0,Deficit!B79-364, ""), "mm-dd-yyyy")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TEXT(IF(Deficit!B80&lt;&gt;0,Deficit!B80-364, ""), "mm-dd-yyyy")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TEXT(IF(Deficit!B81&lt;&gt;0,Deficit!B81-364, ""), "mm-dd-yyyy")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TEXT(IF(Deficit!B82&lt;&gt;0,Deficit!B82-364, ""), "mm-dd-yyyy")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TEXT(IF(Deficit!B83&lt;&gt;0,Deficit!B83-364, ""), "mm-dd-yyyy")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TEXT(IF(Deficit!B84&lt;&gt;0,Deficit!B84-364, ""), "mm-dd-yyyy")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TEXT(IF(Deficit!B85&lt;&gt;0,Deficit!B85-364, ""), "mm-dd-yyyy")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TEXT(IF(Deficit!B86&lt;&gt;0,Deficit!B86-364, ""), "mm-dd-yyyy")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TEXT(IF(Deficit!B87&lt;&gt;0,Deficit!B87-364, ""), "mm-dd-yyyy")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TEXT(IF(Deficit!B88&lt;&gt;0,Deficit!B88-364, ""), "mm-dd-yyyy")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TEXT(IF(Deficit!B89&lt;&gt;0,Deficit!B89-364, ""), "mm-dd-yyyy")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TEXT(IF(Deficit!B90&lt;&gt;0,Deficit!B90-364, ""), "mm-dd-yyyy")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TEXT(IF(Deficit!B91&lt;&gt;0,Deficit!B91-364, ""), "mm-dd-yyyy")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TEXT(IF(Deficit!B92&lt;&gt;0,Deficit!B92-364, ""), "mm-dd-yyyy")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TEXT(IF(Deficit!B93&lt;&gt;0,Deficit!B93-364, ""), "mm-dd-yyyy")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TEXT(IF(Deficit!B94&lt;&gt;0,Deficit!B94-364, ""), "mm-dd-yyyy")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TEXT(IF(Deficit!B95&lt;&gt;0,Deficit!B95-364, ""), "mm-dd-yyyy")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TEXT(IF(Deficit!B96&lt;&gt;0,Deficit!B96-364, ""), "mm-dd-yyyy")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TEXT(IF(Deficit!B97&lt;&gt;0,Deficit!B97-364, ""), "mm-dd-yyyy")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TEXT(IF(Deficit!B98&lt;&gt;0,Deficit!B98-364, ""), "mm-dd-yyyy")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TEXT(IF(Deficit!B99&lt;&gt;0,Deficit!B99-364, ""), "mm-dd-yyyy")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TEXT(IF(Deficit!B100&lt;&gt;0,Deficit!B100-364, ""), "mm-dd-yyyy")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TEXT(IF(Deficit!B101&lt;&gt;0,Deficit!B101-364, ""), "mm-dd-yyyy")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TEXT(IF(Deficit!B102&lt;&gt;0,Deficit!B102-364, ""), "mm-dd-yyyy")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TEXT(IF(Deficit!B103&lt;&gt;0,Deficit!B103-364, ""), "mm-dd-yyyy")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TEXT(IF(Deficit!B104&lt;&gt;0,Deficit!B104-364, ""), "mm-dd-yyyy")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TEXT(IF(Deficit!B105&lt;&gt;0,Deficit!B105-364, ""), "mm-dd-yyyy")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TEXT(IF(Deficit!B106&lt;&gt;0,Deficit!B106-364, ""), "mm-dd-yyyy")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TEXT(IF(Deficit!B107&lt;&gt;0,Deficit!B107-364, ""), "mm-dd-yyyy")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TEXT(IF(Deficit!B108&lt;&gt;0,Deficit!B108-364, ""), "mm-dd-yyyy")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TEXT(IF(Deficit!B109&lt;&gt;0,Deficit!B109-364, ""), "mm-dd-yyyy")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TEXT(IF(Deficit!B110&lt;&gt;0,Deficit!B110-364, ""), "mm-dd-yyyy")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TEXT(IF(Deficit!B111&lt;&gt;0,Deficit!B111-364, ""), "mm-dd-yyyy")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TEXT(IF(Deficit!B112&lt;&gt;0,Deficit!B112-364, ""), "mm-dd-yyyy")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TEXT(IF(Deficit!B113&lt;&gt;0,Deficit!B113-364, ""), "mm-dd-yyyy")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TEXT(IF(Deficit!B114&lt;&gt;0,Deficit!B114-364, ""), "mm-dd-yyyy")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TEXT(IF(Deficit!B115&lt;&gt;0,Deficit!B115-364, ""), "mm-dd-yyyy")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TEXT(IF(Deficit!B116&lt;&gt;0,Deficit!B116-364, ""), "mm-dd-yyyy")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TEXT(IF(Deficit!B117&lt;&gt;0,Deficit!B117-364, ""), "mm-dd-yyyy")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TEXT(IF(Deficit!B118&lt;&gt;0,Deficit!B118-364, ""), "mm-dd-yyyy")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TEXT(IF(Deficit!B119&lt;&gt;0,Deficit!B119-364, ""), "mm-dd-yyyy")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TEXT(IF(Deficit!B120&lt;&gt;0,Deficit!B120-364, ""), "mm-dd-yyyy")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TEXT(IF(Deficit!B121&lt;&gt;0,Deficit!B121-364, ""), "mm-dd-yyyy")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TEXT(IF(Deficit!B122&lt;&gt;0,Deficit!B122-364, ""), "mm-dd-yyyy")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TEXT(IF(Deficit!B123&lt;&gt;0,Deficit!B123-364, ""), "mm-dd-yyyy")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TEXT(IF(Deficit!B124&lt;&gt;0,Deficit!B124-364, ""), "mm-dd-yyyy")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TEXT(IF(Deficit!B125&lt;&gt;0,Deficit!B125-364, ""), "mm-dd-yyyy")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TEXT(IF(Deficit!B126&lt;&gt;0,Deficit!B126-364, ""), "mm-dd-yyyy")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TEXT(IF(Deficit!B127&lt;&gt;0,Deficit!B127-364, ""), "mm-dd-yyyy")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TEXT(IF(Deficit!B128&lt;&gt;0,Deficit!B128-364, ""), "mm-dd-yyyy")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TEXT(IF(Deficit!B129&lt;&gt;0,Deficit!B129-364, ""), "mm-dd-yyyy")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TEXT(IF(Deficit!B130&lt;&gt;0,Deficit!B130-364, ""), "mm-dd-yyyy")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TEXT(IF(Deficit!B131&lt;&gt;0,Deficit!B131-364, ""), "mm-dd-yyyy")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TEXT(IF(Deficit!B132&lt;&gt;0,Deficit!B132-364, ""), "mm-dd-yyyy")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TEXT(IF(Deficit!B133&lt;&gt;0,Deficit!B133-364, ""), "mm-dd-yyyy")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TEXT(IF(Deficit!B134&lt;&gt;0,Deficit!B134-364, ""), "mm-dd-yyyy")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TEXT(IF(Deficit!B135&lt;&gt;0,Deficit!B135-364, ""), "mm-dd-yyyy")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TEXT(IF(Deficit!B136&lt;&gt;0,Deficit!B136-364, ""), "mm-dd-yyyy")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TEXT(IF(Deficit!B137&lt;&gt;0,Deficit!B137-364, ""), "mm-dd-yyyy")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TEXT(IF(Deficit!B138&lt;&gt;0,Deficit!B138-364, ""), "mm-dd-yyyy")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TEXT(IF(Deficit!B139&lt;&gt;0,Deficit!B139-364, ""), "mm-dd-yyyy")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TEXT(IF(Deficit!B140&lt;&gt;0,Deficit!B140-364, ""), "mm-dd-yyyy")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TEXT(IF(Deficit!B141&lt;&gt;0,Deficit!B141-364, ""), "mm-dd-yyyy")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TEXT(IF(Deficit!B142&lt;&gt;0,Deficit!B142-364, ""), "mm-dd-yyyy")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TEXT(IF(Deficit!B143&lt;&gt;0,Deficit!B143-364, ""), "mm-dd-yyyy")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TEXT(IF(Deficit!B144&lt;&gt;0,Deficit!B144-364, ""), "mm-dd-yyyy")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TEXT(IF(Deficit!B145&lt;&gt;0,Deficit!B145-364, ""), "mm-dd-yyyy")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TEXT(IF(Deficit!B146&lt;&gt;0,Deficit!B146-364, ""), "mm-dd-yyyy")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TEXT(IF(Deficit!B147&lt;&gt;0,Deficit!B147-364, ""), "mm-dd-yyyy")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TEXT(IF(Deficit!B148&lt;&gt;0,Deficit!B148-364, ""), "mm-dd-yyyy")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TEXT(IF(Deficit!B149&lt;&gt;0,Deficit!B149-364, ""), "mm-dd-yyyy")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TEXT(IF(Deficit!B150&lt;&gt;0,Deficit!B150-364, ""), "mm-dd-yyyy")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TEXT(IF(Deficit!B151&lt;&gt;0,Deficit!B151-364, ""), "mm-dd-yyyy")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TEXT(IF(Deficit!B152&lt;&gt;0,Deficit!B152-364, ""), "mm-dd-yyyy")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TEXT(IF(Deficit!B153&lt;&gt;0,Deficit!B153-364, ""), "mm-dd-yyyy")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TEXT(IF(Deficit!B154&lt;&gt;0,Deficit!B154-364, ""), "mm-dd-yyyy")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TEXT(IF(Deficit!B155&lt;&gt;0,Deficit!B155-364, ""), "mm-dd-yyyy")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TEXT(IF(Deficit!B156&lt;&gt;0,Deficit!B156-364, ""), "mm-dd-yyyy")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TEXT(IF(Deficit!B157&lt;&gt;0,Deficit!B157-364, ""), "mm-dd-yyyy")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TEXT(IF(Deficit!B158&lt;&gt;0,Deficit!B158-364, ""), "mm-dd-yyyy")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TEXT(IF(Deficit!B159&lt;&gt;0,Deficit!B159-364, ""), "mm-dd-yyyy")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TEXT(IF(Deficit!B160&lt;&gt;0,Deficit!B160-364, ""), "mm-dd-yyyy")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TEXT(IF(Deficit!B161&lt;&gt;0,Deficit!B161-364, ""), "mm-dd-yyyy")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TEXT(IF(Deficit!B162&lt;&gt;0,Deficit!B162-364, ""), "mm-dd-yyyy")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TEXT(IF(Deficit!B163&lt;&gt;0,Deficit!B163-364, ""), "mm-dd-yyyy")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TEXT(IF(Deficit!B164&lt;&gt;0,Deficit!B164-364, ""), "mm-dd-yyyy")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TEXT(IF(Deficit!B165&lt;&gt;0,Deficit!B165-364, ""), "mm-dd-yyyy")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TEXT(IF(Deficit!B166&lt;&gt;0,Deficit!B166-364, ""), "mm-dd-yyyy")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TEXT(IF(Deficit!B167&lt;&gt;0,Deficit!B167-364, ""), "mm-dd-yyyy")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TEXT(IF(Deficit!B168&lt;&gt;0,Deficit!B168-364, ""), "mm-dd-yyyy")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TEXT(IF(Deficit!B169&lt;&gt;0,Deficit!B169-364, ""), "mm-dd-yyyy")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TEXT(IF(Deficit!B170&lt;&gt;0,Deficit!B170-364, ""), "mm-dd-yyyy")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TEXT(IF(Deficit!B171&lt;&gt;0,Deficit!B171-364, ""), "mm-dd-yyyy")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TEXT(IF(Deficit!B172&lt;&gt;0,Deficit!B172-364, ""), "mm-dd-yyyy")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TEXT(IF(Deficit!B173&lt;&gt;0,Deficit!B173-364, ""), "mm-dd-yyyy")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TEXT(IF(Deficit!B174&lt;&gt;0,Deficit!B174-364, ""), "mm-dd-yyyy")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TEXT(IF(Deficit!B175&lt;&gt;0,Deficit!B175-364, ""), "mm-dd-yyyy")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TEXT(IF(Deficit!B176&lt;&gt;0,Deficit!B176-364, ""), "mm-dd-yyyy")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TEXT(IF(Deficit!B177&lt;&gt;0,Deficit!B177-364, ""), "mm-dd-yyyy")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TEXT(IF(Deficit!B178&lt;&gt;0,Deficit!B178-364, ""), "mm-dd-yyyy")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TEXT(IF(Deficit!B179&lt;&gt;0,Deficit!B179-364, ""), "mm-dd-yyyy")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TEXT(IF(Deficit!B180&lt;&gt;0,Deficit!B180-364, ""), "mm-dd-yyyy")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TEXT(IF(Deficit!B181&lt;&gt;0,Deficit!B181-364, ""), "mm-dd-yyyy")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TEXT(IF(Deficit!B182&lt;&gt;0,Deficit!B182-364, ""), "mm-dd-yyyy")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TEXT(IF(Deficit!B183&lt;&gt;0,Deficit!B183-364, ""), "mm-dd-yyyy")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TEXT(IF(Deficit!B184&lt;&gt;0,Deficit!B184-364, ""), "mm-dd-yyyy")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TEXT(IF(Deficit!B185&lt;&gt;0,Deficit!B185-364, ""), "mm-dd-yyyy")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TEXT(IF(Deficit!B186&lt;&gt;0,Deficit!B186-364, ""), "mm-dd-yyyy")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TEXT(IF(Deficit!B187&lt;&gt;0,Deficit!B187-364, ""), "mm-dd-yyyy")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TEXT(IF(Deficit!B188&lt;&gt;0,Deficit!B188-364, ""), "mm-dd-yyyy")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TEXT(IF(Deficit!B189&lt;&gt;0,Deficit!B189-364, ""), "mm-dd-yyyy")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TEXT(IF(Deficit!B190&lt;&gt;0,Deficit!B190-364, ""), "mm-dd-yyyy")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TEXT(IF(Deficit!B191&lt;&gt;0,Deficit!B191-364, ""), "mm-dd-yyyy")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TEXT(IF(Deficit!B192&lt;&gt;0,Deficit!B192-364, ""), "mm-dd-yyyy")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TEXT(IF(Deficit!B193&lt;&gt;0,Deficit!B193-364, ""), "mm-dd-yyyy")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TEXT(IF(Deficit!B194&lt;&gt;0,Deficit!B194-364, ""), "mm-dd-yyyy")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TEXT(IF(Deficit!B195&lt;&gt;0,Deficit!B195-364, ""), "mm-dd-yyyy")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TEXT(IF(Deficit!B196&lt;&gt;0,Deficit!B196-364, ""), "mm-dd-yyyy")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TEXT(IF(Deficit!B197&lt;&gt;0,Deficit!B197-364, ""), "mm-dd-yyyy")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TEXT(IF(Deficit!B198&lt;&gt;0,Deficit!B198-364, ""), "mm-dd-yyyy")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TEXT(IF(Deficit!B199&lt;&gt;0,Deficit!B199-364, ""), "mm-dd-yyyy")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TEXT(IF(Deficit!B200&lt;&gt;0,Deficit!B200-364, ""), "mm-dd-yyyy")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TEXT(IF(Deficit!B201&lt;&gt;0,Deficit!B201-364, ""), "mm-dd-yyyy")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TEXT(IF(Deficit!B202&lt;&gt;0,Deficit!B202-364, ""), "mm-dd-yyyy")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TEXT(IF(Deficit!B203&lt;&gt;0,Deficit!B203-364, ""), "mm-dd-yyyy")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TEXT(IF(Deficit!B204&lt;&gt;0,Deficit!B204-364, ""), "mm-dd-yyyy")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TEXT(IF(Deficit!B205&lt;&gt;0,Deficit!B205-364, ""), "mm-dd-yyyy")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TEXT(IF(Deficit!B206&lt;&gt;0,Deficit!B206-364, ""), "mm-dd-yyyy")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TEXT(IF(Deficit!B207&lt;&gt;0,Deficit!B207-364, ""), "mm-dd-yyyy")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TEXT(IF(Deficit!B208&lt;&gt;0,Deficit!B208-364, ""), "mm-dd-yyyy")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TEXT(IF(Deficit!B209&lt;&gt;0,Deficit!B209-364, ""), "mm-dd-yyyy")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TEXT(IF(Deficit!B210&lt;&gt;0,Deficit!B210-364, ""), "mm-dd-yyyy")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TEXT(IF(Deficit!B211&lt;&gt;0,Deficit!B211-364, ""), "mm-dd-yyyy")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TEXT(IF(Deficit!B212&lt;&gt;0,Deficit!B212-364, ""), "mm-dd-yyyy")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TEXT(IF(Deficit!B213&lt;&gt;0,Deficit!B213-364, ""), "mm-dd-yyyy")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TEXT(IF(Deficit!B214&lt;&gt;0,Deficit!B214-364, ""), "mm-dd-yyyy")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TEXT(IF(Deficit!B215&lt;&gt;0,Deficit!B215-364, ""), "mm-dd-yyyy")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TEXT(IF(Deficit!B216&lt;&gt;0,Deficit!B216-364, ""), "mm-dd-yyyy")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TEXT(IF(Deficit!B217&lt;&gt;0,Deficit!B217-364, ""), "mm-dd-yyyy")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TEXT(IF(Deficit!B218&lt;&gt;0,Deficit!B218-364, ""), "mm-dd-yyyy")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TEXT(IF(Deficit!B219&lt;&gt;0,Deficit!B219-364, ""), "mm-dd-yyyy")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TEXT(IF(Deficit!B220&lt;&gt;0,Deficit!B220-364, ""), "mm-dd-yyyy")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TEXT(IF(Deficit!B221&lt;&gt;0,Deficit!B221-364, ""), "mm-dd-yyyy")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TEXT(IF(Deficit!B222&lt;&gt;0,Deficit!B222-364, ""), "mm-dd-yyyy")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TEXT(IF(Deficit!B223&lt;&gt;0,Deficit!B223-364, ""), "mm-dd-yyyy")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TEXT(IF(Deficit!B224&lt;&gt;0,Deficit!B224-364, ""), "mm-dd-yyyy")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TEXT(IF(Deficit!B225&lt;&gt;0,Deficit!B225-364, ""), "mm-dd-yyyy")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TEXT(IF(Deficit!B226&lt;&gt;0,Deficit!B226-364, ""), "mm-dd-yyyy")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TEXT(IF(Deficit!B227&lt;&gt;0,Deficit!B227-364, ""), "mm-dd-yyyy")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TEXT(IF(Deficit!B228&lt;&gt;0,Deficit!B228-364, ""), "mm-dd-yyyy")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TEXT(IF(Deficit!B229&lt;&gt;0,Deficit!B229-364, ""), "mm-dd-yyyy")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TEXT(IF(Deficit!B230&lt;&gt;0,Deficit!B230-364, ""), "mm-dd-yyyy")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TEXT(IF(Deficit!B231&lt;&gt;0,Deficit!B231-364, ""), "mm-dd-yyyy")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TEXT(IF(Deficit!B232&lt;&gt;0,Deficit!B232-364, ""), "mm-dd-yyyy")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TEXT(IF(Deficit!B233&lt;&gt;0,Deficit!B233-364, ""), "mm-dd-yyyy")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TEXT(IF(Deficit!B234&lt;&gt;0,Deficit!B234-364, ""), "mm-dd-yyyy")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TEXT(IF(Deficit!B235&lt;&gt;0,Deficit!B235-364, ""), "mm-dd-yyyy")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TEXT(IF(Deficit!B236&lt;&gt;0,Deficit!B236-364, ""), "mm-dd-yyyy")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TEXT(IF(Deficit!B237&lt;&gt;0,Deficit!B237-364, ""), "mm-dd-yyyy")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TEXT(IF(Deficit!B238&lt;&gt;0,Deficit!B238-364, ""), "mm-dd-yyyy")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TEXT(IF(Deficit!B239&lt;&gt;0,Deficit!B239-364, ""), "mm-dd-yyyy")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TEXT(IF(Deficit!B240&lt;&gt;0,Deficit!B240-364, ""), "mm-dd-yyyy")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TEXT(IF(Deficit!B241&lt;&gt;0,Deficit!B241-364, ""), "mm-dd-yyyy")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TEXT(IF(Deficit!B242&lt;&gt;0,Deficit!B242-364, ""), "mm-dd-yyyy")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TEXT(IF(Deficit!B243&lt;&gt;0,Deficit!B243-364, ""), "mm-dd-yyyy")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TEXT(IF(Deficit!B244&lt;&gt;0,Deficit!B244-364, ""), "mm-dd-yyyy")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TEXT(IF(Deficit!B245&lt;&gt;0,Deficit!B245-364, ""), "mm-dd-yyyy")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TEXT(IF(Deficit!B246&lt;&gt;0,Deficit!B246-364, ""), "mm-dd-yyyy")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TEXT(IF(Deficit!B247&lt;&gt;0,Deficit!B247-364, ""), "mm-dd-yyyy")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TEXT(IF(Deficit!B248&lt;&gt;0,Deficit!B248-364, ""), "mm-dd-yyyy")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TEXT(IF(Deficit!B249&lt;&gt;0,Deficit!B249-364, ""), "mm-dd-yyyy")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TEXT(IF(Deficit!B250&lt;&gt;0,Deficit!B250-364, ""), "mm-dd-yyyy")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TEXT(IF(Deficit!B251&lt;&gt;0,Deficit!B251-364, ""), "mm-dd-yyyy")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TEXT(IF(Deficit!B252&lt;&gt;0,Deficit!B252-364, ""), "mm-dd-yyyy")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TEXT(IF(Deficit!B253&lt;&gt;0,Deficit!B253-364, ""), "mm-dd-yyyy")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TEXT(IF(Deficit!B254&lt;&gt;0,Deficit!B254-364, ""), "mm-dd-yyyy")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TEXT(IF(Deficit!B255&lt;&gt;0,Deficit!B255-364, ""), "mm-dd-yyyy")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TEXT(IF(Deficit!B256&lt;&gt;0,Deficit!B256-364, ""), "mm-dd-yyyy")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TEXT(IF(Deficit!B257&lt;&gt;0,Deficit!B257-364, ""), "mm-dd-yyyy")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TEXT(IF(Deficit!B258&lt;&gt;0,Deficit!B258-364, ""), "mm-dd-yyyy")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TEXT(IF(Deficit!B259&lt;&gt;0,Deficit!B259-364, ""), "mm-dd-yyyy")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TEXT(IF(Deficit!B260&lt;&gt;0,Deficit!B260-364, ""), "mm-dd-yyyy")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TEXT(IF(Deficit!B261&lt;&gt;0,Deficit!B261-364, ""), "mm-dd-yyyy")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TEXT(IF(Deficit!B262&lt;&gt;0,Deficit!B262-364, ""), "mm-dd-yyyy")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TEXT(IF(Deficit!B263&lt;&gt;0,Deficit!B263-364, ""), "mm-dd-yyyy")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TEXT(IF(Deficit!B264&lt;&gt;0,Deficit!B264-364, ""), "mm-dd-yyyy")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TEXT(IF(Deficit!B265&lt;&gt;0,Deficit!B265-364, ""), "mm-dd-yyyy")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TEXT(IF(Deficit!B266&lt;&gt;0,Deficit!B266-364, ""), "mm-dd-yyyy")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TEXT(IF(Deficit!B267&lt;&gt;0,Deficit!B267-364, ""), "mm-dd-yyyy")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TEXT(IF(Deficit!B268&lt;&gt;0,Deficit!B268-364, ""), "mm-dd-yyyy")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TEXT(IF(Deficit!B269&lt;&gt;0,Deficit!B269-364, ""), "mm-dd-yyyy")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TEXT(IF(Deficit!B270&lt;&gt;0,Deficit!B270-364, ""), "mm-dd-yyyy")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TEXT(IF(Deficit!B271&lt;&gt;0,Deficit!B271-364, ""), "mm-dd-yyyy")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TEXT(IF(Deficit!B272&lt;&gt;0,Deficit!B272-364, ""), "mm-dd-yyyy")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TEXT(IF(Deficit!B273&lt;&gt;0,Deficit!B273-364, ""), "mm-dd-yyyy")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TEXT(IF(Deficit!B274&lt;&gt;0,Deficit!B274-364, ""), "mm-dd-yyyy")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TEXT(IF(Deficit!B275&lt;&gt;0,Deficit!B275-364, ""), "mm-dd-yyyy")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TEXT(IF(Deficit!B276&lt;&gt;0,Deficit!B276-364, ""), "mm-dd-yyyy")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TEXT(IF(Deficit!B277&lt;&gt;0,Deficit!B277-364, ""), "mm-dd-yyyy")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TEXT(IF(Deficit!B278&lt;&gt;0,Deficit!B278-364, ""), "mm-dd-yyyy")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TEXT(IF(Deficit!B279&lt;&gt;0,Deficit!B279-364, ""), "mm-dd-yyyy")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TEXT(IF(Deficit!B280&lt;&gt;0,Deficit!B280-364, ""), "mm-dd-yyyy")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TEXT(IF(Deficit!B281&lt;&gt;0,Deficit!B281-364, ""), "mm-dd-yyyy")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TEXT(IF(Deficit!B282&lt;&gt;0,Deficit!B282-364, ""), "mm-dd-yyyy")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TEXT(IF(Deficit!B283&lt;&gt;0,Deficit!B283-364, ""), "mm-dd-yyyy")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TEXT(IF(Deficit!B284&lt;&gt;0,Deficit!B284-364, ""), "mm-dd-yyyy")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TEXT(IF(Deficit!B285&lt;&gt;0,Deficit!B285-364, ""), "mm-dd-yyyy")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TEXT(IF(Deficit!B286&lt;&gt;0,Deficit!B286-364, ""), "mm-dd-yyyy")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TEXT(IF(Deficit!B287&lt;&gt;0,Deficit!B287-364, ""), "mm-dd-yyyy")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TEXT(IF(Deficit!B288&lt;&gt;0,Deficit!B288-364, ""), "mm-dd-yyyy")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TEXT(IF(Deficit!B289&lt;&gt;0,Deficit!B289-364, ""), "mm-dd-yyyy")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TEXT(IF(Deficit!B290&lt;&gt;0,Deficit!B290-364, ""), "mm-dd-yyyy")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A2" sqref="A2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433</v>
      </c>
      <c r="C1" s="23" t="s">
        <v>434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F31" sqref="F31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436</v>
      </c>
      <c r="C1" s="23" t="s">
        <v>440</v>
      </c>
      <c r="D1" s="23" t="s">
        <v>446</v>
      </c>
      <c r="E1" s="23" t="s">
        <v>438</v>
      </c>
      <c r="F1" s="23" t="s">
        <v>447</v>
      </c>
      <c r="G1" s="23" t="s">
        <v>439</v>
      </c>
      <c r="H1" s="23" t="s">
        <v>448</v>
      </c>
      <c r="I1" s="23" t="s">
        <v>437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C2B0809-0C73-421E-B314-F4E8EF1D5782}"/>
</file>

<file path=customXml/itemProps2.xml><?xml version="1.0" encoding="utf-8"?>
<ds:datastoreItem xmlns:ds="http://schemas.openxmlformats.org/officeDocument/2006/customXml" ds:itemID="{6A1BB73F-74AC-4B95-BD9E-DB14048FA3A7}"/>
</file>

<file path=customXml/itemProps3.xml><?xml version="1.0" encoding="utf-8"?>
<ds:datastoreItem xmlns:ds="http://schemas.openxmlformats.org/officeDocument/2006/customXml" ds:itemID="{C8211A18-7E84-4020-9432-55C6AA3DE63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long_deficit_2</vt:lpstr>
      <vt:lpstr>long_deficit_3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2014-09-23T21:33:27Z</cp:lastPrinted>
  <dcterms:created xsi:type="dcterms:W3CDTF">2014-07-22T13:55:17Z</dcterms:created>
  <dcterms:modified xsi:type="dcterms:W3CDTF">2014-09-23T21:41:10Z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