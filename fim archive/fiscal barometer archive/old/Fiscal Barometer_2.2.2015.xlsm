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firstSheet="9" activeTab="1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C31" i="15" l="1"/>
  <c r="C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9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H57" i="4" s="1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C77" i="18" s="1"/>
  <c r="L82" i="3"/>
  <c r="M83" i="3" s="1"/>
  <c r="C76" i="18" s="1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C77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B75" i="17" s="1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5" i="4" l="1"/>
  <c r="J83" i="3"/>
  <c r="C76" i="17" s="1"/>
  <c r="M82" i="3"/>
  <c r="C75" i="18" s="1"/>
  <c r="B75" i="18"/>
  <c r="H17" i="4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I57" i="4" s="1"/>
  <c r="B44" i="21" s="1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<sst xmlns="http://schemas.openxmlformats.org/spreadsheetml/2006/main" count="709" uniqueCount="429">
  <si>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</si>
  <si>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</si>
  <si>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</si>
  <si>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</si>
  <si>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</si>
  <si>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</si>
  <si>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</si>
  <si>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</si>
  <si>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</si>
  <si>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</si>
  <si>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</si>
  <si>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</si>
  <si>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</si>
  <si>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</si>
  <si>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</si>
  <si>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</si>
  <si>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</si>
  <si>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</si>
  <si>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</si>
  <si>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</si>
  <si>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</si>
  <si>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</si>
  <si>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</si>
  <si>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</si>
  <si>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</si>
  <si>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</si>
  <si>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</si>
  <si>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</si>
  <si>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</si>
  <si>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</si>
  <si>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</si>
  <si>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</si>
  <si>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</si>
  <si>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</si>
  <si>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</si>
  <si>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</si>
  <si>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</si>
  <si>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</si>
  <si>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</si>
  <si>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</si>
  <si>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</si>
  <si>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</si>
  <si>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</si>
  <si>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</si>
  <si>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</si>
  <si>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</si>
  <si>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</si>
  <si>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</si>
  <si>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</si>
  <si>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</si>
  <si>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</si>
  <si>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</si>
  <si>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</si>
  <si>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</si>
  <si>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</si>
  <si>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</si>
  <si>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</si>
  <si>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</si>
  <si>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</si>
  <si>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</si>
  <si>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</si>
  <si>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</si>
  <si>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</si>
  <si>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</si>
  <si>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</si>
  <si>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</si>
  <si>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</si>
  <si>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</si>
  <si>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</si>
  <si>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</si>
  <si>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</si>
  <si>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</si>
  <si>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</si>
  <si>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</si>
  <si>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</si>
  <si>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</si>
  <si>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</si>
  <si>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</si>
  <si>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</si>
  <si>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</si>
  <si>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</si>
  <si>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</si>
  <si>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</si>
  <si>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</si>
  <si>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</si>
  <si>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</si>
  <si>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</si>
  <si>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</si>
  <si>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</si>
  <si>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</si>
  <si>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</si>
  <si>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</si>
  <si>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</si>
  <si>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</si>
  <si>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</si>
  <si>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</si>
  <si>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</si>
  <si>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</si>
  <si>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</si>
  <si>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</si>
  <si>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</si>
  <si>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</si>
  <si>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</si>
  <si>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</si>
  <si>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</si>
  <si>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</si>
  <si>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</si>
  <si>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</si>
  <si>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</si>
  <si>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</si>
  <si>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</si>
  <si>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</si>
  <si>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</si>
  <si>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</si>
  <si>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</si>
  <si>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</si>
  <si>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</si>
  <si>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</si>
  <si>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</si>
  <si>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</si>
  <si>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</si>
  <si>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</si>
  <si>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</si>
  <si>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</si>
  <si>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</si>
  <si>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</si>
  <si>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</si>
  <si>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</si>
  <si>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</si>
  <si>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</si>
  <si>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</si>
  <si>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</si>
  <si>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</si>
  <si>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</si>
  <si>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</si>
  <si>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</si>
  <si>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</si>
  <si>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</si>
  <si>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</si>
  <si>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</si>
  <si>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</si>
  <si>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</si>
  <si>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</si>
  <si>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</si>
  <si>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</si>
  <si>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</si>
  <si>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</si>
  <si>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</si>
  <si>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</si>
  <si>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</si>
  <si>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</si>
  <si>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</si>
  <si>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</si>
  <si>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</si>
  <si>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</si>
  <si>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</si>
  <si>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</si>
  <si>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</si>
  <si>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</si>
  <si>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</si>
  <si>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</si>
  <si>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</si>
  <si>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</si>
  <si>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</si>
  <si>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</si>
  <si>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</si>
  <si>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</si>
  <si>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</si>
  <si>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</si>
  <si>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</si>
  <si>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</si>
  <si>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</si>
  <si>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</si>
  <si>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</si>
  <si>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</si>
  <si>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</si>
  <si>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</si>
  <si>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</si>
  <si>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</si>
  <si>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</si>
  <si>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</si>
  <si>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</si>
  <si>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</si>
  <si>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</si>
  <si>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</si>
  <si>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</si>
  <si>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</si>
  <si>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</si>
  <si>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</si>
  <si>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</si>
  <si>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</si>
  <si>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</si>
  <si>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</si>
  <si>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</si>
  <si>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</si>
  <si>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</si>
  <si>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</si>
  <si>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</si>
  <si>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</si>
  <si>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</si>
  <si>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</si>
  <si>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</si>
  <si>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</si>
  <si>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</si>
  <si>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</si>
  <si>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</si>
  <si>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</si>
  <si>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</si>
  <si>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</si>
  <si>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</si>
  <si>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</si>
  <si>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</si>
  <si>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</si>
  <si>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</si>
  <si>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</si>
  <si>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</si>
  <si>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</si>
  <si>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</si>
  <si>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</si>
  <si>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</si>
  <si>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</si>
  <si>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</si>
  <si>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</si>
  <si>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</si>
  <si>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</si>
  <si>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</si>
  <si>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</si>
  <si>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</si>
  <si>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</si>
  <si>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</si>
  <si>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</si>
  <si>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</si>
  <si>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</si>
  <si>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</si>
  <si>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</si>
  <si>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</si>
  <si>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</si>
  <si>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</si>
  <si>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</si>
  <si>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</si>
  <si>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</si>
  <si>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</si>
  <si>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</si>
  <si>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</si>
  <si>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</si>
  <si>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</si>
  <si>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</si>
  <si>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</si>
  <si>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</si>
  <si>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</si>
  <si>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</si>
  <si>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</si>
  <si>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</si>
  <si>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</si>
  <si>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</si>
  <si>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</si>
  <si>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</si>
  <si>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</si>
  <si>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</si>
  <si>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</si>
  <si>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</si>
  <si>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</si>
  <si>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</si>
  <si>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</si>
  <si>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</si>
  <si>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</si>
  <si>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</si>
  <si>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</si>
  <si>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</si>
  <si>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</si>
  <si>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</si>
  <si>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</si>
  <si>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</si>
  <si>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</si>
  <si>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</si>
  <si>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</si>
  <si>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</si>
  <si>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</si>
  <si>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</si>
  <si>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</si>
  <si>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</si>
  <si>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</si>
  <si>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</si>
  <si>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</si>
  <si>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</si>
  <si>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</si>
  <si>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</si>
  <si>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</si>
  <si>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</si>
  <si>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</si>
  <si>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</si>
  <si>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</si>
  <si>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</si>
  <si>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</si>
  <si>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</si>
  <si>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</si>
  <si>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</si>
  <si>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</si>
  <si>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</si>
  <si>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</si>
  <si>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</si>
  <si>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</si>
  <si>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</si>
  <si>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</si>
  <si>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</si>
  <si>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</si>
  <si>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</si>
  <si>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</si>
  <si>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</si>
  <si>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</si>
  <si>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</si>
  <si>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</si>
  <si>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</si>
  <si>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</si>
  <si>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</si>
  <si>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</si>
  <si>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</si>
  <si>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</si>
  <si>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</si>
  <si>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</si>
  <si>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</si>
  <si>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</si>
  <si>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</si>
  <si>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</si>
  <si>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</si>
  <si>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</si>
  <si>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</si>
  <si>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</si>
  <si>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</si>
  <si>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</si>
  <si>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</si>
  <si>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</si>
  <si>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</si>
  <si>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</si>
  <si>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</si>
  <si>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</si>
  <si>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</si>
  <si>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</si>
  <si>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</si>
  <si>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</si>
  <si>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</si>
  <si>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</si>
  <si>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</si>
  <si>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</si>
  <si>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</si>
  <si>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</si>
  <si>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</si>
  <si>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</si>
  <si>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</si>
  <si>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</si>
  <si>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</si>
  <si>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</si>
  <si>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</si>
  <si>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</si>
  <si>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</si>
  <si>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</si>
  <si>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</si>
  <si>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</si>
  <si>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</si>
  <si>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</si>
  <si>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</si>
  <si>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</si>
  <si>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</si>
  <si>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</si>
  <si>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</si>
  <si>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</si>
  <si>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</si>
  <si>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</si>
  <si>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</si>
  <si>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</si>
  <si>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</si>
  <si>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</si>
  <si>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</si>
  <si>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</si>
  <si>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</si>
  <si>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</si>
  <si>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</si>
  <si>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</si>
  <si>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</si>
  <si>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</si>
  <si>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</si>
  <si>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</si>
  <si>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</si>
  <si>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</si>
  <si>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</si>
  <si>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</si>
  <si>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</si>
  <si>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</si>
  <si>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</si>
  <si>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</si>
  <si>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</si>
  <si>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</si>
  <si>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</si>
  <si>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</si>
  <si>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</si>
  <si>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</si>
  <si>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</si>
  <si>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</si>
  <si>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</si>
  <si>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</si>
  <si>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</si>
  <si>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</si>
  <si>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</si>
  <si>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</si>
  <si>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</si>
  <si>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</si>
  <si>
    <t>9.5</t>
  </si>
  <si>
    <t>6.5</t>
  </si>
  <si>
    <t>22.3</t>
  </si>
  <si>
    <t>5.4</t>
  </si>
  <si>
    <t>-3.0</t>
  </si>
  <si>
    <t>7.1</t>
  </si>
  <si>
    <t>18.7</t>
  </si>
  <si>
    <t>8.0</t>
  </si>
  <si>
    <t>6.6</t>
  </si>
  <si>
    <t xml:space="preserve">Jan-09-2015 08:31 </t>
  </si>
  <si>
    <t xml:space="preserve">Jan-09-2015 08:35 </t>
  </si>
  <si>
    <t xml:space="preserve">Jan-02-2015 08:45 </t>
  </si>
  <si>
    <t>201412</t>
  </si>
  <si>
    <t>20144</t>
  </si>
  <si>
    <t xml:space="preserve">Dec-23-2014 11:35 </t>
  </si>
  <si>
    <t xml:space="preserve">Q4-2014 </t>
  </si>
  <si>
    <t>Q4-2014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</si>
  <si>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</si>
  <si>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</si>
  <si>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</si>
  <si>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</si>
  <si>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</si>
  <si>
    <t>1999-01-01 to 2014-10-01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</si>
</sst>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3000</c:v>
                </c:pt>
                <c:pt idx="74">
                  <c:v>11000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46240"/>
        <c:axId val="8875212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11333.333333333334</c:v>
                </c:pt>
                <c:pt idx="74">
                  <c:v>7666.666666666667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46240"/>
        <c:axId val="88752128"/>
      </c:lineChart>
      <c:dateAx>
        <c:axId val="887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52128"/>
        <c:crosses val="autoZero"/>
        <c:auto val="1"/>
        <c:lblOffset val="100"/>
        <c:baseTimeUnit val="months"/>
        <c:majorUnit val="1"/>
        <c:majorTimeUnit val="years"/>
      </c:dateAx>
      <c:valAx>
        <c:axId val="8875212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4624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-500</c:v>
                </c:pt>
                <c:pt idx="73">
                  <c:v>99.999999999909051</c:v>
                </c:pt>
                <c:pt idx="74">
                  <c:v>-900.00000000009095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62240"/>
        <c:axId val="8876377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-66.666666666606034</c:v>
                </c:pt>
                <c:pt idx="73" formatCode="0.00">
                  <c:v>-699.99999999996965</c:v>
                </c:pt>
                <c:pt idx="74" formatCode="0.00">
                  <c:v>-433.33333333339397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62240"/>
        <c:axId val="88763776"/>
      </c:lineChart>
      <c:dateAx>
        <c:axId val="88762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63776"/>
        <c:crosses val="autoZero"/>
        <c:auto val="1"/>
        <c:lblOffset val="100"/>
        <c:baseTimeUnit val="months"/>
        <c:majorUnit val="1"/>
        <c:majorTimeUnit val="years"/>
      </c:dateAx>
      <c:valAx>
        <c:axId val="8876377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62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90144"/>
        <c:axId val="88791680"/>
      </c:lineChart>
      <c:dateAx>
        <c:axId val="887901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1680"/>
        <c:crosses val="autoZero"/>
        <c:auto val="1"/>
        <c:lblOffset val="100"/>
        <c:baseTimeUnit val="months"/>
        <c:majorUnit val="1"/>
        <c:majorTimeUnit val="years"/>
      </c:dateAx>
      <c:valAx>
        <c:axId val="8879168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01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48512"/>
        <c:axId val="89250048"/>
      </c:lineChart>
      <c:dateAx>
        <c:axId val="8924851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50048"/>
        <c:crossesAt val="0"/>
        <c:auto val="1"/>
        <c:lblOffset val="100"/>
        <c:baseTimeUnit val="months"/>
        <c:majorUnit val="1"/>
        <c:majorTimeUnit val="years"/>
      </c:dateAx>
      <c:valAx>
        <c:axId val="892500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4851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62816"/>
        <c:axId val="100564352"/>
      </c:lineChart>
      <c:dateAx>
        <c:axId val="10056281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4352"/>
        <c:crosses val="autoZero"/>
        <c:auto val="1"/>
        <c:lblOffset val="100"/>
        <c:baseTimeUnit val="months"/>
        <c:majorUnit val="10"/>
        <c:majorTimeUnit val="years"/>
      </c:dateAx>
      <c:valAx>
        <c:axId val="100564352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281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18656"/>
        <c:axId val="101320192"/>
      </c:lineChart>
      <c:dateAx>
        <c:axId val="101318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20192"/>
        <c:crosses val="autoZero"/>
        <c:auto val="1"/>
        <c:lblOffset val="100"/>
        <c:baseTimeUnit val="months"/>
        <c:majorUnit val="5"/>
        <c:majorTimeUnit val="years"/>
      </c:dateAx>
      <c:valAx>
        <c:axId val="101320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18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43232"/>
        <c:axId val="101344768"/>
      </c:lineChart>
      <c:dateAx>
        <c:axId val="101343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4768"/>
        <c:crossesAt val="0"/>
        <c:auto val="1"/>
        <c:lblOffset val="100"/>
        <c:baseTimeUnit val="months"/>
        <c:majorUnit val="5"/>
        <c:majorTimeUnit val="years"/>
      </c:dateAx>
      <c:valAx>
        <c:axId val="10134476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3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28576"/>
        <c:axId val="102330368"/>
      </c:lineChart>
      <c:dateAx>
        <c:axId val="102328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30368"/>
        <c:crosses val="autoZero"/>
        <c:auto val="1"/>
        <c:lblOffset val="100"/>
        <c:baseTimeUnit val="months"/>
        <c:majorUnit val="5"/>
        <c:majorTimeUnit val="years"/>
      </c:dateAx>
      <c:valAx>
        <c:axId val="10233036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28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256</v>
      </c>
    </row>
    <row r="2" spans="1:1">
      <c r="A2" s="25" t="s">
        <v>403</v>
      </c>
    </row>
    <row r="3" spans="1:1">
      <c r="A3" s="25" t="s">
        <v>404</v>
      </c>
    </row>
    <row r="4" spans="1:1">
      <c r="A4" s="25" t="s">
        <v>353</v>
      </c>
    </row>
    <row r="5" spans="1:1">
      <c r="A5" s="25" t="s">
        <v>354</v>
      </c>
    </row>
    <row r="6" spans="1:1">
      <c r="A6" s="25" t="s">
        <v>405</v>
      </c>
    </row>
    <row r="7" spans="1:1">
      <c r="A7" s="25" t="s">
        <v>355</v>
      </c>
    </row>
    <row r="8" spans="1:1">
      <c r="A8" s="25" t="s">
        <v>356</v>
      </c>
    </row>
    <row r="9" spans="1:1">
      <c r="A9" s="25" t="s">
        <v>357</v>
      </c>
    </row>
    <row r="10" spans="1:1">
      <c r="A10" s="25" t="s">
        <v>358</v>
      </c>
    </row>
    <row r="11" spans="1:1">
      <c r="A11" s="25" t="s">
        <v>359</v>
      </c>
    </row>
    <row r="17" spans="1:3">
      <c r="B17" s="65" t="s">
        <v>257</v>
      </c>
    </row>
    <row r="18" spans="1:3">
      <c r="B18" s="25" t="s">
        <v>262</v>
      </c>
      <c r="C18" s="25" t="s">
        <v>263</v>
      </c>
    </row>
    <row r="19" spans="1:3">
      <c r="B19" s="25" t="s">
        <v>264</v>
      </c>
      <c r="C19" s="25" t="s">
        <v>265</v>
      </c>
    </row>
    <row r="20" spans="1:3">
      <c r="B20" s="25" t="s">
        <v>266</v>
      </c>
      <c r="C20" s="25" t="s">
        <v>267</v>
      </c>
    </row>
    <row r="21" spans="1:3">
      <c r="B21" s="25" t="s">
        <v>268</v>
      </c>
      <c r="C21" s="25" t="s">
        <v>275</v>
      </c>
    </row>
    <row r="22" spans="1:3">
      <c r="B22" s="25" t="s">
        <v>269</v>
      </c>
      <c r="C22" s="25" t="s">
        <v>181</v>
      </c>
    </row>
    <row r="23" spans="1:3">
      <c r="B23" s="25" t="s">
        <v>270</v>
      </c>
      <c r="C23" s="25" t="s">
        <v>276</v>
      </c>
    </row>
    <row r="24" spans="1:3">
      <c r="B24" s="25" t="s">
        <v>271</v>
      </c>
      <c r="C24" s="25" t="s">
        <v>278</v>
      </c>
    </row>
    <row r="25" spans="1:3">
      <c r="B25" s="25" t="s">
        <v>272</v>
      </c>
      <c r="C25" s="25" t="s">
        <v>277</v>
      </c>
    </row>
    <row r="26" spans="1:3">
      <c r="B26" s="25" t="s">
        <v>274</v>
      </c>
      <c r="C26" s="25" t="s">
        <v>279</v>
      </c>
    </row>
    <row r="27" spans="1:3">
      <c r="B27" s="25" t="s">
        <v>273</v>
      </c>
      <c r="C27" s="25" t="s">
        <v>280</v>
      </c>
    </row>
    <row r="31" spans="1:3">
      <c r="A31" s="66" t="s">
        <v>258</v>
      </c>
    </row>
    <row r="32" spans="1:3">
      <c r="A32" s="25" t="s">
        <v>259</v>
      </c>
      <c r="B32" s="25" t="s">
        <v>260</v>
      </c>
      <c r="C32" s="25" t="s">
        <v>261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2" t="s">
        <v>338</v>
      </c>
      <c r="D3" s="92"/>
      <c r="E3" s="92"/>
      <c r="F3" s="93" t="s">
        <v>339</v>
      </c>
      <c r="G3" s="92"/>
      <c r="H3" s="93" t="s">
        <v>340</v>
      </c>
      <c r="I3" s="92"/>
    </row>
    <row r="9" spans="1:9" ht="105">
      <c r="D9" s="90" t="s">
        <v>281</v>
      </c>
      <c r="G9" s="90" t="s">
        <v>335</v>
      </c>
    </row>
    <row r="12" spans="1:9">
      <c r="F12" s="103" t="s">
        <v>352</v>
      </c>
    </row>
    <row r="26" spans="6:6">
      <c r="F26" s="103" t="s">
        <v>352</v>
      </c>
    </row>
    <row r="40" spans="6:7">
      <c r="F40" s="103" t="s">
        <v>352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H15" sqref="H15:H21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3" t="s">
        <v>338</v>
      </c>
      <c r="D3" s="92"/>
      <c r="E3" s="92"/>
      <c r="F3" s="92" t="s">
        <v>339</v>
      </c>
      <c r="G3" s="92"/>
      <c r="H3" s="93" t="s">
        <v>340</v>
      </c>
      <c r="I3" s="92"/>
    </row>
    <row r="7" spans="1:9">
      <c r="A7" s="86" t="s">
        <v>181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282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281</v>
      </c>
      <c r="E9" s="114"/>
      <c r="F9" s="114"/>
      <c r="G9" s="114" t="s">
        <v>335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3089</v>
      </c>
      <c r="F11" s="71"/>
      <c r="G11" s="94"/>
      <c r="H11" s="98" t="s">
        <v>406</v>
      </c>
      <c r="I11" s="95"/>
    </row>
    <row r="12" spans="1:9">
      <c r="A12" s="73" t="s">
        <v>123</v>
      </c>
      <c r="B12" s="69"/>
      <c r="C12" s="69"/>
      <c r="D12" s="69"/>
      <c r="E12" s="105">
        <v>2452</v>
      </c>
      <c r="F12" s="71"/>
      <c r="G12" s="72"/>
      <c r="H12" s="98" t="s">
        <v>407</v>
      </c>
      <c r="I12" s="95"/>
    </row>
    <row r="13" spans="1:9">
      <c r="A13" s="73" t="s">
        <v>124</v>
      </c>
      <c r="B13" s="69"/>
      <c r="C13" s="69"/>
      <c r="D13" s="69"/>
      <c r="E13" s="105">
        <v>636</v>
      </c>
      <c r="F13" s="71"/>
      <c r="G13" s="72"/>
      <c r="H13" s="98" t="s">
        <v>408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182</v>
      </c>
      <c r="B15" s="69"/>
      <c r="C15" s="69"/>
      <c r="D15" s="69"/>
      <c r="E15" s="105">
        <v>3569</v>
      </c>
      <c r="F15" s="71"/>
      <c r="G15" s="72"/>
      <c r="H15" s="98" t="s">
        <v>409</v>
      </c>
      <c r="I15" s="95"/>
    </row>
    <row r="16" spans="1:9">
      <c r="A16" s="73" t="s">
        <v>128</v>
      </c>
      <c r="B16" s="69"/>
      <c r="C16" s="69"/>
      <c r="D16" s="69"/>
      <c r="E16" s="105">
        <v>578</v>
      </c>
      <c r="F16" s="71"/>
      <c r="G16" s="72"/>
      <c r="H16" s="98" t="s">
        <v>410</v>
      </c>
      <c r="I16" s="95"/>
    </row>
    <row r="17" spans="1:9">
      <c r="A17" s="73" t="s">
        <v>126</v>
      </c>
      <c r="B17" s="69"/>
      <c r="C17" s="69"/>
      <c r="D17" s="69"/>
      <c r="E17" s="105">
        <v>848</v>
      </c>
      <c r="F17" s="71"/>
      <c r="G17" s="72"/>
      <c r="H17" s="98" t="s">
        <v>402</v>
      </c>
      <c r="I17" s="95"/>
    </row>
    <row r="18" spans="1:9">
      <c r="A18" s="73" t="s">
        <v>125</v>
      </c>
      <c r="B18" s="69"/>
      <c r="C18" s="69"/>
      <c r="D18" s="69"/>
      <c r="E18" s="105">
        <v>525</v>
      </c>
      <c r="F18" s="71"/>
      <c r="G18" s="72"/>
      <c r="H18" s="98" t="s">
        <v>411</v>
      </c>
      <c r="I18" s="95"/>
    </row>
    <row r="19" spans="1:9">
      <c r="A19" s="73" t="s">
        <v>120</v>
      </c>
      <c r="B19" s="69"/>
      <c r="C19" s="69"/>
      <c r="D19" s="69"/>
      <c r="E19" s="105">
        <v>318</v>
      </c>
      <c r="F19" s="71"/>
      <c r="G19" s="72"/>
      <c r="H19" s="98" t="s">
        <v>412</v>
      </c>
      <c r="I19" s="95"/>
    </row>
    <row r="20" spans="1:9">
      <c r="A20" s="73" t="s">
        <v>121</v>
      </c>
      <c r="B20" s="69"/>
      <c r="C20" s="69"/>
      <c r="D20" s="69"/>
      <c r="E20" s="105">
        <v>270</v>
      </c>
      <c r="F20" s="71"/>
      <c r="G20" s="72"/>
      <c r="H20" s="98" t="s">
        <v>413</v>
      </c>
      <c r="I20" s="95"/>
    </row>
    <row r="21" spans="1:9">
      <c r="A21" s="75" t="s">
        <v>127</v>
      </c>
      <c r="B21" s="76"/>
      <c r="C21" s="76"/>
      <c r="D21" s="76"/>
      <c r="E21" s="107">
        <v>1027</v>
      </c>
      <c r="F21" s="78"/>
      <c r="G21" s="79"/>
      <c r="H21" s="100" t="s">
        <v>414</v>
      </c>
      <c r="I21" s="97"/>
    </row>
    <row r="22" spans="1:9">
      <c r="A22" s="69" t="s">
        <v>183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146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346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162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352</v>
      </c>
    </row>
    <row r="45" spans="1:9">
      <c r="G45" s="103" t="s">
        <v>352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3"/>
      <c r="C3" s="93" t="s">
        <v>338</v>
      </c>
      <c r="D3" s="93"/>
      <c r="E3" s="93"/>
      <c r="F3" s="93" t="s">
        <v>339</v>
      </c>
      <c r="G3" s="93"/>
      <c r="H3" s="92" t="s">
        <v>340</v>
      </c>
      <c r="I3" s="92"/>
    </row>
    <row r="9" spans="1:9">
      <c r="D9" s="90"/>
      <c r="G9" s="90"/>
    </row>
    <row r="14" spans="1:9">
      <c r="F14" s="103" t="s">
        <v>352</v>
      </c>
    </row>
    <row r="25" spans="6:6">
      <c r="F25" s="103" t="s">
        <v>352</v>
      </c>
    </row>
    <row r="36" spans="6:6">
      <c r="F36" s="103" t="s">
        <v>352</v>
      </c>
    </row>
    <row r="47" spans="6:6">
      <c r="F47" s="104" t="s">
        <v>352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25" zoomScale="85" zoomScaleNormal="85" workbookViewId="0">
      <selection activeCell="B81" sqref="B81:K81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201501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161</v>
      </c>
      <c r="L2" s="55" t="s">
        <v>147</v>
      </c>
    </row>
    <row r="3" spans="1:20">
      <c r="A3" s="22" t="s">
        <v>306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396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397</v>
      </c>
      <c r="I4" s="29" t="s">
        <v>140</v>
      </c>
      <c r="J4" s="29" t="s">
        <v>140</v>
      </c>
      <c r="L4" s="36" t="s">
        <v>139</v>
      </c>
      <c r="M4" s="36" t="s">
        <v>139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389</v>
      </c>
      <c r="I5" s="30" t="s">
        <v>138</v>
      </c>
      <c r="J5" s="30" t="s">
        <v>137</v>
      </c>
      <c r="K5" s="34"/>
      <c r="L5" s="37" t="s">
        <v>138</v>
      </c>
      <c r="M5" s="37" t="s">
        <v>137</v>
      </c>
    </row>
    <row r="6" spans="1:20">
      <c r="A6" s="8" t="s">
        <v>24</v>
      </c>
      <c r="C6" t="s">
        <v>415</v>
      </c>
      <c r="D6" t="s">
        <v>415</v>
      </c>
      <c r="E6" t="s">
        <v>415</v>
      </c>
      <c r="F6" t="s">
        <v>416</v>
      </c>
      <c r="G6" s="20" t="s">
        <v>417</v>
      </c>
    </row>
    <row r="7" spans="1:20">
      <c r="A7" s="8" t="s">
        <v>253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254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255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185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186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187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188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189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190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191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192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193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194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195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196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197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198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199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200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201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202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203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204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205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206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207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208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209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210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211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212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213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214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215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216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217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218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219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220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221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222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223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224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225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226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227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228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229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230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231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232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233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234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235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236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237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238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239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240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241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242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243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244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245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246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247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248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249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250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251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252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345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360</v>
      </c>
      <c r="B79" s="13">
        <v>41943</v>
      </c>
      <c r="C79" s="14">
        <v>5077</v>
      </c>
      <c r="D79" s="14">
        <v>14135</v>
      </c>
      <c r="E79" s="23">
        <v>2123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-500</v>
      </c>
      <c r="M79" s="63">
        <f t="shared" si="7"/>
        <v>-66.666666666606034</v>
      </c>
      <c r="N79" s="15"/>
      <c r="R79" s="14"/>
    </row>
    <row r="80" spans="1:18">
      <c r="A80" s="8" t="s">
        <v>387</v>
      </c>
      <c r="B80" s="13">
        <v>41973</v>
      </c>
      <c r="C80" s="14">
        <v>5078</v>
      </c>
      <c r="D80" s="14">
        <v>14137</v>
      </c>
      <c r="E80" s="23">
        <v>2123.1</v>
      </c>
      <c r="F80" s="14">
        <v>0</v>
      </c>
      <c r="G80" s="14">
        <v>0</v>
      </c>
      <c r="H80" s="14"/>
      <c r="I80" s="31">
        <f t="shared" si="4"/>
        <v>3000</v>
      </c>
      <c r="J80" s="31">
        <f t="shared" si="5"/>
        <v>11333.333333333334</v>
      </c>
      <c r="K80" s="35"/>
      <c r="L80" s="38">
        <f t="shared" si="6"/>
        <v>99.999999999909051</v>
      </c>
      <c r="M80" s="63">
        <f t="shared" si="7"/>
        <v>-699.99999999996965</v>
      </c>
      <c r="N80" s="15"/>
      <c r="R80" s="23"/>
    </row>
    <row r="81" spans="1:18">
      <c r="A81" s="8" t="s">
        <v>418</v>
      </c>
      <c r="B81" s="13">
        <v>42004</v>
      </c>
      <c r="C81" s="14">
        <v>5085</v>
      </c>
      <c r="D81" s="14">
        <v>14141</v>
      </c>
      <c r="E81" s="23">
        <v>2122.1999999999998</v>
      </c>
      <c r="F81" s="14">
        <v>0</v>
      </c>
      <c r="G81" s="14">
        <v>0</v>
      </c>
      <c r="H81" s="14"/>
      <c r="I81" s="31">
        <f t="shared" si="4"/>
        <v>11000</v>
      </c>
      <c r="J81" s="31">
        <f t="shared" si="5"/>
        <v>7666.666666666667</v>
      </c>
      <c r="K81" s="35"/>
      <c r="L81" s="38">
        <f t="shared" si="6"/>
        <v>-900.00000000009095</v>
      </c>
      <c r="M81" s="63">
        <f t="shared" si="7"/>
        <v>-433.33333333339397</v>
      </c>
      <c r="N81" s="15"/>
      <c r="R81" s="14"/>
    </row>
    <row r="82" spans="1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C31" sqref="C31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132</v>
      </c>
    </row>
    <row r="2" spans="1:12">
      <c r="A2" s="26" t="s">
        <v>134</v>
      </c>
      <c r="B2" s="23" t="s">
        <v>131</v>
      </c>
      <c r="F2" s="40">
        <v>39814</v>
      </c>
      <c r="J2" s="20" t="s">
        <v>390</v>
      </c>
      <c r="K2" s="20" t="s">
        <v>391</v>
      </c>
      <c r="L2" s="21" t="s">
        <v>395</v>
      </c>
    </row>
    <row r="3" spans="1:12">
      <c r="A3" s="26" t="s">
        <v>130</v>
      </c>
      <c r="B3" s="23" t="s">
        <v>129</v>
      </c>
      <c r="J3" s="20" t="s">
        <v>7</v>
      </c>
      <c r="K3" s="20"/>
      <c r="L3" s="20" t="s">
        <v>398</v>
      </c>
    </row>
    <row r="4" spans="1:12">
      <c r="A4" s="26">
        <f>$F$2</f>
        <v>39814</v>
      </c>
      <c r="B4" s="23" t="s">
        <v>428</v>
      </c>
      <c r="J4" s="20" t="s">
        <v>385</v>
      </c>
      <c r="K4" s="20"/>
      <c r="L4" s="20" t="s">
        <v>386</v>
      </c>
    </row>
    <row r="5" spans="1:12">
      <c r="A5" s="27" t="s">
        <v>133</v>
      </c>
      <c r="B5" s="28"/>
      <c r="C5" s="27"/>
      <c r="E5" s="27"/>
      <c r="G5" s="27"/>
      <c r="J5" s="19" t="s">
        <v>24</v>
      </c>
      <c r="K5" s="19"/>
      <c r="L5" s="19" t="s">
        <v>417</v>
      </c>
    </row>
    <row r="6" spans="1:12">
      <c r="A6" s="26" t="s">
        <v>361</v>
      </c>
      <c r="J6" t="s">
        <v>362</v>
      </c>
      <c r="K6" s="108">
        <v>39814</v>
      </c>
      <c r="L6" s="14">
        <v>1</v>
      </c>
    </row>
    <row r="7" spans="1:12">
      <c r="A7" s="26" t="s">
        <v>135</v>
      </c>
      <c r="B7" s="23" t="s">
        <v>136</v>
      </c>
      <c r="J7" t="s">
        <v>363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364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1" si="0">VLOOKUP(A9, K7:L29, 2, FALSE)</f>
        <v>1</v>
      </c>
      <c r="J9" t="s">
        <v>365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366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367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368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369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370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371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372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373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374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375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376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377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378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379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380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381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382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383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384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  <c r="J29" t="s">
        <v>419</v>
      </c>
      <c r="K29" s="108">
        <v>41913</v>
      </c>
      <c r="L29" s="14">
        <v>0</v>
      </c>
    </row>
    <row r="30" spans="1:12">
      <c r="A30" s="26">
        <v>41821</v>
      </c>
      <c r="B30" s="23">
        <v>233.7</v>
      </c>
      <c r="C30" s="109">
        <f t="shared" si="0"/>
        <v>0</v>
      </c>
    </row>
    <row r="31" spans="1:12">
      <c r="A31" s="26">
        <v>41913</v>
      </c>
      <c r="B31" s="23">
        <v>234.2</v>
      </c>
      <c r="C31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9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23" zoomScaleNormal="100" workbookViewId="0">
      <selection activeCell="C58" sqref="C58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316</v>
      </c>
      <c r="B2" s="12" t="s">
        <v>0</v>
      </c>
      <c r="C2" s="33" t="s">
        <v>148</v>
      </c>
      <c r="D2" s="33" t="s">
        <v>149</v>
      </c>
      <c r="E2" s="33" t="s">
        <v>150</v>
      </c>
      <c r="F2" s="33" t="s">
        <v>151</v>
      </c>
      <c r="J2" s="21" t="s">
        <v>395</v>
      </c>
    </row>
    <row r="3" spans="1:10">
      <c r="A3" s="11" t="s">
        <v>7</v>
      </c>
      <c r="C3" t="s">
        <v>154</v>
      </c>
      <c r="D3" t="s">
        <v>155</v>
      </c>
      <c r="E3" t="s">
        <v>156</v>
      </c>
      <c r="F3" t="s">
        <v>157</v>
      </c>
      <c r="J3" s="20" t="s">
        <v>398</v>
      </c>
    </row>
    <row r="4" spans="1:10">
      <c r="A4" s="11" t="s">
        <v>20</v>
      </c>
      <c r="C4" t="s">
        <v>153</v>
      </c>
      <c r="D4" t="s">
        <v>153</v>
      </c>
      <c r="E4" t="s">
        <v>153</v>
      </c>
      <c r="F4" t="s">
        <v>153</v>
      </c>
      <c r="G4" s="19" t="s">
        <v>158</v>
      </c>
      <c r="I4" t="s">
        <v>160</v>
      </c>
      <c r="J4" s="20" t="s">
        <v>389</v>
      </c>
    </row>
    <row r="5" spans="1:10">
      <c r="A5" s="11" t="s">
        <v>24</v>
      </c>
      <c r="C5" t="s">
        <v>420</v>
      </c>
      <c r="D5" t="s">
        <v>420</v>
      </c>
      <c r="E5" t="s">
        <v>420</v>
      </c>
      <c r="F5" t="s">
        <v>420</v>
      </c>
      <c r="H5" s="56" t="s">
        <v>159</v>
      </c>
      <c r="J5" s="19" t="s">
        <v>417</v>
      </c>
    </row>
    <row r="6" spans="1:10">
      <c r="A6" s="11" t="s">
        <v>16</v>
      </c>
      <c r="B6" s="13"/>
      <c r="C6" s="14" t="s">
        <v>152</v>
      </c>
      <c r="D6" s="14" t="s">
        <v>152</v>
      </c>
      <c r="E6" s="14" t="s">
        <v>152</v>
      </c>
      <c r="F6" t="s">
        <v>152</v>
      </c>
      <c r="J6" t="s">
        <v>393</v>
      </c>
    </row>
    <row r="7" spans="1:10">
      <c r="A7" s="11" t="s">
        <v>17</v>
      </c>
      <c r="B7" s="13"/>
      <c r="C7" s="14" t="s">
        <v>392</v>
      </c>
      <c r="D7" s="14" t="s">
        <v>392</v>
      </c>
      <c r="E7" s="14" t="s">
        <v>392</v>
      </c>
      <c r="F7" t="s">
        <v>392</v>
      </c>
      <c r="J7" t="s">
        <v>421</v>
      </c>
    </row>
    <row r="8" spans="1:10">
      <c r="A8" s="11" t="s">
        <v>315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317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318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319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320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321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322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323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324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325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326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327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328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329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330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331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332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333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334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307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308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309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310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311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312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313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314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284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285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286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287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288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289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290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291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292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293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294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295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296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297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0">
      <c r="A49" s="11" t="s">
        <v>298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0">
      <c r="A50" s="11" t="s">
        <v>299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0">
      <c r="A51" s="11" t="s">
        <v>300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0">
      <c r="A52" s="11" t="s">
        <v>301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0">
      <c r="A53" s="11" t="s">
        <v>302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0">
      <c r="A54" s="11" t="s">
        <v>303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0">
      <c r="A55" s="11" t="s">
        <v>304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0">
      <c r="A56" s="11" t="s">
        <v>305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0">
      <c r="A57" s="11" t="s">
        <v>394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ref="H57" si="3">G57/G53-1</f>
        <v>1.8858753400604389E-2</v>
      </c>
      <c r="I57" s="29">
        <f t="shared" ref="I57" si="4">AVERAGE(H54:H57)</f>
        <v>2.1120462483453117E-2</v>
      </c>
      <c r="J57" s="14">
        <v>0</v>
      </c>
    </row>
    <row r="58" spans="1:10">
      <c r="A58" s="11" t="s">
        <v>422</v>
      </c>
      <c r="B58" s="13">
        <v>42004</v>
      </c>
      <c r="G58" s="41">
        <f t="shared" si="0"/>
        <v>0</v>
      </c>
      <c r="H58" s="20"/>
      <c r="I58" s="20"/>
      <c r="J58" s="14">
        <v>0</v>
      </c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zoomScale="85" zoomScaleNormal="85" workbookViewId="0"/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283</v>
      </c>
      <c r="B4" s="22" t="s">
        <v>391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400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399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389</v>
      </c>
    </row>
    <row r="7" spans="1:14">
      <c r="A7" s="16" t="s">
        <v>24</v>
      </c>
      <c r="C7" t="s">
        <v>426</v>
      </c>
      <c r="D7" t="s">
        <v>426</v>
      </c>
      <c r="E7" t="s">
        <v>423</v>
      </c>
      <c r="F7" t="s">
        <v>423</v>
      </c>
      <c r="G7" t="s">
        <v>417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141</v>
      </c>
      <c r="G1">
        <v>2014</v>
      </c>
    </row>
    <row r="2" spans="1:10">
      <c r="C2" s="19" t="s">
        <v>348</v>
      </c>
      <c r="D2" s="19"/>
    </row>
    <row r="3" spans="1:10">
      <c r="A3" s="22" t="s">
        <v>283</v>
      </c>
      <c r="B3" s="22" t="s">
        <v>391</v>
      </c>
      <c r="C3" s="45" t="s">
        <v>347</v>
      </c>
      <c r="D3" s="21" t="s">
        <v>349</v>
      </c>
      <c r="E3" s="21"/>
      <c r="F3" s="17"/>
      <c r="G3" s="111" t="s">
        <v>400</v>
      </c>
      <c r="I3" s="17"/>
      <c r="J3" s="17"/>
    </row>
    <row r="4" spans="1:10">
      <c r="A4" s="16" t="s">
        <v>7</v>
      </c>
      <c r="C4" s="19" t="s">
        <v>350</v>
      </c>
      <c r="D4" s="19" t="s">
        <v>351</v>
      </c>
      <c r="G4" t="s">
        <v>399</v>
      </c>
    </row>
    <row r="5" spans="1:10">
      <c r="A5" s="16" t="s">
        <v>20</v>
      </c>
      <c r="C5" s="19" t="s">
        <v>22</v>
      </c>
      <c r="D5" s="19" t="s">
        <v>22</v>
      </c>
      <c r="G5" t="s">
        <v>389</v>
      </c>
    </row>
    <row r="6" spans="1:10">
      <c r="A6" s="16" t="s">
        <v>24</v>
      </c>
      <c r="C6" s="19" t="s">
        <v>423</v>
      </c>
      <c r="D6" s="19" t="s">
        <v>426</v>
      </c>
      <c r="E6" s="20" t="s">
        <v>142</v>
      </c>
      <c r="F6" t="s">
        <v>143</v>
      </c>
      <c r="G6" t="s">
        <v>417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283</v>
      </c>
      <c r="B2" s="22" t="s">
        <v>391</v>
      </c>
      <c r="C2" s="21" t="s">
        <v>118</v>
      </c>
      <c r="F2" s="111" t="s">
        <v>400</v>
      </c>
    </row>
    <row r="3" spans="1:7">
      <c r="A3" s="20" t="s">
        <v>7</v>
      </c>
      <c r="C3" t="s">
        <v>119</v>
      </c>
      <c r="F3" t="s">
        <v>399</v>
      </c>
    </row>
    <row r="4" spans="1:7">
      <c r="A4" s="20" t="s">
        <v>20</v>
      </c>
      <c r="C4" t="s">
        <v>22</v>
      </c>
      <c r="F4" t="s">
        <v>389</v>
      </c>
    </row>
    <row r="5" spans="1:7">
      <c r="A5" s="20" t="s">
        <v>24</v>
      </c>
      <c r="C5" t="s">
        <v>427</v>
      </c>
      <c r="D5" t="s">
        <v>144</v>
      </c>
      <c r="E5" t="s">
        <v>145</v>
      </c>
      <c r="F5" t="s">
        <v>417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184</v>
      </c>
      <c r="B1" s="1" t="s">
        <v>391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400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399</v>
      </c>
    </row>
    <row r="3" spans="1:14">
      <c r="A3" s="2" t="s">
        <v>16</v>
      </c>
      <c r="C3" s="6" t="s">
        <v>176</v>
      </c>
      <c r="D3" s="6" t="s">
        <v>177</v>
      </c>
      <c r="E3" s="6" t="s">
        <v>177</v>
      </c>
      <c r="F3" s="6" t="s">
        <v>177</v>
      </c>
      <c r="G3" s="59"/>
      <c r="H3" s="6" t="s">
        <v>424</v>
      </c>
      <c r="I3" s="7" t="s">
        <v>424</v>
      </c>
      <c r="M3" s="2" t="s">
        <v>401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177</v>
      </c>
      <c r="I4" s="7" t="s">
        <v>177</v>
      </c>
      <c r="M4" s="2" t="s">
        <v>425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389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423</v>
      </c>
      <c r="I6" s="7" t="s">
        <v>423</v>
      </c>
      <c r="M6" s="2" t="s">
        <v>417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0" workbookViewId="0">
      <selection activeCell="D61" sqref="D6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135</v>
      </c>
      <c r="B1" t="s">
        <v>342</v>
      </c>
      <c r="C1" t="s">
        <v>343</v>
      </c>
      <c r="D1" t="s">
        <v>388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3000</v>
      </c>
      <c r="C73" s="22" t="str">
        <f>IF(ISNUMBER('Change in Employment'!J80),TEXT('Change in Employment'!J80, "0"),"")</f>
        <v>11333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11000</v>
      </c>
      <c r="C74" s="22" t="str">
        <f>IF(ISNUMBER('Change in Employment'!J81),TEXT('Change in Employment'!J81, "0"),"")</f>
        <v>7667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135</v>
      </c>
      <c r="B1" s="20" t="s">
        <v>342</v>
      </c>
      <c r="C1" s="20" t="s">
        <v>343</v>
      </c>
      <c r="D1" s="20" t="s">
        <v>388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-500</v>
      </c>
      <c r="C72" s="20" t="str">
        <f>IFERROR(IF(ISNUMBER('Change in Employment'!M79),TEXT('Change in Employment'!M79, "0"), ""), "")</f>
        <v>-67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99.999999999909051</v>
      </c>
      <c r="C73" s="20" t="str">
        <f>IFERROR(IF(ISNUMBER('Change in Employment'!M80),TEXT('Change in Employment'!M80, "0"), ""), "")</f>
        <v>-700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-900.00000000009095</v>
      </c>
      <c r="C74" s="20" t="str">
        <f>IFERROR(IF(ISNUMBER('Change in Employment'!M81),TEXT('Change in Employment'!M81, "0"), ""), "")</f>
        <v>-433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abSelected="1" workbookViewId="0">
      <selection activeCell="A25" sqref="A25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135</v>
      </c>
      <c r="B1" s="20" t="s">
        <v>341</v>
      </c>
      <c r="C1" s="20" t="s">
        <v>388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233.7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>1-Oct-2014</v>
      </c>
      <c r="B25" s="20">
        <f>IF(ISNUMBER('Real Structures'!B31),'Real Structures'!B31, "")</f>
        <v>234.2</v>
      </c>
      <c r="C25" s="20">
        <f>IF(ISNUMBER('Real Structures'!C31),'Real Structures'!C31, "")</f>
        <v>0</v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3" workbookViewId="0">
      <selection activeCell="B45" sqref="B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135</v>
      </c>
      <c r="B1" t="s">
        <v>163</v>
      </c>
      <c r="C1" t="s">
        <v>388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135</v>
      </c>
      <c r="B1" t="s">
        <v>164</v>
      </c>
      <c r="C1" s="20" t="s">
        <v>165</v>
      </c>
      <c r="D1" t="s">
        <v>166</v>
      </c>
      <c r="E1" t="s">
        <v>167</v>
      </c>
      <c r="F1" s="20" t="s">
        <v>388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135</v>
      </c>
      <c r="B1" s="20" t="s">
        <v>168</v>
      </c>
      <c r="C1" s="20" t="s">
        <v>169</v>
      </c>
      <c r="D1" s="20" t="s">
        <v>388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135</v>
      </c>
      <c r="B1" s="20" t="s">
        <v>170</v>
      </c>
      <c r="C1" s="20" t="s">
        <v>344</v>
      </c>
      <c r="D1" t="s">
        <v>388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135</v>
      </c>
      <c r="B1" s="20" t="s">
        <v>171</v>
      </c>
      <c r="C1" s="20" t="s">
        <v>175</v>
      </c>
      <c r="D1" s="20" t="s">
        <v>178</v>
      </c>
      <c r="E1" s="20" t="s">
        <v>173</v>
      </c>
      <c r="F1" s="20" t="s">
        <v>179</v>
      </c>
      <c r="G1" s="20" t="s">
        <v>174</v>
      </c>
      <c r="H1" s="20" t="s">
        <v>180</v>
      </c>
      <c r="I1" s="20" t="s">
        <v>172</v>
      </c>
      <c r="J1" t="s">
        <v>388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AE428D0-1FD2-4A34-8225-E42922DB3604}"/>
</file>

<file path=customXml/itemProps2.xml><?xml version="1.0" encoding="utf-8"?>
<ds:datastoreItem xmlns:ds="http://schemas.openxmlformats.org/officeDocument/2006/customXml" ds:itemID="{105B0D1F-E3B6-4A6F-8DEF-348EA7B9DF70}"/>
</file>

<file path=customXml/itemProps3.xml><?xml version="1.0" encoding="utf-8"?>
<ds:datastoreItem xmlns:ds="http://schemas.openxmlformats.org/officeDocument/2006/customXml" ds:itemID="{5E3AB572-2AE8-4F17-B632-6E98208199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2015-01-30T14:21:46Z</cp:lastPrinted>
  <dcterms:created xsi:type="dcterms:W3CDTF">2014-07-22T13:55:17Z</dcterms:created>
  <dcterms:modified xsi:type="dcterms:W3CDTF">2015-01-30T16:37:04Z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