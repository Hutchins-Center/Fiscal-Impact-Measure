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5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0.xml" ContentType="application/vnd.openxmlformats-officedocument.spreadsheetml.worksheet+xml"/>
  <Override PartName="/xl/theme/themeOverride2.xml" ContentType="application/vnd.openxmlformats-officedocument.themeOverrid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5" yWindow="-465" windowWidth="12720" windowHeight="11580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_old" sheetId="42" r:id="rId9"/>
    <sheet name="Deficit" sheetId="7" r:id="rId10"/>
    <sheet name="Debt to GDP Ratio" sheetId="9" r:id="rId11"/>
    <sheet name="Spending by Category" sheetId="11" r:id="rId12"/>
    <sheet name="jobs_stateFinal" sheetId="17" r:id="rId13"/>
    <sheet name="jobs_fedFinal" sheetId="18" r:id="rId14"/>
    <sheet name="jobs_structures" sheetId="19" r:id="rId15"/>
    <sheet name="taxes_stateFinal" sheetId="21" r:id="rId16"/>
    <sheet name="long_revenueFinal" sheetId="22" r:id="rId17"/>
    <sheet name="long_deficitFinal" sheetId="39" r:id="rId18"/>
    <sheet name="long_debtFinal" sheetId="24" r:id="rId19"/>
    <sheet name="long_categoryFinal" sheetId="25" r:id="rId20"/>
  </sheets>
  <externalReferences>
    <externalReference r:id="rId21"/>
  </externalReferences>
  <definedNames>
    <definedName name="_DLX1.USE" localSheetId="11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8">#REF!</definedName>
    <definedName name="_DLX4.USE" localSheetId="13">#REF!</definedName>
    <definedName name="_DLX4.USE" localSheetId="14">#REF!</definedName>
    <definedName name="_DLX4.USE" localSheetId="17">#REF!</definedName>
    <definedName name="_DLX4.USE" localSheetId="2">#REF!</definedName>
    <definedName name="_DLX4.USE">#REF!</definedName>
    <definedName name="_DLX5.USE">'Revenues &amp; Outlays in GDP'!$A$4:$H$7</definedName>
    <definedName name="_DLX6.USE" localSheetId="8">Deficit_old!$A$3:$K$6</definedName>
    <definedName name="_DLX6.USE">Deficit!$A$3:$L$6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F56" i="7" l="1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E56" i="42"/>
  <c r="D56" i="42"/>
  <c r="E55" i="42"/>
  <c r="D55" i="42"/>
  <c r="E54" i="42"/>
  <c r="D54" i="42"/>
  <c r="E53" i="42"/>
  <c r="D53" i="42"/>
  <c r="E52" i="42"/>
  <c r="D52" i="42"/>
  <c r="E51" i="42"/>
  <c r="D51" i="42"/>
  <c r="E50" i="42"/>
  <c r="D50" i="42"/>
  <c r="E49" i="42"/>
  <c r="D49" i="42"/>
  <c r="E48" i="42"/>
  <c r="D48" i="42"/>
  <c r="E47" i="42"/>
  <c r="D47" i="42"/>
  <c r="E46" i="42"/>
  <c r="D46" i="42"/>
  <c r="E45" i="42"/>
  <c r="D45" i="42"/>
  <c r="E44" i="42"/>
  <c r="D44" i="42"/>
  <c r="E43" i="42"/>
  <c r="D43" i="42"/>
  <c r="E42" i="42"/>
  <c r="D42" i="42"/>
  <c r="E41" i="42"/>
  <c r="D41" i="42"/>
  <c r="E40" i="42"/>
  <c r="D40" i="42"/>
  <c r="E39" i="42"/>
  <c r="D39" i="42"/>
  <c r="E38" i="42"/>
  <c r="D38" i="42"/>
  <c r="E37" i="42"/>
  <c r="D37" i="42"/>
  <c r="E36" i="42"/>
  <c r="D36" i="42"/>
  <c r="E35" i="42"/>
  <c r="D35" i="42"/>
  <c r="E34" i="42"/>
  <c r="D34" i="42"/>
  <c r="E33" i="42"/>
  <c r="D33" i="42"/>
  <c r="E32" i="42"/>
  <c r="D32" i="42"/>
  <c r="E31" i="42"/>
  <c r="D31" i="42"/>
  <c r="E30" i="42"/>
  <c r="D30" i="42"/>
  <c r="E29" i="42"/>
  <c r="D29" i="42"/>
  <c r="E28" i="42"/>
  <c r="D28" i="42"/>
  <c r="E27" i="42"/>
  <c r="D27" i="42"/>
  <c r="E26" i="42"/>
  <c r="D26" i="42"/>
  <c r="E25" i="42"/>
  <c r="D25" i="42"/>
  <c r="E24" i="42"/>
  <c r="D24" i="42"/>
  <c r="E23" i="42"/>
  <c r="D23" i="42"/>
  <c r="E22" i="42"/>
  <c r="D22" i="42"/>
  <c r="E21" i="42"/>
  <c r="D21" i="42"/>
  <c r="E20" i="42"/>
  <c r="D20" i="42"/>
  <c r="E19" i="42"/>
  <c r="D19" i="42"/>
  <c r="E18" i="42"/>
  <c r="D18" i="42"/>
  <c r="E17" i="42"/>
  <c r="D17" i="42"/>
  <c r="E16" i="42"/>
  <c r="D16" i="42"/>
  <c r="E15" i="42"/>
  <c r="D15" i="42"/>
  <c r="E14" i="42"/>
  <c r="D14" i="42"/>
  <c r="E13" i="42"/>
  <c r="D13" i="42"/>
  <c r="E12" i="42"/>
  <c r="D12" i="42"/>
  <c r="E11" i="42"/>
  <c r="D11" i="42"/>
  <c r="E10" i="42"/>
  <c r="D10" i="42"/>
  <c r="E9" i="42"/>
  <c r="D9" i="42"/>
  <c r="E8" i="42"/>
  <c r="D8" i="42"/>
  <c r="E7" i="42"/>
  <c r="D7" i="42"/>
  <c r="G12" i="4" l="1"/>
  <c r="G8" i="4"/>
  <c r="H12" i="4" s="1"/>
  <c r="G13" i="4"/>
  <c r="H13" i="4" s="1"/>
  <c r="G9" i="4"/>
  <c r="G14" i="4"/>
  <c r="G10" i="4"/>
  <c r="G15" i="4"/>
  <c r="G11" i="4"/>
  <c r="H15" i="4"/>
  <c r="A2" i="2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H53" i="4" s="1"/>
  <c r="G49" i="4"/>
  <c r="G54" i="4"/>
  <c r="H54" i="4" s="1"/>
  <c r="G50" i="4"/>
  <c r="G55" i="4"/>
  <c r="G51" i="4"/>
  <c r="H55" i="4" s="1"/>
  <c r="G56" i="4"/>
  <c r="G52" i="4"/>
  <c r="H56" i="4" s="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M81" i="3"/>
  <c r="C74" i="18" s="1"/>
  <c r="L79" i="3"/>
  <c r="M79" i="3" s="1"/>
  <c r="C72" i="18" s="1"/>
  <c r="M80" i="3"/>
  <c r="C73" i="18" s="1"/>
  <c r="L78" i="3"/>
  <c r="L77" i="3"/>
  <c r="M77" i="3" s="1"/>
  <c r="C70" i="18" s="1"/>
  <c r="L76" i="3"/>
  <c r="L75" i="3"/>
  <c r="M76" i="3" s="1"/>
  <c r="C69" i="18" s="1"/>
  <c r="L74" i="3"/>
  <c r="L73" i="3"/>
  <c r="M75" i="3"/>
  <c r="C68" i="18"/>
  <c r="L72" i="3"/>
  <c r="M73" i="3" s="1"/>
  <c r="C66" i="18" s="1"/>
  <c r="L71" i="3"/>
  <c r="B64" i="18" s="1"/>
  <c r="L70" i="3"/>
  <c r="M71" i="3" s="1"/>
  <c r="C64" i="18" s="1"/>
  <c r="M72" i="3"/>
  <c r="C65" i="18" s="1"/>
  <c r="L69" i="3"/>
  <c r="M69" i="3" s="1"/>
  <c r="C62" i="18" s="1"/>
  <c r="L68" i="3"/>
  <c r="M70" i="3"/>
  <c r="C63" i="18"/>
  <c r="L67" i="3"/>
  <c r="L66" i="3"/>
  <c r="L65" i="3"/>
  <c r="M66" i="3" s="1"/>
  <c r="C59" i="18" s="1"/>
  <c r="M67" i="3"/>
  <c r="C60" i="18" s="1"/>
  <c r="L64" i="3"/>
  <c r="M65" i="3" s="1"/>
  <c r="L63" i="3"/>
  <c r="C58" i="18"/>
  <c r="L62" i="3"/>
  <c r="M64" i="3"/>
  <c r="C57" i="18" s="1"/>
  <c r="L61" i="3"/>
  <c r="L60" i="3"/>
  <c r="M62" i="3"/>
  <c r="C55" i="18"/>
  <c r="L59" i="3"/>
  <c r="M60" i="3" s="1"/>
  <c r="C53" i="18" s="1"/>
  <c r="L58" i="3"/>
  <c r="L57" i="3"/>
  <c r="L56" i="3"/>
  <c r="M57" i="3" s="1"/>
  <c r="C50" i="18" s="1"/>
  <c r="L55" i="3"/>
  <c r="B48" i="18" s="1"/>
  <c r="L54" i="3"/>
  <c r="M55" i="3" s="1"/>
  <c r="C48" i="18" s="1"/>
  <c r="M56" i="3"/>
  <c r="C49" i="18" s="1"/>
  <c r="L53" i="3"/>
  <c r="L52" i="3"/>
  <c r="L51" i="3"/>
  <c r="M52" i="3" s="1"/>
  <c r="C45" i="18" s="1"/>
  <c r="L50" i="3"/>
  <c r="L49" i="3"/>
  <c r="L48" i="3"/>
  <c r="L47" i="3"/>
  <c r="B40" i="18" s="1"/>
  <c r="L46" i="3"/>
  <c r="M47" i="3" s="1"/>
  <c r="C40" i="18" s="1"/>
  <c r="M48" i="3"/>
  <c r="C41" i="18" s="1"/>
  <c r="L45" i="3"/>
  <c r="L44" i="3"/>
  <c r="L43" i="3"/>
  <c r="L42" i="3"/>
  <c r="L41" i="3"/>
  <c r="M42" i="3" s="1"/>
  <c r="C35" i="18" s="1"/>
  <c r="M43" i="3"/>
  <c r="C36" i="18"/>
  <c r="L40" i="3"/>
  <c r="L39" i="3"/>
  <c r="B32" i="18" s="1"/>
  <c r="L38" i="3"/>
  <c r="L37" i="3"/>
  <c r="L36" i="3"/>
  <c r="L35" i="3"/>
  <c r="M37" i="3" s="1"/>
  <c r="C30" i="18" s="1"/>
  <c r="L34" i="3"/>
  <c r="L33" i="3"/>
  <c r="M34" i="3" s="1"/>
  <c r="C27" i="18" s="1"/>
  <c r="M35" i="3"/>
  <c r="C28" i="18"/>
  <c r="L32" i="3"/>
  <c r="L31" i="3"/>
  <c r="M32" i="3" s="1"/>
  <c r="C25" i="18" s="1"/>
  <c r="L30" i="3"/>
  <c r="M31" i="3" s="1"/>
  <c r="L29" i="3"/>
  <c r="C24" i="18"/>
  <c r="L28" i="3"/>
  <c r="L27" i="3"/>
  <c r="M28" i="3" s="1"/>
  <c r="C21" i="18" s="1"/>
  <c r="L26" i="3"/>
  <c r="L25" i="3"/>
  <c r="M27" i="3"/>
  <c r="C20" i="18"/>
  <c r="L24" i="3"/>
  <c r="L23" i="3"/>
  <c r="M24" i="3" s="1"/>
  <c r="C17" i="18" s="1"/>
  <c r="L22" i="3"/>
  <c r="L21" i="3"/>
  <c r="L20" i="3"/>
  <c r="L19" i="3"/>
  <c r="M20" i="3" s="1"/>
  <c r="C13" i="18" s="1"/>
  <c r="L18" i="3"/>
  <c r="L17" i="3"/>
  <c r="M18" i="3" s="1"/>
  <c r="C11" i="18" s="1"/>
  <c r="M19" i="3"/>
  <c r="C12" i="18"/>
  <c r="L16" i="3"/>
  <c r="L15" i="3"/>
  <c r="B8" i="18" s="1"/>
  <c r="L14" i="3"/>
  <c r="L13" i="3"/>
  <c r="L12" i="3"/>
  <c r="L11" i="3"/>
  <c r="M13" i="3" s="1"/>
  <c r="C6" i="18" s="1"/>
  <c r="L10" i="3"/>
  <c r="L9" i="3"/>
  <c r="M10" i="3" s="1"/>
  <c r="C3" i="18" s="1"/>
  <c r="M11" i="3"/>
  <c r="C4" i="18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J81" i="3"/>
  <c r="C74" i="17"/>
  <c r="I79" i="3"/>
  <c r="J80" i="3" s="1"/>
  <c r="C73" i="17" s="1"/>
  <c r="I78" i="3"/>
  <c r="I77" i="3"/>
  <c r="I76" i="3"/>
  <c r="J77" i="3" s="1"/>
  <c r="C70" i="17" s="1"/>
  <c r="I75" i="3"/>
  <c r="I74" i="3"/>
  <c r="J76" i="3"/>
  <c r="C69" i="17"/>
  <c r="I73" i="3"/>
  <c r="I72" i="3"/>
  <c r="B65" i="17" s="1"/>
  <c r="I71" i="3"/>
  <c r="J72" i="3" s="1"/>
  <c r="I70" i="3"/>
  <c r="C65" i="17"/>
  <c r="I69" i="3"/>
  <c r="I68" i="3"/>
  <c r="J70" i="3" s="1"/>
  <c r="C63" i="17" s="1"/>
  <c r="I67" i="3"/>
  <c r="I66" i="3"/>
  <c r="J68" i="3"/>
  <c r="C61" i="17"/>
  <c r="I65" i="3"/>
  <c r="I64" i="3"/>
  <c r="B57" i="17" s="1"/>
  <c r="I63" i="3"/>
  <c r="J64" i="3" s="1"/>
  <c r="I62" i="3"/>
  <c r="C57" i="17"/>
  <c r="I61" i="3"/>
  <c r="I60" i="3"/>
  <c r="J62" i="3" s="1"/>
  <c r="C55" i="17" s="1"/>
  <c r="I59" i="3"/>
  <c r="I58" i="3"/>
  <c r="J60" i="3"/>
  <c r="C53" i="17"/>
  <c r="I57" i="3"/>
  <c r="I56" i="3"/>
  <c r="B49" i="17" s="1"/>
  <c r="I55" i="3"/>
  <c r="J56" i="3" s="1"/>
  <c r="I54" i="3"/>
  <c r="C49" i="17"/>
  <c r="I53" i="3"/>
  <c r="I52" i="3"/>
  <c r="J54" i="3" s="1"/>
  <c r="C47" i="17" s="1"/>
  <c r="I51" i="3"/>
  <c r="I50" i="3"/>
  <c r="J52" i="3"/>
  <c r="C45" i="17"/>
  <c r="I49" i="3"/>
  <c r="I48" i="3"/>
  <c r="B41" i="17" s="1"/>
  <c r="I47" i="3"/>
  <c r="J48" i="3" s="1"/>
  <c r="I46" i="3"/>
  <c r="C41" i="17"/>
  <c r="I45" i="3"/>
  <c r="I44" i="3"/>
  <c r="J46" i="3" s="1"/>
  <c r="C39" i="17" s="1"/>
  <c r="I43" i="3"/>
  <c r="I42" i="3"/>
  <c r="J44" i="3"/>
  <c r="C37" i="17"/>
  <c r="I41" i="3"/>
  <c r="I40" i="3"/>
  <c r="B33" i="17" s="1"/>
  <c r="I39" i="3"/>
  <c r="J40" i="3" s="1"/>
  <c r="I38" i="3"/>
  <c r="C33" i="17"/>
  <c r="I37" i="3"/>
  <c r="I36" i="3"/>
  <c r="J38" i="3" s="1"/>
  <c r="C31" i="17" s="1"/>
  <c r="I35" i="3"/>
  <c r="I34" i="3"/>
  <c r="J36" i="3"/>
  <c r="C29" i="17"/>
  <c r="I33" i="3"/>
  <c r="I32" i="3"/>
  <c r="B25" i="17" s="1"/>
  <c r="I31" i="3"/>
  <c r="J32" i="3" s="1"/>
  <c r="I30" i="3"/>
  <c r="C25" i="17"/>
  <c r="I29" i="3"/>
  <c r="J30" i="3" s="1"/>
  <c r="C23" i="17" s="1"/>
  <c r="I28" i="3"/>
  <c r="J29" i="3" s="1"/>
  <c r="C22" i="17" s="1"/>
  <c r="I27" i="3"/>
  <c r="I26" i="3"/>
  <c r="J28" i="3"/>
  <c r="C21" i="17"/>
  <c r="I25" i="3"/>
  <c r="I24" i="3"/>
  <c r="B17" i="17" s="1"/>
  <c r="I23" i="3"/>
  <c r="J24" i="3" s="1"/>
  <c r="I22" i="3"/>
  <c r="C17" i="17"/>
  <c r="I21" i="3"/>
  <c r="J22" i="3" s="1"/>
  <c r="C15" i="17" s="1"/>
  <c r="I20" i="3"/>
  <c r="J21" i="3" s="1"/>
  <c r="C14" i="17" s="1"/>
  <c r="I19" i="3"/>
  <c r="I18" i="3"/>
  <c r="J20" i="3"/>
  <c r="C13" i="17"/>
  <c r="I17" i="3"/>
  <c r="I16" i="3"/>
  <c r="B9" i="17" s="1"/>
  <c r="I15" i="3"/>
  <c r="J16" i="3" s="1"/>
  <c r="I14" i="3"/>
  <c r="C9" i="17"/>
  <c r="I13" i="3"/>
  <c r="J14" i="3" s="1"/>
  <c r="C7" i="17" s="1"/>
  <c r="I12" i="3"/>
  <c r="J13" i="3" s="1"/>
  <c r="C6" i="17" s="1"/>
  <c r="I11" i="3"/>
  <c r="I10" i="3"/>
  <c r="J12" i="3"/>
  <c r="C5" i="17"/>
  <c r="I9" i="3"/>
  <c r="I8" i="3"/>
  <c r="J9" i="3" s="1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0" i="17"/>
  <c r="B69" i="17"/>
  <c r="B68" i="17"/>
  <c r="B66" i="17"/>
  <c r="B63" i="17"/>
  <c r="B62" i="17"/>
  <c r="B60" i="17"/>
  <c r="B58" i="17"/>
  <c r="B56" i="17"/>
  <c r="B55" i="17"/>
  <c r="B54" i="17"/>
  <c r="B53" i="17"/>
  <c r="B52" i="17"/>
  <c r="B50" i="17"/>
  <c r="B47" i="17"/>
  <c r="B46" i="17"/>
  <c r="B44" i="17"/>
  <c r="B42" i="17"/>
  <c r="B40" i="17"/>
  <c r="B39" i="17"/>
  <c r="B38" i="17"/>
  <c r="B37" i="17"/>
  <c r="B36" i="17"/>
  <c r="B34" i="17"/>
  <c r="B31" i="17"/>
  <c r="B30" i="17"/>
  <c r="B28" i="17"/>
  <c r="B26" i="17"/>
  <c r="B24" i="17"/>
  <c r="B23" i="17"/>
  <c r="B22" i="17"/>
  <c r="B21" i="17"/>
  <c r="B20" i="17"/>
  <c r="B18" i="17"/>
  <c r="B15" i="17"/>
  <c r="B14" i="17"/>
  <c r="B12" i="17"/>
  <c r="B10" i="17"/>
  <c r="B8" i="17"/>
  <c r="B7" i="17"/>
  <c r="B6" i="17"/>
  <c r="B5" i="17"/>
  <c r="B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H37" i="4" s="1"/>
  <c r="G36" i="4"/>
  <c r="G35" i="4"/>
  <c r="H35" i="4" s="1"/>
  <c r="G34" i="4"/>
  <c r="G33" i="4"/>
  <c r="G32" i="4"/>
  <c r="G31" i="4"/>
  <c r="G30" i="4"/>
  <c r="G29" i="4"/>
  <c r="H29" i="4" s="1"/>
  <c r="G28" i="4"/>
  <c r="G27" i="4"/>
  <c r="H31" i="4" s="1"/>
  <c r="G26" i="4"/>
  <c r="G25" i="4"/>
  <c r="G24" i="4"/>
  <c r="G23" i="4"/>
  <c r="G22" i="4"/>
  <c r="G21" i="4"/>
  <c r="H21" i="4" s="1"/>
  <c r="G20" i="4"/>
  <c r="G19" i="4"/>
  <c r="H23" i="4" s="1"/>
  <c r="G18" i="4"/>
  <c r="H18" i="4" s="1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4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2" i="18"/>
  <c r="B71" i="18"/>
  <c r="B65" i="18"/>
  <c r="B63" i="18"/>
  <c r="B62" i="18"/>
  <c r="B58" i="18"/>
  <c r="B57" i="18"/>
  <c r="B56" i="18"/>
  <c r="B54" i="18"/>
  <c r="B49" i="18"/>
  <c r="B46" i="18"/>
  <c r="B44" i="18"/>
  <c r="B41" i="18"/>
  <c r="B39" i="18"/>
  <c r="B38" i="18"/>
  <c r="B35" i="18"/>
  <c r="B33" i="18"/>
  <c r="B30" i="18"/>
  <c r="B26" i="18"/>
  <c r="B25" i="18"/>
  <c r="B24" i="18"/>
  <c r="B22" i="18"/>
  <c r="B19" i="18"/>
  <c r="B17" i="18"/>
  <c r="B16" i="18"/>
  <c r="B14" i="18"/>
  <c r="B10" i="18"/>
  <c r="B9" i="18"/>
  <c r="B6" i="18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A1" i="3"/>
  <c r="B4" i="18"/>
  <c r="B28" i="18"/>
  <c r="B61" i="18"/>
  <c r="B5" i="18"/>
  <c r="B21" i="18"/>
  <c r="B37" i="18"/>
  <c r="B53" i="18"/>
  <c r="B13" i="18"/>
  <c r="B29" i="18"/>
  <c r="B51" i="18"/>
  <c r="B59" i="18"/>
  <c r="B67" i="18"/>
  <c r="B45" i="18"/>
  <c r="B69" i="18"/>
  <c r="B3" i="18"/>
  <c r="B11" i="18"/>
  <c r="B27" i="18"/>
  <c r="B52" i="18"/>
  <c r="B68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G47" i="4"/>
  <c r="H47" i="4" s="1"/>
  <c r="G46" i="4"/>
  <c r="G45" i="4"/>
  <c r="H49" i="4" s="1"/>
  <c r="G44" i="4"/>
  <c r="H48" i="4" s="1"/>
  <c r="G43" i="4"/>
  <c r="G42" i="4"/>
  <c r="G41" i="4"/>
  <c r="G40" i="4"/>
  <c r="H40" i="4" s="1"/>
  <c r="G39" i="4"/>
  <c r="H39" i="4" s="1"/>
  <c r="G38" i="4"/>
  <c r="H38" i="4" s="1"/>
  <c r="H19" i="4"/>
  <c r="H24" i="4"/>
  <c r="H32" i="4"/>
  <c r="H34" i="4"/>
  <c r="H42" i="4"/>
  <c r="H27" i="4"/>
  <c r="H20" i="4"/>
  <c r="H52" i="4"/>
  <c r="H50" i="4"/>
  <c r="H28" i="4"/>
  <c r="H36" i="4"/>
  <c r="H44" i="4"/>
  <c r="H46" i="4"/>
  <c r="I49" i="4" s="1"/>
  <c r="B36" i="21" s="1"/>
  <c r="H16" i="4"/>
  <c r="I19" i="4" s="1"/>
  <c r="B6" i="21" s="1"/>
  <c r="H22" i="4"/>
  <c r="H17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E56" i="7"/>
  <c r="B51" i="39" s="1"/>
  <c r="E55" i="7"/>
  <c r="B50" i="39"/>
  <c r="E54" i="7"/>
  <c r="B49" i="39" s="1"/>
  <c r="E53" i="7"/>
  <c r="B48" i="39" s="1"/>
  <c r="E52" i="7"/>
  <c r="B47" i="39" s="1"/>
  <c r="E51" i="7"/>
  <c r="B46" i="39" s="1"/>
  <c r="E50" i="7"/>
  <c r="B45" i="39" s="1"/>
  <c r="E49" i="7"/>
  <c r="B44" i="39"/>
  <c r="E48" i="7"/>
  <c r="B43" i="39"/>
  <c r="E47" i="7"/>
  <c r="B42" i="39"/>
  <c r="E46" i="7"/>
  <c r="B41" i="39" s="1"/>
  <c r="E45" i="7"/>
  <c r="B40" i="39"/>
  <c r="E44" i="7"/>
  <c r="B39" i="39" s="1"/>
  <c r="E43" i="7"/>
  <c r="B38" i="39" s="1"/>
  <c r="E42" i="7"/>
  <c r="B37" i="39" s="1"/>
  <c r="E41" i="7"/>
  <c r="B36" i="39"/>
  <c r="E40" i="7"/>
  <c r="B35" i="39" s="1"/>
  <c r="E39" i="7"/>
  <c r="B34" i="39"/>
  <c r="E38" i="7"/>
  <c r="B33" i="39" s="1"/>
  <c r="E37" i="7"/>
  <c r="B32" i="39" s="1"/>
  <c r="E36" i="7"/>
  <c r="B31" i="39" s="1"/>
  <c r="E35" i="7"/>
  <c r="B30" i="39" s="1"/>
  <c r="E34" i="7"/>
  <c r="B29" i="39" s="1"/>
  <c r="E33" i="7"/>
  <c r="B28" i="39"/>
  <c r="E32" i="7"/>
  <c r="B27" i="39"/>
  <c r="E31" i="7"/>
  <c r="B26" i="39" s="1"/>
  <c r="E30" i="7"/>
  <c r="B25" i="39" s="1"/>
  <c r="E29" i="7"/>
  <c r="B24" i="39" s="1"/>
  <c r="E28" i="7"/>
  <c r="B23" i="39" s="1"/>
  <c r="E27" i="7"/>
  <c r="B22" i="39"/>
  <c r="E26" i="7"/>
  <c r="B21" i="39" s="1"/>
  <c r="E25" i="7"/>
  <c r="B20" i="39"/>
  <c r="E24" i="7"/>
  <c r="B19" i="39"/>
  <c r="E23" i="7"/>
  <c r="B18" i="39"/>
  <c r="E22" i="7"/>
  <c r="B17" i="39" s="1"/>
  <c r="E21" i="7"/>
  <c r="B16" i="39" s="1"/>
  <c r="E20" i="7"/>
  <c r="B15" i="39" s="1"/>
  <c r="E19" i="7"/>
  <c r="B14" i="39" s="1"/>
  <c r="E18" i="7"/>
  <c r="B13" i="39" s="1"/>
  <c r="E17" i="7"/>
  <c r="B12" i="39"/>
  <c r="E16" i="7"/>
  <c r="B11" i="39"/>
  <c r="E15" i="7"/>
  <c r="B10" i="39"/>
  <c r="E14" i="7"/>
  <c r="B9" i="39" s="1"/>
  <c r="E13" i="7"/>
  <c r="B8" i="39" s="1"/>
  <c r="E12" i="7"/>
  <c r="B7" i="39" s="1"/>
  <c r="E11" i="7"/>
  <c r="B6" i="39" s="1"/>
  <c r="E10" i="7"/>
  <c r="B5" i="39" s="1"/>
  <c r="E9" i="7"/>
  <c r="B4" i="39"/>
  <c r="E8" i="7"/>
  <c r="B3" i="39"/>
  <c r="E7" i="7"/>
  <c r="B2" i="39"/>
  <c r="I50" i="4" l="1"/>
  <c r="B37" i="21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I18" i="4"/>
  <c r="B5" i="21" s="1"/>
  <c r="H45" i="4"/>
  <c r="I48" i="4" s="1"/>
  <c r="B35" i="21" s="1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I17" i="4" s="1"/>
  <c r="B4" i="21" s="1"/>
  <c r="I24" i="4"/>
  <c r="B11" i="21" s="1"/>
  <c r="I23" i="4"/>
  <c r="B10" i="21" s="1"/>
  <c r="I40" i="4"/>
  <c r="B27" i="21" s="1"/>
  <c r="H25" i="4"/>
  <c r="I39" i="4"/>
  <c r="B26" i="21" s="1"/>
  <c r="I37" i="4"/>
  <c r="B24" i="21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I55" i="4"/>
  <c r="B42" i="21" s="1"/>
  <c r="I56" i="4"/>
  <c r="B43" i="21" s="1"/>
  <c r="I16" i="4"/>
  <c r="B3" i="21" s="1"/>
  <c r="H33" i="4"/>
  <c r="I36" i="4" s="1"/>
  <c r="B23" i="21" s="1"/>
  <c r="I35" i="4"/>
  <c r="B22" i="21" s="1"/>
  <c r="I21" i="4"/>
  <c r="B8" i="21" s="1"/>
  <c r="H26" i="4"/>
  <c r="I29" i="4" s="1"/>
  <c r="B16" i="21" s="1"/>
  <c r="H30" i="4"/>
  <c r="I33" i="4" s="1"/>
  <c r="B20" i="21" s="1"/>
  <c r="B16" i="17"/>
  <c r="B48" i="17"/>
  <c r="J78" i="3"/>
  <c r="C71" i="17" s="1"/>
  <c r="M46" i="3"/>
  <c r="C39" i="18" s="1"/>
  <c r="M59" i="3"/>
  <c r="C52" i="18" s="1"/>
  <c r="I15" i="4"/>
  <c r="B2" i="21" s="1"/>
  <c r="I25" i="4"/>
  <c r="B12" i="21" s="1"/>
  <c r="I22" i="4"/>
  <c r="B9" i="21" s="1"/>
  <c r="I52" i="4"/>
  <c r="B39" i="21" s="1"/>
  <c r="J79" i="3"/>
  <c r="C72" i="17" s="1"/>
  <c r="B71" i="17"/>
  <c r="B42" i="18"/>
  <c r="M50" i="3"/>
  <c r="C43" i="18" s="1"/>
  <c r="H51" i="4"/>
  <c r="I54" i="4" s="1"/>
  <c r="B41" i="21" s="1"/>
  <c r="H41" i="4"/>
  <c r="I44" i="4" s="1"/>
  <c r="B31" i="21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I20" i="4"/>
  <c r="B7" i="21" s="1"/>
  <c r="H43" i="4"/>
  <c r="I46" i="4" s="1"/>
  <c r="B33" i="21" s="1"/>
  <c r="I53" i="4"/>
  <c r="B40" i="21" s="1"/>
  <c r="B36" i="18"/>
  <c r="B23" i="18"/>
  <c r="I26" i="4"/>
  <c r="B13" i="21" s="1"/>
  <c r="I38" i="4"/>
  <c r="B25" i="21" s="1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51" i="4" l="1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sharedStrings.xml><?xml version="1.0" encoding="utf-8"?>
<sst xmlns="http://schemas.openxmlformats.org/spreadsheetml/2006/main" count="688" uniqueCount="386">
  <si>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</si>
  <si>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</si>
  <si>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</si>
  <si>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</si>
  <si>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</si>
  <si>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</si>
  <si>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</si>
  <si>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</si>
  <si>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</si>
  <si>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</si>
  <si>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</si>
  <si>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</si>
  <si>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</si>
  <si>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</si>
  <si>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</si>
  <si>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</si>
  <si>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</si>
  <si>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</si>
  <si>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</si>
  <si>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</si>
  <si>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</si>
  <si>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</si>
  <si>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</si>
  <si>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</si>
  <si>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</si>
  <si>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</si>
  <si>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</si>
  <si>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</si>
  <si>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</si>
  <si>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</si>
  <si>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</si>
  <si>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</si>
  <si>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</si>
  <si>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</si>
  <si>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</si>
  <si>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</si>
  <si>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</si>
  <si>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</si>
  <si>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</si>
  <si>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</si>
  <si>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</si>
  <si>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</si>
  <si>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</si>
  <si>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</si>
  <si>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</si>
  <si>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</si>
  <si>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</si>
  <si>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</si>
  <si>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</si>
  <si>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</si>
  <si>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</si>
  <si>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</si>
  <si>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</si>
  <si>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</si>
  <si>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</si>
  <si>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</si>
  <si>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</si>
  <si>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</si>
  <si>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</si>
  <si>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</si>
  <si>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</si>
  <si>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</si>
  <si>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</si>
  <si>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</si>
  <si>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</si>
  <si>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</si>
  <si>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</si>
  <si>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</si>
  <si>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</si>
  <si>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</si>
  <si>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</si>
  <si>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</si>
  <si>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</si>
  <si>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</si>
  <si>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</si>
  <si>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</si>
  <si>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</si>
  <si>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</si>
  <si>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</si>
  <si>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</si>
  <si>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</si>
  <si>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</si>
  <si>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</si>
  <si>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</si>
  <si>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</si>
  <si>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</si>
  <si>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</si>
  <si>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</si>
  <si>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</si>
  <si>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</si>
  <si>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</si>
  <si>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</si>
  <si>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</si>
  <si>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</si>
  <si>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</si>
  <si>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</si>
  <si>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</si>
  <si>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</si>
  <si>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</si>
  <si>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</si>
  <si>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</si>
  <si>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</si>
  <si>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</si>
  <si>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</si>
  <si>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</si>
  <si>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</si>
  <si>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</si>
  <si>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</si>
  <si>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</si>
  <si>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</si>
  <si>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</si>
  <si>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</si>
  <si>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</si>
  <si>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</si>
  <si>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</si>
  <si>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</si>
  <si>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</si>
  <si>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</si>
  <si>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</si>
  <si>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</si>
  <si>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</si>
  <si>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</si>
  <si>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</si>
  <si>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</si>
  <si>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</si>
  <si>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</si>
  <si>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</si>
  <si>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</si>
  <si>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</si>
  <si>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</si>
  <si>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</si>
  <si>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</si>
  <si>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</si>
  <si>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</si>
  <si>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</si>
  <si>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</si>
  <si>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</si>
  <si>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</si>
  <si>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</si>
  <si>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</si>
  <si>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</si>
  <si>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</si>
  <si>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</si>
  <si>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</si>
  <si>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</si>
  <si>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</si>
  <si>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</si>
  <si>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</si>
  <si>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</si>
  <si>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</si>
  <si>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</si>
  <si>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</si>
  <si>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</si>
  <si>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</si>
  <si>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</si>
  <si>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</si>
  <si>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</si>
  <si>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</si>
  <si>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</si>
  <si>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</si>
  <si>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</si>
  <si>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</si>
  <si>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</si>
  <si>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</si>
  <si>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</si>
  <si>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</si>
  <si>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</si>
  <si>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</si>
  <si>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</si>
  <si>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</si>
  <si>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</si>
  <si>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</si>
  <si>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</si>
  <si>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</si>
  <si>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</si>
  <si>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</si>
  <si>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</si>
  <si>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</si>
  <si>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</si>
  <si>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</si>
  <si>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</si>
  <si>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</si>
  <si>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</si>
  <si>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</si>
  <si>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</si>
  <si>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</si>
  <si>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</si>
  <si>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</si>
  <si>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</si>
  <si>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</si>
  <si>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</si>
  <si>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</si>
  <si>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</si>
  <si>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</si>
  <si>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</si>
  <si>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</si>
  <si>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</si>
  <si>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</si>
  <si>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</si>
  <si>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</si>
  <si>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</si>
  <si>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</si>
  <si>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</si>
  <si>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</si>
  <si>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</si>
  <si>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</si>
  <si>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</si>
  <si>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</si>
  <si>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</si>
  <si>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</si>
  <si>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</si>
  <si>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</si>
  <si>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</si>
  <si>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</si>
  <si>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</si>
  <si>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</si>
  <si>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</si>
  <si>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</si>
  <si>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</si>
  <si>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</si>
  <si>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</si>
  <si>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</si>
  <si>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</si>
  <si>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</si>
  <si>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</si>
  <si>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</si>
  <si>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</si>
  <si>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</si>
  <si>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</si>
  <si>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</si>
  <si>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</si>
  <si>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</si>
  <si>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</si>
  <si>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</si>
  <si>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</si>
  <si>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</si>
  <si>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</si>
  <si>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</si>
  <si>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</si>
  <si>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</si>
  <si>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</si>
  <si>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</si>
  <si>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</si>
  <si>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</si>
  <si>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</si>
  <si>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</si>
  <si>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</si>
  <si>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</si>
  <si>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</si>
  <si>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</si>
  <si>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</si>
  <si>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</si>
  <si>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</si>
  <si>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</si>
  <si>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</si>
  <si>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</si>
  <si>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</si>
  <si>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</si>
  <si>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</si>
  <si>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</si>
  <si>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</si>
  <si>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</si>
  <si>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</si>
  <si>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</si>
  <si>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</si>
  <si>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</si>
  <si>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</si>
  <si>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</si>
  <si>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</si>
  <si>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</si>
  <si>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</si>
  <si>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</si>
  <si>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</si>
  <si>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</si>
  <si>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</si>
  <si>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</si>
  <si>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</si>
  <si>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</si>
  <si>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</si>
  <si>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</si>
  <si>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</si>
  <si>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</si>
  <si>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</si>
  <si>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</si>
  <si>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</si>
  <si>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</si>
  <si>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</si>
  <si>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</si>
  <si>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</si>
  <si>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</si>
  <si>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</si>
  <si>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</si>
  <si>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</si>
  <si>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</si>
  <si>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</si>
  <si>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</si>
  <si>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</si>
  <si>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</si>
  <si>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</si>
  <si>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</si>
  <si>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</si>
  <si>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</si>
  <si>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</si>
  <si>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</si>
  <si>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</si>
  <si>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</si>
  <si>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</si>
  <si>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</si>
  <si>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</si>
  <si>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</si>
  <si>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</si>
  <si>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</si>
  <si>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</si>
  <si>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</si>
  <si>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</si>
  <si>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</si>
  <si>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</si>
  <si>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</si>
  <si>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</si>
  <si>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</si>
  <si>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</si>
  <si>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</si>
  <si>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</si>
  <si>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</si>
  <si>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</si>
  <si>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</si>
  <si>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</si>
  <si>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</si>
  <si>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</si>
  <si>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</si>
  <si>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</si>
  <si>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</si>
  <si>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</si>
  <si>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</si>
  <si>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</si>
  <si>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</si>
  <si>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</si>
  <si>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</si>
  <si>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</si>
  <si>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</si>
  <si>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</si>
  <si>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</si>
  <si>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</si>
  <si>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</si>
  <si>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</si>
  <si>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</si>
  <si>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</si>
  <si>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</si>
  <si>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</si>
  <si>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</si>
  <si>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</si>
  <si>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</si>
  <si>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</si>
  <si>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</si>
  <si>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</si>
  <si>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</si>
  <si>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</si>
  <si>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</si>
  <si>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</si>
  <si>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</si>
  <si>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</si>
  <si>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</si>
  <si>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</si>
  <si>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</si>
  <si>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</si>
  <si>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</si>
  <si>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</si>
  <si>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 xml:space="preserve">Oct-03-2014 08:31 </t>
  </si>
  <si>
    <t xml:space="preserve">Oct-03-2014 08:36 </t>
  </si>
  <si>
    <t>201409</t>
  </si>
  <si>
    <t>8.5</t>
  </si>
  <si>
    <t>7.5</t>
  </si>
  <si>
    <t>13.1</t>
  </si>
  <si>
    <t>1.0</t>
  </si>
  <si>
    <t>-4.9</t>
  </si>
  <si>
    <t>4.5</t>
  </si>
  <si>
    <t>2.1</t>
  </si>
  <si>
    <t>11.4</t>
  </si>
  <si>
    <t>5.4</t>
  </si>
  <si>
    <t>0.6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</si>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</sst>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5000</c:v>
                </c:pt>
                <c:pt idx="71">
                  <c:v>14000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98884224"/>
        <c:axId val="9912883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5000</c:v>
                </c:pt>
                <c:pt idx="71">
                  <c:v>8333.3333333333339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884224"/>
        <c:axId val="99128832"/>
      </c:lineChart>
      <c:dateAx>
        <c:axId val="9888422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99128832"/>
        <c:crosses val="autoZero"/>
        <c:auto val="1"/>
        <c:lblOffset val="100"/>
        <c:baseTimeUnit val="months"/>
        <c:majorUnit val="1"/>
        <c:majorTimeUnit val="years"/>
      </c:dateAx>
      <c:valAx>
        <c:axId val="99128832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98884224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-1000</c:v>
                </c:pt>
                <c:pt idx="71">
                  <c:v>-2699.9999999998181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89465344"/>
        <c:axId val="192255104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-200.00000000012128</c:v>
                </c:pt>
                <c:pt idx="71" formatCode="0.00">
                  <c:v>-1166.6666666666667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65344"/>
        <c:axId val="192255104"/>
      </c:lineChart>
      <c:dateAx>
        <c:axId val="18946534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92255104"/>
        <c:crosses val="autoZero"/>
        <c:auto val="1"/>
        <c:lblOffset val="100"/>
        <c:baseTimeUnit val="months"/>
        <c:majorUnit val="1"/>
        <c:majorTimeUnit val="years"/>
      </c:dateAx>
      <c:valAx>
        <c:axId val="192255104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89465344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089536"/>
        <c:axId val="195397504"/>
      </c:lineChart>
      <c:dateAx>
        <c:axId val="1950895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5397504"/>
        <c:crosses val="autoZero"/>
        <c:auto val="1"/>
        <c:lblOffset val="100"/>
        <c:baseTimeUnit val="months"/>
        <c:majorUnit val="1"/>
        <c:majorTimeUnit val="years"/>
      </c:dateAx>
      <c:valAx>
        <c:axId val="19539750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508953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4704"/>
        <c:axId val="65226240"/>
      </c:lineChart>
      <c:dateAx>
        <c:axId val="6522470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5226240"/>
        <c:crossesAt val="0"/>
        <c:auto val="1"/>
        <c:lblOffset val="100"/>
        <c:baseTimeUnit val="months"/>
        <c:majorUnit val="1"/>
        <c:majorTimeUnit val="years"/>
      </c:dateAx>
      <c:valAx>
        <c:axId val="6522624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522470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 formatCode="0.0">
                  <c:v>1.3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09888"/>
        <c:axId val="65911424"/>
      </c:lineChart>
      <c:dateAx>
        <c:axId val="65909888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5911424"/>
        <c:crosses val="autoZero"/>
        <c:auto val="1"/>
        <c:lblOffset val="100"/>
        <c:baseTimeUnit val="months"/>
        <c:majorUnit val="10"/>
        <c:majorTimeUnit val="years"/>
      </c:dateAx>
      <c:valAx>
        <c:axId val="65911424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5909888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28192"/>
        <c:axId val="66388736"/>
      </c:lineChart>
      <c:dateAx>
        <c:axId val="659281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6388736"/>
        <c:crosses val="autoZero"/>
        <c:auto val="1"/>
        <c:lblOffset val="100"/>
        <c:baseTimeUnit val="months"/>
        <c:majorUnit val="5"/>
        <c:majorTimeUnit val="years"/>
      </c:dateAx>
      <c:valAx>
        <c:axId val="66388736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592819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Deficit!$G$7:$G$56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4736"/>
        <c:axId val="66406272"/>
      </c:lineChart>
      <c:dateAx>
        <c:axId val="664047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6406272"/>
        <c:crossesAt val="-1500"/>
        <c:auto val="1"/>
        <c:lblOffset val="100"/>
        <c:baseTimeUnit val="months"/>
        <c:majorUnit val="5"/>
        <c:majorTimeUnit val="years"/>
      </c:dateAx>
      <c:valAx>
        <c:axId val="6640627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64047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892800"/>
        <c:axId val="98902784"/>
      </c:lineChart>
      <c:dateAx>
        <c:axId val="9889280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8902784"/>
        <c:crosses val="autoZero"/>
        <c:auto val="1"/>
        <c:lblOffset val="100"/>
        <c:baseTimeUnit val="months"/>
        <c:majorUnit val="5"/>
        <c:majorTimeUnit val="years"/>
      </c:dateAx>
      <c:valAx>
        <c:axId val="9890278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889280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K31" sqref="K31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267</v>
      </c>
    </row>
    <row r="2" spans="1:2">
      <c r="A2" s="27" t="s">
        <v>276</v>
      </c>
    </row>
    <row r="3" spans="1:2">
      <c r="A3" s="27" t="s">
        <v>277</v>
      </c>
    </row>
    <row r="4" spans="1:2">
      <c r="A4" s="27" t="s">
        <v>280</v>
      </c>
    </row>
    <row r="5" spans="1:2">
      <c r="A5" s="27" t="s">
        <v>278</v>
      </c>
    </row>
    <row r="6" spans="1:2">
      <c r="A6" s="27" t="s">
        <v>279</v>
      </c>
    </row>
    <row r="7" spans="1:2">
      <c r="A7" s="27" t="s">
        <v>268</v>
      </c>
    </row>
    <row r="8" spans="1:2">
      <c r="A8" s="27" t="s">
        <v>269</v>
      </c>
    </row>
    <row r="9" spans="1:2">
      <c r="A9" s="27" t="s">
        <v>270</v>
      </c>
    </row>
    <row r="10" spans="1:2">
      <c r="A10" s="27" t="s">
        <v>281</v>
      </c>
    </row>
    <row r="16" spans="1:2">
      <c r="B16" s="68" t="s">
        <v>271</v>
      </c>
    </row>
    <row r="17" spans="1:3">
      <c r="B17" s="27" t="s">
        <v>282</v>
      </c>
      <c r="C17" s="27" t="s">
        <v>283</v>
      </c>
    </row>
    <row r="18" spans="1:3">
      <c r="B18" s="27" t="s">
        <v>284</v>
      </c>
      <c r="C18" s="27" t="s">
        <v>285</v>
      </c>
    </row>
    <row r="19" spans="1:3">
      <c r="B19" s="27" t="s">
        <v>286</v>
      </c>
      <c r="C19" s="27" t="s">
        <v>287</v>
      </c>
    </row>
    <row r="20" spans="1:3">
      <c r="B20" s="27" t="s">
        <v>288</v>
      </c>
      <c r="C20" s="27" t="s">
        <v>295</v>
      </c>
    </row>
    <row r="21" spans="1:3">
      <c r="B21" s="27" t="s">
        <v>289</v>
      </c>
      <c r="C21" s="27" t="s">
        <v>192</v>
      </c>
    </row>
    <row r="22" spans="1:3">
      <c r="B22" s="27" t="s">
        <v>290</v>
      </c>
      <c r="C22" s="27" t="s">
        <v>296</v>
      </c>
    </row>
    <row r="23" spans="1:3">
      <c r="B23" s="27" t="s">
        <v>291</v>
      </c>
      <c r="C23" s="27" t="s">
        <v>298</v>
      </c>
    </row>
    <row r="24" spans="1:3">
      <c r="B24" s="27" t="s">
        <v>292</v>
      </c>
      <c r="C24" s="27" t="s">
        <v>297</v>
      </c>
    </row>
    <row r="25" spans="1:3">
      <c r="B25" s="27" t="s">
        <v>294</v>
      </c>
      <c r="C25" s="27" t="s">
        <v>299</v>
      </c>
    </row>
    <row r="26" spans="1:3">
      <c r="B26" s="27" t="s">
        <v>293</v>
      </c>
      <c r="C26" s="27" t="s">
        <v>300</v>
      </c>
    </row>
    <row r="30" spans="1:3">
      <c r="A30" s="69" t="s">
        <v>272</v>
      </c>
    </row>
    <row r="31" spans="1:3">
      <c r="A31" s="27" t="s">
        <v>273</v>
      </c>
      <c r="B31" s="27" t="s">
        <v>274</v>
      </c>
      <c r="C31" s="27" t="s">
        <v>275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zoomScaleNormal="100" zoomScaleSheetLayoutView="100" workbookViewId="0"/>
  </sheetViews>
  <sheetFormatPr defaultRowHeight="15"/>
  <cols>
    <col min="1" max="16384" width="9.140625" style="27"/>
  </cols>
  <sheetData>
    <row r="1" spans="1:9" ht="15" customHeight="1">
      <c r="A1" s="94"/>
      <c r="B1" s="94"/>
      <c r="C1" s="108" t="s">
        <v>358</v>
      </c>
      <c r="D1" s="108"/>
      <c r="E1" s="108"/>
      <c r="F1" s="108"/>
      <c r="G1" s="108"/>
      <c r="H1" s="94"/>
      <c r="I1" s="94"/>
    </row>
    <row r="2" spans="1:9" ht="15" customHeight="1">
      <c r="A2" s="94"/>
      <c r="B2" s="94"/>
      <c r="C2" s="108"/>
      <c r="D2" s="108"/>
      <c r="E2" s="108"/>
      <c r="F2" s="108"/>
      <c r="G2" s="108"/>
      <c r="H2" s="94"/>
      <c r="I2" s="94"/>
    </row>
    <row r="3" spans="1:9">
      <c r="A3" s="96" t="s">
        <v>359</v>
      </c>
      <c r="B3" s="95"/>
      <c r="C3" s="95" t="s">
        <v>360</v>
      </c>
      <c r="D3" s="95"/>
      <c r="E3" s="95"/>
      <c r="F3" s="96" t="s">
        <v>361</v>
      </c>
      <c r="G3" s="95"/>
      <c r="H3" s="96" t="s">
        <v>362</v>
      </c>
      <c r="I3" s="95"/>
    </row>
    <row r="9" spans="1:9" ht="105">
      <c r="D9" s="93" t="s">
        <v>301</v>
      </c>
      <c r="G9" s="93" t="s">
        <v>357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7"/>
  </cols>
  <sheetData>
    <row r="1" spans="1:9" ht="15" customHeight="1">
      <c r="B1" s="94"/>
      <c r="C1" s="108" t="s">
        <v>358</v>
      </c>
      <c r="D1" s="108"/>
      <c r="E1" s="108"/>
      <c r="F1" s="108"/>
      <c r="G1" s="108"/>
      <c r="H1" s="94"/>
      <c r="I1" s="94"/>
    </row>
    <row r="2" spans="1:9" ht="15" customHeight="1">
      <c r="A2" s="94"/>
      <c r="B2" s="94"/>
      <c r="C2" s="108"/>
      <c r="D2" s="108"/>
      <c r="E2" s="108"/>
      <c r="F2" s="108"/>
      <c r="G2" s="108"/>
      <c r="H2" s="94"/>
      <c r="I2" s="94"/>
    </row>
    <row r="3" spans="1:9">
      <c r="A3" s="96" t="s">
        <v>359</v>
      </c>
      <c r="B3" s="95"/>
      <c r="C3" s="96" t="s">
        <v>360</v>
      </c>
      <c r="D3" s="95"/>
      <c r="E3" s="95"/>
      <c r="F3" s="95" t="s">
        <v>361</v>
      </c>
      <c r="G3" s="95"/>
      <c r="H3" s="96" t="s">
        <v>362</v>
      </c>
      <c r="I3" s="95"/>
    </row>
    <row r="7" spans="1:9">
      <c r="A7" s="89" t="s">
        <v>192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302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09" t="s">
        <v>301</v>
      </c>
      <c r="E9" s="109"/>
      <c r="F9" s="109"/>
      <c r="G9" s="109" t="s">
        <v>357</v>
      </c>
      <c r="H9" s="109"/>
      <c r="I9" s="110"/>
    </row>
    <row r="10" spans="1:9">
      <c r="A10" s="83"/>
      <c r="B10" s="84"/>
      <c r="C10" s="84"/>
      <c r="D10" s="109"/>
      <c r="E10" s="109"/>
      <c r="F10" s="109"/>
      <c r="G10" s="109"/>
      <c r="H10" s="109"/>
      <c r="I10" s="110"/>
    </row>
    <row r="11" spans="1:9">
      <c r="A11" s="77" t="s">
        <v>128</v>
      </c>
      <c r="B11" s="72"/>
      <c r="C11" s="72"/>
      <c r="D11" s="72"/>
      <c r="E11" s="97">
        <v>2965</v>
      </c>
      <c r="F11" s="74"/>
      <c r="G11" s="97"/>
      <c r="H11" s="103" t="s">
        <v>370</v>
      </c>
      <c r="I11" s="100"/>
    </row>
    <row r="12" spans="1:9">
      <c r="A12" s="76" t="s">
        <v>129</v>
      </c>
      <c r="B12" s="72"/>
      <c r="C12" s="72"/>
      <c r="D12" s="72"/>
      <c r="E12" s="97">
        <v>2394</v>
      </c>
      <c r="F12" s="74"/>
      <c r="G12" s="75"/>
      <c r="H12" s="103" t="s">
        <v>371</v>
      </c>
      <c r="I12" s="100"/>
    </row>
    <row r="13" spans="1:9">
      <c r="A13" s="76" t="s">
        <v>130</v>
      </c>
      <c r="B13" s="72"/>
      <c r="C13" s="72"/>
      <c r="D13" s="72"/>
      <c r="E13" s="97">
        <v>570</v>
      </c>
      <c r="F13" s="74"/>
      <c r="G13" s="75"/>
      <c r="H13" s="103" t="s">
        <v>372</v>
      </c>
      <c r="I13" s="100"/>
    </row>
    <row r="14" spans="1:9">
      <c r="A14" s="85"/>
      <c r="B14" s="86"/>
      <c r="C14" s="86"/>
      <c r="D14" s="86"/>
      <c r="E14" s="98"/>
      <c r="F14" s="87"/>
      <c r="G14" s="88"/>
      <c r="H14" s="104"/>
      <c r="I14" s="101"/>
    </row>
    <row r="15" spans="1:9">
      <c r="A15" s="77" t="s">
        <v>193</v>
      </c>
      <c r="B15" s="72"/>
      <c r="C15" s="72"/>
      <c r="D15" s="72"/>
      <c r="E15" s="97">
        <v>3481</v>
      </c>
      <c r="F15" s="74"/>
      <c r="G15" s="75"/>
      <c r="H15" s="103" t="s">
        <v>373</v>
      </c>
      <c r="I15" s="100"/>
    </row>
    <row r="16" spans="1:9">
      <c r="A16" s="76" t="s">
        <v>134</v>
      </c>
      <c r="B16" s="72"/>
      <c r="C16" s="72"/>
      <c r="D16" s="72"/>
      <c r="E16" s="97">
        <v>580</v>
      </c>
      <c r="F16" s="74"/>
      <c r="G16" s="75"/>
      <c r="H16" s="103" t="s">
        <v>374</v>
      </c>
      <c r="I16" s="100"/>
    </row>
    <row r="17" spans="1:9">
      <c r="A17" s="76" t="s">
        <v>132</v>
      </c>
      <c r="B17" s="72"/>
      <c r="C17" s="72"/>
      <c r="D17" s="72"/>
      <c r="E17" s="97">
        <v>836</v>
      </c>
      <c r="F17" s="74"/>
      <c r="G17" s="75"/>
      <c r="H17" s="103" t="s">
        <v>375</v>
      </c>
      <c r="I17" s="100"/>
    </row>
    <row r="18" spans="1:9">
      <c r="A18" s="76" t="s">
        <v>131</v>
      </c>
      <c r="B18" s="72"/>
      <c r="C18" s="72"/>
      <c r="D18" s="72"/>
      <c r="E18" s="97">
        <v>487</v>
      </c>
      <c r="F18" s="74"/>
      <c r="G18" s="75"/>
      <c r="H18" s="103" t="s">
        <v>376</v>
      </c>
      <c r="I18" s="100"/>
    </row>
    <row r="19" spans="1:9">
      <c r="A19" s="76" t="s">
        <v>126</v>
      </c>
      <c r="B19" s="72"/>
      <c r="C19" s="72"/>
      <c r="D19" s="72"/>
      <c r="E19" s="97">
        <v>294</v>
      </c>
      <c r="F19" s="74"/>
      <c r="G19" s="75"/>
      <c r="H19" s="103" t="s">
        <v>377</v>
      </c>
      <c r="I19" s="100"/>
    </row>
    <row r="20" spans="1:9">
      <c r="A20" s="76" t="s">
        <v>127</v>
      </c>
      <c r="B20" s="72"/>
      <c r="C20" s="72"/>
      <c r="D20" s="72"/>
      <c r="E20" s="97">
        <v>271</v>
      </c>
      <c r="F20" s="74"/>
      <c r="G20" s="75"/>
      <c r="H20" s="103" t="s">
        <v>378</v>
      </c>
      <c r="I20" s="100"/>
    </row>
    <row r="21" spans="1:9">
      <c r="A21" s="78" t="s">
        <v>133</v>
      </c>
      <c r="B21" s="79"/>
      <c r="C21" s="79"/>
      <c r="D21" s="79"/>
      <c r="E21" s="99">
        <v>1013</v>
      </c>
      <c r="F21" s="81"/>
      <c r="G21" s="82"/>
      <c r="H21" s="105" t="s">
        <v>379</v>
      </c>
      <c r="I21" s="102"/>
    </row>
    <row r="22" spans="1:9">
      <c r="A22" s="72" t="s">
        <v>194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153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380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170</v>
      </c>
      <c r="B25" s="72"/>
      <c r="C25" s="72"/>
      <c r="D25" s="72"/>
      <c r="E25" s="72"/>
      <c r="F25" s="72"/>
      <c r="G25" s="72"/>
      <c r="H25" s="72"/>
      <c r="I25" s="73"/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tabSelected="1" view="pageBreakPreview" zoomScaleNormal="100" zoomScaleSheetLayoutView="100" zoomScalePageLayoutView="85" workbookViewId="0"/>
  </sheetViews>
  <sheetFormatPr defaultRowHeight="15"/>
  <cols>
    <col min="1" max="16384" width="9.140625" style="27"/>
  </cols>
  <sheetData>
    <row r="1" spans="1:9" ht="15" customHeight="1">
      <c r="A1" s="94"/>
      <c r="B1" s="94"/>
      <c r="C1" s="108" t="s">
        <v>358</v>
      </c>
      <c r="D1" s="108"/>
      <c r="E1" s="108"/>
      <c r="F1" s="108"/>
      <c r="G1" s="108"/>
      <c r="H1" s="94"/>
      <c r="I1" s="94"/>
    </row>
    <row r="2" spans="1:9" ht="15" customHeight="1">
      <c r="A2" s="94"/>
      <c r="B2" s="94"/>
      <c r="C2" s="108"/>
      <c r="D2" s="108"/>
      <c r="E2" s="108"/>
      <c r="F2" s="108"/>
      <c r="G2" s="108"/>
      <c r="H2" s="94"/>
      <c r="I2" s="94"/>
    </row>
    <row r="3" spans="1:9">
      <c r="A3" s="96" t="s">
        <v>359</v>
      </c>
      <c r="B3" s="96"/>
      <c r="C3" s="96" t="s">
        <v>360</v>
      </c>
      <c r="D3" s="96"/>
      <c r="E3" s="96"/>
      <c r="F3" s="96" t="s">
        <v>361</v>
      </c>
      <c r="G3" s="96"/>
      <c r="H3" s="95" t="s">
        <v>362</v>
      </c>
      <c r="I3" s="95"/>
    </row>
    <row r="9" spans="1:9">
      <c r="D9" s="93"/>
      <c r="G9" s="93"/>
    </row>
    <row r="49" s="21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B7" sqref="B7:B78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201410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168</v>
      </c>
      <c r="L2" s="58" t="s">
        <v>154</v>
      </c>
    </row>
    <row r="3" spans="1:20">
      <c r="A3" s="24" t="s">
        <v>328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147</v>
      </c>
      <c r="J4" s="31" t="s">
        <v>147</v>
      </c>
      <c r="L4" s="38" t="s">
        <v>146</v>
      </c>
      <c r="M4" s="38" t="s">
        <v>146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145</v>
      </c>
      <c r="J5" s="32" t="s">
        <v>144</v>
      </c>
      <c r="K5" s="36"/>
      <c r="L5" s="39" t="s">
        <v>145</v>
      </c>
      <c r="M5" s="39" t="s">
        <v>144</v>
      </c>
    </row>
    <row r="6" spans="1:20">
      <c r="A6" s="8" t="s">
        <v>26</v>
      </c>
      <c r="C6" t="s">
        <v>367</v>
      </c>
      <c r="D6" t="s">
        <v>367</v>
      </c>
      <c r="E6" t="s">
        <v>367</v>
      </c>
      <c r="F6" t="s">
        <v>368</v>
      </c>
    </row>
    <row r="7" spans="1:20">
      <c r="A7" s="8" t="s">
        <v>264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265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266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196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197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198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199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200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201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202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203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204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205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206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207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208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209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210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211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212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213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214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215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216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217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218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219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220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221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222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223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224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225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226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227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228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229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230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231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232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233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234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235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236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237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238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239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240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241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242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243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244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245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246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247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248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249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250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251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252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253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254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255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256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257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258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259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260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261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262</v>
      </c>
      <c r="B76" s="13">
        <v>41851</v>
      </c>
      <c r="C76" s="14">
        <v>5057</v>
      </c>
      <c r="D76" s="14">
        <v>14124</v>
      </c>
      <c r="E76" s="25">
        <v>2123.1999999999998</v>
      </c>
      <c r="F76" s="14">
        <v>0</v>
      </c>
      <c r="G76" s="14"/>
      <c r="H76" s="14"/>
      <c r="I76" s="33">
        <f t="shared" si="4"/>
        <v>6000</v>
      </c>
      <c r="J76" s="33">
        <f t="shared" si="5"/>
        <v>4000</v>
      </c>
      <c r="K76" s="37"/>
      <c r="L76" s="40">
        <f t="shared" si="6"/>
        <v>199.9999999998181</v>
      </c>
      <c r="M76" s="66">
        <f t="shared" si="7"/>
        <v>199.99999999996967</v>
      </c>
      <c r="N76" s="15"/>
      <c r="R76" s="25"/>
    </row>
    <row r="77" spans="1:18">
      <c r="A77" s="8" t="s">
        <v>263</v>
      </c>
      <c r="B77" s="13">
        <v>41882</v>
      </c>
      <c r="C77" s="14">
        <v>5050</v>
      </c>
      <c r="D77" s="14">
        <v>14136</v>
      </c>
      <c r="E77" s="25">
        <v>2122.1999999999998</v>
      </c>
      <c r="F77" s="14">
        <v>0</v>
      </c>
      <c r="G77" s="14"/>
      <c r="H77" s="14"/>
      <c r="I77" s="33">
        <f t="shared" si="4"/>
        <v>5000</v>
      </c>
      <c r="J77" s="33">
        <f t="shared" si="5"/>
        <v>5000</v>
      </c>
      <c r="K77" s="37"/>
      <c r="L77" s="40">
        <f t="shared" si="6"/>
        <v>-1000</v>
      </c>
      <c r="M77" s="66">
        <f t="shared" si="7"/>
        <v>-200.00000000012128</v>
      </c>
      <c r="N77" s="15"/>
      <c r="R77" s="14"/>
    </row>
    <row r="78" spans="1:18">
      <c r="A78" s="8" t="s">
        <v>369</v>
      </c>
      <c r="B78" s="13">
        <v>41912</v>
      </c>
      <c r="C78" s="14">
        <v>5072</v>
      </c>
      <c r="D78" s="14">
        <v>14128</v>
      </c>
      <c r="E78" s="25">
        <v>2119.5</v>
      </c>
      <c r="F78" s="14">
        <v>0</v>
      </c>
      <c r="G78" s="14"/>
      <c r="H78" s="14"/>
      <c r="I78" s="33">
        <f t="shared" si="4"/>
        <v>14000</v>
      </c>
      <c r="J78" s="33">
        <f t="shared" si="5"/>
        <v>8333.3333333333339</v>
      </c>
      <c r="K78" s="37"/>
      <c r="L78" s="40">
        <f t="shared" si="6"/>
        <v>-2699.9999999998181</v>
      </c>
      <c r="M78" s="66">
        <f t="shared" si="7"/>
        <v>-1166.6666666666667</v>
      </c>
      <c r="N78" s="15"/>
      <c r="R78" s="25"/>
    </row>
    <row r="79" spans="1:18">
      <c r="B79" s="13"/>
      <c r="C79" s="14"/>
      <c r="D79" s="14"/>
      <c r="E79" s="25"/>
      <c r="F79" s="14"/>
      <c r="G79" s="14"/>
      <c r="H79" s="14"/>
      <c r="I79" s="33" t="str">
        <f t="shared" si="4"/>
        <v/>
      </c>
      <c r="J79" s="33" t="str">
        <f t="shared" si="5"/>
        <v/>
      </c>
      <c r="K79" s="37"/>
      <c r="L79" s="40" t="str">
        <f t="shared" si="6"/>
        <v/>
      </c>
      <c r="M79" s="66" t="str">
        <f t="shared" si="7"/>
        <v/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138</v>
      </c>
    </row>
    <row r="2" spans="1:7">
      <c r="A2" s="28" t="s">
        <v>140</v>
      </c>
      <c r="B2" s="25" t="s">
        <v>137</v>
      </c>
      <c r="F2" s="42">
        <v>39814</v>
      </c>
    </row>
    <row r="3" spans="1:7">
      <c r="A3" s="28" t="s">
        <v>136</v>
      </c>
      <c r="B3" s="25" t="s">
        <v>135</v>
      </c>
    </row>
    <row r="4" spans="1:7">
      <c r="A4" s="28">
        <f>$F$2</f>
        <v>39814</v>
      </c>
      <c r="B4" s="25" t="s">
        <v>169</v>
      </c>
    </row>
    <row r="5" spans="1:7">
      <c r="A5" s="29" t="s">
        <v>139</v>
      </c>
      <c r="B5" s="30"/>
      <c r="C5" s="29"/>
      <c r="E5" s="29"/>
      <c r="G5" s="29"/>
    </row>
    <row r="6" spans="1:7">
      <c r="A6" s="28" t="s">
        <v>141</v>
      </c>
    </row>
    <row r="7" spans="1:7">
      <c r="A7" s="28" t="s">
        <v>142</v>
      </c>
      <c r="B7" s="25" t="s">
        <v>143</v>
      </c>
    </row>
    <row r="8" spans="1:7">
      <c r="A8" s="28">
        <v>39814</v>
      </c>
      <c r="B8" s="25">
        <v>288.7</v>
      </c>
    </row>
    <row r="9" spans="1:7">
      <c r="A9" s="28">
        <v>39904</v>
      </c>
      <c r="B9" s="25">
        <v>294.7</v>
      </c>
    </row>
    <row r="10" spans="1:7">
      <c r="A10" s="28">
        <v>39995</v>
      </c>
      <c r="B10" s="25">
        <v>293.3</v>
      </c>
    </row>
    <row r="11" spans="1:7">
      <c r="A11" s="28">
        <v>40087</v>
      </c>
      <c r="B11" s="25">
        <v>282.39999999999998</v>
      </c>
    </row>
    <row r="12" spans="1:7">
      <c r="A12" s="28">
        <v>40179</v>
      </c>
      <c r="B12" s="25">
        <v>273.60000000000002</v>
      </c>
    </row>
    <row r="13" spans="1:7">
      <c r="A13" s="28">
        <v>40269</v>
      </c>
      <c r="B13" s="25">
        <v>284.2</v>
      </c>
    </row>
    <row r="14" spans="1:7">
      <c r="A14" s="28">
        <v>40360</v>
      </c>
      <c r="B14" s="25">
        <v>285.60000000000002</v>
      </c>
    </row>
    <row r="15" spans="1:7">
      <c r="A15" s="28">
        <v>40452</v>
      </c>
      <c r="B15" s="25">
        <v>274.5</v>
      </c>
    </row>
    <row r="16" spans="1:7">
      <c r="A16" s="28">
        <v>40544</v>
      </c>
      <c r="B16" s="25">
        <v>265.7</v>
      </c>
    </row>
    <row r="17" spans="1:2">
      <c r="A17" s="28">
        <v>40634</v>
      </c>
      <c r="B17" s="25">
        <v>261.39999999999998</v>
      </c>
    </row>
    <row r="18" spans="1:2">
      <c r="A18" s="28">
        <v>40725</v>
      </c>
      <c r="B18" s="25">
        <v>258.60000000000002</v>
      </c>
    </row>
    <row r="19" spans="1:2">
      <c r="A19" s="28">
        <v>40817</v>
      </c>
      <c r="B19" s="25">
        <v>257.89999999999998</v>
      </c>
    </row>
    <row r="20" spans="1:2">
      <c r="A20" s="28">
        <v>40909</v>
      </c>
      <c r="B20" s="25">
        <v>249.2</v>
      </c>
    </row>
    <row r="21" spans="1:2">
      <c r="A21" s="28">
        <v>41000</v>
      </c>
      <c r="B21" s="25">
        <v>247.1</v>
      </c>
    </row>
    <row r="22" spans="1:2">
      <c r="A22" s="28">
        <v>41091</v>
      </c>
      <c r="B22" s="25">
        <v>240.5</v>
      </c>
    </row>
    <row r="23" spans="1:2">
      <c r="A23" s="28">
        <v>41183</v>
      </c>
      <c r="B23" s="25">
        <v>233.4</v>
      </c>
    </row>
    <row r="24" spans="1:2">
      <c r="A24" s="28">
        <v>41275</v>
      </c>
      <c r="B24" s="25">
        <v>228.6</v>
      </c>
    </row>
    <row r="25" spans="1:2">
      <c r="A25" s="28">
        <v>41365</v>
      </c>
      <c r="B25" s="25">
        <v>233.7</v>
      </c>
    </row>
    <row r="26" spans="1:2">
      <c r="A26" s="28">
        <v>41456</v>
      </c>
      <c r="B26" s="25">
        <v>233</v>
      </c>
    </row>
    <row r="27" spans="1:2">
      <c r="A27" s="28">
        <v>41548</v>
      </c>
      <c r="B27" s="25">
        <v>231.2</v>
      </c>
    </row>
    <row r="28" spans="1:2">
      <c r="A28" s="28">
        <v>41640</v>
      </c>
      <c r="B28" s="25">
        <v>223.6</v>
      </c>
    </row>
    <row r="29" spans="1:2">
      <c r="A29" s="28">
        <v>41730</v>
      </c>
      <c r="B29" s="25">
        <v>232.9</v>
      </c>
    </row>
    <row r="46" spans="1:2">
      <c r="A46" s="42"/>
      <c r="B46" s="34"/>
    </row>
    <row r="47" spans="1:2">
      <c r="A47" s="42"/>
      <c r="B47" s="34"/>
    </row>
    <row r="48" spans="1:2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="85" zoomScaleNormal="85" workbookViewId="0">
      <selection activeCell="B8" sqref="B8:B56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338</v>
      </c>
      <c r="B2" s="12" t="s">
        <v>0</v>
      </c>
      <c r="C2" s="35" t="s">
        <v>155</v>
      </c>
      <c r="D2" s="35" t="s">
        <v>156</v>
      </c>
      <c r="E2" s="35" t="s">
        <v>157</v>
      </c>
      <c r="F2" s="35" t="s">
        <v>158</v>
      </c>
    </row>
    <row r="3" spans="1:9">
      <c r="A3" s="11" t="s">
        <v>7</v>
      </c>
      <c r="C3" t="s">
        <v>161</v>
      </c>
      <c r="D3" t="s">
        <v>162</v>
      </c>
      <c r="E3" t="s">
        <v>163</v>
      </c>
      <c r="F3" t="s">
        <v>164</v>
      </c>
    </row>
    <row r="4" spans="1:9">
      <c r="A4" s="11" t="s">
        <v>22</v>
      </c>
      <c r="C4" t="s">
        <v>160</v>
      </c>
      <c r="D4" t="s">
        <v>160</v>
      </c>
      <c r="E4" t="s">
        <v>160</v>
      </c>
      <c r="F4" t="s">
        <v>160</v>
      </c>
      <c r="G4" s="21" t="s">
        <v>165</v>
      </c>
      <c r="I4" t="s">
        <v>167</v>
      </c>
    </row>
    <row r="5" spans="1:9">
      <c r="A5" s="11" t="s">
        <v>26</v>
      </c>
      <c r="C5" t="s">
        <v>306</v>
      </c>
      <c r="D5" t="s">
        <v>306</v>
      </c>
      <c r="E5" t="s">
        <v>306</v>
      </c>
      <c r="F5" t="s">
        <v>306</v>
      </c>
      <c r="H5" s="59" t="s">
        <v>166</v>
      </c>
    </row>
    <row r="6" spans="1:9">
      <c r="A6" s="11" t="s">
        <v>16</v>
      </c>
      <c r="B6" s="13"/>
      <c r="C6" s="14" t="s">
        <v>159</v>
      </c>
      <c r="D6" s="14" t="s">
        <v>159</v>
      </c>
      <c r="E6" s="14" t="s">
        <v>159</v>
      </c>
      <c r="F6" t="s">
        <v>159</v>
      </c>
    </row>
    <row r="7" spans="1:9">
      <c r="A7" s="11" t="s">
        <v>19</v>
      </c>
      <c r="B7" s="13"/>
      <c r="C7" s="14" t="s">
        <v>305</v>
      </c>
      <c r="D7" s="14" t="s">
        <v>305</v>
      </c>
      <c r="E7" s="14" t="s">
        <v>305</v>
      </c>
      <c r="F7" t="s">
        <v>305</v>
      </c>
    </row>
    <row r="8" spans="1:9">
      <c r="A8" s="11" t="s">
        <v>337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339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340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341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342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343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344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345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346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347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348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349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350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351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352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353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354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355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356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329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330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331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332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333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334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335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336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304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307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308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309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310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311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312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313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314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315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316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317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318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319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320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321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322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323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324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325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326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327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>
      <selection activeCell="F5" sqref="F5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303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180</v>
      </c>
      <c r="D7" t="s">
        <v>180</v>
      </c>
      <c r="E7" t="s">
        <v>188</v>
      </c>
      <c r="F7" t="s">
        <v>188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56"/>
  <sheetViews>
    <sheetView workbookViewId="0">
      <selection activeCell="C56" sqref="C56"/>
    </sheetView>
  </sheetViews>
  <sheetFormatPr defaultRowHeight="15"/>
  <cols>
    <col min="1" max="7" width="9.140625" style="22"/>
    <col min="8" max="8" width="9.140625" style="22" customWidth="1"/>
    <col min="9" max="9" width="10" style="22" customWidth="1"/>
    <col min="10" max="16384" width="9.140625" style="22"/>
  </cols>
  <sheetData>
    <row r="1" spans="1:9">
      <c r="C1" s="21"/>
      <c r="E1" s="22" t="s">
        <v>148</v>
      </c>
      <c r="F1" s="22">
        <v>2014</v>
      </c>
    </row>
    <row r="2" spans="1:9">
      <c r="C2" s="21" t="s">
        <v>120</v>
      </c>
    </row>
    <row r="3" spans="1:9">
      <c r="A3" s="24" t="s">
        <v>303</v>
      </c>
      <c r="B3" s="24" t="s">
        <v>0</v>
      </c>
      <c r="C3" s="48" t="s">
        <v>121</v>
      </c>
      <c r="D3" s="23"/>
      <c r="E3" s="23"/>
      <c r="H3" s="23"/>
      <c r="I3" s="23"/>
    </row>
    <row r="4" spans="1:9">
      <c r="A4" s="22" t="s">
        <v>7</v>
      </c>
      <c r="C4" s="21" t="s">
        <v>122</v>
      </c>
    </row>
    <row r="5" spans="1:9">
      <c r="A5" s="22" t="s">
        <v>22</v>
      </c>
      <c r="C5" s="21" t="s">
        <v>24</v>
      </c>
    </row>
    <row r="6" spans="1:9">
      <c r="A6" s="22" t="s">
        <v>26</v>
      </c>
      <c r="C6" s="21" t="s">
        <v>176</v>
      </c>
      <c r="D6" s="22" t="s">
        <v>149</v>
      </c>
      <c r="E6" s="22" t="s">
        <v>150</v>
      </c>
    </row>
    <row r="7" spans="1:9">
      <c r="A7" s="22" t="s">
        <v>31</v>
      </c>
      <c r="B7" s="46">
        <v>27759</v>
      </c>
      <c r="C7" s="45">
        <v>-53</v>
      </c>
      <c r="D7" s="33">
        <f t="shared" ref="D7:D56" si="0">IF(YEAR(B7)&gt;2014, #N/A, C7)</f>
        <v>-53</v>
      </c>
      <c r="E7" s="33" t="e">
        <f t="shared" ref="E7:E56" si="1">IF(YEAR(B7)&lt;2014,#N/A,C7)</f>
        <v>#N/A</v>
      </c>
      <c r="F7" s="22">
        <v>0</v>
      </c>
      <c r="H7" s="25"/>
      <c r="I7" s="25"/>
    </row>
    <row r="8" spans="1:9">
      <c r="A8" s="22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25"/>
      <c r="I8" s="25"/>
    </row>
    <row r="9" spans="1:9">
      <c r="A9" s="22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25"/>
      <c r="I9" s="25"/>
    </row>
    <row r="10" spans="1:9">
      <c r="A10" s="22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25"/>
      <c r="I10" s="25"/>
    </row>
    <row r="11" spans="1:9">
      <c r="A11" s="22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25"/>
      <c r="I11" s="25"/>
    </row>
    <row r="12" spans="1:9">
      <c r="A12" s="22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25"/>
      <c r="I12" s="25"/>
    </row>
    <row r="13" spans="1:9">
      <c r="A13" s="22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25"/>
      <c r="I13" s="25"/>
    </row>
    <row r="14" spans="1:9">
      <c r="A14" s="22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25"/>
      <c r="I14" s="25"/>
    </row>
    <row r="15" spans="1:9">
      <c r="A15" s="22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25"/>
      <c r="I15" s="25"/>
    </row>
    <row r="16" spans="1:9">
      <c r="A16" s="22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25"/>
      <c r="I16" s="25"/>
    </row>
    <row r="17" spans="1:9">
      <c r="A17" s="22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25"/>
      <c r="I17" s="25"/>
    </row>
    <row r="18" spans="1:9">
      <c r="A18" s="22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25"/>
      <c r="I18" s="25"/>
    </row>
    <row r="19" spans="1:9">
      <c r="A19" s="22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25"/>
      <c r="I19" s="25"/>
    </row>
    <row r="20" spans="1:9">
      <c r="A20" s="22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25"/>
      <c r="I20" s="25"/>
    </row>
    <row r="21" spans="1:9">
      <c r="A21" s="22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25"/>
      <c r="I21" s="25"/>
    </row>
    <row r="22" spans="1:9">
      <c r="A22" s="22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25"/>
      <c r="I22" s="25"/>
    </row>
    <row r="23" spans="1:9">
      <c r="A23" s="22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25"/>
      <c r="I23" s="25"/>
    </row>
    <row r="24" spans="1:9">
      <c r="A24" s="22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25"/>
      <c r="I24" s="25"/>
    </row>
    <row r="25" spans="1:9">
      <c r="A25" s="22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25"/>
      <c r="I25" s="25"/>
    </row>
    <row r="26" spans="1:9">
      <c r="A26" s="22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25"/>
      <c r="I26" s="25"/>
    </row>
    <row r="27" spans="1:9">
      <c r="A27" s="22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25"/>
      <c r="I27" s="25"/>
    </row>
    <row r="28" spans="1:9">
      <c r="A28" s="22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25"/>
      <c r="I28" s="25"/>
    </row>
    <row r="29" spans="1:9">
      <c r="A29" s="22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25"/>
      <c r="I29" s="25"/>
    </row>
    <row r="30" spans="1:9">
      <c r="A30" s="22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25"/>
      <c r="I30" s="25"/>
    </row>
    <row r="31" spans="1:9">
      <c r="A31" s="22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25"/>
      <c r="I31" s="25"/>
    </row>
    <row r="32" spans="1:9">
      <c r="A32" s="22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25"/>
      <c r="I32" s="25"/>
    </row>
    <row r="33" spans="1:9">
      <c r="A33" s="22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25"/>
      <c r="I33" s="25"/>
    </row>
    <row r="34" spans="1:9">
      <c r="A34" s="22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25"/>
      <c r="I34" s="25"/>
    </row>
    <row r="35" spans="1:9">
      <c r="A35" s="22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25"/>
      <c r="I35" s="25"/>
    </row>
    <row r="36" spans="1:9">
      <c r="A36" s="22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25"/>
      <c r="I36" s="25"/>
    </row>
    <row r="37" spans="1:9">
      <c r="A37" s="22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25"/>
      <c r="I37" s="25"/>
    </row>
    <row r="38" spans="1:9">
      <c r="A38" s="22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25"/>
      <c r="I38" s="25"/>
    </row>
    <row r="39" spans="1:9">
      <c r="A39" s="22" t="s">
        <v>63</v>
      </c>
      <c r="B39" s="46">
        <v>39447</v>
      </c>
      <c r="C39" s="45">
        <v>-161</v>
      </c>
      <c r="D39" s="33">
        <f t="shared" si="0"/>
        <v>-161</v>
      </c>
      <c r="E39" s="33" t="e">
        <f t="shared" si="1"/>
        <v>#N/A</v>
      </c>
      <c r="F39" s="22">
        <v>0</v>
      </c>
      <c r="H39" s="25"/>
      <c r="I39" s="25"/>
    </row>
    <row r="40" spans="1:9">
      <c r="A40" s="22" t="s">
        <v>64</v>
      </c>
      <c r="B40" s="46">
        <v>39813</v>
      </c>
      <c r="C40" s="45">
        <v>-459</v>
      </c>
      <c r="D40" s="33">
        <f t="shared" si="0"/>
        <v>-459</v>
      </c>
      <c r="E40" s="33" t="e">
        <f t="shared" si="1"/>
        <v>#N/A</v>
      </c>
      <c r="F40" s="22">
        <v>0</v>
      </c>
      <c r="H40" s="25"/>
      <c r="I40" s="25"/>
    </row>
    <row r="41" spans="1:9">
      <c r="A41" s="22" t="s">
        <v>65</v>
      </c>
      <c r="B41" s="46">
        <v>40178</v>
      </c>
      <c r="C41" s="45">
        <v>-1413</v>
      </c>
      <c r="D41" s="33">
        <f t="shared" si="0"/>
        <v>-1413</v>
      </c>
      <c r="E41" s="33" t="e">
        <f t="shared" si="1"/>
        <v>#N/A</v>
      </c>
      <c r="F41" s="22">
        <v>0</v>
      </c>
      <c r="H41" s="25"/>
      <c r="I41" s="25"/>
    </row>
    <row r="42" spans="1:9">
      <c r="A42" s="22" t="s">
        <v>66</v>
      </c>
      <c r="B42" s="46">
        <v>40543</v>
      </c>
      <c r="C42" s="45">
        <v>-1294</v>
      </c>
      <c r="D42" s="33">
        <f t="shared" si="0"/>
        <v>-1294</v>
      </c>
      <c r="E42" s="33" t="e">
        <f t="shared" si="1"/>
        <v>#N/A</v>
      </c>
      <c r="F42" s="22">
        <v>0</v>
      </c>
      <c r="H42" s="25"/>
      <c r="I42" s="25"/>
    </row>
    <row r="43" spans="1:9">
      <c r="A43" s="22" t="s">
        <v>67</v>
      </c>
      <c r="B43" s="46">
        <v>40908</v>
      </c>
      <c r="C43" s="45">
        <v>-1300</v>
      </c>
      <c r="D43" s="33">
        <f t="shared" si="0"/>
        <v>-1300</v>
      </c>
      <c r="E43" s="33" t="e">
        <f t="shared" si="1"/>
        <v>#N/A</v>
      </c>
      <c r="F43" s="22">
        <v>0</v>
      </c>
      <c r="H43" s="25"/>
      <c r="I43" s="25"/>
    </row>
    <row r="44" spans="1:9">
      <c r="A44" s="22" t="s">
        <v>68</v>
      </c>
      <c r="B44" s="46">
        <v>41274</v>
      </c>
      <c r="C44" s="45">
        <v>-1087</v>
      </c>
      <c r="D44" s="33">
        <f t="shared" si="0"/>
        <v>-1087</v>
      </c>
      <c r="E44" s="33" t="e">
        <f t="shared" si="1"/>
        <v>#N/A</v>
      </c>
      <c r="F44" s="22">
        <v>0</v>
      </c>
      <c r="H44" s="25"/>
      <c r="I44" s="25"/>
    </row>
    <row r="45" spans="1:9">
      <c r="A45" s="22" t="s">
        <v>69</v>
      </c>
      <c r="B45" s="46">
        <v>41639</v>
      </c>
      <c r="C45" s="45">
        <v>-680</v>
      </c>
      <c r="D45" s="33">
        <f t="shared" si="0"/>
        <v>-680</v>
      </c>
      <c r="E45" s="33" t="e">
        <f t="shared" si="1"/>
        <v>#N/A</v>
      </c>
      <c r="F45" s="22">
        <v>0</v>
      </c>
      <c r="H45" s="25"/>
      <c r="I45" s="25"/>
    </row>
    <row r="46" spans="1:9">
      <c r="A46" s="22" t="s">
        <v>70</v>
      </c>
      <c r="B46" s="46">
        <v>42004</v>
      </c>
      <c r="C46" s="45">
        <v>-506</v>
      </c>
      <c r="D46" s="33">
        <f t="shared" si="0"/>
        <v>-506</v>
      </c>
      <c r="E46" s="33">
        <f t="shared" si="1"/>
        <v>-506</v>
      </c>
      <c r="F46" s="22">
        <v>0</v>
      </c>
      <c r="H46" s="25"/>
      <c r="I46" s="25"/>
    </row>
    <row r="47" spans="1:9">
      <c r="A47" s="22" t="s">
        <v>71</v>
      </c>
      <c r="B47" s="46">
        <v>42369</v>
      </c>
      <c r="C47" s="45">
        <v>-469</v>
      </c>
      <c r="D47" s="33" t="e">
        <f t="shared" si="0"/>
        <v>#N/A</v>
      </c>
      <c r="E47" s="33">
        <f t="shared" si="1"/>
        <v>-469</v>
      </c>
      <c r="F47" s="22">
        <v>0</v>
      </c>
      <c r="H47" s="25"/>
      <c r="I47" s="25"/>
    </row>
    <row r="48" spans="1:9">
      <c r="A48" s="22" t="s">
        <v>72</v>
      </c>
      <c r="B48" s="46">
        <v>42735</v>
      </c>
      <c r="C48" s="45">
        <v>-556</v>
      </c>
      <c r="D48" s="33" t="e">
        <f t="shared" si="0"/>
        <v>#N/A</v>
      </c>
      <c r="E48" s="33">
        <f t="shared" si="1"/>
        <v>-556</v>
      </c>
      <c r="F48" s="22">
        <v>0</v>
      </c>
      <c r="H48" s="25"/>
      <c r="I48" s="25"/>
    </row>
    <row r="49" spans="1:9">
      <c r="A49" s="22" t="s">
        <v>73</v>
      </c>
      <c r="B49" s="46">
        <v>43100</v>
      </c>
      <c r="C49" s="45">
        <v>-530</v>
      </c>
      <c r="D49" s="33" t="e">
        <f t="shared" si="0"/>
        <v>#N/A</v>
      </c>
      <c r="E49" s="33">
        <f t="shared" si="1"/>
        <v>-530</v>
      </c>
      <c r="F49" s="22">
        <v>0</v>
      </c>
      <c r="H49" s="25"/>
      <c r="I49" s="25"/>
    </row>
    <row r="50" spans="1:9">
      <c r="A50" s="22" t="s">
        <v>74</v>
      </c>
      <c r="B50" s="46">
        <v>43465</v>
      </c>
      <c r="C50" s="45">
        <v>-560</v>
      </c>
      <c r="D50" s="33" t="e">
        <f t="shared" si="0"/>
        <v>#N/A</v>
      </c>
      <c r="E50" s="33">
        <f t="shared" si="1"/>
        <v>-560</v>
      </c>
      <c r="F50" s="22">
        <v>0</v>
      </c>
      <c r="H50" s="25"/>
      <c r="I50" s="25"/>
    </row>
    <row r="51" spans="1:9">
      <c r="A51" s="22" t="s">
        <v>75</v>
      </c>
      <c r="B51" s="46">
        <v>43830</v>
      </c>
      <c r="C51" s="45">
        <v>-661</v>
      </c>
      <c r="D51" s="33" t="e">
        <f t="shared" si="0"/>
        <v>#N/A</v>
      </c>
      <c r="E51" s="33">
        <f t="shared" si="1"/>
        <v>-661</v>
      </c>
      <c r="F51" s="22">
        <v>0</v>
      </c>
      <c r="H51" s="25"/>
      <c r="I51" s="25"/>
    </row>
    <row r="52" spans="1:9">
      <c r="A52" s="22" t="s">
        <v>76</v>
      </c>
      <c r="B52" s="46">
        <v>44196</v>
      </c>
      <c r="C52" s="45">
        <v>-737</v>
      </c>
      <c r="D52" s="33" t="e">
        <f t="shared" si="0"/>
        <v>#N/A</v>
      </c>
      <c r="E52" s="33">
        <f t="shared" si="1"/>
        <v>-737</v>
      </c>
      <c r="F52" s="22">
        <v>0</v>
      </c>
      <c r="H52" s="25"/>
      <c r="I52" s="25"/>
    </row>
    <row r="53" spans="1:9">
      <c r="A53" s="22" t="s">
        <v>77</v>
      </c>
      <c r="B53" s="46">
        <v>44561</v>
      </c>
      <c r="C53" s="45">
        <v>-820</v>
      </c>
      <c r="D53" s="33" t="e">
        <f t="shared" si="0"/>
        <v>#N/A</v>
      </c>
      <c r="E53" s="33">
        <f t="shared" si="1"/>
        <v>-820</v>
      </c>
      <c r="F53" s="22">
        <v>0</v>
      </c>
      <c r="H53" s="25"/>
      <c r="I53" s="25"/>
    </row>
    <row r="54" spans="1:9">
      <c r="A54" s="22" t="s">
        <v>78</v>
      </c>
      <c r="B54" s="46">
        <v>44926</v>
      </c>
      <c r="C54" s="45">
        <v>-946</v>
      </c>
      <c r="D54" s="33" t="e">
        <f t="shared" si="0"/>
        <v>#N/A</v>
      </c>
      <c r="E54" s="33">
        <f t="shared" si="1"/>
        <v>-946</v>
      </c>
      <c r="F54" s="22">
        <v>0</v>
      </c>
      <c r="H54" s="25"/>
      <c r="I54" s="25"/>
    </row>
    <row r="55" spans="1:9">
      <c r="A55" s="22" t="s">
        <v>79</v>
      </c>
      <c r="B55" s="46">
        <v>45291</v>
      </c>
      <c r="C55" s="45">
        <v>-957</v>
      </c>
      <c r="D55" s="33" t="e">
        <f t="shared" si="0"/>
        <v>#N/A</v>
      </c>
      <c r="E55" s="33">
        <f t="shared" si="1"/>
        <v>-957</v>
      </c>
      <c r="F55" s="22">
        <v>0</v>
      </c>
      <c r="H55" s="25"/>
      <c r="I55" s="25"/>
    </row>
    <row r="56" spans="1:9">
      <c r="A56" s="22" t="s">
        <v>80</v>
      </c>
      <c r="B56" s="46">
        <v>45657</v>
      </c>
      <c r="C56" s="45">
        <v>-960</v>
      </c>
      <c r="D56" s="33" t="e">
        <f t="shared" si="0"/>
        <v>#N/A</v>
      </c>
      <c r="E56" s="33">
        <f t="shared" si="1"/>
        <v>-960</v>
      </c>
      <c r="F56" s="22">
        <v>0</v>
      </c>
      <c r="H56" s="25"/>
      <c r="I56" s="25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16" workbookViewId="0">
      <selection activeCell="D4" sqref="D4"/>
    </sheetView>
  </sheetViews>
  <sheetFormatPr defaultRowHeight="15"/>
  <cols>
    <col min="1" max="2" width="9.140625" style="16"/>
    <col min="4" max="5" width="9.140625" style="22"/>
    <col min="9" max="9" width="9.140625" customWidth="1"/>
    <col min="10" max="10" width="10" customWidth="1"/>
  </cols>
  <sheetData>
    <row r="1" spans="1:10">
      <c r="C1" s="21"/>
      <c r="D1" s="21"/>
      <c r="F1" t="s">
        <v>148</v>
      </c>
      <c r="G1">
        <v>2014</v>
      </c>
    </row>
    <row r="2" spans="1:10">
      <c r="C2" s="21" t="s">
        <v>382</v>
      </c>
      <c r="D2" s="21"/>
    </row>
    <row r="3" spans="1:10">
      <c r="A3" s="24" t="s">
        <v>303</v>
      </c>
      <c r="B3" s="18" t="s">
        <v>0</v>
      </c>
      <c r="C3" s="48" t="s">
        <v>381</v>
      </c>
      <c r="D3" s="23" t="s">
        <v>383</v>
      </c>
      <c r="E3" s="23"/>
      <c r="F3" s="17"/>
      <c r="I3" s="17"/>
      <c r="J3" s="17"/>
    </row>
    <row r="4" spans="1:10">
      <c r="A4" s="16" t="s">
        <v>7</v>
      </c>
      <c r="C4" s="21" t="s">
        <v>384</v>
      </c>
      <c r="D4" s="21" t="s">
        <v>385</v>
      </c>
    </row>
    <row r="5" spans="1:10">
      <c r="A5" s="16" t="s">
        <v>22</v>
      </c>
      <c r="C5" s="21" t="s">
        <v>24</v>
      </c>
      <c r="D5" s="21" t="s">
        <v>24</v>
      </c>
    </row>
    <row r="6" spans="1:10">
      <c r="A6" s="16" t="s">
        <v>26</v>
      </c>
      <c r="C6" s="21" t="s">
        <v>188</v>
      </c>
      <c r="D6" s="21" t="s">
        <v>180</v>
      </c>
      <c r="E6" s="22" t="s">
        <v>149</v>
      </c>
      <c r="F6" t="s">
        <v>150</v>
      </c>
    </row>
    <row r="7" spans="1:10">
      <c r="A7" s="16" t="s">
        <v>31</v>
      </c>
      <c r="B7" s="46">
        <v>27759</v>
      </c>
      <c r="C7" s="106">
        <v>-3.306</v>
      </c>
      <c r="D7" s="37" t="e">
        <v>#N/A</v>
      </c>
      <c r="E7" s="107">
        <f t="shared" ref="E7:E38" si="0">IF(YEAR(B7)&gt;2014, #N/A, C7)</f>
        <v>-3.306</v>
      </c>
      <c r="F7" s="107" t="e">
        <f>IF(YEAR(B7)&lt;2013,#N/A,D7)</f>
        <v>#N/A</v>
      </c>
      <c r="G7">
        <v>0</v>
      </c>
      <c r="I7" s="19"/>
      <c r="J7" s="19"/>
    </row>
    <row r="8" spans="1:10">
      <c r="A8" s="16" t="s">
        <v>32</v>
      </c>
      <c r="B8" s="46">
        <v>28125</v>
      </c>
      <c r="C8" s="106">
        <v>-4.1180000000000003</v>
      </c>
      <c r="D8" s="37" t="e">
        <v>#N/A</v>
      </c>
      <c r="E8" s="107">
        <f t="shared" si="0"/>
        <v>-4.1180000000000003</v>
      </c>
      <c r="F8" s="107" t="e">
        <f t="shared" ref="F8:F56" si="1">IF(YEAR(B8)&lt;2013,#N/A,D8)</f>
        <v>#N/A</v>
      </c>
      <c r="G8" s="22">
        <v>0</v>
      </c>
      <c r="I8" s="19"/>
      <c r="J8" s="19"/>
    </row>
    <row r="9" spans="1:10">
      <c r="A9" s="16" t="s">
        <v>33</v>
      </c>
      <c r="B9" s="46">
        <v>28490</v>
      </c>
      <c r="C9" s="106">
        <v>-2.645</v>
      </c>
      <c r="D9" s="37" t="e">
        <v>#N/A</v>
      </c>
      <c r="E9" s="107">
        <f t="shared" si="0"/>
        <v>-2.645</v>
      </c>
      <c r="F9" s="107" t="e">
        <f t="shared" si="1"/>
        <v>#N/A</v>
      </c>
      <c r="G9" s="22">
        <v>0</v>
      </c>
      <c r="I9" s="19"/>
      <c r="J9" s="19"/>
    </row>
    <row r="10" spans="1:10">
      <c r="A10" s="16" t="s">
        <v>34</v>
      </c>
      <c r="B10" s="46">
        <v>28855</v>
      </c>
      <c r="C10" s="106">
        <v>-2.5979999999999999</v>
      </c>
      <c r="D10" s="37" t="e">
        <v>#N/A</v>
      </c>
      <c r="E10" s="107">
        <f t="shared" si="0"/>
        <v>-2.5979999999999999</v>
      </c>
      <c r="F10" s="107" t="e">
        <f t="shared" si="1"/>
        <v>#N/A</v>
      </c>
      <c r="G10" s="22">
        <v>0</v>
      </c>
      <c r="I10" s="19"/>
      <c r="J10" s="19"/>
    </row>
    <row r="11" spans="1:10">
      <c r="A11" s="16" t="s">
        <v>35</v>
      </c>
      <c r="B11" s="46">
        <v>29220</v>
      </c>
      <c r="C11" s="106">
        <v>-1.585</v>
      </c>
      <c r="D11" s="37" t="e">
        <v>#N/A</v>
      </c>
      <c r="E11" s="107">
        <f t="shared" si="0"/>
        <v>-1.585</v>
      </c>
      <c r="F11" s="107" t="e">
        <f t="shared" si="1"/>
        <v>#N/A</v>
      </c>
      <c r="G11" s="22">
        <v>0</v>
      </c>
      <c r="I11" s="19"/>
      <c r="J11" s="19"/>
    </row>
    <row r="12" spans="1:10">
      <c r="A12" s="16" t="s">
        <v>36</v>
      </c>
      <c r="B12" s="46">
        <v>29586</v>
      </c>
      <c r="C12" s="106">
        <v>-2.64</v>
      </c>
      <c r="D12" s="37" t="e">
        <v>#N/A</v>
      </c>
      <c r="E12" s="107">
        <f t="shared" si="0"/>
        <v>-2.64</v>
      </c>
      <c r="F12" s="107" t="e">
        <f t="shared" si="1"/>
        <v>#N/A</v>
      </c>
      <c r="G12" s="22">
        <v>0</v>
      </c>
      <c r="I12" s="19"/>
      <c r="J12" s="19"/>
    </row>
    <row r="13" spans="1:10">
      <c r="A13" s="16" t="s">
        <v>37</v>
      </c>
      <c r="B13" s="46">
        <v>29951</v>
      </c>
      <c r="C13" s="106">
        <v>-2.516</v>
      </c>
      <c r="D13" s="37" t="e">
        <v>#N/A</v>
      </c>
      <c r="E13" s="107">
        <f t="shared" si="0"/>
        <v>-2.516</v>
      </c>
      <c r="F13" s="107" t="e">
        <f t="shared" si="1"/>
        <v>#N/A</v>
      </c>
      <c r="G13" s="22">
        <v>0</v>
      </c>
      <c r="I13" s="19"/>
      <c r="J13" s="19"/>
    </row>
    <row r="14" spans="1:10">
      <c r="A14" s="16" t="s">
        <v>38</v>
      </c>
      <c r="B14" s="46">
        <v>30316</v>
      </c>
      <c r="C14" s="106">
        <v>-3.8620000000000001</v>
      </c>
      <c r="D14" s="37" t="e">
        <v>#N/A</v>
      </c>
      <c r="E14" s="107">
        <f t="shared" si="0"/>
        <v>-3.8620000000000001</v>
      </c>
      <c r="F14" s="107" t="e">
        <f t="shared" si="1"/>
        <v>#N/A</v>
      </c>
      <c r="G14" s="22">
        <v>0</v>
      </c>
      <c r="I14" s="19"/>
      <c r="J14" s="19"/>
    </row>
    <row r="15" spans="1:10">
      <c r="A15" s="16" t="s">
        <v>39</v>
      </c>
      <c r="B15" s="46">
        <v>30681</v>
      </c>
      <c r="C15" s="106">
        <v>-5.8680000000000003</v>
      </c>
      <c r="D15" s="37" t="e">
        <v>#N/A</v>
      </c>
      <c r="E15" s="107">
        <f t="shared" si="0"/>
        <v>-5.8680000000000003</v>
      </c>
      <c r="F15" s="107" t="e">
        <f t="shared" si="1"/>
        <v>#N/A</v>
      </c>
      <c r="G15" s="22">
        <v>0</v>
      </c>
      <c r="I15" s="19"/>
      <c r="J15" s="19"/>
    </row>
    <row r="16" spans="1:10">
      <c r="A16" s="16" t="s">
        <v>40</v>
      </c>
      <c r="B16" s="46">
        <v>31047</v>
      </c>
      <c r="C16" s="106">
        <v>-4.6890000000000001</v>
      </c>
      <c r="D16" s="37" t="e">
        <v>#N/A</v>
      </c>
      <c r="E16" s="107">
        <f t="shared" si="0"/>
        <v>-4.6890000000000001</v>
      </c>
      <c r="F16" s="107" t="e">
        <f t="shared" si="1"/>
        <v>#N/A</v>
      </c>
      <c r="G16" s="22">
        <v>0</v>
      </c>
      <c r="I16" s="19"/>
      <c r="J16" s="19"/>
    </row>
    <row r="17" spans="1:10">
      <c r="A17" s="16" t="s">
        <v>41</v>
      </c>
      <c r="B17" s="46">
        <v>31412</v>
      </c>
      <c r="C17" s="106">
        <v>-4.9720000000000004</v>
      </c>
      <c r="D17" s="37" t="e">
        <v>#N/A</v>
      </c>
      <c r="E17" s="107">
        <f t="shared" si="0"/>
        <v>-4.9720000000000004</v>
      </c>
      <c r="F17" s="107" t="e">
        <f t="shared" si="1"/>
        <v>#N/A</v>
      </c>
      <c r="G17" s="22">
        <v>0</v>
      </c>
      <c r="I17" s="19"/>
      <c r="J17" s="19"/>
    </row>
    <row r="18" spans="1:10">
      <c r="A18" s="16" t="s">
        <v>42</v>
      </c>
      <c r="B18" s="46">
        <v>31777</v>
      </c>
      <c r="C18" s="106">
        <v>-4.8769999999999998</v>
      </c>
      <c r="D18" s="37" t="e">
        <v>#N/A</v>
      </c>
      <c r="E18" s="107">
        <f t="shared" si="0"/>
        <v>-4.8769999999999998</v>
      </c>
      <c r="F18" s="107" t="e">
        <f t="shared" si="1"/>
        <v>#N/A</v>
      </c>
      <c r="G18" s="22">
        <v>0</v>
      </c>
      <c r="I18" s="19"/>
      <c r="J18" s="19"/>
    </row>
    <row r="19" spans="1:10">
      <c r="A19" s="16" t="s">
        <v>43</v>
      </c>
      <c r="B19" s="46">
        <v>32142</v>
      </c>
      <c r="C19" s="106">
        <v>-3.1309999999999998</v>
      </c>
      <c r="D19" s="37" t="e">
        <v>#N/A</v>
      </c>
      <c r="E19" s="107">
        <f t="shared" si="0"/>
        <v>-3.1309999999999998</v>
      </c>
      <c r="F19" s="107" t="e">
        <f t="shared" si="1"/>
        <v>#N/A</v>
      </c>
      <c r="G19" s="22">
        <v>0</v>
      </c>
      <c r="I19" s="19"/>
      <c r="J19" s="19"/>
    </row>
    <row r="20" spans="1:10">
      <c r="A20" s="16" t="s">
        <v>44</v>
      </c>
      <c r="B20" s="46">
        <v>32508</v>
      </c>
      <c r="C20" s="106">
        <v>-3.01</v>
      </c>
      <c r="D20" s="37" t="e">
        <v>#N/A</v>
      </c>
      <c r="E20" s="107">
        <f t="shared" si="0"/>
        <v>-3.01</v>
      </c>
      <c r="F20" s="107" t="e">
        <f t="shared" si="1"/>
        <v>#N/A</v>
      </c>
      <c r="G20" s="22">
        <v>0</v>
      </c>
      <c r="I20" s="19"/>
      <c r="J20" s="19"/>
    </row>
    <row r="21" spans="1:10">
      <c r="A21" s="16" t="s">
        <v>45</v>
      </c>
      <c r="B21" s="46">
        <v>32873</v>
      </c>
      <c r="C21" s="106">
        <v>-2.74</v>
      </c>
      <c r="D21" s="37" t="e">
        <v>#N/A</v>
      </c>
      <c r="E21" s="107">
        <f t="shared" si="0"/>
        <v>-2.74</v>
      </c>
      <c r="F21" s="107" t="e">
        <f t="shared" si="1"/>
        <v>#N/A</v>
      </c>
      <c r="G21" s="22">
        <v>0</v>
      </c>
      <c r="I21" s="19"/>
      <c r="J21" s="19"/>
    </row>
    <row r="22" spans="1:10">
      <c r="A22" s="16" t="s">
        <v>46</v>
      </c>
      <c r="B22" s="46">
        <v>33238</v>
      </c>
      <c r="C22" s="106">
        <v>-3.7370000000000001</v>
      </c>
      <c r="D22" s="37" t="e">
        <v>#N/A</v>
      </c>
      <c r="E22" s="107">
        <f t="shared" si="0"/>
        <v>-3.7370000000000001</v>
      </c>
      <c r="F22" s="107" t="e">
        <f t="shared" si="1"/>
        <v>#N/A</v>
      </c>
      <c r="G22" s="22">
        <v>0</v>
      </c>
      <c r="I22" s="19"/>
      <c r="J22" s="19"/>
    </row>
    <row r="23" spans="1:10">
      <c r="A23" s="16" t="s">
        <v>47</v>
      </c>
      <c r="B23" s="46">
        <v>33603</v>
      </c>
      <c r="C23" s="106">
        <v>-4.4059999999999997</v>
      </c>
      <c r="D23" s="37" t="e">
        <v>#N/A</v>
      </c>
      <c r="E23" s="107">
        <f t="shared" si="0"/>
        <v>-4.4059999999999997</v>
      </c>
      <c r="F23" s="107" t="e">
        <f t="shared" si="1"/>
        <v>#N/A</v>
      </c>
      <c r="G23" s="22">
        <v>0</v>
      </c>
      <c r="I23" s="19"/>
      <c r="J23" s="19"/>
    </row>
    <row r="24" spans="1:10">
      <c r="A24" s="16" t="s">
        <v>48</v>
      </c>
      <c r="B24" s="46">
        <v>33969</v>
      </c>
      <c r="C24" s="106">
        <v>-4.5119999999999996</v>
      </c>
      <c r="D24" s="37" t="e">
        <v>#N/A</v>
      </c>
      <c r="E24" s="107">
        <f t="shared" si="0"/>
        <v>-4.5119999999999996</v>
      </c>
      <c r="F24" s="107" t="e">
        <f t="shared" si="1"/>
        <v>#N/A</v>
      </c>
      <c r="G24" s="22">
        <v>0</v>
      </c>
      <c r="I24" s="19"/>
      <c r="J24" s="19"/>
    </row>
    <row r="25" spans="1:10">
      <c r="A25" s="16" t="s">
        <v>49</v>
      </c>
      <c r="B25" s="46">
        <v>34334</v>
      </c>
      <c r="C25" s="106">
        <v>-3.754</v>
      </c>
      <c r="D25" s="37" t="e">
        <v>#N/A</v>
      </c>
      <c r="E25" s="107">
        <f t="shared" si="0"/>
        <v>-3.754</v>
      </c>
      <c r="F25" s="107" t="e">
        <f t="shared" si="1"/>
        <v>#N/A</v>
      </c>
      <c r="G25" s="22">
        <v>0</v>
      </c>
      <c r="I25" s="19"/>
      <c r="J25" s="19"/>
    </row>
    <row r="26" spans="1:10">
      <c r="A26" s="16" t="s">
        <v>50</v>
      </c>
      <c r="B26" s="46">
        <v>34699</v>
      </c>
      <c r="C26" s="106">
        <v>-2.823</v>
      </c>
      <c r="D26" s="37" t="e">
        <v>#N/A</v>
      </c>
      <c r="E26" s="107">
        <f t="shared" si="0"/>
        <v>-2.823</v>
      </c>
      <c r="F26" s="107" t="e">
        <f t="shared" si="1"/>
        <v>#N/A</v>
      </c>
      <c r="G26" s="22">
        <v>0</v>
      </c>
      <c r="I26" s="19"/>
      <c r="J26" s="19"/>
    </row>
    <row r="27" spans="1:10">
      <c r="A27" s="16" t="s">
        <v>51</v>
      </c>
      <c r="B27" s="46">
        <v>35064</v>
      </c>
      <c r="C27" s="106">
        <v>-2.1619999999999999</v>
      </c>
      <c r="D27" s="37" t="e">
        <v>#N/A</v>
      </c>
      <c r="E27" s="107">
        <f t="shared" si="0"/>
        <v>-2.1619999999999999</v>
      </c>
      <c r="F27" s="107" t="e">
        <f t="shared" si="1"/>
        <v>#N/A</v>
      </c>
      <c r="G27" s="22">
        <v>0</v>
      </c>
      <c r="I27" s="19"/>
      <c r="J27" s="19"/>
    </row>
    <row r="28" spans="1:10">
      <c r="A28" s="16" t="s">
        <v>52</v>
      </c>
      <c r="B28" s="46">
        <v>35430</v>
      </c>
      <c r="C28" s="106">
        <v>-1.347</v>
      </c>
      <c r="D28" s="37" t="e">
        <v>#N/A</v>
      </c>
      <c r="E28" s="107">
        <f t="shared" si="0"/>
        <v>-1.347</v>
      </c>
      <c r="F28" s="107" t="e">
        <f t="shared" si="1"/>
        <v>#N/A</v>
      </c>
      <c r="G28" s="22">
        <v>0</v>
      </c>
      <c r="I28" s="19"/>
      <c r="J28" s="19"/>
    </row>
    <row r="29" spans="1:10">
      <c r="A29" s="16" t="s">
        <v>53</v>
      </c>
      <c r="B29" s="46">
        <v>35795</v>
      </c>
      <c r="C29" s="106">
        <v>-0.25800000000000001</v>
      </c>
      <c r="D29" s="37" t="e">
        <v>#N/A</v>
      </c>
      <c r="E29" s="107">
        <f t="shared" si="0"/>
        <v>-0.25800000000000001</v>
      </c>
      <c r="F29" s="107" t="e">
        <f t="shared" si="1"/>
        <v>#N/A</v>
      </c>
      <c r="G29" s="22">
        <v>0</v>
      </c>
      <c r="I29" s="19"/>
      <c r="J29" s="19"/>
    </row>
    <row r="30" spans="1:10">
      <c r="A30" s="16" t="s">
        <v>54</v>
      </c>
      <c r="B30" s="46">
        <v>36160</v>
      </c>
      <c r="C30" s="106">
        <v>0.77400000000000002</v>
      </c>
      <c r="D30" s="37" t="e">
        <v>#N/A</v>
      </c>
      <c r="E30" s="107">
        <f t="shared" si="0"/>
        <v>0.77400000000000002</v>
      </c>
      <c r="F30" s="107" t="e">
        <f t="shared" si="1"/>
        <v>#N/A</v>
      </c>
      <c r="G30" s="22">
        <v>0</v>
      </c>
      <c r="I30" s="19"/>
      <c r="J30" s="19"/>
    </row>
    <row r="31" spans="1:10">
      <c r="A31" s="16" t="s">
        <v>55</v>
      </c>
      <c r="B31" s="46">
        <v>36525</v>
      </c>
      <c r="C31" s="106">
        <v>1.32</v>
      </c>
      <c r="D31" s="37" t="e">
        <v>#N/A</v>
      </c>
      <c r="E31" s="107">
        <f t="shared" si="0"/>
        <v>1.32</v>
      </c>
      <c r="F31" s="107" t="e">
        <f t="shared" si="1"/>
        <v>#N/A</v>
      </c>
      <c r="G31" s="22">
        <v>0</v>
      </c>
      <c r="I31" s="19"/>
      <c r="J31" s="19"/>
    </row>
    <row r="32" spans="1:10">
      <c r="A32" s="16" t="s">
        <v>56</v>
      </c>
      <c r="B32" s="46">
        <v>36891</v>
      </c>
      <c r="C32" s="106">
        <v>2.327</v>
      </c>
      <c r="D32" s="37" t="e">
        <v>#N/A</v>
      </c>
      <c r="E32" s="107">
        <f t="shared" si="0"/>
        <v>2.327</v>
      </c>
      <c r="F32" s="107" t="e">
        <f t="shared" si="1"/>
        <v>#N/A</v>
      </c>
      <c r="G32" s="22">
        <v>0</v>
      </c>
      <c r="I32" s="19"/>
      <c r="J32" s="19"/>
    </row>
    <row r="33" spans="1:10">
      <c r="A33" s="16" t="s">
        <v>57</v>
      </c>
      <c r="B33" s="46">
        <v>37256</v>
      </c>
      <c r="C33" s="106">
        <v>1.2130000000000001</v>
      </c>
      <c r="D33" s="37" t="e">
        <v>#N/A</v>
      </c>
      <c r="E33" s="107">
        <f t="shared" si="0"/>
        <v>1.2130000000000001</v>
      </c>
      <c r="F33" s="107" t="e">
        <f t="shared" si="1"/>
        <v>#N/A</v>
      </c>
      <c r="G33" s="22">
        <v>0</v>
      </c>
      <c r="I33" s="19"/>
      <c r="J33" s="19"/>
    </row>
    <row r="34" spans="1:10">
      <c r="A34" s="16" t="s">
        <v>58</v>
      </c>
      <c r="B34" s="46">
        <v>37621</v>
      </c>
      <c r="C34" s="106">
        <v>-1.45</v>
      </c>
      <c r="D34" s="37" t="e">
        <v>#N/A</v>
      </c>
      <c r="E34" s="107">
        <f t="shared" si="0"/>
        <v>-1.45</v>
      </c>
      <c r="F34" s="107" t="e">
        <f t="shared" si="1"/>
        <v>#N/A</v>
      </c>
      <c r="G34" s="22">
        <v>0</v>
      </c>
      <c r="I34" s="19"/>
      <c r="J34" s="19"/>
    </row>
    <row r="35" spans="1:10">
      <c r="A35" s="16" t="s">
        <v>59</v>
      </c>
      <c r="B35" s="46">
        <v>37986</v>
      </c>
      <c r="C35" s="106">
        <v>-3.331</v>
      </c>
      <c r="D35" s="37" t="e">
        <v>#N/A</v>
      </c>
      <c r="E35" s="107">
        <f t="shared" si="0"/>
        <v>-3.331</v>
      </c>
      <c r="F35" s="107" t="e">
        <f t="shared" si="1"/>
        <v>#N/A</v>
      </c>
      <c r="G35" s="22">
        <v>0</v>
      </c>
      <c r="I35" s="19"/>
      <c r="J35" s="19"/>
    </row>
    <row r="36" spans="1:10">
      <c r="A36" s="16" t="s">
        <v>60</v>
      </c>
      <c r="B36" s="46">
        <v>38352</v>
      </c>
      <c r="C36" s="106">
        <v>-3.4140000000000001</v>
      </c>
      <c r="D36" s="37" t="e">
        <v>#N/A</v>
      </c>
      <c r="E36" s="107">
        <f t="shared" si="0"/>
        <v>-3.4140000000000001</v>
      </c>
      <c r="F36" s="107" t="e">
        <f t="shared" si="1"/>
        <v>#N/A</v>
      </c>
      <c r="G36" s="22">
        <v>0</v>
      </c>
      <c r="I36" s="19"/>
      <c r="J36" s="19"/>
    </row>
    <row r="37" spans="1:10">
      <c r="A37" s="16" t="s">
        <v>61</v>
      </c>
      <c r="B37" s="46">
        <v>38717</v>
      </c>
      <c r="C37" s="106">
        <v>-2.4700000000000002</v>
      </c>
      <c r="D37" s="37" t="e">
        <v>#N/A</v>
      </c>
      <c r="E37" s="107">
        <f t="shared" si="0"/>
        <v>-2.4700000000000002</v>
      </c>
      <c r="F37" s="107" t="e">
        <f t="shared" si="1"/>
        <v>#N/A</v>
      </c>
      <c r="G37" s="22">
        <v>0</v>
      </c>
      <c r="I37" s="19"/>
      <c r="J37" s="19"/>
    </row>
    <row r="38" spans="1:10">
      <c r="A38" s="16" t="s">
        <v>62</v>
      </c>
      <c r="B38" s="46">
        <v>39082</v>
      </c>
      <c r="C38" s="106">
        <v>-1.8129999999999999</v>
      </c>
      <c r="D38" s="37" t="e">
        <v>#N/A</v>
      </c>
      <c r="E38" s="107">
        <f t="shared" si="0"/>
        <v>-1.8129999999999999</v>
      </c>
      <c r="F38" s="107" t="e">
        <f t="shared" si="1"/>
        <v>#N/A</v>
      </c>
      <c r="G38" s="22">
        <v>0</v>
      </c>
      <c r="I38" s="19"/>
      <c r="J38" s="19"/>
    </row>
    <row r="39" spans="1:10">
      <c r="A39" s="16" t="s">
        <v>63</v>
      </c>
      <c r="B39" s="46">
        <v>39447</v>
      </c>
      <c r="C39" s="106">
        <v>-1.1220000000000001</v>
      </c>
      <c r="D39" s="37" t="e">
        <v>#N/A</v>
      </c>
      <c r="E39" s="107">
        <f t="shared" ref="E39:E56" si="2">IF(YEAR(B39)&gt;2014, #N/A, C39)</f>
        <v>-1.1220000000000001</v>
      </c>
      <c r="F39" s="107" t="e">
        <f t="shared" si="1"/>
        <v>#N/A</v>
      </c>
      <c r="G39" s="22">
        <v>0</v>
      </c>
      <c r="I39" s="19"/>
      <c r="J39" s="19"/>
    </row>
    <row r="40" spans="1:10">
      <c r="A40" s="16" t="s">
        <v>64</v>
      </c>
      <c r="B40" s="46">
        <v>39813</v>
      </c>
      <c r="C40" s="106">
        <v>-3.1080000000000001</v>
      </c>
      <c r="D40" s="37" t="e">
        <v>#N/A</v>
      </c>
      <c r="E40" s="107">
        <f t="shared" si="2"/>
        <v>-3.1080000000000001</v>
      </c>
      <c r="F40" s="107" t="e">
        <f t="shared" si="1"/>
        <v>#N/A</v>
      </c>
      <c r="G40" s="22">
        <v>0</v>
      </c>
      <c r="I40" s="19"/>
      <c r="J40" s="19"/>
    </row>
    <row r="41" spans="1:10">
      <c r="A41" s="16" t="s">
        <v>65</v>
      </c>
      <c r="B41" s="46">
        <v>40178</v>
      </c>
      <c r="C41" s="106">
        <v>-9.8010000000000002</v>
      </c>
      <c r="D41" s="37" t="e">
        <v>#N/A</v>
      </c>
      <c r="E41" s="107">
        <f t="shared" si="2"/>
        <v>-9.8010000000000002</v>
      </c>
      <c r="F41" s="107" t="e">
        <f t="shared" si="1"/>
        <v>#N/A</v>
      </c>
      <c r="G41" s="22">
        <v>0</v>
      </c>
      <c r="I41" s="19"/>
      <c r="J41" s="19"/>
    </row>
    <row r="42" spans="1:10">
      <c r="A42" s="16" t="s">
        <v>66</v>
      </c>
      <c r="B42" s="46">
        <v>40543</v>
      </c>
      <c r="C42" s="106">
        <v>-8.7509999999999994</v>
      </c>
      <c r="D42" s="37" t="e">
        <v>#N/A</v>
      </c>
      <c r="E42" s="107">
        <f t="shared" si="2"/>
        <v>-8.7509999999999994</v>
      </c>
      <c r="F42" s="107" t="e">
        <f t="shared" si="1"/>
        <v>#N/A</v>
      </c>
      <c r="G42" s="22">
        <v>0</v>
      </c>
      <c r="I42" s="19"/>
      <c r="J42" s="19"/>
    </row>
    <row r="43" spans="1:10">
      <c r="A43" s="16" t="s">
        <v>67</v>
      </c>
      <c r="B43" s="46">
        <v>40908</v>
      </c>
      <c r="C43" s="106">
        <v>-8.4459999999999997</v>
      </c>
      <c r="D43" s="37" t="e">
        <v>#N/A</v>
      </c>
      <c r="E43" s="107">
        <f t="shared" si="2"/>
        <v>-8.4459999999999997</v>
      </c>
      <c r="F43" s="107" t="e">
        <f t="shared" si="1"/>
        <v>#N/A</v>
      </c>
      <c r="G43" s="22">
        <v>0</v>
      </c>
      <c r="I43" s="19"/>
      <c r="J43" s="19"/>
    </row>
    <row r="44" spans="1:10">
      <c r="A44" s="16" t="s">
        <v>68</v>
      </c>
      <c r="B44" s="46">
        <v>41274</v>
      </c>
      <c r="C44" s="106">
        <v>-6.7539999999999996</v>
      </c>
      <c r="D44" s="37">
        <v>-6.8</v>
      </c>
      <c r="E44" s="107">
        <f t="shared" si="2"/>
        <v>-6.7539999999999996</v>
      </c>
      <c r="F44" s="107" t="e">
        <f t="shared" si="1"/>
        <v>#N/A</v>
      </c>
      <c r="G44" s="22">
        <v>0</v>
      </c>
      <c r="I44" s="19"/>
      <c r="J44" s="19"/>
    </row>
    <row r="45" spans="1:10">
      <c r="A45" s="16" t="s">
        <v>69</v>
      </c>
      <c r="B45" s="46">
        <v>41639</v>
      </c>
      <c r="C45" s="106">
        <v>-4.085</v>
      </c>
      <c r="D45" s="37">
        <v>-4.0999999999999996</v>
      </c>
      <c r="E45" s="107">
        <f t="shared" si="2"/>
        <v>-4.085</v>
      </c>
      <c r="F45" s="107">
        <f t="shared" si="1"/>
        <v>-4.0999999999999996</v>
      </c>
      <c r="G45" s="22">
        <v>0</v>
      </c>
      <c r="I45" s="19"/>
      <c r="J45" s="19"/>
    </row>
    <row r="46" spans="1:10">
      <c r="A46" s="16" t="s">
        <v>70</v>
      </c>
      <c r="B46" s="46">
        <v>42004</v>
      </c>
      <c r="C46" s="106" t="e">
        <v>#N/A</v>
      </c>
      <c r="D46" s="37">
        <v>-2.9</v>
      </c>
      <c r="E46" s="107" t="e">
        <f t="shared" si="2"/>
        <v>#N/A</v>
      </c>
      <c r="F46" s="107">
        <f t="shared" si="1"/>
        <v>-2.9</v>
      </c>
      <c r="G46" s="22">
        <v>0</v>
      </c>
      <c r="I46" s="19"/>
      <c r="J46" s="19"/>
    </row>
    <row r="47" spans="1:10">
      <c r="A47" s="16" t="s">
        <v>71</v>
      </c>
      <c r="B47" s="46">
        <v>42369</v>
      </c>
      <c r="C47" s="106" t="e">
        <v>#N/A</v>
      </c>
      <c r="D47" s="37">
        <v>-2.6</v>
      </c>
      <c r="E47" s="107" t="e">
        <f t="shared" si="2"/>
        <v>#N/A</v>
      </c>
      <c r="F47" s="107">
        <f t="shared" si="1"/>
        <v>-2.6</v>
      </c>
      <c r="G47" s="22">
        <v>0</v>
      </c>
      <c r="I47" s="19"/>
      <c r="J47" s="19"/>
    </row>
    <row r="48" spans="1:10">
      <c r="A48" s="16" t="s">
        <v>72</v>
      </c>
      <c r="B48" s="46">
        <v>42735</v>
      </c>
      <c r="C48" s="106" t="e">
        <v>#N/A</v>
      </c>
      <c r="D48" s="37">
        <v>-2.9</v>
      </c>
      <c r="E48" s="107" t="e">
        <f t="shared" si="2"/>
        <v>#N/A</v>
      </c>
      <c r="F48" s="107">
        <f t="shared" si="1"/>
        <v>-2.9</v>
      </c>
      <c r="G48" s="22">
        <v>0</v>
      </c>
      <c r="I48" s="19"/>
      <c r="J48" s="19"/>
    </row>
    <row r="49" spans="1:10">
      <c r="A49" s="16" t="s">
        <v>73</v>
      </c>
      <c r="B49" s="46">
        <v>43100</v>
      </c>
      <c r="C49" s="106" t="e">
        <v>#N/A</v>
      </c>
      <c r="D49" s="37">
        <v>-2.7</v>
      </c>
      <c r="E49" s="107" t="e">
        <f t="shared" si="2"/>
        <v>#N/A</v>
      </c>
      <c r="F49" s="107">
        <f t="shared" si="1"/>
        <v>-2.7</v>
      </c>
      <c r="G49" s="22">
        <v>0</v>
      </c>
      <c r="I49" s="19"/>
      <c r="J49" s="19"/>
    </row>
    <row r="50" spans="1:10">
      <c r="A50" s="16" t="s">
        <v>74</v>
      </c>
      <c r="B50" s="46">
        <v>43465</v>
      </c>
      <c r="C50" s="106" t="e">
        <v>#N/A</v>
      </c>
      <c r="D50" s="37">
        <v>-2.7</v>
      </c>
      <c r="E50" s="107" t="e">
        <f t="shared" si="2"/>
        <v>#N/A</v>
      </c>
      <c r="F50" s="107">
        <f t="shared" si="1"/>
        <v>-2.7</v>
      </c>
      <c r="G50" s="22">
        <v>0</v>
      </c>
      <c r="I50" s="19"/>
      <c r="J50" s="19"/>
    </row>
    <row r="51" spans="1:10">
      <c r="A51" s="16" t="s">
        <v>75</v>
      </c>
      <c r="B51" s="46">
        <v>43830</v>
      </c>
      <c r="C51" s="106" t="e">
        <v>#N/A</v>
      </c>
      <c r="D51" s="37">
        <v>-3</v>
      </c>
      <c r="E51" s="107" t="e">
        <f t="shared" si="2"/>
        <v>#N/A</v>
      </c>
      <c r="F51" s="107">
        <f t="shared" si="1"/>
        <v>-3</v>
      </c>
      <c r="G51" s="22">
        <v>0</v>
      </c>
      <c r="I51" s="19"/>
      <c r="J51" s="19"/>
    </row>
    <row r="52" spans="1:10">
      <c r="A52" s="16" t="s">
        <v>76</v>
      </c>
      <c r="B52" s="46">
        <v>44196</v>
      </c>
      <c r="C52" s="106" t="e">
        <v>#N/A</v>
      </c>
      <c r="D52" s="37">
        <v>-3.3</v>
      </c>
      <c r="E52" s="107" t="e">
        <f t="shared" si="2"/>
        <v>#N/A</v>
      </c>
      <c r="F52" s="107">
        <f t="shared" si="1"/>
        <v>-3.3</v>
      </c>
      <c r="G52" s="22">
        <v>0</v>
      </c>
      <c r="I52" s="19"/>
      <c r="J52" s="19"/>
    </row>
    <row r="53" spans="1:10">
      <c r="A53" s="16" t="s">
        <v>77</v>
      </c>
      <c r="B53" s="46">
        <v>44561</v>
      </c>
      <c r="C53" s="106" t="e">
        <v>#N/A</v>
      </c>
      <c r="D53" s="37">
        <v>-3.5</v>
      </c>
      <c r="E53" s="107" t="e">
        <f t="shared" si="2"/>
        <v>#N/A</v>
      </c>
      <c r="F53" s="107">
        <f t="shared" si="1"/>
        <v>-3.5</v>
      </c>
      <c r="G53" s="22">
        <v>0</v>
      </c>
      <c r="I53" s="19"/>
      <c r="J53" s="19"/>
    </row>
    <row r="54" spans="1:10">
      <c r="A54" s="16" t="s">
        <v>78</v>
      </c>
      <c r="B54" s="46">
        <v>44926</v>
      </c>
      <c r="C54" s="106" t="e">
        <v>#N/A</v>
      </c>
      <c r="D54" s="37">
        <v>-3.8</v>
      </c>
      <c r="E54" s="107" t="e">
        <f t="shared" si="2"/>
        <v>#N/A</v>
      </c>
      <c r="F54" s="107">
        <f t="shared" si="1"/>
        <v>-3.8</v>
      </c>
      <c r="G54" s="22">
        <v>0</v>
      </c>
      <c r="I54" s="19"/>
      <c r="J54" s="19"/>
    </row>
    <row r="55" spans="1:10">
      <c r="A55" s="16" t="s">
        <v>79</v>
      </c>
      <c r="B55" s="46">
        <v>45291</v>
      </c>
      <c r="C55" s="106" t="e">
        <v>#N/A</v>
      </c>
      <c r="D55" s="37">
        <v>-3.7</v>
      </c>
      <c r="E55" s="107" t="e">
        <f t="shared" si="2"/>
        <v>#N/A</v>
      </c>
      <c r="F55" s="107">
        <f t="shared" si="1"/>
        <v>-3.7</v>
      </c>
      <c r="G55" s="22">
        <v>0</v>
      </c>
      <c r="I55" s="19"/>
      <c r="J55" s="19"/>
    </row>
    <row r="56" spans="1:10">
      <c r="A56" s="16" t="s">
        <v>80</v>
      </c>
      <c r="B56" s="46">
        <v>45657</v>
      </c>
      <c r="C56" s="106" t="e">
        <v>#N/A</v>
      </c>
      <c r="D56" s="37">
        <v>-3.6</v>
      </c>
      <c r="E56" s="107" t="e">
        <f t="shared" si="2"/>
        <v>#N/A</v>
      </c>
      <c r="F56" s="107">
        <f t="shared" si="1"/>
        <v>-3.6</v>
      </c>
      <c r="G56" s="22">
        <v>0</v>
      </c>
      <c r="I56" s="19"/>
      <c r="J56" s="19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C3" sqref="C3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303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180</v>
      </c>
      <c r="D5" t="s">
        <v>151</v>
      </c>
      <c r="E5" t="s">
        <v>152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>
      <selection activeCell="A8" sqref="A8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195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186</v>
      </c>
      <c r="D3" s="6" t="s">
        <v>187</v>
      </c>
      <c r="E3" s="6" t="s">
        <v>187</v>
      </c>
      <c r="F3" s="6" t="s">
        <v>187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188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 t="s">
        <v>31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3">
        <v>4.9000000000000004</v>
      </c>
      <c r="I47" s="63">
        <v>1.3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31" workbookViewId="0">
      <selection activeCell="B71" sqref="B7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142</v>
      </c>
      <c r="B1" t="s">
        <v>364</v>
      </c>
      <c r="C1" t="s">
        <v>365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6000</v>
      </c>
      <c r="C69" s="24" t="str">
        <f>IF(ISNUMBER('Change in Employment'!J76),TEXT('Change in Employment'!J76, "0"),"")</f>
        <v>4000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5000</v>
      </c>
      <c r="C70" s="24" t="str">
        <f>IF(ISNUMBER('Change in Employment'!J77),TEXT('Change in Employment'!J77, "0"),"")</f>
        <v>5000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4" t="str">
        <f>IF(ISNUMBER('Change in Employment'!I78), TEXT('Change in Employment'!I78, "0"), "")</f>
        <v>14000</v>
      </c>
      <c r="C71" s="24" t="str">
        <f>IF(ISNUMBER('Change in Employment'!J78),TEXT('Change in Employment'!J78, "0"),"")</f>
        <v>8333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4" t="str">
        <f>IF(ISNUMBER('Change in Employment'!I79), TEXT('Change in Employment'!I79, "0"), "")</f>
        <v/>
      </c>
      <c r="C72" s="24" t="str">
        <f>IF(ISNUMBER('Change in Employment'!J79),TEXT('Change in Employment'!J79, "0"),"")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43" workbookViewId="0">
      <selection activeCell="C71" sqref="C71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364</v>
      </c>
      <c r="C1" s="22" t="s">
        <v>365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199.9999999998181</v>
      </c>
      <c r="C69" s="22" t="str">
        <f>IFERROR(IF(ISNUMBER('Change in Employment'!M76),TEXT('Change in Employment'!M76, "0"), ""), "")</f>
        <v>200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-1000</v>
      </c>
      <c r="C70" s="22" t="str">
        <f>IFERROR(IF(ISNUMBER('Change in Employment'!M77),TEXT('Change in Employment'!M77, "0"), ""), "")</f>
        <v>-200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2">
        <f>IF(ISNUMBER('Change in Employment'!L78),'Change in Employment'!L78, "")</f>
        <v>-2699.9999999998181</v>
      </c>
      <c r="C71" s="22" t="str">
        <f>IFERROR(IF(ISNUMBER('Change in Employment'!M78),TEXT('Change in Employment'!M78, "0"), ""), "")</f>
        <v>-1167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2" t="str">
        <f>IF(ISNUMBER('Change in Employment'!L79),'Change in Employment'!L79, "")</f>
        <v/>
      </c>
      <c r="C72" s="22" t="str">
        <f>IFERROR(IF(ISNUMBER('Change in Employment'!M79),TEXT('Change in Employment'!M79, "0"), ""), 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F12" sqref="F1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363</v>
      </c>
    </row>
    <row r="2" spans="1:3">
      <c r="A2" s="22" t="str">
        <f>TEXT(IF('Real Structures'!A8&lt;&gt;0,'Real Structures'!A8, ""), "d-mmm-yyyy")</f>
        <v>1-Jan-2009</v>
      </c>
      <c r="B2" s="22">
        <f>IF(ISNUMBER('Real Structures'!B8),'Real Structures'!B8, "")</f>
        <v>288.7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1-Apr-2009</v>
      </c>
      <c r="B3" s="22">
        <f>IF(ISNUMBER('Real Structures'!B9),'Real Structures'!B9, "")</f>
        <v>294.7</v>
      </c>
      <c r="C3" s="22" t="str">
        <f>IF('Real Structures'!C9&lt;&gt;0,'Real Structures'!C9, "")</f>
        <v/>
      </c>
    </row>
    <row r="4" spans="1:3">
      <c r="A4" s="22" t="str">
        <f>TEXT(IF('Real Structures'!A10&lt;&gt;0,'Real Structures'!A10, ""), "d-mmm-yyyy")</f>
        <v>1-Jul-2009</v>
      </c>
      <c r="B4" s="22">
        <f>IF(ISNUMBER('Real Structures'!B10),'Real Structures'!B10, "")</f>
        <v>293.3</v>
      </c>
      <c r="C4" s="22" t="str">
        <f>IF('Real Structures'!C10&lt;&gt;0,'Real Structures'!C10, "")</f>
        <v/>
      </c>
    </row>
    <row r="5" spans="1:3">
      <c r="A5" s="22" t="str">
        <f>TEXT(IF('Real Structures'!A11&lt;&gt;0,'Real Structures'!A11, ""), "d-mmm-yyyy")</f>
        <v>1-Oct-2009</v>
      </c>
      <c r="B5" s="22">
        <f>IF(ISNUMBER('Real Structures'!B11),'Real Structures'!B11, "")</f>
        <v>282.39999999999998</v>
      </c>
      <c r="C5" s="22" t="str">
        <f>IF('Real Structures'!C11&lt;&gt;0,'Real Structures'!C11, "")</f>
        <v/>
      </c>
    </row>
    <row r="6" spans="1:3">
      <c r="A6" s="22" t="str">
        <f>TEXT(IF('Real Structures'!A12&lt;&gt;0,'Real Structures'!A12, ""), "d-mmm-yyyy")</f>
        <v>1-Jan-2010</v>
      </c>
      <c r="B6" s="22">
        <f>IF(ISNUMBER('Real Structures'!B12),'Real Structures'!B12, "")</f>
        <v>273.60000000000002</v>
      </c>
      <c r="C6" s="22" t="str">
        <f>IF('Real Structures'!C12&lt;&gt;0,'Real Structures'!C12, "")</f>
        <v/>
      </c>
    </row>
    <row r="7" spans="1:3">
      <c r="A7" s="22" t="str">
        <f>TEXT(IF('Real Structures'!A13&lt;&gt;0,'Real Structures'!A13, ""), "d-mmm-yyyy")</f>
        <v>1-Apr-2010</v>
      </c>
      <c r="B7" s="22">
        <f>IF(ISNUMBER('Real Structures'!B13),'Real Structures'!B13, "")</f>
        <v>284.2</v>
      </c>
      <c r="C7" s="22" t="str">
        <f>IF('Real Structures'!C13&lt;&gt;0,'Real Structures'!C13, "")</f>
        <v/>
      </c>
    </row>
    <row r="8" spans="1:3">
      <c r="A8" s="22" t="str">
        <f>TEXT(IF('Real Structures'!A14&lt;&gt;0,'Real Structures'!A14, ""), "d-mmm-yyyy")</f>
        <v>1-Jul-2010</v>
      </c>
      <c r="B8" s="22">
        <f>IF(ISNUMBER('Real Structures'!B14),'Real Structures'!B14, "")</f>
        <v>285.60000000000002</v>
      </c>
      <c r="C8" s="22" t="str">
        <f>IF('Real Structures'!C14&lt;&gt;0,'Real Structures'!C14, "")</f>
        <v/>
      </c>
    </row>
    <row r="9" spans="1:3">
      <c r="A9" s="22" t="str">
        <f>TEXT(IF('Real Structures'!A15&lt;&gt;0,'Real Structures'!A15, ""), "d-mmm-yyyy")</f>
        <v>1-Oct-2010</v>
      </c>
      <c r="B9" s="22">
        <f>IF(ISNUMBER('Real Structures'!B15),'Real Structures'!B15, "")</f>
        <v>274.5</v>
      </c>
      <c r="C9" s="22" t="str">
        <f>IF('Real Structures'!C15&lt;&gt;0,'Real Structures'!C15, "")</f>
        <v/>
      </c>
    </row>
    <row r="10" spans="1:3">
      <c r="A10" s="22" t="str">
        <f>TEXT(IF('Real Structures'!A16&lt;&gt;0,'Real Structures'!A16, ""), "d-mmm-yyyy")</f>
        <v>1-Jan-2011</v>
      </c>
      <c r="B10" s="22">
        <f>IF(ISNUMBER('Real Structures'!B16),'Real Structures'!B16, "")</f>
        <v>265.7</v>
      </c>
      <c r="C10" s="22" t="str">
        <f>IF('Real Structures'!C16&lt;&gt;0,'Real Structures'!C16, "")</f>
        <v/>
      </c>
    </row>
    <row r="11" spans="1:3">
      <c r="A11" s="22" t="str">
        <f>TEXT(IF('Real Structures'!A17&lt;&gt;0,'Real Structures'!A17, ""), "d-mmm-yyyy")</f>
        <v>1-Apr-2011</v>
      </c>
      <c r="B11" s="22">
        <f>IF(ISNUMBER('Real Structures'!B17),'Real Structures'!B17, "")</f>
        <v>261.39999999999998</v>
      </c>
      <c r="C11" s="22" t="str">
        <f>IF('Real Structures'!C17&lt;&gt;0,'Real Structures'!C17, "")</f>
        <v/>
      </c>
    </row>
    <row r="12" spans="1:3">
      <c r="A12" s="22" t="str">
        <f>TEXT(IF('Real Structures'!A18&lt;&gt;0,'Real Structures'!A18, ""), "d-mmm-yyyy")</f>
        <v>1-Jul-2011</v>
      </c>
      <c r="B12" s="22">
        <f>IF(ISNUMBER('Real Structures'!B18),'Real Structures'!B18, "")</f>
        <v>258.60000000000002</v>
      </c>
      <c r="C12" s="22" t="str">
        <f>IF('Real Structures'!C18&lt;&gt;0,'Real Structures'!C18, "")</f>
        <v/>
      </c>
    </row>
    <row r="13" spans="1:3">
      <c r="A13" s="22" t="str">
        <f>TEXT(IF('Real Structures'!A19&lt;&gt;0,'Real Structures'!A19, ""), "d-mmm-yyyy")</f>
        <v>1-Oct-2011</v>
      </c>
      <c r="B13" s="22">
        <f>IF(ISNUMBER('Real Structures'!B19),'Real Structures'!B19, "")</f>
        <v>257.89999999999998</v>
      </c>
      <c r="C13" s="22" t="str">
        <f>IF('Real Structures'!C19&lt;&gt;0,'Real Structures'!C19, "")</f>
        <v/>
      </c>
    </row>
    <row r="14" spans="1:3">
      <c r="A14" s="22" t="str">
        <f>TEXT(IF('Real Structures'!A20&lt;&gt;0,'Real Structures'!A20, ""), "d-mmm-yyyy")</f>
        <v>1-Jan-2012</v>
      </c>
      <c r="B14" s="22">
        <f>IF(ISNUMBER('Real Structures'!B20),'Real Structures'!B20, "")</f>
        <v>249.2</v>
      </c>
      <c r="C14" s="22" t="str">
        <f>IF('Real Structures'!C20&lt;&gt;0,'Real Structures'!C20, "")</f>
        <v/>
      </c>
    </row>
    <row r="15" spans="1:3">
      <c r="A15" s="22" t="str">
        <f>TEXT(IF('Real Structures'!A21&lt;&gt;0,'Real Structures'!A21, ""), "d-mmm-yyyy")</f>
        <v>1-Apr-2012</v>
      </c>
      <c r="B15" s="22">
        <f>IF(ISNUMBER('Real Structures'!B21),'Real Structures'!B21, "")</f>
        <v>247.1</v>
      </c>
      <c r="C15" s="22" t="str">
        <f>IF('Real Structures'!C21&lt;&gt;0,'Real Structures'!C21, "")</f>
        <v/>
      </c>
    </row>
    <row r="16" spans="1:3">
      <c r="A16" s="22" t="str">
        <f>TEXT(IF('Real Structures'!A22&lt;&gt;0,'Real Structures'!A22, ""), "d-mmm-yyyy")</f>
        <v>1-Jul-2012</v>
      </c>
      <c r="B16" s="22">
        <f>IF(ISNUMBER('Real Structures'!B22),'Real Structures'!B22, "")</f>
        <v>240.5</v>
      </c>
      <c r="C16" s="22" t="str">
        <f>IF('Real Structures'!C22&lt;&gt;0,'Real Structures'!C22, "")</f>
        <v/>
      </c>
    </row>
    <row r="17" spans="1:3">
      <c r="A17" s="22" t="str">
        <f>TEXT(IF('Real Structures'!A23&lt;&gt;0,'Real Structures'!A23, ""), "d-mmm-yyyy")</f>
        <v>1-Oct-2012</v>
      </c>
      <c r="B17" s="22">
        <f>IF(ISNUMBER('Real Structures'!B23),'Real Structures'!B23, "")</f>
        <v>233.4</v>
      </c>
      <c r="C17" s="22" t="str">
        <f>IF('Real Structures'!C23&lt;&gt;0,'Real Structures'!C23, "")</f>
        <v/>
      </c>
    </row>
    <row r="18" spans="1:3">
      <c r="A18" s="22" t="str">
        <f>TEXT(IF('Real Structures'!A24&lt;&gt;0,'Real Structures'!A24, ""), "d-mmm-yyyy")</f>
        <v>1-Jan-2013</v>
      </c>
      <c r="B18" s="22">
        <f>IF(ISNUMBER('Real Structures'!B24),'Real Structures'!B24, "")</f>
        <v>228.6</v>
      </c>
      <c r="C18" s="22" t="str">
        <f>IF('Real Structures'!C24&lt;&gt;0,'Real Structures'!C24, "")</f>
        <v/>
      </c>
    </row>
    <row r="19" spans="1:3">
      <c r="A19" s="22" t="str">
        <f>TEXT(IF('Real Structures'!A25&lt;&gt;0,'Real Structures'!A25, ""), "d-mmm-yyyy")</f>
        <v>1-Apr-2013</v>
      </c>
      <c r="B19" s="22">
        <f>IF(ISNUMBER('Real Structures'!B25),'Real Structures'!B25, "")</f>
        <v>233.7</v>
      </c>
      <c r="C19" s="22" t="str">
        <f>IF('Real Structures'!C25&lt;&gt;0,'Real Structures'!C25, "")</f>
        <v/>
      </c>
    </row>
    <row r="20" spans="1:3">
      <c r="A20" s="22" t="str">
        <f>TEXT(IF('Real Structures'!A26&lt;&gt;0,'Real Structures'!A26, ""), "d-mmm-yyyy")</f>
        <v>1-Jul-2013</v>
      </c>
      <c r="B20" s="22">
        <f>IF(ISNUMBER('Real Structures'!B26),'Real Structures'!B26, "")</f>
        <v>233</v>
      </c>
      <c r="C20" s="22" t="str">
        <f>IF('Real Structures'!C26&lt;&gt;0,'Real Structures'!C26, "")</f>
        <v/>
      </c>
    </row>
    <row r="21" spans="1:3">
      <c r="A21" s="22" t="str">
        <f>TEXT(IF('Real Structures'!A27&lt;&gt;0,'Real Structures'!A27, ""), "d-mmm-yyyy")</f>
        <v>1-Oct-2013</v>
      </c>
      <c r="B21" s="22">
        <f>IF(ISNUMBER('Real Structures'!B27),'Real Structures'!B27, "")</f>
        <v>231.2</v>
      </c>
      <c r="C21" s="22" t="str">
        <f>IF('Real Structures'!C27&lt;&gt;0,'Real Structures'!C27, "")</f>
        <v/>
      </c>
    </row>
    <row r="22" spans="1:3">
      <c r="A22" s="22" t="str">
        <f>TEXT(IF('Real Structures'!A28&lt;&gt;0,'Real Structures'!A28, ""), "d-mmm-yyyy")</f>
        <v>1-Jan-2014</v>
      </c>
      <c r="B22" s="22">
        <f>IF(ISNUMBER('Real Structures'!B28),'Real Structures'!B28, "")</f>
        <v>223.6</v>
      </c>
      <c r="C22" s="22" t="str">
        <f>IF('Real Structures'!C28&lt;&gt;0,'Real Structures'!C28, "")</f>
        <v/>
      </c>
    </row>
    <row r="23" spans="1:3">
      <c r="A23" s="22" t="str">
        <f>TEXT(IF('Real Structures'!A29&lt;&gt;0,'Real Structures'!A29, ""), "d-mmm-yyyy")</f>
        <v>1-Apr-2014</v>
      </c>
      <c r="B23" s="22">
        <f>IF(ISNUMBER('Real Structures'!B29),'Real Structures'!B29, "")</f>
        <v>232.9</v>
      </c>
      <c r="C23" s="22" t="str">
        <f>IF('Real Structures'!C29&lt;&gt;0,'Real Structures'!C29, "")</f>
        <v/>
      </c>
    </row>
    <row r="24" spans="1:3">
      <c r="A24" s="22" t="str">
        <f>TEXT(IF('Real Structures'!A30&lt;&gt;0,'Real Structures'!A30, ""), "d-mmm-yyyy")</f>
        <v/>
      </c>
      <c r="B24" s="22" t="str">
        <f>IF(ISNUMBER('Real Structures'!B30),'Real Structures'!B30, "")</f>
        <v/>
      </c>
      <c r="C24" s="22" t="str">
        <f>IF('Real Structures'!C30&lt;&gt;0,'Real Structures'!C30, "")</f>
        <v/>
      </c>
    </row>
    <row r="25" spans="1:3">
      <c r="A25" s="22" t="str">
        <f>TEXT(IF('Real Structures'!A31&lt;&gt;0,'Real Structures'!A31, ""), "d-mmm-yyyy")</f>
        <v/>
      </c>
      <c r="B25" s="22" t="str">
        <f>IF(ISNUMBER('Real Structures'!B31),'Real Structures'!B31, "")</f>
        <v/>
      </c>
      <c r="C25" s="22" t="str">
        <f>IF('Real Structures'!C31&lt;&gt;0,'Real Structures'!C31, "")</f>
        <v/>
      </c>
    </row>
    <row r="26" spans="1:3">
      <c r="A26" s="22" t="str">
        <f>TEXT(IF('Real Structures'!A32&lt;&gt;0,'Real Structures'!A32, ""), "d-mmm-yyyy")</f>
        <v/>
      </c>
      <c r="B26" s="22" t="str">
        <f>IF(ISNUMBER('Real Structures'!B32),'Real Structures'!B32, "")</f>
        <v/>
      </c>
      <c r="C26" s="22" t="str">
        <f>IF('Real Structures'!C32&lt;&gt;0,'Real Structures'!C32, "")</f>
        <v/>
      </c>
    </row>
    <row r="27" spans="1:3">
      <c r="A27" s="22" t="str">
        <f>TEXT(IF('Real Structures'!A33&lt;&gt;0,'Real Structures'!A33, ""), "d-mmm-yyyy")</f>
        <v/>
      </c>
      <c r="B27" s="22" t="str">
        <f>IF(ISNUMBER('Real Structures'!B33),'Real Structures'!B33, "")</f>
        <v/>
      </c>
      <c r="C27" s="22" t="str">
        <f>IF('Real Structures'!C33&lt;&gt;0,'Real Structures'!C33, "")</f>
        <v/>
      </c>
    </row>
    <row r="28" spans="1:3">
      <c r="A28" s="22" t="str">
        <f>TEXT(IF('Real Structures'!A34&lt;&gt;0,'Real Structures'!A34, ""), "d-mmm-yyyy")</f>
        <v/>
      </c>
      <c r="B28" s="22" t="str">
        <f>IF(ISNUMBER('Real Structures'!B34),'Real Structures'!B34, "")</f>
        <v/>
      </c>
      <c r="C28" s="22" t="str">
        <f>IF('Real Structures'!C34&lt;&gt;0,'Real Structures'!C34, "")</f>
        <v/>
      </c>
    </row>
    <row r="29" spans="1:3">
      <c r="A29" s="22" t="str">
        <f>TEXT(IF('Real Structures'!A35&lt;&gt;0,'Real Structures'!A35, ""), "d-mmm-yyyy")</f>
        <v/>
      </c>
      <c r="B29" s="22" t="str">
        <f>IF(ISNUMBER('Real Structures'!B35),'Real Structures'!B35, "")</f>
        <v/>
      </c>
      <c r="C29" s="22" t="str">
        <f>IF('Real Structures'!C35&lt;&gt;0,'Real Structures'!C35, "")</f>
        <v/>
      </c>
    </row>
    <row r="30" spans="1:3">
      <c r="A30" s="22" t="str">
        <f>TEXT(IF('Real Structures'!A36&lt;&gt;0,'Real Structures'!A36, ""), "d-mmm-yyyy")</f>
        <v/>
      </c>
      <c r="B30" s="22" t="str">
        <f>IF(ISNUMBER('Real Structures'!B36),'Real Structures'!B36, "")</f>
        <v/>
      </c>
      <c r="C30" s="22" t="str">
        <f>IF('Real Structures'!C36&lt;&gt;0,'Real Structures'!C36, "")</f>
        <v/>
      </c>
    </row>
    <row r="31" spans="1:3">
      <c r="A31" s="22" t="str">
        <f>TEXT(IF('Real Structures'!A37&lt;&gt;0,'Real Structures'!A37, ""), "d-mmm-yyyy")</f>
        <v/>
      </c>
      <c r="B31" s="22" t="str">
        <f>IF(ISNUMBER('Real Structures'!B37),'Real Structures'!B37, "")</f>
        <v/>
      </c>
      <c r="C31" s="22" t="str">
        <f>IF('Real Structures'!C37&lt;&gt;0,'Real Structures'!C37, "")</f>
        <v/>
      </c>
    </row>
    <row r="32" spans="1:3">
      <c r="A32" s="22" t="str">
        <f>TEXT(IF('Real Structures'!A38&lt;&gt;0,'Real Structures'!A38, ""), "d-mmm-yyyy")</f>
        <v/>
      </c>
      <c r="B32" s="22" t="str">
        <f>IF(ISNUMBER('Real Structures'!B38),'Real Structures'!B38, "")</f>
        <v/>
      </c>
      <c r="C32" s="22" t="str">
        <f>IF('Real Structures'!C38&lt;&gt;0,'Real Structures'!C38, "")</f>
        <v/>
      </c>
    </row>
    <row r="33" spans="1:3">
      <c r="A33" s="22" t="str">
        <f>TEXT(IF('Real Structures'!A39&lt;&gt;0,'Real Structures'!A39, ""), "d-mmm-yyyy")</f>
        <v/>
      </c>
      <c r="B33" s="22" t="str">
        <f>IF(ISNUMBER('Real Structures'!B39),'Real Structures'!B39, "")</f>
        <v/>
      </c>
      <c r="C33" s="22" t="str">
        <f>IF('Real Structures'!C39&lt;&gt;0,'Real Structures'!C39, "")</f>
        <v/>
      </c>
    </row>
    <row r="34" spans="1:3">
      <c r="A34" s="22" t="str">
        <f>TEXT(IF('Real Structures'!A40&lt;&gt;0,'Real Structures'!A40, ""), "d-mmm-yyyy")</f>
        <v/>
      </c>
      <c r="B34" s="22" t="str">
        <f>IF(ISNUMBER('Real Structures'!B40),'Real Structures'!B40, "")</f>
        <v/>
      </c>
      <c r="C34" s="22" t="str">
        <f>IF('Real Structures'!C40&lt;&gt;0,'Real Structures'!C40, "")</f>
        <v/>
      </c>
    </row>
    <row r="35" spans="1:3">
      <c r="A35" s="22" t="str">
        <f>TEXT(IF('Real Structures'!A41&lt;&gt;0,'Real Structures'!A41, ""), "d-mmm-yyyy")</f>
        <v/>
      </c>
      <c r="B35" s="22" t="str">
        <f>IF(ISNUMBER('Real Structures'!B41),'Real Structures'!B41, "")</f>
        <v/>
      </c>
      <c r="C35" s="22" t="str">
        <f>IF('Real Structures'!C41&lt;&gt;0,'Real Structures'!C41, "")</f>
        <v/>
      </c>
    </row>
    <row r="36" spans="1:3">
      <c r="A36" s="22" t="str">
        <f>TEXT(IF('Real Structures'!A42&lt;&gt;0,'Real Structures'!A42, ""), "d-mmm-yyyy")</f>
        <v/>
      </c>
      <c r="B36" s="22" t="str">
        <f>IF(ISNUMBER('Real Structures'!B42),'Real Structures'!B42, "")</f>
        <v/>
      </c>
      <c r="C36" s="22" t="str">
        <f>IF('Real Structures'!C42&lt;&gt;0,'Real Structures'!C42, "")</f>
        <v/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142</v>
      </c>
      <c r="B1" t="s">
        <v>171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3" workbookViewId="0">
      <selection activeCell="Q9" sqref="Q9"/>
    </sheetView>
  </sheetViews>
  <sheetFormatPr defaultRowHeight="15"/>
  <cols>
    <col min="1" max="1" width="10.42578125" bestFit="1" customWidth="1"/>
  </cols>
  <sheetData>
    <row r="1" spans="1:5">
      <c r="A1" t="s">
        <v>142</v>
      </c>
      <c r="B1" t="s">
        <v>172</v>
      </c>
      <c r="C1" s="22" t="s">
        <v>173</v>
      </c>
      <c r="D1" t="s">
        <v>174</v>
      </c>
      <c r="E1" t="s">
        <v>175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8" workbookViewId="0">
      <selection activeCell="C41" sqref="C41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142</v>
      </c>
      <c r="B1" s="22" t="s">
        <v>177</v>
      </c>
      <c r="C1" s="22" t="s">
        <v>178</v>
      </c>
    </row>
    <row r="2" spans="1:3">
      <c r="A2" s="22" t="str">
        <f>TEXT(IF(Deficit!B7&lt;&gt;0,Deficit!B7-364, ""), "yyyy")</f>
        <v>1975</v>
      </c>
      <c r="B2" s="14" t="str">
        <f>IFERROR(IF(ISNUMBER(Deficit!E7),TEXT(Deficit!E7, "0.00"),""), "")</f>
        <v>-3.31</v>
      </c>
      <c r="C2" s="14" t="str">
        <f>IFERROR(IF(ISNUMBER(Deficit!F7),TEXT(Deficit!F7,"0.00"),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IFERROR(IF(ISNUMBER(Deficit!E8),TEXT(Deficit!E8, "0.00"),""), "")</f>
        <v>-4.12</v>
      </c>
      <c r="C3" s="14" t="str">
        <f>IFERROR(IF(ISNUMBER(Deficit!F8),TEXT(Deficit!F8,"0.00"),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IFERROR(IF(ISNUMBER(Deficit!E9),TEXT(Deficit!E9, "0.00"),""), "")</f>
        <v>-2.65</v>
      </c>
      <c r="C4" s="14" t="str">
        <f>IFERROR(IF(ISNUMBER(Deficit!F9),TEXT(Deficit!F9,"0.00"),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IFERROR(IF(ISNUMBER(Deficit!E10),TEXT(Deficit!E10, "0.00"),""), "")</f>
        <v>-2.60</v>
      </c>
      <c r="C5" s="14" t="str">
        <f>IFERROR(IF(ISNUMBER(Deficit!F10),TEXT(Deficit!F10,"0.00"),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IFERROR(IF(ISNUMBER(Deficit!E11),TEXT(Deficit!E11, "0.00"),""), "")</f>
        <v>-1.59</v>
      </c>
      <c r="C6" s="14" t="str">
        <f>IFERROR(IF(ISNUMBER(Deficit!F11),TEXT(Deficit!F11,"0.00"),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IFERROR(IF(ISNUMBER(Deficit!E12),TEXT(Deficit!E12, "0.00"),""), "")</f>
        <v>-2.64</v>
      </c>
      <c r="C7" s="14" t="str">
        <f>IFERROR(IF(ISNUMBER(Deficit!F12),TEXT(Deficit!F12,"0.00"),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IFERROR(IF(ISNUMBER(Deficit!E13),TEXT(Deficit!E13, "0.00"),""), "")</f>
        <v>-2.52</v>
      </c>
      <c r="C8" s="14" t="str">
        <f>IFERROR(IF(ISNUMBER(Deficit!F13),TEXT(Deficit!F13,"0.00"),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IFERROR(IF(ISNUMBER(Deficit!E14),TEXT(Deficit!E14, "0.00"),""), "")</f>
        <v>-3.86</v>
      </c>
      <c r="C9" s="14" t="str">
        <f>IFERROR(IF(ISNUMBER(Deficit!F14),TEXT(Deficit!F14,"0.00"),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IFERROR(IF(ISNUMBER(Deficit!E15),TEXT(Deficit!E15, "0.00"),""), "")</f>
        <v>-5.87</v>
      </c>
      <c r="C10" s="14" t="str">
        <f>IFERROR(IF(ISNUMBER(Deficit!F15),TEXT(Deficit!F15,"0.00"),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IFERROR(IF(ISNUMBER(Deficit!E16),TEXT(Deficit!E16, "0.00"),""), "")</f>
        <v>-4.69</v>
      </c>
      <c r="C11" s="14" t="str">
        <f>IFERROR(IF(ISNUMBER(Deficit!F16),TEXT(Deficit!F16,"0.00"),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IFERROR(IF(ISNUMBER(Deficit!E17),TEXT(Deficit!E17, "0.00"),""), "")</f>
        <v>-4.97</v>
      </c>
      <c r="C12" s="14" t="str">
        <f>IFERROR(IF(ISNUMBER(Deficit!F17),TEXT(Deficit!F17,"0.00"),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IFERROR(IF(ISNUMBER(Deficit!E18),TEXT(Deficit!E18, "0.00"),""), "")</f>
        <v>-4.88</v>
      </c>
      <c r="C13" s="14" t="str">
        <f>IFERROR(IF(ISNUMBER(Deficit!F18),TEXT(Deficit!F18,"0.00"),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IFERROR(IF(ISNUMBER(Deficit!E19),TEXT(Deficit!E19, "0.00"),""), "")</f>
        <v>-3.13</v>
      </c>
      <c r="C14" s="14" t="str">
        <f>IFERROR(IF(ISNUMBER(Deficit!F19),TEXT(Deficit!F19,"0.00"),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IFERROR(IF(ISNUMBER(Deficit!E20),TEXT(Deficit!E20, "0.00"),""), "")</f>
        <v>-3.01</v>
      </c>
      <c r="C15" s="14" t="str">
        <f>IFERROR(IF(ISNUMBER(Deficit!F20),TEXT(Deficit!F20,"0.00"),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IFERROR(IF(ISNUMBER(Deficit!E21),TEXT(Deficit!E21, "0.00"),""), "")</f>
        <v>-2.74</v>
      </c>
      <c r="C16" s="14" t="str">
        <f>IFERROR(IF(ISNUMBER(Deficit!F21),TEXT(Deficit!F21,"0.00"),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IFERROR(IF(ISNUMBER(Deficit!E22),TEXT(Deficit!E22, "0.00"),""), "")</f>
        <v>-3.74</v>
      </c>
      <c r="C17" s="14" t="str">
        <f>IFERROR(IF(ISNUMBER(Deficit!F22),TEXT(Deficit!F22,"0.00"),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IFERROR(IF(ISNUMBER(Deficit!E23),TEXT(Deficit!E23, "0.00"),""), "")</f>
        <v>-4.41</v>
      </c>
      <c r="C18" s="14" t="str">
        <f>IFERROR(IF(ISNUMBER(Deficit!F23),TEXT(Deficit!F23,"0.00"),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IFERROR(IF(ISNUMBER(Deficit!E24),TEXT(Deficit!E24, "0.00"),""), "")</f>
        <v>-4.51</v>
      </c>
      <c r="C19" s="14" t="str">
        <f>IFERROR(IF(ISNUMBER(Deficit!F24),TEXT(Deficit!F24,"0.00"),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IFERROR(IF(ISNUMBER(Deficit!E25),TEXT(Deficit!E25, "0.00"),""), "")</f>
        <v>-3.75</v>
      </c>
      <c r="C20" s="14" t="str">
        <f>IFERROR(IF(ISNUMBER(Deficit!F25),TEXT(Deficit!F25,"0.00"),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IFERROR(IF(ISNUMBER(Deficit!E26),TEXT(Deficit!E26, "0.00"),""), "")</f>
        <v>-2.82</v>
      </c>
      <c r="C21" s="14" t="str">
        <f>IFERROR(IF(ISNUMBER(Deficit!F26),TEXT(Deficit!F26,"0.00"),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IFERROR(IF(ISNUMBER(Deficit!E27),TEXT(Deficit!E27, "0.00"),""), "")</f>
        <v>-2.16</v>
      </c>
      <c r="C22" s="14" t="str">
        <f>IFERROR(IF(ISNUMBER(Deficit!F27),TEXT(Deficit!F27,"0.00"),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IFERROR(IF(ISNUMBER(Deficit!E28),TEXT(Deficit!E28, "0.00"),""), "")</f>
        <v>-1.35</v>
      </c>
      <c r="C23" s="14" t="str">
        <f>IFERROR(IF(ISNUMBER(Deficit!F28),TEXT(Deficit!F28,"0.00"),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IFERROR(IF(ISNUMBER(Deficit!E29),TEXT(Deficit!E29, "0.00"),""), "")</f>
        <v>-0.26</v>
      </c>
      <c r="C24" s="14" t="str">
        <f>IFERROR(IF(ISNUMBER(Deficit!F29),TEXT(Deficit!F29,"0.00"),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IFERROR(IF(ISNUMBER(Deficit!E30),TEXT(Deficit!E30, "0.00"),""), "")</f>
        <v>0.77</v>
      </c>
      <c r="C25" s="14" t="str">
        <f>IFERROR(IF(ISNUMBER(Deficit!F30),TEXT(Deficit!F30,"0.00"),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IFERROR(IF(ISNUMBER(Deficit!E31),TEXT(Deficit!E31, "0.00"),""), "")</f>
        <v>1.32</v>
      </c>
      <c r="C26" s="14" t="str">
        <f>IFERROR(IF(ISNUMBER(Deficit!F31),TEXT(Deficit!F31,"0.00"),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IFERROR(IF(ISNUMBER(Deficit!E32),TEXT(Deficit!E32, "0.00"),""), "")</f>
        <v>2.33</v>
      </c>
      <c r="C27" s="14" t="str">
        <f>IFERROR(IF(ISNUMBER(Deficit!F32),TEXT(Deficit!F32,"0.00"),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IFERROR(IF(ISNUMBER(Deficit!E33),TEXT(Deficit!E33, "0.00"),""), "")</f>
        <v>1.21</v>
      </c>
      <c r="C28" s="14" t="str">
        <f>IFERROR(IF(ISNUMBER(Deficit!F33),TEXT(Deficit!F33,"0.00"),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IFERROR(IF(ISNUMBER(Deficit!E34),TEXT(Deficit!E34, "0.00"),""), "")</f>
        <v>-1.45</v>
      </c>
      <c r="C29" s="14" t="str">
        <f>IFERROR(IF(ISNUMBER(Deficit!F34),TEXT(Deficit!F34,"0.00"),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IFERROR(IF(ISNUMBER(Deficit!E35),TEXT(Deficit!E35, "0.00"),""), "")</f>
        <v>-3.33</v>
      </c>
      <c r="C30" s="14" t="str">
        <f>IFERROR(IF(ISNUMBER(Deficit!F35),TEXT(Deficit!F35,"0.00"),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IFERROR(IF(ISNUMBER(Deficit!E36),TEXT(Deficit!E36, "0.00"),""), "")</f>
        <v>-3.41</v>
      </c>
      <c r="C31" s="14" t="str">
        <f>IFERROR(IF(ISNUMBER(Deficit!F36),TEXT(Deficit!F36,"0.00"),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IFERROR(IF(ISNUMBER(Deficit!E37),TEXT(Deficit!E37, "0.00"),""), "")</f>
        <v>-2.47</v>
      </c>
      <c r="C32" s="14" t="str">
        <f>IFERROR(IF(ISNUMBER(Deficit!F37),TEXT(Deficit!F37,"0.00"),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IFERROR(IF(ISNUMBER(Deficit!E38),TEXT(Deficit!E38, "0.00"),""), "")</f>
        <v>-1.81</v>
      </c>
      <c r="C33" s="14" t="str">
        <f>IFERROR(IF(ISNUMBER(Deficit!F38),TEXT(Deficit!F38,"0.00"),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IFERROR(IF(ISNUMBER(Deficit!E39),TEXT(Deficit!E39, "0.00"),""), "")</f>
        <v>-1.12</v>
      </c>
      <c r="C34" s="14" t="str">
        <f>IFERROR(IF(ISNUMBER(Deficit!F39),TEXT(Deficit!F39,"0.00"),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IFERROR(IF(ISNUMBER(Deficit!E40),TEXT(Deficit!E40, "0.00"),""), "")</f>
        <v>-3.11</v>
      </c>
      <c r="C35" s="14" t="str">
        <f>IFERROR(IF(ISNUMBER(Deficit!F40),TEXT(Deficit!F40,"0.00"),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IFERROR(IF(ISNUMBER(Deficit!E41),TEXT(Deficit!E41, "0.00"),""), "")</f>
        <v>-9.80</v>
      </c>
      <c r="C36" s="14" t="str">
        <f>IFERROR(IF(ISNUMBER(Deficit!F41),TEXT(Deficit!F41,"0.00"),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IFERROR(IF(ISNUMBER(Deficit!E42),TEXT(Deficit!E42, "0.00"),""), "")</f>
        <v>-8.75</v>
      </c>
      <c r="C37" s="14" t="str">
        <f>IFERROR(IF(ISNUMBER(Deficit!F42),TEXT(Deficit!F42,"0.00"),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IFERROR(IF(ISNUMBER(Deficit!E43),TEXT(Deficit!E43, "0.00"),""), "")</f>
        <v>-8.45</v>
      </c>
      <c r="C38" s="14" t="str">
        <f>IFERROR(IF(ISNUMBER(Deficit!F43),TEXT(Deficit!F43,"0.00"),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IFERROR(IF(ISNUMBER(Deficit!E44),TEXT(Deficit!E44, "0.00"),""), "")</f>
        <v>-6.75</v>
      </c>
      <c r="C39" s="14" t="str">
        <f>IFERROR(IF(ISNUMBER(Deficit!F44),TEXT(Deficit!F44,"0.00"),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IFERROR(IF(ISNUMBER(Deficit!E45),TEXT(Deficit!E45, "0.00"),""), "")</f>
        <v>-4.09</v>
      </c>
      <c r="C40" s="14" t="str">
        <f>IFERROR(IF(ISNUMBER(Deficit!F45),TEXT(Deficit!F45,"0.00"), ""), "")</f>
        <v>-4.10</v>
      </c>
    </row>
    <row r="41" spans="1:3">
      <c r="A41" s="22" t="str">
        <f>TEXT(IF(Deficit!B46&lt;&gt;0,Deficit!B46-364, ""), "yyyy")</f>
        <v>2014</v>
      </c>
      <c r="B41" s="14" t="str">
        <f>IFERROR(IF(ISNUMBER(Deficit!E46),TEXT(Deficit!E46, "0.00"),""), "")</f>
        <v/>
      </c>
      <c r="C41" s="14" t="str">
        <f>IFERROR(IF(ISNUMBER(Deficit!F46),TEXT(Deficit!F46,"0.00"), ""), "")</f>
        <v>-2.90</v>
      </c>
    </row>
    <row r="42" spans="1:3">
      <c r="A42" s="22" t="str">
        <f>TEXT(IF(Deficit!B47&lt;&gt;0,Deficit!B47-364, ""), "yyyy")</f>
        <v>2015</v>
      </c>
      <c r="B42" s="14" t="str">
        <f>IFERROR(IF(ISNUMBER(Deficit!E47),TEXT(Deficit!E47, "0.00"),""), "")</f>
        <v/>
      </c>
      <c r="C42" s="14" t="str">
        <f>IFERROR(IF(ISNUMBER(Deficit!F47),TEXT(Deficit!F47,"0.00"), ""), "")</f>
        <v>-2.60</v>
      </c>
    </row>
    <row r="43" spans="1:3">
      <c r="A43" s="22" t="str">
        <f>TEXT(IF(Deficit!B48&lt;&gt;0,Deficit!B48-364, ""), "yyyy")</f>
        <v>2016</v>
      </c>
      <c r="B43" s="14" t="str">
        <f>IFERROR(IF(ISNUMBER(Deficit!E48),TEXT(Deficit!E48, "0.00"),""), "")</f>
        <v/>
      </c>
      <c r="C43" s="14" t="str">
        <f>IFERROR(IF(ISNUMBER(Deficit!F48),TEXT(Deficit!F48,"0.00"), ""), "")</f>
        <v>-2.90</v>
      </c>
    </row>
    <row r="44" spans="1:3">
      <c r="A44" s="22" t="str">
        <f>TEXT(IF(Deficit!B49&lt;&gt;0,Deficit!B49-364, ""), "yyyy")</f>
        <v>2017</v>
      </c>
      <c r="B44" s="14" t="str">
        <f>IFERROR(IF(ISNUMBER(Deficit!E49),TEXT(Deficit!E49, "0.00"),""), "")</f>
        <v/>
      </c>
      <c r="C44" s="14" t="str">
        <f>IFERROR(IF(ISNUMBER(Deficit!F49),TEXT(Deficit!F49,"0.00"), ""), "")</f>
        <v>-2.70</v>
      </c>
    </row>
    <row r="45" spans="1:3">
      <c r="A45" s="22" t="str">
        <f>TEXT(IF(Deficit!B50&lt;&gt;0,Deficit!B50-364, ""), "yyyy")</f>
        <v>2018</v>
      </c>
      <c r="B45" s="14" t="str">
        <f>IFERROR(IF(ISNUMBER(Deficit!E50),TEXT(Deficit!E50, "0.00"),""), "")</f>
        <v/>
      </c>
      <c r="C45" s="14" t="str">
        <f>IFERROR(IF(ISNUMBER(Deficit!F50),TEXT(Deficit!F50,"0.00"), ""), "")</f>
        <v>-2.70</v>
      </c>
    </row>
    <row r="46" spans="1:3">
      <c r="A46" s="22" t="str">
        <f>TEXT(IF(Deficit!B51&lt;&gt;0,Deficit!B51-364, ""), "yyyy")</f>
        <v>2019</v>
      </c>
      <c r="B46" s="14" t="str">
        <f>IFERROR(IF(ISNUMBER(Deficit!E51),TEXT(Deficit!E51, "0.00"),""), "")</f>
        <v/>
      </c>
      <c r="C46" s="14" t="str">
        <f>IFERROR(IF(ISNUMBER(Deficit!F51),TEXT(Deficit!F51,"0.00"), ""), "")</f>
        <v>-3.00</v>
      </c>
    </row>
    <row r="47" spans="1:3">
      <c r="A47" s="22" t="str">
        <f>TEXT(IF(Deficit!B52&lt;&gt;0,Deficit!B52-364, ""), "yyyy")</f>
        <v>2020</v>
      </c>
      <c r="B47" s="14" t="str">
        <f>IFERROR(IF(ISNUMBER(Deficit!E52),TEXT(Deficit!E52, "0.00"),""), "")</f>
        <v/>
      </c>
      <c r="C47" s="14" t="str">
        <f>IFERROR(IF(ISNUMBER(Deficit!F52),TEXT(Deficit!F52,"0.00"), ""), "")</f>
        <v>-3.30</v>
      </c>
    </row>
    <row r="48" spans="1:3">
      <c r="A48" s="22" t="str">
        <f>TEXT(IF(Deficit!B53&lt;&gt;0,Deficit!B53-364, ""), "yyyy")</f>
        <v>2021</v>
      </c>
      <c r="B48" s="14" t="str">
        <f>IFERROR(IF(ISNUMBER(Deficit!E53),TEXT(Deficit!E53, "0.00"),""), "")</f>
        <v/>
      </c>
      <c r="C48" s="14" t="str">
        <f>IFERROR(IF(ISNUMBER(Deficit!F53),TEXT(Deficit!F53,"0.00"), ""), "")</f>
        <v>-3.50</v>
      </c>
    </row>
    <row r="49" spans="1:3">
      <c r="A49" s="22" t="str">
        <f>TEXT(IF(Deficit!B54&lt;&gt;0,Deficit!B54-364, ""), "yyyy")</f>
        <v>2022</v>
      </c>
      <c r="B49" s="14" t="str">
        <f>IFERROR(IF(ISNUMBER(Deficit!E54),TEXT(Deficit!E54, "0.00"),""), "")</f>
        <v/>
      </c>
      <c r="C49" s="14" t="str">
        <f>IFERROR(IF(ISNUMBER(Deficit!F54),TEXT(Deficit!F54,"0.00"), ""), "")</f>
        <v>-3.80</v>
      </c>
    </row>
    <row r="50" spans="1:3">
      <c r="A50" s="22" t="str">
        <f>TEXT(IF(Deficit!B55&lt;&gt;0,Deficit!B55-364, ""), "yyyy")</f>
        <v>2023</v>
      </c>
      <c r="B50" s="14" t="str">
        <f>IFERROR(IF(ISNUMBER(Deficit!E55),TEXT(Deficit!E55, "0.00"),""), "")</f>
        <v/>
      </c>
      <c r="C50" s="14" t="str">
        <f>IFERROR(IF(ISNUMBER(Deficit!F55),TEXT(Deficit!F55,"0.00"), ""), "")</f>
        <v>-3.70</v>
      </c>
    </row>
    <row r="51" spans="1:3">
      <c r="A51" s="22" t="str">
        <f>TEXT(IF(Deficit!B56&lt;&gt;0,Deficit!B56-364, ""), "yyyy")</f>
        <v>2024</v>
      </c>
      <c r="B51" s="14" t="str">
        <f>IFERROR(IF(ISNUMBER(Deficit!E56),TEXT(Deficit!E56, "0.00"),""), "")</f>
        <v/>
      </c>
      <c r="C51" s="14" t="str">
        <f>IFERROR(IF(ISNUMBER(Deficit!F56),TEXT(Deficit!F56,"0.00"), ""), "")</f>
        <v>-3.60</v>
      </c>
    </row>
    <row r="52" spans="1:3">
      <c r="A52" s="22" t="str">
        <f>TEXT(IF(Deficit!B57&lt;&gt;0,Deficit!B57-364, ""), "yyyy")</f>
        <v/>
      </c>
      <c r="B52" s="14" t="str">
        <f>IFERROR(IF(ISNUMBER(Deficit!E57),TEXT(Deficit!E57, "0.00"),""), "")</f>
        <v/>
      </c>
      <c r="C52" s="14" t="str">
        <f>IFERROR(IF(ISNUMBER(Deficit!F57),TEXT(Deficit!F57,"0.00"),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IFERROR(IF(ISNUMBER(Deficit!E58),TEXT(Deficit!E58, "0.00"),""), "")</f>
        <v/>
      </c>
      <c r="C53" s="14" t="str">
        <f>IFERROR(IF(ISNUMBER(Deficit!F58),TEXT(Deficit!F58,"0.00"),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IFERROR(IF(ISNUMBER(Deficit!E59),TEXT(Deficit!E59, "0.00"),""), "")</f>
        <v/>
      </c>
      <c r="C54" s="14" t="str">
        <f>IFERROR(IF(ISNUMBER(Deficit!F59),TEXT(Deficit!F59,"0.00"),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IFERROR(IF(ISNUMBER(Deficit!E60),TEXT(Deficit!E60, "0.00"),""), "")</f>
        <v/>
      </c>
      <c r="C55" s="14" t="str">
        <f>IFERROR(IF(ISNUMBER(Deficit!F60),TEXT(Deficit!F60,"0.00"),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IFERROR(IF(ISNUMBER(Deficit!E61),TEXT(Deficit!E61, "0.00"),""), "")</f>
        <v/>
      </c>
      <c r="C56" s="14" t="str">
        <f>IFERROR(IF(ISNUMBER(Deficit!F61),TEXT(Deficit!F61,"0.00"),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IFERROR(IF(ISNUMBER(Deficit!E62),TEXT(Deficit!E62, "0.00"),""), "")</f>
        <v/>
      </c>
      <c r="C57" s="14" t="str">
        <f>IFERROR(IF(ISNUMBER(Deficit!F62),TEXT(Deficit!F62,"0.00"),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IFERROR(IF(ISNUMBER(Deficit!E63),TEXT(Deficit!E63, "0.00"),""), "")</f>
        <v/>
      </c>
      <c r="C58" s="14" t="str">
        <f>IFERROR(IF(ISNUMBER(Deficit!F63),TEXT(Deficit!F63,"0.00"),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IFERROR(IF(ISNUMBER(Deficit!E64),TEXT(Deficit!E64, "0.00"),""), "")</f>
        <v/>
      </c>
      <c r="C59" s="14" t="str">
        <f>IFERROR(IF(ISNUMBER(Deficit!F64),TEXT(Deficit!F64,"0.00"),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IFERROR(IF(ISNUMBER(Deficit!E65),TEXT(Deficit!E65, "0.00"),""), "")</f>
        <v/>
      </c>
      <c r="C60" s="14" t="str">
        <f>IFERROR(IF(ISNUMBER(Deficit!F65),TEXT(Deficit!F65,"0.00"),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IFERROR(IF(ISNUMBER(Deficit!E66),TEXT(Deficit!E66, "0.00"),""), "")</f>
        <v/>
      </c>
      <c r="C61" s="14" t="str">
        <f>IFERROR(IF(ISNUMBER(Deficit!F66),TEXT(Deficit!F66,"0.00"),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IFERROR(IF(ISNUMBER(Deficit!E67),TEXT(Deficit!E67, "0.00"),""), "")</f>
        <v/>
      </c>
      <c r="C62" s="14" t="str">
        <f>IFERROR(IF(ISNUMBER(Deficit!F67),TEXT(Deficit!F67,"0.00"),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IFERROR(IF(ISNUMBER(Deficit!E68),TEXT(Deficit!E68, "0.00"),""), "")</f>
        <v/>
      </c>
      <c r="C63" s="14" t="str">
        <f>IFERROR(IF(ISNUMBER(Deficit!F68),TEXT(Deficit!F68,"0.00"),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IFERROR(IF(ISNUMBER(Deficit!E69),TEXT(Deficit!E69, "0.00"),""), "")</f>
        <v/>
      </c>
      <c r="C64" s="14" t="str">
        <f>IFERROR(IF(ISNUMBER(Deficit!F69),TEXT(Deficit!F69,"0.00"),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IFERROR(IF(ISNUMBER(Deficit!E70),TEXT(Deficit!E70, "0.00"),""), "")</f>
        <v/>
      </c>
      <c r="C65" s="14" t="str">
        <f>IFERROR(IF(ISNUMBER(Deficit!F70),TEXT(Deficit!F70,"0.00"),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IFERROR(IF(ISNUMBER(Deficit!E71),TEXT(Deficit!E71, "0.00"),""), "")</f>
        <v/>
      </c>
      <c r="C66" s="14" t="str">
        <f>IFERROR(IF(ISNUMBER(Deficit!F71),TEXT(Deficit!F71,"0.00"),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IFERROR(IF(ISNUMBER(Deficit!E72),TEXT(Deficit!E72, "0.00"),""), "")</f>
        <v/>
      </c>
      <c r="C67" s="14" t="str">
        <f>IFERROR(IF(ISNUMBER(Deficit!F72),TEXT(Deficit!F72,"0.00"),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IFERROR(IF(ISNUMBER(Deficit!E73),TEXT(Deficit!E73, "0.00"),""), "")</f>
        <v/>
      </c>
      <c r="C68" s="14" t="str">
        <f>IFERROR(IF(ISNUMBER(Deficit!F73),TEXT(Deficit!F73,"0.00"),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IFERROR(IF(ISNUMBER(Deficit!E74),TEXT(Deficit!E74, "0.00"),""), "")</f>
        <v/>
      </c>
      <c r="C69" s="14" t="str">
        <f>IFERROR(IF(ISNUMBER(Deficit!F74),TEXT(Deficit!F74,"0.00"),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IFERROR(IF(ISNUMBER(Deficit!E75),TEXT(Deficit!E75, "0.00"),""), "")</f>
        <v/>
      </c>
      <c r="C70" s="14" t="str">
        <f>IFERROR(IF(ISNUMBER(Deficit!F75),TEXT(Deficit!F75,"0.00"),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IFERROR(IF(ISNUMBER(Deficit!E76),TEXT(Deficit!E76, "0.00"),""), "")</f>
        <v/>
      </c>
      <c r="C71" s="14" t="str">
        <f>IFERROR(IF(ISNUMBER(Deficit!F76),TEXT(Deficit!F76,"0.00"),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IFERROR(IF(ISNUMBER(Deficit!E77),TEXT(Deficit!E77, "0.00"),""), "")</f>
        <v/>
      </c>
      <c r="C72" s="14" t="str">
        <f>IFERROR(IF(ISNUMBER(Deficit!F77),TEXT(Deficit!F77,"0.00"),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IFERROR(IF(ISNUMBER(Deficit!E78),TEXT(Deficit!E78, "0.00"),""), "")</f>
        <v/>
      </c>
      <c r="C73" s="14" t="str">
        <f>IFERROR(IF(ISNUMBER(Deficit!F78),TEXT(Deficit!F78,"0.00"),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IFERROR(IF(ISNUMBER(Deficit!E79),TEXT(Deficit!E79, "0.00"),""), "")</f>
        <v/>
      </c>
      <c r="C74" s="14" t="str">
        <f>IFERROR(IF(ISNUMBER(Deficit!F79),TEXT(Deficit!F79,"0.00"),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IFERROR(IF(ISNUMBER(Deficit!E80),TEXT(Deficit!E80, "0.00"),""), "")</f>
        <v/>
      </c>
      <c r="C75" s="14" t="str">
        <f>IFERROR(IF(ISNUMBER(Deficit!F80),TEXT(Deficit!F80,"0.00"),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IFERROR(IF(ISNUMBER(Deficit!E81),TEXT(Deficit!E81, "0.00"),""), "")</f>
        <v/>
      </c>
      <c r="C76" s="14" t="str">
        <f>IFERROR(IF(ISNUMBER(Deficit!F81),TEXT(Deficit!F81,"0.00"),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IFERROR(IF(ISNUMBER(Deficit!E82),TEXT(Deficit!E82, "0.00"),""), "")</f>
        <v/>
      </c>
      <c r="C77" s="14" t="str">
        <f>IFERROR(IF(ISNUMBER(Deficit!F82),TEXT(Deficit!F82,"0.00"),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IFERROR(IF(ISNUMBER(Deficit!E83),TEXT(Deficit!E83, "0.00"),""), "")</f>
        <v/>
      </c>
      <c r="C78" s="14" t="str">
        <f>IFERROR(IF(ISNUMBER(Deficit!F83),TEXT(Deficit!F83,"0.00"),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IFERROR(IF(ISNUMBER(Deficit!E84),TEXT(Deficit!E84, "0.00"),""), "")</f>
        <v/>
      </c>
      <c r="C79" s="14" t="str">
        <f>IFERROR(IF(ISNUMBER(Deficit!F84),TEXT(Deficit!F84,"0.00"),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IFERROR(IF(ISNUMBER(Deficit!E85),TEXT(Deficit!E85, "0.00"),""), "")</f>
        <v/>
      </c>
      <c r="C80" s="14" t="str">
        <f>IFERROR(IF(ISNUMBER(Deficit!F85),TEXT(Deficit!F85,"0.00"),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IFERROR(IF(ISNUMBER(Deficit!E86),TEXT(Deficit!E86, "0.00"),""), "")</f>
        <v/>
      </c>
      <c r="C81" s="14" t="str">
        <f>IFERROR(IF(ISNUMBER(Deficit!F86),TEXT(Deficit!F86,"0.00"),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IFERROR(IF(ISNUMBER(Deficit!E87),TEXT(Deficit!E87, "0.00"),""), "")</f>
        <v/>
      </c>
      <c r="C82" s="14" t="str">
        <f>IFERROR(IF(ISNUMBER(Deficit!F87),TEXT(Deficit!F87,"0.00"),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IFERROR(IF(ISNUMBER(Deficit!E88),TEXT(Deficit!E88, "0.00"),""), "")</f>
        <v/>
      </c>
      <c r="C83" s="14" t="str">
        <f>IFERROR(IF(ISNUMBER(Deficit!F88),TEXT(Deficit!F88,"0.00"),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IFERROR(IF(ISNUMBER(Deficit!E89),TEXT(Deficit!E89, "0.00"),""), "")</f>
        <v/>
      </c>
      <c r="C84" s="14" t="str">
        <f>IFERROR(IF(ISNUMBER(Deficit!F89),TEXT(Deficit!F89,"0.00"),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IFERROR(IF(ISNUMBER(Deficit!E90),TEXT(Deficit!E90, "0.00"),""), "")</f>
        <v/>
      </c>
      <c r="C85" s="14" t="str">
        <f>IFERROR(IF(ISNUMBER(Deficit!F90),TEXT(Deficit!F90,"0.00"),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IFERROR(IF(ISNUMBER(Deficit!E91),TEXT(Deficit!E91, "0.00"),""), "")</f>
        <v/>
      </c>
      <c r="C86" s="14" t="str">
        <f>IFERROR(IF(ISNUMBER(Deficit!F91),TEXT(Deficit!F91,"0.00"),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IFERROR(IF(ISNUMBER(Deficit!E92),TEXT(Deficit!E92, "0.00"),""), "")</f>
        <v/>
      </c>
      <c r="C87" s="14" t="str">
        <f>IFERROR(IF(ISNUMBER(Deficit!F92),TEXT(Deficit!F92,"0.00"),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IFERROR(IF(ISNUMBER(Deficit!E93),TEXT(Deficit!E93, "0.00"),""), "")</f>
        <v/>
      </c>
      <c r="C88" s="14" t="str">
        <f>IFERROR(IF(ISNUMBER(Deficit!F93),TEXT(Deficit!F93,"0.00"),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IFERROR(IF(ISNUMBER(Deficit!E94),TEXT(Deficit!E94, "0.00"),""), "")</f>
        <v/>
      </c>
      <c r="C89" s="14" t="str">
        <f>IFERROR(IF(ISNUMBER(Deficit!F94),TEXT(Deficit!F94,"0.00"),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IFERROR(IF(ISNUMBER(Deficit!E95),TEXT(Deficit!E95, "0.00"),""), "")</f>
        <v/>
      </c>
      <c r="C90" s="14" t="str">
        <f>IFERROR(IF(ISNUMBER(Deficit!F95),TEXT(Deficit!F95,"0.00"),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IFERROR(IF(ISNUMBER(Deficit!E96),TEXT(Deficit!E96, "0.00"),""), "")</f>
        <v/>
      </c>
      <c r="C91" s="14" t="str">
        <f>IFERROR(IF(ISNUMBER(Deficit!F96),TEXT(Deficit!F96,"0.00"),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IFERROR(IF(ISNUMBER(Deficit!E97),TEXT(Deficit!E97, "0.00"),""), "")</f>
        <v/>
      </c>
      <c r="C92" s="14" t="str">
        <f>IFERROR(IF(ISNUMBER(Deficit!F97),TEXT(Deficit!F97,"0.00"),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IFERROR(IF(ISNUMBER(Deficit!E98),TEXT(Deficit!E98, "0.00"),""), "")</f>
        <v/>
      </c>
      <c r="C93" s="14" t="str">
        <f>IFERROR(IF(ISNUMBER(Deficit!F98),TEXT(Deficit!F98,"0.00"),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IFERROR(IF(ISNUMBER(Deficit!E99),TEXT(Deficit!E99, "0.00"),""), "")</f>
        <v/>
      </c>
      <c r="C94" s="14" t="str">
        <f>IFERROR(IF(ISNUMBER(Deficit!F99),TEXT(Deficit!F99,"0.00"),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IFERROR(IF(ISNUMBER(Deficit!E100),TEXT(Deficit!E100, "0.00"),""), "")</f>
        <v/>
      </c>
      <c r="C95" s="14" t="str">
        <f>IFERROR(IF(ISNUMBER(Deficit!F100),TEXT(Deficit!F100,"0.00"),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IFERROR(IF(ISNUMBER(Deficit!E101),TEXT(Deficit!E101, "0.00"),""), "")</f>
        <v/>
      </c>
      <c r="C96" s="14" t="str">
        <f>IFERROR(IF(ISNUMBER(Deficit!F101),TEXT(Deficit!F101,"0.00"),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IFERROR(IF(ISNUMBER(Deficit!E102),TEXT(Deficit!E102, "0.00"),""), "")</f>
        <v/>
      </c>
      <c r="C97" s="14" t="str">
        <f>IFERROR(IF(ISNUMBER(Deficit!F102),TEXT(Deficit!F102,"0.00"),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IFERROR(IF(ISNUMBER(Deficit!E103),TEXT(Deficit!E103, "0.00"),""), "")</f>
        <v/>
      </c>
      <c r="C98" s="14" t="str">
        <f>IFERROR(IF(ISNUMBER(Deficit!F103),TEXT(Deficit!F103,"0.00"),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IFERROR(IF(ISNUMBER(Deficit!E104),TEXT(Deficit!E104, "0.00"),""), "")</f>
        <v/>
      </c>
      <c r="C99" s="14" t="str">
        <f>IFERROR(IF(ISNUMBER(Deficit!F104),TEXT(Deficit!F104,"0.00"),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IFERROR(IF(ISNUMBER(Deficit!E105),TEXT(Deficit!E105, "0.00"),""), "")</f>
        <v/>
      </c>
      <c r="C100" s="14" t="str">
        <f>IFERROR(IF(ISNUMBER(Deficit!F105),TEXT(Deficit!F105,"0.00"),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IFERROR(IF(ISNUMBER(Deficit!E106),TEXT(Deficit!E106, "0.00"),""), "")</f>
        <v/>
      </c>
      <c r="C101" s="14" t="str">
        <f>IFERROR(IF(ISNUMBER(Deficit!F106),TEXT(Deficit!F106,"0.00"),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IFERROR(IF(ISNUMBER(Deficit!E107),TEXT(Deficit!E107, "0.00"),""), "")</f>
        <v/>
      </c>
      <c r="C102" s="14" t="str">
        <f>IFERROR(IF(ISNUMBER(Deficit!F107),TEXT(Deficit!F107,"0.00"),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IFERROR(IF(ISNUMBER(Deficit!E108),TEXT(Deficit!E108, "0.00"),""), "")</f>
        <v/>
      </c>
      <c r="C103" s="14" t="str">
        <f>IFERROR(IF(ISNUMBER(Deficit!F108),TEXT(Deficit!F108,"0.00"),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IFERROR(IF(ISNUMBER(Deficit!E109),TEXT(Deficit!E109, "0.00"),""), "")</f>
        <v/>
      </c>
      <c r="C104" s="14" t="str">
        <f>IFERROR(IF(ISNUMBER(Deficit!F109),TEXT(Deficit!F109,"0.00"),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IFERROR(IF(ISNUMBER(Deficit!E110),TEXT(Deficit!E110, "0.00"),""), "")</f>
        <v/>
      </c>
      <c r="C105" s="14" t="str">
        <f>IFERROR(IF(ISNUMBER(Deficit!F110),TEXT(Deficit!F110,"0.00"),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IFERROR(IF(ISNUMBER(Deficit!E111),TEXT(Deficit!E111, "0.00"),""), "")</f>
        <v/>
      </c>
      <c r="C106" s="14" t="str">
        <f>IFERROR(IF(ISNUMBER(Deficit!F111),TEXT(Deficit!F111,"0.00"),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IFERROR(IF(ISNUMBER(Deficit!E112),TEXT(Deficit!E112, "0.00"),""), "")</f>
        <v/>
      </c>
      <c r="C107" s="14" t="str">
        <f>IFERROR(IF(ISNUMBER(Deficit!F112),TEXT(Deficit!F112,"0.00"),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IFERROR(IF(ISNUMBER(Deficit!E113),TEXT(Deficit!E113, "0.00"),""), "")</f>
        <v/>
      </c>
      <c r="C108" s="14" t="str">
        <f>IFERROR(IF(ISNUMBER(Deficit!F113),TEXT(Deficit!F113,"0.00"),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IFERROR(IF(ISNUMBER(Deficit!E114),TEXT(Deficit!E114, "0.00"),""), "")</f>
        <v/>
      </c>
      <c r="C109" s="14" t="str">
        <f>IFERROR(IF(ISNUMBER(Deficit!F114),TEXT(Deficit!F114,"0.00"),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IFERROR(IF(ISNUMBER(Deficit!E115),TEXT(Deficit!E115, "0.00"),""), "")</f>
        <v/>
      </c>
      <c r="C110" s="14" t="str">
        <f>IFERROR(IF(ISNUMBER(Deficit!F115),TEXT(Deficit!F115,"0.00"),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IFERROR(IF(ISNUMBER(Deficit!E116),TEXT(Deficit!E116, "0.00"),""), "")</f>
        <v/>
      </c>
      <c r="C111" s="14" t="str">
        <f>IFERROR(IF(ISNUMBER(Deficit!F116),TEXT(Deficit!F116,"0.00"),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IFERROR(IF(ISNUMBER(Deficit!E117),TEXT(Deficit!E117, "0.00"),""), "")</f>
        <v/>
      </c>
      <c r="C112" s="14" t="str">
        <f>IFERROR(IF(ISNUMBER(Deficit!F117),TEXT(Deficit!F117,"0.00"),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IFERROR(IF(ISNUMBER(Deficit!E118),TEXT(Deficit!E118, "0.00"),""), "")</f>
        <v/>
      </c>
      <c r="C113" s="14" t="str">
        <f>IFERROR(IF(ISNUMBER(Deficit!F118),TEXT(Deficit!F118,"0.00"),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IFERROR(IF(ISNUMBER(Deficit!E119),TEXT(Deficit!E119, "0.00"),""), "")</f>
        <v/>
      </c>
      <c r="C114" s="14" t="str">
        <f>IFERROR(IF(ISNUMBER(Deficit!F119),TEXT(Deficit!F119,"0.00"),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IFERROR(IF(ISNUMBER(Deficit!E120),TEXT(Deficit!E120, "0.00"),""), "")</f>
        <v/>
      </c>
      <c r="C115" s="14" t="str">
        <f>IFERROR(IF(ISNUMBER(Deficit!F120),TEXT(Deficit!F120,"0.00"),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IFERROR(IF(ISNUMBER(Deficit!E121),TEXT(Deficit!E121, "0.00"),""), "")</f>
        <v/>
      </c>
      <c r="C116" s="14" t="str">
        <f>IFERROR(IF(ISNUMBER(Deficit!F121),TEXT(Deficit!F121,"0.00"),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IFERROR(IF(ISNUMBER(Deficit!E122),TEXT(Deficit!E122, "0.00"),""), "")</f>
        <v/>
      </c>
      <c r="C117" s="14" t="str">
        <f>IFERROR(IF(ISNUMBER(Deficit!F122),TEXT(Deficit!F122,"0.00"),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IFERROR(IF(ISNUMBER(Deficit!E123),TEXT(Deficit!E123, "0.00"),""), "")</f>
        <v/>
      </c>
      <c r="C118" s="14" t="str">
        <f>IFERROR(IF(ISNUMBER(Deficit!F123),TEXT(Deficit!F123,"0.00"),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IFERROR(IF(ISNUMBER(Deficit!E124),TEXT(Deficit!E124, "0.00"),""), "")</f>
        <v/>
      </c>
      <c r="C119" s="14" t="str">
        <f>IFERROR(IF(ISNUMBER(Deficit!F124),TEXT(Deficit!F124,"0.00"),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IFERROR(IF(ISNUMBER(Deficit!E125),TEXT(Deficit!E125, "0.00"),""), "")</f>
        <v/>
      </c>
      <c r="C120" s="14" t="str">
        <f>IFERROR(IF(ISNUMBER(Deficit!F125),TEXT(Deficit!F125,"0.00"),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IFERROR(IF(ISNUMBER(Deficit!E126),TEXT(Deficit!E126, "0.00"),""), "")</f>
        <v/>
      </c>
      <c r="C121" s="14" t="str">
        <f>IFERROR(IF(ISNUMBER(Deficit!F126),TEXT(Deficit!F126,"0.00"),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IFERROR(IF(ISNUMBER(Deficit!E127),TEXT(Deficit!E127, "0.00"),""), "")</f>
        <v/>
      </c>
      <c r="C122" s="14" t="str">
        <f>IFERROR(IF(ISNUMBER(Deficit!F127),TEXT(Deficit!F127,"0.00"),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IFERROR(IF(ISNUMBER(Deficit!E128),TEXT(Deficit!E128, "0.00"),""), "")</f>
        <v/>
      </c>
      <c r="C123" s="14" t="str">
        <f>IFERROR(IF(ISNUMBER(Deficit!F128),TEXT(Deficit!F128,"0.00"),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IFERROR(IF(ISNUMBER(Deficit!E129),TEXT(Deficit!E129, "0.00"),""), "")</f>
        <v/>
      </c>
      <c r="C124" s="14" t="str">
        <f>IFERROR(IF(ISNUMBER(Deficit!F129),TEXT(Deficit!F129,"0.00"),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IFERROR(IF(ISNUMBER(Deficit!E130),TEXT(Deficit!E130, "0.00"),""), "")</f>
        <v/>
      </c>
      <c r="C125" s="14" t="str">
        <f>IFERROR(IF(ISNUMBER(Deficit!F130),TEXT(Deficit!F130,"0.00"),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IFERROR(IF(ISNUMBER(Deficit!E131),TEXT(Deficit!E131, "0.00"),""), "")</f>
        <v/>
      </c>
      <c r="C126" s="14" t="str">
        <f>IFERROR(IF(ISNUMBER(Deficit!F131),TEXT(Deficit!F131,"0.00"),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IFERROR(IF(ISNUMBER(Deficit!E132),TEXT(Deficit!E132, "0.00"),""), "")</f>
        <v/>
      </c>
      <c r="C127" s="14" t="str">
        <f>IFERROR(IF(ISNUMBER(Deficit!F132),TEXT(Deficit!F132,"0.00"),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IFERROR(IF(ISNUMBER(Deficit!E133),TEXT(Deficit!E133, "0.00"),""), "")</f>
        <v/>
      </c>
      <c r="C128" s="14" t="str">
        <f>IFERROR(IF(ISNUMBER(Deficit!F133),TEXT(Deficit!F133,"0.00"),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IFERROR(IF(ISNUMBER(Deficit!E134),TEXT(Deficit!E134, "0.00"),""), "")</f>
        <v/>
      </c>
      <c r="C129" s="14" t="str">
        <f>IFERROR(IF(ISNUMBER(Deficit!F134),TEXT(Deficit!F134,"0.00"),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IFERROR(IF(ISNUMBER(Deficit!E135),TEXT(Deficit!E135, "0.00"),""), "")</f>
        <v/>
      </c>
      <c r="C130" s="14" t="str">
        <f>IFERROR(IF(ISNUMBER(Deficit!F135),TEXT(Deficit!F135,"0.00"),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IFERROR(IF(ISNUMBER(Deficit!E136),TEXT(Deficit!E136, "0.00"),""), "")</f>
        <v/>
      </c>
      <c r="C131" s="14" t="str">
        <f>IFERROR(IF(ISNUMBER(Deficit!F136),TEXT(Deficit!F136,"0.00"),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IFERROR(IF(ISNUMBER(Deficit!E137),TEXT(Deficit!E137, "0.00"),""), "")</f>
        <v/>
      </c>
      <c r="C132" s="14" t="str">
        <f>IFERROR(IF(ISNUMBER(Deficit!F137),TEXT(Deficit!F137,"0.00"),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IFERROR(IF(ISNUMBER(Deficit!E138),TEXT(Deficit!E138, "0.00"),""), "")</f>
        <v/>
      </c>
      <c r="C133" s="14" t="str">
        <f>IFERROR(IF(ISNUMBER(Deficit!F138),TEXT(Deficit!F138,"0.00"),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IFERROR(IF(ISNUMBER(Deficit!E139),TEXT(Deficit!E139, "0.00"),""), "")</f>
        <v/>
      </c>
      <c r="C134" s="14" t="str">
        <f>IFERROR(IF(ISNUMBER(Deficit!F139),TEXT(Deficit!F139,"0.00"),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IFERROR(IF(ISNUMBER(Deficit!E140),TEXT(Deficit!E140, "0.00"),""), "")</f>
        <v/>
      </c>
      <c r="C135" s="14" t="str">
        <f>IFERROR(IF(ISNUMBER(Deficit!F140),TEXT(Deficit!F140,"0.00"),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IFERROR(IF(ISNUMBER(Deficit!E141),TEXT(Deficit!E141, "0.00"),""), "")</f>
        <v/>
      </c>
      <c r="C136" s="14" t="str">
        <f>IFERROR(IF(ISNUMBER(Deficit!F141),TEXT(Deficit!F141,"0.00"),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IFERROR(IF(ISNUMBER(Deficit!E142),TEXT(Deficit!E142, "0.00"),""), "")</f>
        <v/>
      </c>
      <c r="C137" s="14" t="str">
        <f>IFERROR(IF(ISNUMBER(Deficit!F142),TEXT(Deficit!F142,"0.00"),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IFERROR(IF(ISNUMBER(Deficit!E143),TEXT(Deficit!E143, "0.00"),""), "")</f>
        <v/>
      </c>
      <c r="C138" s="14" t="str">
        <f>IFERROR(IF(ISNUMBER(Deficit!F143),TEXT(Deficit!F143,"0.00"),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IFERROR(IF(ISNUMBER(Deficit!E144),TEXT(Deficit!E144, "0.00"),""), "")</f>
        <v/>
      </c>
      <c r="C139" s="14" t="str">
        <f>IFERROR(IF(ISNUMBER(Deficit!F144),TEXT(Deficit!F144,"0.00"),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IFERROR(IF(ISNUMBER(Deficit!E145),TEXT(Deficit!E145, "0.00"),""), "")</f>
        <v/>
      </c>
      <c r="C140" s="14" t="str">
        <f>IFERROR(IF(ISNUMBER(Deficit!F145),TEXT(Deficit!F145,"0.00"),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IFERROR(IF(ISNUMBER(Deficit!E146),TEXT(Deficit!E146, "0.00"),""), "")</f>
        <v/>
      </c>
      <c r="C141" s="14" t="str">
        <f>IFERROR(IF(ISNUMBER(Deficit!F146),TEXT(Deficit!F146,"0.00"),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IFERROR(IF(ISNUMBER(Deficit!E147),TEXT(Deficit!E147, "0.00"),""), "")</f>
        <v/>
      </c>
      <c r="C142" s="14" t="str">
        <f>IFERROR(IF(ISNUMBER(Deficit!F147),TEXT(Deficit!F147,"0.00"),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IFERROR(IF(ISNUMBER(Deficit!E148),TEXT(Deficit!E148, "0.00"),""), "")</f>
        <v/>
      </c>
      <c r="C143" s="14" t="str">
        <f>IFERROR(IF(ISNUMBER(Deficit!F148),TEXT(Deficit!F148,"0.00"),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IFERROR(IF(ISNUMBER(Deficit!E149),TEXT(Deficit!E149, "0.00"),""), "")</f>
        <v/>
      </c>
      <c r="C144" s="14" t="str">
        <f>IFERROR(IF(ISNUMBER(Deficit!F149),TEXT(Deficit!F149,"0.00"),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IFERROR(IF(ISNUMBER(Deficit!E150),TEXT(Deficit!E150, "0.00"),""), "")</f>
        <v/>
      </c>
      <c r="C145" s="14" t="str">
        <f>IFERROR(IF(ISNUMBER(Deficit!F150),TEXT(Deficit!F150,"0.00"),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IFERROR(IF(ISNUMBER(Deficit!E151),TEXT(Deficit!E151, "0.00"),""), "")</f>
        <v/>
      </c>
      <c r="C146" s="14" t="str">
        <f>IFERROR(IF(ISNUMBER(Deficit!F151),TEXT(Deficit!F151,"0.00"),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IFERROR(IF(ISNUMBER(Deficit!E152),TEXT(Deficit!E152, "0.00"),""), "")</f>
        <v/>
      </c>
      <c r="C147" s="14" t="str">
        <f>IFERROR(IF(ISNUMBER(Deficit!F152),TEXT(Deficit!F152,"0.00"),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IFERROR(IF(ISNUMBER(Deficit!E153),TEXT(Deficit!E153, "0.00"),""), "")</f>
        <v/>
      </c>
      <c r="C148" s="14" t="str">
        <f>IFERROR(IF(ISNUMBER(Deficit!F153),TEXT(Deficit!F153,"0.00"),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IFERROR(IF(ISNUMBER(Deficit!E154),TEXT(Deficit!E154, "0.00"),""), "")</f>
        <v/>
      </c>
      <c r="C149" s="14" t="str">
        <f>IFERROR(IF(ISNUMBER(Deficit!F154),TEXT(Deficit!F154,"0.00"),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IFERROR(IF(ISNUMBER(Deficit!E155),TEXT(Deficit!E155, "0.00"),""), "")</f>
        <v/>
      </c>
      <c r="C150" s="14" t="str">
        <f>IFERROR(IF(ISNUMBER(Deficit!F155),TEXT(Deficit!F155,"0.00"),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IFERROR(IF(ISNUMBER(Deficit!E156),TEXT(Deficit!E156, "0.00"),""), "")</f>
        <v/>
      </c>
      <c r="C151" s="14" t="str">
        <f>IFERROR(IF(ISNUMBER(Deficit!F156),TEXT(Deficit!F156,"0.00"),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IFERROR(IF(ISNUMBER(Deficit!E157),TEXT(Deficit!E157, "0.00"),""), "")</f>
        <v/>
      </c>
      <c r="C152" s="14" t="str">
        <f>IFERROR(IF(ISNUMBER(Deficit!F157),TEXT(Deficit!F157,"0.00"),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IFERROR(IF(ISNUMBER(Deficit!E158),TEXT(Deficit!E158, "0.00"),""), "")</f>
        <v/>
      </c>
      <c r="C153" s="14" t="str">
        <f>IFERROR(IF(ISNUMBER(Deficit!F158),TEXT(Deficit!F158,"0.00"),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IFERROR(IF(ISNUMBER(Deficit!E159),TEXT(Deficit!E159, "0.00"),""), "")</f>
        <v/>
      </c>
      <c r="C154" s="14" t="str">
        <f>IFERROR(IF(ISNUMBER(Deficit!F159),TEXT(Deficit!F159,"0.00"),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IFERROR(IF(ISNUMBER(Deficit!E160),TEXT(Deficit!E160, "0.00"),""), "")</f>
        <v/>
      </c>
      <c r="C155" s="14" t="str">
        <f>IFERROR(IF(ISNUMBER(Deficit!F160),TEXT(Deficit!F160,"0.00"),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IFERROR(IF(ISNUMBER(Deficit!E161),TEXT(Deficit!E161, "0.00"),""), "")</f>
        <v/>
      </c>
      <c r="C156" s="14" t="str">
        <f>IFERROR(IF(ISNUMBER(Deficit!F161),TEXT(Deficit!F161,"0.00"),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IFERROR(IF(ISNUMBER(Deficit!E162),TEXT(Deficit!E162, "0.00"),""), "")</f>
        <v/>
      </c>
      <c r="C157" s="14" t="str">
        <f>IFERROR(IF(ISNUMBER(Deficit!F162),TEXT(Deficit!F162,"0.00"),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IFERROR(IF(ISNUMBER(Deficit!E163),TEXT(Deficit!E163, "0.00"),""), "")</f>
        <v/>
      </c>
      <c r="C158" s="14" t="str">
        <f>IFERROR(IF(ISNUMBER(Deficit!F163),TEXT(Deficit!F163,"0.00"),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IFERROR(IF(ISNUMBER(Deficit!E164),TEXT(Deficit!E164, "0.00"),""), "")</f>
        <v/>
      </c>
      <c r="C159" s="14" t="str">
        <f>IFERROR(IF(ISNUMBER(Deficit!F164),TEXT(Deficit!F164,"0.00"),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IFERROR(IF(ISNUMBER(Deficit!E165),TEXT(Deficit!E165, "0.00"),""), "")</f>
        <v/>
      </c>
      <c r="C160" s="14" t="str">
        <f>IFERROR(IF(ISNUMBER(Deficit!F165),TEXT(Deficit!F165,"0.00"),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IFERROR(IF(ISNUMBER(Deficit!E166),TEXT(Deficit!E166, "0.00"),""), "")</f>
        <v/>
      </c>
      <c r="C161" s="14" t="str">
        <f>IFERROR(IF(ISNUMBER(Deficit!F166),TEXT(Deficit!F166,"0.00"),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IFERROR(IF(ISNUMBER(Deficit!E167),TEXT(Deficit!E167, "0.00"),""), "")</f>
        <v/>
      </c>
      <c r="C162" s="14" t="str">
        <f>IFERROR(IF(ISNUMBER(Deficit!F167),TEXT(Deficit!F167,"0.00"),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IFERROR(IF(ISNUMBER(Deficit!E168),TEXT(Deficit!E168, "0.00"),""), "")</f>
        <v/>
      </c>
      <c r="C163" s="14" t="str">
        <f>IFERROR(IF(ISNUMBER(Deficit!F168),TEXT(Deficit!F168,"0.00"),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IFERROR(IF(ISNUMBER(Deficit!E169),TEXT(Deficit!E169, "0.00"),""), "")</f>
        <v/>
      </c>
      <c r="C164" s="14" t="str">
        <f>IFERROR(IF(ISNUMBER(Deficit!F169),TEXT(Deficit!F169,"0.00"),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IFERROR(IF(ISNUMBER(Deficit!E170),TEXT(Deficit!E170, "0.00"),""), "")</f>
        <v/>
      </c>
      <c r="C165" s="14" t="str">
        <f>IFERROR(IF(ISNUMBER(Deficit!F170),TEXT(Deficit!F170,"0.00"),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IFERROR(IF(ISNUMBER(Deficit!E171),TEXT(Deficit!E171, "0.00"),""), "")</f>
        <v/>
      </c>
      <c r="C166" s="14" t="str">
        <f>IFERROR(IF(ISNUMBER(Deficit!F171),TEXT(Deficit!F171,"0.00"),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IFERROR(IF(ISNUMBER(Deficit!E172),TEXT(Deficit!E172, "0.00"),""), "")</f>
        <v/>
      </c>
      <c r="C167" s="14" t="str">
        <f>IFERROR(IF(ISNUMBER(Deficit!F172),TEXT(Deficit!F172,"0.00"),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IFERROR(IF(ISNUMBER(Deficit!E173),TEXT(Deficit!E173, "0.00"),""), "")</f>
        <v/>
      </c>
      <c r="C168" s="14" t="str">
        <f>IFERROR(IF(ISNUMBER(Deficit!F173),TEXT(Deficit!F173,"0.00"),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IFERROR(IF(ISNUMBER(Deficit!E174),TEXT(Deficit!E174, "0.00"),""), "")</f>
        <v/>
      </c>
      <c r="C169" s="14" t="str">
        <f>IFERROR(IF(ISNUMBER(Deficit!F174),TEXT(Deficit!F174,"0.00"),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IFERROR(IF(ISNUMBER(Deficit!E175),TEXT(Deficit!E175, "0.00"),""), "")</f>
        <v/>
      </c>
      <c r="C170" s="14" t="str">
        <f>IFERROR(IF(ISNUMBER(Deficit!F175),TEXT(Deficit!F175,"0.00"),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IFERROR(IF(ISNUMBER(Deficit!E176),TEXT(Deficit!E176, "0.00"),""), "")</f>
        <v/>
      </c>
      <c r="C171" s="14" t="str">
        <f>IFERROR(IF(ISNUMBER(Deficit!F176),TEXT(Deficit!F176,"0.00"),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IFERROR(IF(ISNUMBER(Deficit!E177),TEXT(Deficit!E177, "0.00"),""), "")</f>
        <v/>
      </c>
      <c r="C172" s="14" t="str">
        <f>IFERROR(IF(ISNUMBER(Deficit!F177),TEXT(Deficit!F177,"0.00"),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IFERROR(IF(ISNUMBER(Deficit!E178),TEXT(Deficit!E178, "0.00"),""), "")</f>
        <v/>
      </c>
      <c r="C173" s="14" t="str">
        <f>IFERROR(IF(ISNUMBER(Deficit!F178),TEXT(Deficit!F178,"0.00"),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IFERROR(IF(ISNUMBER(Deficit!E179),TEXT(Deficit!E179, "0.00"),""), "")</f>
        <v/>
      </c>
      <c r="C174" s="14" t="str">
        <f>IFERROR(IF(ISNUMBER(Deficit!F179),TEXT(Deficit!F179,"0.00"),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IFERROR(IF(ISNUMBER(Deficit!E180),TEXT(Deficit!E180, "0.00"),""), "")</f>
        <v/>
      </c>
      <c r="C175" s="14" t="str">
        <f>IFERROR(IF(ISNUMBER(Deficit!F180),TEXT(Deficit!F180,"0.00"),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IFERROR(IF(ISNUMBER(Deficit!E181),TEXT(Deficit!E181, "0.00"),""), "")</f>
        <v/>
      </c>
      <c r="C176" s="14" t="str">
        <f>IFERROR(IF(ISNUMBER(Deficit!F181),TEXT(Deficit!F181,"0.00"),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IFERROR(IF(ISNUMBER(Deficit!E182),TEXT(Deficit!E182, "0.00"),""), "")</f>
        <v/>
      </c>
      <c r="C177" s="14" t="str">
        <f>IFERROR(IF(ISNUMBER(Deficit!F182),TEXT(Deficit!F182,"0.00"),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IFERROR(IF(ISNUMBER(Deficit!E183),TEXT(Deficit!E183, "0.00"),""), "")</f>
        <v/>
      </c>
      <c r="C178" s="14" t="str">
        <f>IFERROR(IF(ISNUMBER(Deficit!F183),TEXT(Deficit!F183,"0.00"),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IFERROR(IF(ISNUMBER(Deficit!E184),TEXT(Deficit!E184, "0.00"),""), "")</f>
        <v/>
      </c>
      <c r="C179" s="14" t="str">
        <f>IFERROR(IF(ISNUMBER(Deficit!F184),TEXT(Deficit!F184,"0.00"),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IFERROR(IF(ISNUMBER(Deficit!E185),TEXT(Deficit!E185, "0.00"),""), "")</f>
        <v/>
      </c>
      <c r="C180" s="14" t="str">
        <f>IFERROR(IF(ISNUMBER(Deficit!F185),TEXT(Deficit!F185,"0.00"),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IFERROR(IF(ISNUMBER(Deficit!E186),TEXT(Deficit!E186, "0.00"),""), "")</f>
        <v/>
      </c>
      <c r="C181" s="14" t="str">
        <f>IFERROR(IF(ISNUMBER(Deficit!F186),TEXT(Deficit!F186,"0.00"),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IFERROR(IF(ISNUMBER(Deficit!E187),TEXT(Deficit!E187, "0.00"),""), "")</f>
        <v/>
      </c>
      <c r="C182" s="14" t="str">
        <f>IFERROR(IF(ISNUMBER(Deficit!F187),TEXT(Deficit!F187,"0.00"),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IFERROR(IF(ISNUMBER(Deficit!E188),TEXT(Deficit!E188, "0.00"),""), "")</f>
        <v/>
      </c>
      <c r="C183" s="14" t="str">
        <f>IFERROR(IF(ISNUMBER(Deficit!F188),TEXT(Deficit!F188,"0.00"),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IFERROR(IF(ISNUMBER(Deficit!E189),TEXT(Deficit!E189, "0.00"),""), "")</f>
        <v/>
      </c>
      <c r="C184" s="14" t="str">
        <f>IFERROR(IF(ISNUMBER(Deficit!F189),TEXT(Deficit!F189,"0.00"),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IFERROR(IF(ISNUMBER(Deficit!E190),TEXT(Deficit!E190, "0.00"),""), "")</f>
        <v/>
      </c>
      <c r="C185" s="14" t="str">
        <f>IFERROR(IF(ISNUMBER(Deficit!F190),TEXT(Deficit!F190,"0.00"),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IFERROR(IF(ISNUMBER(Deficit!E191),TEXT(Deficit!E191, "0.00"),""), "")</f>
        <v/>
      </c>
      <c r="C186" s="14" t="str">
        <f>IFERROR(IF(ISNUMBER(Deficit!F191),TEXT(Deficit!F191,"0.00"),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IFERROR(IF(ISNUMBER(Deficit!E192),TEXT(Deficit!E192, "0.00"),""), "")</f>
        <v/>
      </c>
      <c r="C187" s="14" t="str">
        <f>IFERROR(IF(ISNUMBER(Deficit!F192),TEXT(Deficit!F192,"0.00"),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IFERROR(IF(ISNUMBER(Deficit!E193),TEXT(Deficit!E193, "0.00"),""), "")</f>
        <v/>
      </c>
      <c r="C188" s="14" t="str">
        <f>IFERROR(IF(ISNUMBER(Deficit!F193),TEXT(Deficit!F193,"0.00"),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IFERROR(IF(ISNUMBER(Deficit!E194),TEXT(Deficit!E194, "0.00"),""), "")</f>
        <v/>
      </c>
      <c r="C189" s="14" t="str">
        <f>IFERROR(IF(ISNUMBER(Deficit!F194),TEXT(Deficit!F194,"0.00"),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IFERROR(IF(ISNUMBER(Deficit!E195),TEXT(Deficit!E195, "0.00"),""), "")</f>
        <v/>
      </c>
      <c r="C190" s="14" t="str">
        <f>IFERROR(IF(ISNUMBER(Deficit!F195),TEXT(Deficit!F195,"0.00"),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IFERROR(IF(ISNUMBER(Deficit!E196),TEXT(Deficit!E196, "0.00"),""), "")</f>
        <v/>
      </c>
      <c r="C191" s="14" t="str">
        <f>IFERROR(IF(ISNUMBER(Deficit!F196),TEXT(Deficit!F196,"0.00"),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IFERROR(IF(ISNUMBER(Deficit!E197),TEXT(Deficit!E197, "0.00"),""), "")</f>
        <v/>
      </c>
      <c r="C192" s="14" t="str">
        <f>IFERROR(IF(ISNUMBER(Deficit!F197),TEXT(Deficit!F197,"0.00"),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IFERROR(IF(ISNUMBER(Deficit!E198),TEXT(Deficit!E198, "0.00"),""), "")</f>
        <v/>
      </c>
      <c r="C193" s="14" t="str">
        <f>IFERROR(IF(ISNUMBER(Deficit!F198),TEXT(Deficit!F198,"0.00"),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IFERROR(IF(ISNUMBER(Deficit!E199),TEXT(Deficit!E199, "0.00"),""), "")</f>
        <v/>
      </c>
      <c r="C194" s="14" t="str">
        <f>IFERROR(IF(ISNUMBER(Deficit!F199),TEXT(Deficit!F199,"0.00"),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IFERROR(IF(ISNUMBER(Deficit!E200),TEXT(Deficit!E200, "0.00"),""), "")</f>
        <v/>
      </c>
      <c r="C195" s="14" t="str">
        <f>IFERROR(IF(ISNUMBER(Deficit!F200),TEXT(Deficit!F200,"0.00"),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IFERROR(IF(ISNUMBER(Deficit!E201),TEXT(Deficit!E201, "0.00"),""), "")</f>
        <v/>
      </c>
      <c r="C196" s="14" t="str">
        <f>IFERROR(IF(ISNUMBER(Deficit!F201),TEXT(Deficit!F201,"0.00"),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IFERROR(IF(ISNUMBER(Deficit!E202),TEXT(Deficit!E202, "0.00"),""), "")</f>
        <v/>
      </c>
      <c r="C197" s="14" t="str">
        <f>IFERROR(IF(ISNUMBER(Deficit!F202),TEXT(Deficit!F202,"0.00"),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IFERROR(IF(ISNUMBER(Deficit!E203),TEXT(Deficit!E203, "0.00"),""), "")</f>
        <v/>
      </c>
      <c r="C198" s="14" t="str">
        <f>IFERROR(IF(ISNUMBER(Deficit!F203),TEXT(Deficit!F203,"0.00"),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IFERROR(IF(ISNUMBER(Deficit!E204),TEXT(Deficit!E204, "0.00"),""), "")</f>
        <v/>
      </c>
      <c r="C199" s="14" t="str">
        <f>IFERROR(IF(ISNUMBER(Deficit!F204),TEXT(Deficit!F204,"0.00"),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IFERROR(IF(ISNUMBER(Deficit!E205),TEXT(Deficit!E205, "0.00"),""), "")</f>
        <v/>
      </c>
      <c r="C200" s="14" t="str">
        <f>IFERROR(IF(ISNUMBER(Deficit!F205),TEXT(Deficit!F205,"0.00"),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IFERROR(IF(ISNUMBER(Deficit!E206),TEXT(Deficit!E206, "0.00"),""), "")</f>
        <v/>
      </c>
      <c r="C201" s="14" t="str">
        <f>IFERROR(IF(ISNUMBER(Deficit!F206),TEXT(Deficit!F206,"0.00"),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IFERROR(IF(ISNUMBER(Deficit!E207),TEXT(Deficit!E207, "0.00"),""), "")</f>
        <v/>
      </c>
      <c r="C202" s="14" t="str">
        <f>IFERROR(IF(ISNUMBER(Deficit!F207),TEXT(Deficit!F207,"0.00"),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IFERROR(IF(ISNUMBER(Deficit!E208),TEXT(Deficit!E208, "0.00"),""), "")</f>
        <v/>
      </c>
      <c r="C203" s="14" t="str">
        <f>IFERROR(IF(ISNUMBER(Deficit!F208),TEXT(Deficit!F208,"0.00"),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IFERROR(IF(ISNUMBER(Deficit!E209),TEXT(Deficit!E209, "0.00"),""), "")</f>
        <v/>
      </c>
      <c r="C204" s="14" t="str">
        <f>IFERROR(IF(ISNUMBER(Deficit!F209),TEXT(Deficit!F209,"0.00"),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IFERROR(IF(ISNUMBER(Deficit!E210),TEXT(Deficit!E210, "0.00"),""), "")</f>
        <v/>
      </c>
      <c r="C205" s="14" t="str">
        <f>IFERROR(IF(ISNUMBER(Deficit!F210),TEXT(Deficit!F210,"0.00"),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IFERROR(IF(ISNUMBER(Deficit!E211),TEXT(Deficit!E211, "0.00"),""), "")</f>
        <v/>
      </c>
      <c r="C206" s="14" t="str">
        <f>IFERROR(IF(ISNUMBER(Deficit!F211),TEXT(Deficit!F211,"0.00"),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IFERROR(IF(ISNUMBER(Deficit!E212),TEXT(Deficit!E212, "0.00"),""), "")</f>
        <v/>
      </c>
      <c r="C207" s="14" t="str">
        <f>IFERROR(IF(ISNUMBER(Deficit!F212),TEXT(Deficit!F212,"0.00"),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IFERROR(IF(ISNUMBER(Deficit!E213),TEXT(Deficit!E213, "0.00"),""), "")</f>
        <v/>
      </c>
      <c r="C208" s="14" t="str">
        <f>IFERROR(IF(ISNUMBER(Deficit!F213),TEXT(Deficit!F213,"0.00"),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IFERROR(IF(ISNUMBER(Deficit!E214),TEXT(Deficit!E214, "0.00"),""), "")</f>
        <v/>
      </c>
      <c r="C209" s="14" t="str">
        <f>IFERROR(IF(ISNUMBER(Deficit!F214),TEXT(Deficit!F214,"0.00"),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IFERROR(IF(ISNUMBER(Deficit!E215),TEXT(Deficit!E215, "0.00"),""), "")</f>
        <v/>
      </c>
      <c r="C210" s="14" t="str">
        <f>IFERROR(IF(ISNUMBER(Deficit!F215),TEXT(Deficit!F215,"0.00"),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IFERROR(IF(ISNUMBER(Deficit!E216),TEXT(Deficit!E216, "0.00"),""), "")</f>
        <v/>
      </c>
      <c r="C211" s="14" t="str">
        <f>IFERROR(IF(ISNUMBER(Deficit!F216),TEXT(Deficit!F216,"0.00"),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IFERROR(IF(ISNUMBER(Deficit!E217),TEXT(Deficit!E217, "0.00"),""), "")</f>
        <v/>
      </c>
      <c r="C212" s="14" t="str">
        <f>IFERROR(IF(ISNUMBER(Deficit!F217),TEXT(Deficit!F217,"0.00"),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IFERROR(IF(ISNUMBER(Deficit!E218),TEXT(Deficit!E218, "0.00"),""), "")</f>
        <v/>
      </c>
      <c r="C213" s="14" t="str">
        <f>IFERROR(IF(ISNUMBER(Deficit!F218),TEXT(Deficit!F218,"0.00"),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IFERROR(IF(ISNUMBER(Deficit!E219),TEXT(Deficit!E219, "0.00"),""), "")</f>
        <v/>
      </c>
      <c r="C214" s="14" t="str">
        <f>IFERROR(IF(ISNUMBER(Deficit!F219),TEXT(Deficit!F219,"0.00"),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IFERROR(IF(ISNUMBER(Deficit!E220),TEXT(Deficit!E220, "0.00"),""), "")</f>
        <v/>
      </c>
      <c r="C215" s="14" t="str">
        <f>IFERROR(IF(ISNUMBER(Deficit!F220),TEXT(Deficit!F220,"0.00"),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IFERROR(IF(ISNUMBER(Deficit!E221),TEXT(Deficit!E221, "0.00"),""), "")</f>
        <v/>
      </c>
      <c r="C216" s="14" t="str">
        <f>IFERROR(IF(ISNUMBER(Deficit!F221),TEXT(Deficit!F221,"0.00"),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IFERROR(IF(ISNUMBER(Deficit!E222),TEXT(Deficit!E222, "0.00"),""), "")</f>
        <v/>
      </c>
      <c r="C217" s="14" t="str">
        <f>IFERROR(IF(ISNUMBER(Deficit!F222),TEXT(Deficit!F222,"0.00"),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IFERROR(IF(ISNUMBER(Deficit!E223),TEXT(Deficit!E223, "0.00"),""), "")</f>
        <v/>
      </c>
      <c r="C218" s="14" t="str">
        <f>IFERROR(IF(ISNUMBER(Deficit!F223),TEXT(Deficit!F223,"0.00"),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IFERROR(IF(ISNUMBER(Deficit!E224),TEXT(Deficit!E224, "0.00"),""), "")</f>
        <v/>
      </c>
      <c r="C219" s="14" t="str">
        <f>IFERROR(IF(ISNUMBER(Deficit!F224),TEXT(Deficit!F224,"0.00"),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IFERROR(IF(ISNUMBER(Deficit!E225),TEXT(Deficit!E225, "0.00"),""), "")</f>
        <v/>
      </c>
      <c r="C220" s="14" t="str">
        <f>IFERROR(IF(ISNUMBER(Deficit!F225),TEXT(Deficit!F225,"0.00"),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IFERROR(IF(ISNUMBER(Deficit!E226),TEXT(Deficit!E226, "0.00"),""), "")</f>
        <v/>
      </c>
      <c r="C221" s="14" t="str">
        <f>IFERROR(IF(ISNUMBER(Deficit!F226),TEXT(Deficit!F226,"0.00"),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IFERROR(IF(ISNUMBER(Deficit!E227),TEXT(Deficit!E227, "0.00"),""), "")</f>
        <v/>
      </c>
      <c r="C222" s="14" t="str">
        <f>IFERROR(IF(ISNUMBER(Deficit!F227),TEXT(Deficit!F227,"0.00"),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IFERROR(IF(ISNUMBER(Deficit!E228),TEXT(Deficit!E228, "0.00"),""), "")</f>
        <v/>
      </c>
      <c r="C223" s="14" t="str">
        <f>IFERROR(IF(ISNUMBER(Deficit!F228),TEXT(Deficit!F228,"0.00"),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IFERROR(IF(ISNUMBER(Deficit!E229),TEXT(Deficit!E229, "0.00"),""), "")</f>
        <v/>
      </c>
      <c r="C224" s="14" t="str">
        <f>IFERROR(IF(ISNUMBER(Deficit!F229),TEXT(Deficit!F229,"0.00"),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IFERROR(IF(ISNUMBER(Deficit!E230),TEXT(Deficit!E230, "0.00"),""), "")</f>
        <v/>
      </c>
      <c r="C225" s="14" t="str">
        <f>IFERROR(IF(ISNUMBER(Deficit!F230),TEXT(Deficit!F230,"0.00"),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IFERROR(IF(ISNUMBER(Deficit!E231),TEXT(Deficit!E231, "0.00"),""), "")</f>
        <v/>
      </c>
      <c r="C226" s="14" t="str">
        <f>IFERROR(IF(ISNUMBER(Deficit!F231),TEXT(Deficit!F231,"0.00"),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IFERROR(IF(ISNUMBER(Deficit!E232),TEXT(Deficit!E232, "0.00"),""), "")</f>
        <v/>
      </c>
      <c r="C227" s="14" t="str">
        <f>IFERROR(IF(ISNUMBER(Deficit!F232),TEXT(Deficit!F232,"0.00"),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IFERROR(IF(ISNUMBER(Deficit!E233),TEXT(Deficit!E233, "0.00"),""), "")</f>
        <v/>
      </c>
      <c r="C228" s="14" t="str">
        <f>IFERROR(IF(ISNUMBER(Deficit!F233),TEXT(Deficit!F233,"0.00"),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IFERROR(IF(ISNUMBER(Deficit!E234),TEXT(Deficit!E234, "0.00"),""), "")</f>
        <v/>
      </c>
      <c r="C229" s="14" t="str">
        <f>IFERROR(IF(ISNUMBER(Deficit!F234),TEXT(Deficit!F234,"0.00"),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IFERROR(IF(ISNUMBER(Deficit!E235),TEXT(Deficit!E235, "0.00"),""), "")</f>
        <v/>
      </c>
      <c r="C230" s="14" t="str">
        <f>IFERROR(IF(ISNUMBER(Deficit!F235),TEXT(Deficit!F235,"0.00"),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IFERROR(IF(ISNUMBER(Deficit!E236),TEXT(Deficit!E236, "0.00"),""), "")</f>
        <v/>
      </c>
      <c r="C231" s="14" t="str">
        <f>IFERROR(IF(ISNUMBER(Deficit!F236),TEXT(Deficit!F236,"0.00"),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IFERROR(IF(ISNUMBER(Deficit!E237),TEXT(Deficit!E237, "0.00"),""), "")</f>
        <v/>
      </c>
      <c r="C232" s="14" t="str">
        <f>IFERROR(IF(ISNUMBER(Deficit!F237),TEXT(Deficit!F237,"0.00"),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IFERROR(IF(ISNUMBER(Deficit!E238),TEXT(Deficit!E238, "0.00"),""), "")</f>
        <v/>
      </c>
      <c r="C233" s="14" t="str">
        <f>IFERROR(IF(ISNUMBER(Deficit!F238),TEXT(Deficit!F238,"0.00"),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IFERROR(IF(ISNUMBER(Deficit!E239),TEXT(Deficit!E239, "0.00"),""), "")</f>
        <v/>
      </c>
      <c r="C234" s="14" t="str">
        <f>IFERROR(IF(ISNUMBER(Deficit!F239),TEXT(Deficit!F239,"0.00"),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IFERROR(IF(ISNUMBER(Deficit!E240),TEXT(Deficit!E240, "0.00"),""), "")</f>
        <v/>
      </c>
      <c r="C235" s="14" t="str">
        <f>IFERROR(IF(ISNUMBER(Deficit!F240),TEXT(Deficit!F240,"0.00"),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IFERROR(IF(ISNUMBER(Deficit!E241),TEXT(Deficit!E241, "0.00"),""), "")</f>
        <v/>
      </c>
      <c r="C236" s="14" t="str">
        <f>IFERROR(IF(ISNUMBER(Deficit!F241),TEXT(Deficit!F241,"0.00"),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IFERROR(IF(ISNUMBER(Deficit!E242),TEXT(Deficit!E242, "0.00"),""), "")</f>
        <v/>
      </c>
      <c r="C237" s="14" t="str">
        <f>IFERROR(IF(ISNUMBER(Deficit!F242),TEXT(Deficit!F242,"0.00"),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IFERROR(IF(ISNUMBER(Deficit!E243),TEXT(Deficit!E243, "0.00"),""), "")</f>
        <v/>
      </c>
      <c r="C238" s="14" t="str">
        <f>IFERROR(IF(ISNUMBER(Deficit!F243),TEXT(Deficit!F243,"0.00"),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IFERROR(IF(ISNUMBER(Deficit!E244),TEXT(Deficit!E244, "0.00"),""), "")</f>
        <v/>
      </c>
      <c r="C239" s="14" t="str">
        <f>IFERROR(IF(ISNUMBER(Deficit!F244),TEXT(Deficit!F244,"0.00"),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IFERROR(IF(ISNUMBER(Deficit!E245),TEXT(Deficit!E245, "0.00"),""), "")</f>
        <v/>
      </c>
      <c r="C240" s="14" t="str">
        <f>IFERROR(IF(ISNUMBER(Deficit!F245),TEXT(Deficit!F245,"0.00"),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IFERROR(IF(ISNUMBER(Deficit!E246),TEXT(Deficit!E246, "0.00"),""), "")</f>
        <v/>
      </c>
      <c r="C241" s="14" t="str">
        <f>IFERROR(IF(ISNUMBER(Deficit!F246),TEXT(Deficit!F246,"0.00"),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IFERROR(IF(ISNUMBER(Deficit!E247),TEXT(Deficit!E247, "0.00"),""), "")</f>
        <v/>
      </c>
      <c r="C242" s="14" t="str">
        <f>IFERROR(IF(ISNUMBER(Deficit!F247),TEXT(Deficit!F247,"0.00"),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IFERROR(IF(ISNUMBER(Deficit!E248),TEXT(Deficit!E248, "0.00"),""), "")</f>
        <v/>
      </c>
      <c r="C243" s="14" t="str">
        <f>IFERROR(IF(ISNUMBER(Deficit!F248),TEXT(Deficit!F248,"0.00"),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IFERROR(IF(ISNUMBER(Deficit!E249),TEXT(Deficit!E249, "0.00"),""), "")</f>
        <v/>
      </c>
      <c r="C244" s="14" t="str">
        <f>IFERROR(IF(ISNUMBER(Deficit!F249),TEXT(Deficit!F249,"0.00"),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IFERROR(IF(ISNUMBER(Deficit!E250),TEXT(Deficit!E250, "0.00"),""), "")</f>
        <v/>
      </c>
      <c r="C245" s="14" t="str">
        <f>IFERROR(IF(ISNUMBER(Deficit!F250),TEXT(Deficit!F250,"0.00"),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IFERROR(IF(ISNUMBER(Deficit!E251),TEXT(Deficit!E251, "0.00"),""), "")</f>
        <v/>
      </c>
      <c r="C246" s="14" t="str">
        <f>IFERROR(IF(ISNUMBER(Deficit!F251),TEXT(Deficit!F251,"0.00"),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IFERROR(IF(ISNUMBER(Deficit!E252),TEXT(Deficit!E252, "0.00"),""), "")</f>
        <v/>
      </c>
      <c r="C247" s="14" t="str">
        <f>IFERROR(IF(ISNUMBER(Deficit!F252),TEXT(Deficit!F252,"0.00"),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IFERROR(IF(ISNUMBER(Deficit!E253),TEXT(Deficit!E253, "0.00"),""), "")</f>
        <v/>
      </c>
      <c r="C248" s="14" t="str">
        <f>IFERROR(IF(ISNUMBER(Deficit!F253),TEXT(Deficit!F253,"0.00"),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IFERROR(IF(ISNUMBER(Deficit!E254),TEXT(Deficit!E254, "0.00"),""), "")</f>
        <v/>
      </c>
      <c r="C249" s="14" t="str">
        <f>IFERROR(IF(ISNUMBER(Deficit!F254),TEXT(Deficit!F254,"0.00"),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IFERROR(IF(ISNUMBER(Deficit!E255),TEXT(Deficit!E255, "0.00"),""), "")</f>
        <v/>
      </c>
      <c r="C250" s="14" t="str">
        <f>IFERROR(IF(ISNUMBER(Deficit!F255),TEXT(Deficit!F255,"0.00"),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IFERROR(IF(ISNUMBER(Deficit!E256),TEXT(Deficit!E256, "0.00"),""), "")</f>
        <v/>
      </c>
      <c r="C251" s="14" t="str">
        <f>IFERROR(IF(ISNUMBER(Deficit!F256),TEXT(Deficit!F256,"0.00"),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IFERROR(IF(ISNUMBER(Deficit!E257),TEXT(Deficit!E257, "0.00"),""), "")</f>
        <v/>
      </c>
      <c r="C252" s="14" t="str">
        <f>IFERROR(IF(ISNUMBER(Deficit!F257),TEXT(Deficit!F257,"0.00"),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IFERROR(IF(ISNUMBER(Deficit!E258),TEXT(Deficit!E258, "0.00"),""), "")</f>
        <v/>
      </c>
      <c r="C253" s="14" t="str">
        <f>IFERROR(IF(ISNUMBER(Deficit!F258),TEXT(Deficit!F258,"0.00"),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IFERROR(IF(ISNUMBER(Deficit!E259),TEXT(Deficit!E259, "0.00"),""), "")</f>
        <v/>
      </c>
      <c r="C254" s="14" t="str">
        <f>IFERROR(IF(ISNUMBER(Deficit!F259),TEXT(Deficit!F259,"0.00"),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IFERROR(IF(ISNUMBER(Deficit!E260),TEXT(Deficit!E260, "0.00"),""), "")</f>
        <v/>
      </c>
      <c r="C255" s="14" t="str">
        <f>IFERROR(IF(ISNUMBER(Deficit!F260),TEXT(Deficit!F260,"0.00"),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IFERROR(IF(ISNUMBER(Deficit!E261),TEXT(Deficit!E261, "0.00"),""), "")</f>
        <v/>
      </c>
      <c r="C256" s="14" t="str">
        <f>IFERROR(IF(ISNUMBER(Deficit!F261),TEXT(Deficit!F261,"0.00"),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IFERROR(IF(ISNUMBER(Deficit!E262),TEXT(Deficit!E262, "0.00"),""), "")</f>
        <v/>
      </c>
      <c r="C257" s="14" t="str">
        <f>IFERROR(IF(ISNUMBER(Deficit!F262),TEXT(Deficit!F262,"0.00"),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IFERROR(IF(ISNUMBER(Deficit!E263),TEXT(Deficit!E263, "0.00"),""), "")</f>
        <v/>
      </c>
      <c r="C258" s="14" t="str">
        <f>IFERROR(IF(ISNUMBER(Deficit!F263),TEXT(Deficit!F263,"0.00"),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IFERROR(IF(ISNUMBER(Deficit!E264),TEXT(Deficit!E264, "0.00"),""), "")</f>
        <v/>
      </c>
      <c r="C259" s="14" t="str">
        <f>IFERROR(IF(ISNUMBER(Deficit!F264),TEXT(Deficit!F264,"0.00"),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IFERROR(IF(ISNUMBER(Deficit!E265),TEXT(Deficit!E265, "0.00"),""), "")</f>
        <v/>
      </c>
      <c r="C260" s="14" t="str">
        <f>IFERROR(IF(ISNUMBER(Deficit!F265),TEXT(Deficit!F265,"0.00"),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IFERROR(IF(ISNUMBER(Deficit!E266),TEXT(Deficit!E266, "0.00"),""), "")</f>
        <v/>
      </c>
      <c r="C261" s="14" t="str">
        <f>IFERROR(IF(ISNUMBER(Deficit!F266),TEXT(Deficit!F266,"0.00"),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IFERROR(IF(ISNUMBER(Deficit!E267),TEXT(Deficit!E267, "0.00"),""), "")</f>
        <v/>
      </c>
      <c r="C262" s="14" t="str">
        <f>IFERROR(IF(ISNUMBER(Deficit!F267),TEXT(Deficit!F267,"0.00"),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IFERROR(IF(ISNUMBER(Deficit!E268),TEXT(Deficit!E268, "0.00"),""), "")</f>
        <v/>
      </c>
      <c r="C263" s="14" t="str">
        <f>IFERROR(IF(ISNUMBER(Deficit!F268),TEXT(Deficit!F268,"0.00"),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IFERROR(IF(ISNUMBER(Deficit!E269),TEXT(Deficit!E269, "0.00"),""), "")</f>
        <v/>
      </c>
      <c r="C264" s="14" t="str">
        <f>IFERROR(IF(ISNUMBER(Deficit!F269),TEXT(Deficit!F269,"0.00"),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IFERROR(IF(ISNUMBER(Deficit!E270),TEXT(Deficit!E270, "0.00"),""), "")</f>
        <v/>
      </c>
      <c r="C265" s="14" t="str">
        <f>IFERROR(IF(ISNUMBER(Deficit!F270),TEXT(Deficit!F270,"0.00"),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IFERROR(IF(ISNUMBER(Deficit!E271),TEXT(Deficit!E271, "0.00"),""), "")</f>
        <v/>
      </c>
      <c r="C266" s="14" t="str">
        <f>IFERROR(IF(ISNUMBER(Deficit!F271),TEXT(Deficit!F271,"0.00"),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IFERROR(IF(ISNUMBER(Deficit!E272),TEXT(Deficit!E272, "0.00"),""), "")</f>
        <v/>
      </c>
      <c r="C267" s="14" t="str">
        <f>IFERROR(IF(ISNUMBER(Deficit!F272),TEXT(Deficit!F272,"0.00"),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IFERROR(IF(ISNUMBER(Deficit!E273),TEXT(Deficit!E273, "0.00"),""), "")</f>
        <v/>
      </c>
      <c r="C268" s="14" t="str">
        <f>IFERROR(IF(ISNUMBER(Deficit!F273),TEXT(Deficit!F273,"0.00"),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IFERROR(IF(ISNUMBER(Deficit!E274),TEXT(Deficit!E274, "0.00"),""), "")</f>
        <v/>
      </c>
      <c r="C269" s="14" t="str">
        <f>IFERROR(IF(ISNUMBER(Deficit!F274),TEXT(Deficit!F274,"0.00"),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IFERROR(IF(ISNUMBER(Deficit!E275),TEXT(Deficit!E275, "0.00"),""), "")</f>
        <v/>
      </c>
      <c r="C270" s="14" t="str">
        <f>IFERROR(IF(ISNUMBER(Deficit!F275),TEXT(Deficit!F275,"0.00"),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IFERROR(IF(ISNUMBER(Deficit!E276),TEXT(Deficit!E276, "0.00"),""), "")</f>
        <v/>
      </c>
      <c r="C271" s="14" t="str">
        <f>IFERROR(IF(ISNUMBER(Deficit!F276),TEXT(Deficit!F276,"0.00"),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IFERROR(IF(ISNUMBER(Deficit!E277),TEXT(Deficit!E277, "0.00"),""), "")</f>
        <v/>
      </c>
      <c r="C272" s="14" t="str">
        <f>IFERROR(IF(ISNUMBER(Deficit!F277),TEXT(Deficit!F277,"0.00"),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IFERROR(IF(ISNUMBER(Deficit!E278),TEXT(Deficit!E278, "0.00"),""), "")</f>
        <v/>
      </c>
      <c r="C273" s="14" t="str">
        <f>IFERROR(IF(ISNUMBER(Deficit!F278),TEXT(Deficit!F278,"0.00"),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IFERROR(IF(ISNUMBER(Deficit!E279),TEXT(Deficit!E279, "0.00"),""), "")</f>
        <v/>
      </c>
      <c r="C274" s="14" t="str">
        <f>IFERROR(IF(ISNUMBER(Deficit!F279),TEXT(Deficit!F279,"0.00"),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IFERROR(IF(ISNUMBER(Deficit!E280),TEXT(Deficit!E280, "0.00"),""), "")</f>
        <v/>
      </c>
      <c r="C275" s="14" t="str">
        <f>IFERROR(IF(ISNUMBER(Deficit!F280),TEXT(Deficit!F280,"0.00"),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IFERROR(IF(ISNUMBER(Deficit!E281),TEXT(Deficit!E281, "0.00"),""), "")</f>
        <v/>
      </c>
      <c r="C276" s="14" t="str">
        <f>IFERROR(IF(ISNUMBER(Deficit!F281),TEXT(Deficit!F281,"0.00"),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IFERROR(IF(ISNUMBER(Deficit!E282),TEXT(Deficit!E282, "0.00"),""), "")</f>
        <v/>
      </c>
      <c r="C277" s="14" t="str">
        <f>IFERROR(IF(ISNUMBER(Deficit!F282),TEXT(Deficit!F282,"0.00"),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IFERROR(IF(ISNUMBER(Deficit!E283),TEXT(Deficit!E283, "0.00"),""), "")</f>
        <v/>
      </c>
      <c r="C278" s="14" t="str">
        <f>IFERROR(IF(ISNUMBER(Deficit!F283),TEXT(Deficit!F283,"0.00"),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IFERROR(IF(ISNUMBER(Deficit!E284),TEXT(Deficit!E284, "0.00"),""), "")</f>
        <v/>
      </c>
      <c r="C279" s="14" t="str">
        <f>IFERROR(IF(ISNUMBER(Deficit!F284),TEXT(Deficit!F284,"0.00"),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IFERROR(IF(ISNUMBER(Deficit!E285),TEXT(Deficit!E285, "0.00"),""), "")</f>
        <v/>
      </c>
      <c r="C280" s="14" t="str">
        <f>IFERROR(IF(ISNUMBER(Deficit!F285),TEXT(Deficit!F285,"0.00"),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IFERROR(IF(ISNUMBER(Deficit!E286),TEXT(Deficit!E286, "0.00"),""), "")</f>
        <v/>
      </c>
      <c r="C281" s="14" t="str">
        <f>IFERROR(IF(ISNUMBER(Deficit!F286),TEXT(Deficit!F286,"0.00"),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IFERROR(IF(ISNUMBER(Deficit!E287),TEXT(Deficit!E287, "0.00"),""), "")</f>
        <v/>
      </c>
      <c r="C282" s="14" t="str">
        <f>IFERROR(IF(ISNUMBER(Deficit!F287),TEXT(Deficit!F287,"0.00"),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IFERROR(IF(ISNUMBER(Deficit!E288),TEXT(Deficit!E288, "0.00"),""), "")</f>
        <v/>
      </c>
      <c r="C283" s="14" t="str">
        <f>IFERROR(IF(ISNUMBER(Deficit!F288),TEXT(Deficit!F288,"0.00"),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IFERROR(IF(ISNUMBER(Deficit!E289),TEXT(Deficit!E289, "0.00"),""), "")</f>
        <v/>
      </c>
      <c r="C284" s="14" t="str">
        <f>IFERROR(IF(ISNUMBER(Deficit!F289),TEXT(Deficit!F289,"0.00"),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IFERROR(IF(ISNUMBER(Deficit!E290),TEXT(Deficit!E290, "0.00"),""), "")</f>
        <v/>
      </c>
      <c r="C285" s="14" t="str">
        <f>IFERROR(IF(ISNUMBER(Deficit!F290),TEXT(Deficit!F290,"0.00"),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13" workbookViewId="0">
      <selection activeCell="E40" sqref="E40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142</v>
      </c>
      <c r="B1" s="22" t="s">
        <v>179</v>
      </c>
      <c r="C1" s="22" t="s">
        <v>366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workbookViewId="0">
      <selection activeCell="A2" sqref="A2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142</v>
      </c>
      <c r="B1" s="22" t="s">
        <v>181</v>
      </c>
      <c r="C1" s="22" t="s">
        <v>185</v>
      </c>
      <c r="D1" s="22" t="s">
        <v>189</v>
      </c>
      <c r="E1" s="22" t="s">
        <v>183</v>
      </c>
      <c r="F1" s="22" t="s">
        <v>190</v>
      </c>
      <c r="G1" s="22" t="s">
        <v>184</v>
      </c>
      <c r="H1" s="22" t="s">
        <v>191</v>
      </c>
      <c r="I1" s="22" t="s">
        <v>182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>4.90</v>
      </c>
      <c r="H41" s="22" t="str">
        <f>IFERROR(IF(ISNUMBER('Spending by Category'!I47),TEXT('Spending by Category'!I47,"0.00"), ""), "")</f>
        <v>1.30</v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3C77323-B0B8-4B72-B4B9-5B645726D155}"/>
</file>

<file path=customXml/itemProps2.xml><?xml version="1.0" encoding="utf-8"?>
<ds:datastoreItem xmlns:ds="http://schemas.openxmlformats.org/officeDocument/2006/customXml" ds:itemID="{83D2327D-FCE7-42C5-B3AB-5B723B445C66}"/>
</file>

<file path=customXml/itemProps3.xml><?xml version="1.0" encoding="utf-8"?>
<ds:datastoreItem xmlns:ds="http://schemas.openxmlformats.org/officeDocument/2006/customXml" ds:itemID="{2185C9B2-F099-4BDB-BEEE-5AED1717E6F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Deficit_old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Deficit_old!_DLX6.USE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Emily Parker</cp:lastModifiedBy>
  <cp:lastPrinted>2014-10-24T14:22:25Z</cp:lastPrinted>
  <dcterms:created xsi:type="dcterms:W3CDTF">2014-07-22T13:55:17Z</dcterms:created>
  <dcterms:modified xsi:type="dcterms:W3CDTF">2014-10-24T14:24:10Z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