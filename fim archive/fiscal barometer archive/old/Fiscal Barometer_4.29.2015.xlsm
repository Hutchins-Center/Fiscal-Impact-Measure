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7" activeTab="8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Structures'!$K$2:$M$5</definedName>
    <definedName name="DLX2.USE">'Real Structures'!$A$3:$C$7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67" i="15" l="1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D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C80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C79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  <c r="B28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<sst xmlns="http://schemas.openxmlformats.org/spreadsheetml/2006/main" count="739" uniqueCount="455">
  <si>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</si>
  <si>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</si>
  <si>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</si>
  <si>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</si>
  <si>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</si>
  <si>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</si>
  <si>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</si>
  <si>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</si>
  <si>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</si>
  <si>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</si>
  <si>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</si>
  <si>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</si>
  <si>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</si>
  <si>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</si>
  <si>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</si>
  <si>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</si>
  <si>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</si>
  <si>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</si>
  <si>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</si>
  <si>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</si>
  <si>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</si>
  <si>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</si>
  <si>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</si>
  <si>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</si>
  <si>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</si>
  <si>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</si>
  <si>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</si>
  <si>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</si>
  <si>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</si>
  <si>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</si>
  <si>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</si>
  <si>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</si>
  <si>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</si>
  <si>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</si>
  <si>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</si>
  <si>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</si>
  <si>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</si>
  <si>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</si>
  <si>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</si>
  <si>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</si>
  <si>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</si>
  <si>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</si>
  <si>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</si>
  <si>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</si>
  <si>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</si>
  <si>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</si>
  <si>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</si>
  <si>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</si>
  <si>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</si>
  <si>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</si>
  <si>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</si>
  <si>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</si>
  <si>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</si>
  <si>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</si>
  <si>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</si>
  <si>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</si>
  <si>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</si>
  <si>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</si>
  <si>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</si>
  <si>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</si>
  <si>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</si>
  <si>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</si>
  <si>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</si>
  <si>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</si>
  <si>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</si>
  <si>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</si>
  <si>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</si>
  <si>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</si>
  <si>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</si>
  <si>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</si>
  <si>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</si>
  <si>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</si>
  <si>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</si>
  <si>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</si>
  <si>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</si>
  <si>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</si>
  <si>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</si>
  <si>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</si>
  <si>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</si>
  <si>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</si>
  <si>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</si>
  <si>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</si>
  <si>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</si>
  <si>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</si>
  <si>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</si>
  <si>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</si>
  <si>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</si>
  <si>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</si>
  <si>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</si>
  <si>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</si>
  <si>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</si>
  <si>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</si>
  <si>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</si>
  <si>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</si>
  <si>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</si>
  <si>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</si>
  <si>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</si>
  <si>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</si>
  <si>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</si>
  <si>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</si>
  <si>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</si>
  <si>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</si>
  <si>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</si>
  <si>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</si>
  <si>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</si>
  <si>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</si>
  <si>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</si>
  <si>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</si>
  <si>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</si>
  <si>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</si>
  <si>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</si>
  <si>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</si>
  <si>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</si>
  <si>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</si>
  <si>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</si>
  <si>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</si>
  <si>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</si>
  <si>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</si>
  <si>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</si>
  <si>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</si>
  <si>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</si>
  <si>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</si>
  <si>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</si>
  <si>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</si>
  <si>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</si>
  <si>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</si>
  <si>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</si>
  <si>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</si>
  <si>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</si>
  <si>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</si>
  <si>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</si>
  <si>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</si>
  <si>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</si>
  <si>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</si>
  <si>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</si>
  <si>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</si>
  <si>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</si>
  <si>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</si>
  <si>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</si>
  <si>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</si>
  <si>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</si>
  <si>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</si>
  <si>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</si>
  <si>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</si>
  <si>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</si>
  <si>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</si>
  <si>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</si>
  <si>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</si>
  <si>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</si>
  <si>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</si>
  <si>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</si>
  <si>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</si>
  <si>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</si>
  <si>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</si>
  <si>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</si>
  <si>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</si>
  <si>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</si>
  <si>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</si>
  <si>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</si>
  <si>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</si>
  <si>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</si>
  <si>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</si>
  <si>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</si>
  <si>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</si>
  <si>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</si>
  <si>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</si>
  <si>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</si>
  <si>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</si>
  <si>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</si>
  <si>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</si>
  <si>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</si>
  <si>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</si>
  <si>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</si>
  <si>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</si>
  <si>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</si>
  <si>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</si>
  <si>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</si>
  <si>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</si>
  <si>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</si>
  <si>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</si>
  <si>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</si>
  <si>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</si>
  <si>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</si>
  <si>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</si>
  <si>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</si>
  <si>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</si>
  <si>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</si>
  <si>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</si>
  <si>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</si>
  <si>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</si>
  <si>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</si>
  <si>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</si>
  <si>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</si>
  <si>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</si>
  <si>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</si>
  <si>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</si>
  <si>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</si>
  <si>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</si>
  <si>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</si>
  <si>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</si>
  <si>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</si>
  <si>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</si>
  <si>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</si>
  <si>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</si>
  <si>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</si>
  <si>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</si>
  <si>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</si>
  <si>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</si>
  <si>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</si>
  <si>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</si>
  <si>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</si>
  <si>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</si>
  <si>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</si>
  <si>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</si>
  <si>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</si>
  <si>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</si>
  <si>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</si>
  <si>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</si>
  <si>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</si>
  <si>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</si>
  <si>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</si>
  <si>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</si>
  <si>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</si>
  <si>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</si>
  <si>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</si>
  <si>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</si>
  <si>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</si>
  <si>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</si>
  <si>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</si>
  <si>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</si>
  <si>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</si>
  <si>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</si>
  <si>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</si>
  <si>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</si>
  <si>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</si>
  <si>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</si>
  <si>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</si>
  <si>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</si>
  <si>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</si>
  <si>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</si>
  <si>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</si>
  <si>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</si>
  <si>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</si>
  <si>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</si>
  <si>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</si>
  <si>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</si>
  <si>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</si>
  <si>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</si>
  <si>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</si>
  <si>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</si>
  <si>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</si>
  <si>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</si>
  <si>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</si>
  <si>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</si>
  <si>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</si>
  <si>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</si>
  <si>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</si>
  <si>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</si>
  <si>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</si>
  <si>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</si>
  <si>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</si>
  <si>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</si>
  <si>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</si>
  <si>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</si>
  <si>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</si>
  <si>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</si>
  <si>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</si>
  <si>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</si>
  <si>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</si>
  <si>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</si>
  <si>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</si>
  <si>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</si>
  <si>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</si>
  <si>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</si>
  <si>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</si>
  <si>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</si>
  <si>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</si>
  <si>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</si>
  <si>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</si>
  <si>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</si>
  <si>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</si>
  <si>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</si>
  <si>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</si>
  <si>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</si>
  <si>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</si>
  <si>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</si>
  <si>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</si>
  <si>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</si>
  <si>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</si>
  <si>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</si>
  <si>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</si>
  <si>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</si>
  <si>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</si>
  <si>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</si>
  <si>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</si>
  <si>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</si>
  <si>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</si>
  <si>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</si>
  <si>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</si>
  <si>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</si>
  <si>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</si>
  <si>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</si>
  <si>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</si>
  <si>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</si>
  <si>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</si>
  <si>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</si>
  <si>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</si>
  <si>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</si>
  <si>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</si>
  <si>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</si>
  <si>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</si>
  <si>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</si>
  <si>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</si>
  <si>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</si>
  <si>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</si>
  <si>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</si>
  <si>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</si>
  <si>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</si>
  <si>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</si>
  <si>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</si>
  <si>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</si>
  <si>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</si>
  <si>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</si>
  <si>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</si>
  <si>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</si>
  <si>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</si>
  <si>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</si>
  <si>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</si>
  <si>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</si>
  <si>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</si>
  <si>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</si>
  <si>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</si>
  <si>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</si>
  <si>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</si>
  <si>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</si>
  <si>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</si>
  <si>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</si>
  <si>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</si>
  <si>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</si>
  <si>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</si>
  <si>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</si>
  <si>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</si>
  <si>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</si>
  <si>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</si>
  <si>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</si>
  <si>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</si>
  <si>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</si>
  <si>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</si>
  <si>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</si>
  <si>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</si>
  <si>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</si>
  <si>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</si>
  <si>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</si>
  <si>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</si>
  <si>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</si>
  <si>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</si>
  <si>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</si>
  <si>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</si>
  <si>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</si>
  <si>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</si>
  <si>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</si>
  <si>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</si>
  <si>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</si>
  <si>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</si>
  <si>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</si>
  <si>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</si>
  <si>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</si>
  <si>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</si>
  <si>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</si>
  <si>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</si>
  <si>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</si>
  <si>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</si>
  <si>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</si>
  <si>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</si>
  <si>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</si>
  <si>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</si>
  <si>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</si>
  <si>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</si>
  <si>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</si>
  <si>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</si>
  <si>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</si>
  <si>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</si>
  <si>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</si>
  <si>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</si>
  <si>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</si>
  <si>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</si>
  <si>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</si>
  <si>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</si>
  <si>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</si>
  <si>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</si>
  <si>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</si>
  <si>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</si>
  <si>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>20144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</si>
  <si>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</si>
  <si>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</si>
  <si>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</si>
  <si>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</si>
  <si>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</si>
  <si>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</si>
  <si>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</si>
  <si>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</si>
  <si>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</si>
  <si>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</si>
  <si>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</si>
  <si>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</si>
  <si>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</si>
  <si>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</si>
  <si>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</si>
  <si>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</si>
  <si>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</si>
  <si>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</si>
  <si>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</si>
  <si>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</si>
  <si>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</si>
  <si>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</si>
  <si>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</si>
  <si>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</si>
  <si>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</si>
  <si>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</si>
  <si>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</si>
  <si>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</si>
  <si>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</si>
  <si>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</si>
  <si>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</si>
  <si>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</si>
  <si>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</si>
  <si>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</si>
  <si>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</si>
  <si>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</si>
  <si>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</si>
  <si>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</si>
  <si>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</si>
  <si>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</si>
  <si>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</si>
  <si>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Mar-12-2015 15:41 </t>
  </si>
  <si>
    <t>6.6</t>
  </si>
  <si>
    <t xml:space="preserve">Q1-2015 </t>
  </si>
  <si>
    <t xml:space="preserve">Apr-08-2015 17:57 </t>
  </si>
  <si>
    <t>Q1-2015</t>
  </si>
  <si>
    <t xml:space="preserve">Apr-03-2015 08:31 </t>
  </si>
  <si>
    <t xml:space="preserve">Apr-03-2015 08:34 </t>
  </si>
  <si>
    <t xml:space="preserve">Apr-01-2015 08:32 </t>
  </si>
  <si>
    <t>201503</t>
  </si>
  <si>
    <t xml:space="preserve">2015 [Q1-2015] </t>
  </si>
  <si>
    <t>20151</t>
  </si>
  <si>
    <t>2015-Q1</t>
  </si>
  <si>
    <t>7.5</t>
  </si>
  <si>
    <t>5.7</t>
  </si>
  <si>
    <t>14.8</t>
  </si>
  <si>
    <t>-2.9</t>
  </si>
  <si>
    <t>4.6</t>
  </si>
  <si>
    <t>7.3</t>
  </si>
  <si>
    <t>19.4</t>
  </si>
  <si>
    <t>-1.6</t>
  </si>
  <si>
    <t>12.3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</si>
</sst>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-1000</c:v>
                </c:pt>
                <c:pt idx="77">
                  <c:v>-1000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38097024"/>
        <c:axId val="13809856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3000</c:v>
                </c:pt>
                <c:pt idx="77">
                  <c:v>333.33333333333331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97024"/>
        <c:axId val="138098560"/>
      </c:lineChart>
      <c:dateAx>
        <c:axId val="1380970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38098560"/>
        <c:crosses val="autoZero"/>
        <c:auto val="1"/>
        <c:lblOffset val="100"/>
        <c:baseTimeUnit val="months"/>
        <c:majorUnit val="1"/>
        <c:majorTimeUnit val="years"/>
      </c:dateAx>
      <c:valAx>
        <c:axId val="138098560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38097024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-2899.9999999996362</c:v>
                </c:pt>
                <c:pt idx="77">
                  <c:v>-1400.0000000000909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0403328"/>
        <c:axId val="1514868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0</c:v>
                </c:pt>
                <c:pt idx="77" formatCode="0.00">
                  <c:v>-733.33333333327266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03328"/>
        <c:axId val="151486848"/>
      </c:lineChart>
      <c:dateAx>
        <c:axId val="1504033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1486848"/>
        <c:crosses val="autoZero"/>
        <c:auto val="1"/>
        <c:lblOffset val="100"/>
        <c:baseTimeUnit val="months"/>
        <c:majorUnit val="1"/>
        <c:majorTimeUnit val="years"/>
      </c:dateAx>
      <c:valAx>
        <c:axId val="1514868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040332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98816"/>
        <c:axId val="184100352"/>
      </c:lineChart>
      <c:dateAx>
        <c:axId val="184098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4100352"/>
        <c:crosses val="autoZero"/>
        <c:auto val="1"/>
        <c:lblOffset val="100"/>
        <c:baseTimeUnit val="months"/>
        <c:majorUnit val="1"/>
        <c:majorTimeUnit val="years"/>
      </c:dateAx>
      <c:valAx>
        <c:axId val="18410035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409881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61088"/>
        <c:axId val="220362624"/>
      </c:lineChart>
      <c:dateAx>
        <c:axId val="22036108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0362624"/>
        <c:crossesAt val="0"/>
        <c:auto val="1"/>
        <c:lblOffset val="100"/>
        <c:baseTimeUnit val="months"/>
        <c:majorUnit val="1"/>
        <c:majorTimeUnit val="years"/>
      </c:dateAx>
      <c:valAx>
        <c:axId val="2203626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036108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074752"/>
        <c:axId val="222096000"/>
      </c:lineChart>
      <c:dateAx>
        <c:axId val="22207475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096000"/>
        <c:crosses val="autoZero"/>
        <c:auto val="1"/>
        <c:lblOffset val="100"/>
        <c:baseTimeUnit val="months"/>
        <c:majorUnit val="10"/>
        <c:majorTimeUnit val="years"/>
      </c:dateAx>
      <c:valAx>
        <c:axId val="2220960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07475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74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2528"/>
        <c:axId val="72904064"/>
      </c:lineChart>
      <c:dateAx>
        <c:axId val="72902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04064"/>
        <c:crosses val="autoZero"/>
        <c:auto val="1"/>
        <c:lblOffset val="100"/>
        <c:baseTimeUnit val="months"/>
        <c:majorUnit val="5"/>
        <c:majorTimeUnit val="years"/>
      </c:dateAx>
      <c:valAx>
        <c:axId val="7290406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02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-3</c:v>
                </c:pt>
                <c:pt idx="40">
                  <c:v>-3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-3</c:v>
                </c:pt>
                <c:pt idx="45">
                  <c:v>-3</c:v>
                </c:pt>
                <c:pt idx="46">
                  <c:v>-3</c:v>
                </c:pt>
                <c:pt idx="47">
                  <c:v>-4</c:v>
                </c:pt>
                <c:pt idx="48">
                  <c:v>-4</c:v>
                </c:pt>
                <c:pt idx="49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4816"/>
        <c:axId val="72916352"/>
      </c:lineChart>
      <c:dateAx>
        <c:axId val="72914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16352"/>
        <c:crossesAt val="0"/>
        <c:auto val="1"/>
        <c:lblOffset val="100"/>
        <c:baseTimeUnit val="months"/>
        <c:majorUnit val="5"/>
        <c:majorTimeUnit val="years"/>
      </c:dateAx>
      <c:valAx>
        <c:axId val="7291635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14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85696"/>
        <c:axId val="73087232"/>
      </c:lineChart>
      <c:dateAx>
        <c:axId val="730856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87232"/>
        <c:crosses val="autoZero"/>
        <c:auto val="1"/>
        <c:lblOffset val="100"/>
        <c:baseTimeUnit val="months"/>
        <c:majorUnit val="5"/>
        <c:majorTimeUnit val="years"/>
      </c:dateAx>
      <c:valAx>
        <c:axId val="7308723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8569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8" sqref="A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425</v>
      </c>
    </row>
    <row r="3" spans="1:2">
      <c r="A3" s="25" t="s">
        <v>424</v>
      </c>
    </row>
    <row r="4" spans="1:2">
      <c r="A4" s="25" t="s">
        <v>346</v>
      </c>
    </row>
    <row r="5" spans="1:2">
      <c r="A5" s="25" t="s">
        <v>391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274</v>
      </c>
      <c r="E9" s="114"/>
      <c r="F9" s="114"/>
      <c r="G9" s="114" t="s">
        <v>328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3113</v>
      </c>
      <c r="F11" s="71"/>
      <c r="G11" s="94"/>
      <c r="H11" s="98" t="s">
        <v>446</v>
      </c>
      <c r="I11" s="95"/>
    </row>
    <row r="12" spans="1:9">
      <c r="A12" s="73" t="s">
        <v>123</v>
      </c>
      <c r="B12" s="69"/>
      <c r="C12" s="69"/>
      <c r="D12" s="69"/>
      <c r="E12" s="105">
        <v>2491</v>
      </c>
      <c r="F12" s="71"/>
      <c r="G12" s="72"/>
      <c r="H12" s="98" t="s">
        <v>447</v>
      </c>
      <c r="I12" s="95"/>
    </row>
    <row r="13" spans="1:9">
      <c r="A13" s="73" t="s">
        <v>124</v>
      </c>
      <c r="B13" s="69"/>
      <c r="C13" s="69"/>
      <c r="D13" s="69"/>
      <c r="E13" s="105">
        <v>622</v>
      </c>
      <c r="F13" s="71"/>
      <c r="G13" s="72"/>
      <c r="H13" s="98" t="s">
        <v>448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3617</v>
      </c>
      <c r="F15" s="71"/>
      <c r="G15" s="72"/>
      <c r="H15" s="98" t="s">
        <v>435</v>
      </c>
      <c r="I15" s="95"/>
    </row>
    <row r="16" spans="1:9">
      <c r="A16" s="73" t="s">
        <v>128</v>
      </c>
      <c r="B16" s="69"/>
      <c r="C16" s="69"/>
      <c r="D16" s="69"/>
      <c r="E16" s="105">
        <v>570</v>
      </c>
      <c r="F16" s="71"/>
      <c r="G16" s="72"/>
      <c r="H16" s="98" t="s">
        <v>449</v>
      </c>
      <c r="I16" s="95"/>
    </row>
    <row r="17" spans="1:9">
      <c r="A17" s="73" t="s">
        <v>126</v>
      </c>
      <c r="B17" s="69"/>
      <c r="C17" s="69"/>
      <c r="D17" s="69"/>
      <c r="E17" s="105">
        <v>859</v>
      </c>
      <c r="F17" s="71"/>
      <c r="G17" s="72"/>
      <c r="H17" s="98" t="s">
        <v>450</v>
      </c>
      <c r="I17" s="95"/>
    </row>
    <row r="18" spans="1:9">
      <c r="A18" s="73" t="s">
        <v>125</v>
      </c>
      <c r="B18" s="69"/>
      <c r="C18" s="69"/>
      <c r="D18" s="69"/>
      <c r="E18" s="105">
        <v>531</v>
      </c>
      <c r="F18" s="71"/>
      <c r="G18" s="72"/>
      <c r="H18" s="98" t="s">
        <v>451</v>
      </c>
      <c r="I18" s="95"/>
    </row>
    <row r="19" spans="1:9">
      <c r="A19" s="73" t="s">
        <v>120</v>
      </c>
      <c r="B19" s="69"/>
      <c r="C19" s="69"/>
      <c r="D19" s="69"/>
      <c r="E19" s="105">
        <v>332</v>
      </c>
      <c r="F19" s="71"/>
      <c r="G19" s="72"/>
      <c r="H19" s="98" t="s">
        <v>452</v>
      </c>
      <c r="I19" s="95"/>
    </row>
    <row r="20" spans="1:9">
      <c r="A20" s="73" t="s">
        <v>121</v>
      </c>
      <c r="B20" s="69"/>
      <c r="C20" s="69"/>
      <c r="D20" s="69"/>
      <c r="E20" s="105">
        <v>254</v>
      </c>
      <c r="F20" s="71"/>
      <c r="G20" s="72"/>
      <c r="H20" s="98" t="s">
        <v>453</v>
      </c>
      <c r="I20" s="95"/>
    </row>
    <row r="21" spans="1:9">
      <c r="A21" s="75" t="s">
        <v>127</v>
      </c>
      <c r="B21" s="76"/>
      <c r="C21" s="76"/>
      <c r="D21" s="76"/>
      <c r="E21" s="107">
        <v>1072</v>
      </c>
      <c r="F21" s="78"/>
      <c r="G21" s="79"/>
      <c r="H21" s="100" t="s">
        <v>454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4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9" zoomScale="85" zoomScaleNormal="85" workbookViewId="0">
      <selection activeCell="B7" sqref="B7:B84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201504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385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386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380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439</v>
      </c>
      <c r="D6" t="s">
        <v>439</v>
      </c>
      <c r="E6" t="s">
        <v>439</v>
      </c>
      <c r="F6" t="s">
        <v>440</v>
      </c>
      <c r="G6" s="20" t="s">
        <v>441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378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428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429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431</v>
      </c>
      <c r="B83" s="13">
        <v>42063</v>
      </c>
      <c r="C83" s="14">
        <v>5079</v>
      </c>
      <c r="D83" s="14">
        <v>14093</v>
      </c>
      <c r="E83" s="23">
        <v>2133.8000000000002</v>
      </c>
      <c r="F83" s="14">
        <v>0</v>
      </c>
      <c r="G83" s="14">
        <v>0</v>
      </c>
      <c r="H83" s="14"/>
      <c r="I83" s="31">
        <f t="shared" si="4"/>
        <v>-1000</v>
      </c>
      <c r="J83" s="31">
        <f t="shared" si="5"/>
        <v>3000</v>
      </c>
      <c r="K83" s="35"/>
      <c r="L83" s="38">
        <f t="shared" si="6"/>
        <v>-2899.9999999996362</v>
      </c>
      <c r="M83" s="63">
        <f t="shared" si="7"/>
        <v>0</v>
      </c>
      <c r="N83" s="15"/>
      <c r="R83" s="14"/>
    </row>
    <row r="84" spans="1:18">
      <c r="A84" s="8" t="s">
        <v>442</v>
      </c>
      <c r="B84" s="13">
        <v>42094</v>
      </c>
      <c r="C84" s="14">
        <v>5075</v>
      </c>
      <c r="D84" s="14">
        <v>14096</v>
      </c>
      <c r="E84" s="23">
        <v>2132.4</v>
      </c>
      <c r="F84" s="14">
        <v>0</v>
      </c>
      <c r="G84" s="14">
        <v>0</v>
      </c>
      <c r="H84" s="14"/>
      <c r="I84" s="31">
        <f t="shared" si="4"/>
        <v>-1000</v>
      </c>
      <c r="J84" s="31">
        <f t="shared" si="5"/>
        <v>333.33333333333331</v>
      </c>
      <c r="K84" s="35"/>
      <c r="L84" s="38">
        <f t="shared" si="6"/>
        <v>-1400.0000000000909</v>
      </c>
      <c r="M84" s="63">
        <f t="shared" si="7"/>
        <v>-733.33333333327266</v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C4" sqref="C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 t="s">
        <v>381</v>
      </c>
      <c r="L2" s="20" t="s">
        <v>382</v>
      </c>
      <c r="M2" s="21" t="s">
        <v>384</v>
      </c>
    </row>
    <row r="3" spans="1:13">
      <c r="A3" s="20" t="s">
        <v>397</v>
      </c>
      <c r="B3" s="26" t="s">
        <v>382</v>
      </c>
      <c r="C3" s="23" t="s">
        <v>396</v>
      </c>
      <c r="K3" s="20" t="s">
        <v>7</v>
      </c>
      <c r="L3" s="20"/>
      <c r="M3" s="20" t="s">
        <v>387</v>
      </c>
    </row>
    <row r="4" spans="1:13">
      <c r="A4" s="20" t="s">
        <v>7</v>
      </c>
      <c r="C4" s="23" t="s">
        <v>423</v>
      </c>
      <c r="K4" s="20" t="s">
        <v>376</v>
      </c>
      <c r="L4" s="20"/>
      <c r="M4" s="20" t="s">
        <v>377</v>
      </c>
    </row>
    <row r="5" spans="1:13">
      <c r="A5" s="20" t="s">
        <v>16</v>
      </c>
      <c r="B5" s="27"/>
      <c r="C5" s="28" t="s">
        <v>422</v>
      </c>
      <c r="D5" s="27"/>
      <c r="F5" s="27"/>
      <c r="H5" s="27"/>
      <c r="K5" s="19" t="s">
        <v>24</v>
      </c>
      <c r="L5" s="19"/>
      <c r="M5" s="19" t="s">
        <v>437</v>
      </c>
    </row>
    <row r="6" spans="1:13">
      <c r="A6" s="20" t="s">
        <v>17</v>
      </c>
      <c r="C6" s="23" t="s">
        <v>436</v>
      </c>
      <c r="K6" t="s">
        <v>353</v>
      </c>
      <c r="L6" s="108">
        <v>39814</v>
      </c>
      <c r="M6" s="14">
        <v>1</v>
      </c>
    </row>
    <row r="7" spans="1:13">
      <c r="A7" s="20" t="s">
        <v>376</v>
      </c>
      <c r="C7" s="23" t="s">
        <v>421</v>
      </c>
      <c r="K7" t="s">
        <v>354</v>
      </c>
      <c r="L7" s="108">
        <v>39904</v>
      </c>
      <c r="M7" s="14">
        <v>1</v>
      </c>
    </row>
    <row r="8" spans="1:13">
      <c r="A8" s="20" t="s">
        <v>398</v>
      </c>
      <c r="B8" s="26">
        <v>39814</v>
      </c>
      <c r="C8" s="23">
        <v>288.7</v>
      </c>
      <c r="D8" s="109">
        <f>VLOOKUP(B8, L6:M28, 2, FALSE)</f>
        <v>1</v>
      </c>
      <c r="K8" t="s">
        <v>355</v>
      </c>
      <c r="L8" s="108">
        <v>39995</v>
      </c>
      <c r="M8" s="14">
        <v>0</v>
      </c>
    </row>
    <row r="9" spans="1:13">
      <c r="A9" s="20" t="s">
        <v>399</v>
      </c>
      <c r="B9" s="26">
        <v>39904</v>
      </c>
      <c r="C9" s="23">
        <v>294.7</v>
      </c>
      <c r="D9" s="109">
        <f t="shared" ref="D9:D67" si="0">VLOOKUP(B9, L7:M29, 2, FALSE)</f>
        <v>1</v>
      </c>
      <c r="K9" t="s">
        <v>356</v>
      </c>
      <c r="L9" s="108">
        <v>40087</v>
      </c>
      <c r="M9" s="14">
        <v>0</v>
      </c>
    </row>
    <row r="10" spans="1:13">
      <c r="A10" s="20" t="s">
        <v>400</v>
      </c>
      <c r="B10" s="26">
        <v>39995</v>
      </c>
      <c r="C10" s="23">
        <v>293.3</v>
      </c>
      <c r="D10" s="109">
        <f t="shared" si="0"/>
        <v>0</v>
      </c>
      <c r="K10" t="s">
        <v>357</v>
      </c>
      <c r="L10" s="108">
        <v>40179</v>
      </c>
      <c r="M10" s="14">
        <v>0</v>
      </c>
    </row>
    <row r="11" spans="1:13">
      <c r="A11" s="20" t="s">
        <v>401</v>
      </c>
      <c r="B11" s="26">
        <v>40087</v>
      </c>
      <c r="C11" s="23">
        <v>282.39999999999998</v>
      </c>
      <c r="D11" s="109">
        <f t="shared" si="0"/>
        <v>0</v>
      </c>
      <c r="K11" t="s">
        <v>358</v>
      </c>
      <c r="L11" s="108">
        <v>40269</v>
      </c>
      <c r="M11" s="14">
        <v>0</v>
      </c>
    </row>
    <row r="12" spans="1:13">
      <c r="A12" s="20" t="s">
        <v>402</v>
      </c>
      <c r="B12" s="26">
        <v>40179</v>
      </c>
      <c r="C12" s="23">
        <v>273.60000000000002</v>
      </c>
      <c r="D12" s="109">
        <f t="shared" si="0"/>
        <v>0</v>
      </c>
      <c r="K12" t="s">
        <v>359</v>
      </c>
      <c r="L12" s="108">
        <v>40360</v>
      </c>
      <c r="M12" s="14">
        <v>0</v>
      </c>
    </row>
    <row r="13" spans="1:13">
      <c r="A13" s="20" t="s">
        <v>403</v>
      </c>
      <c r="B13" s="26">
        <v>40269</v>
      </c>
      <c r="C13" s="23">
        <v>284.2</v>
      </c>
      <c r="D13" s="109">
        <f t="shared" si="0"/>
        <v>0</v>
      </c>
      <c r="K13" t="s">
        <v>360</v>
      </c>
      <c r="L13" s="108">
        <v>40452</v>
      </c>
      <c r="M13" s="14">
        <v>0</v>
      </c>
    </row>
    <row r="14" spans="1:13">
      <c r="A14" s="20" t="s">
        <v>404</v>
      </c>
      <c r="B14" s="26">
        <v>40360</v>
      </c>
      <c r="C14" s="23">
        <v>285.60000000000002</v>
      </c>
      <c r="D14" s="109">
        <f t="shared" si="0"/>
        <v>0</v>
      </c>
      <c r="K14" t="s">
        <v>361</v>
      </c>
      <c r="L14" s="108">
        <v>40544</v>
      </c>
      <c r="M14" s="14">
        <v>0</v>
      </c>
    </row>
    <row r="15" spans="1:13">
      <c r="A15" s="20" t="s">
        <v>405</v>
      </c>
      <c r="B15" s="26">
        <v>40452</v>
      </c>
      <c r="C15" s="23">
        <v>274.5</v>
      </c>
      <c r="D15" s="109">
        <f t="shared" si="0"/>
        <v>0</v>
      </c>
      <c r="K15" t="s">
        <v>362</v>
      </c>
      <c r="L15" s="108">
        <v>40634</v>
      </c>
      <c r="M15" s="14">
        <v>0</v>
      </c>
    </row>
    <row r="16" spans="1:13">
      <c r="A16" s="20" t="s">
        <v>406</v>
      </c>
      <c r="B16" s="26">
        <v>40544</v>
      </c>
      <c r="C16" s="23">
        <v>265.7</v>
      </c>
      <c r="D16" s="109">
        <f t="shared" si="0"/>
        <v>0</v>
      </c>
      <c r="K16" t="s">
        <v>363</v>
      </c>
      <c r="L16" s="108">
        <v>40725</v>
      </c>
      <c r="M16" s="14">
        <v>0</v>
      </c>
    </row>
    <row r="17" spans="1:13">
      <c r="A17" s="20" t="s">
        <v>407</v>
      </c>
      <c r="B17" s="26">
        <v>40634</v>
      </c>
      <c r="C17" s="23">
        <v>261.39999999999998</v>
      </c>
      <c r="D17" s="109">
        <f t="shared" si="0"/>
        <v>0</v>
      </c>
      <c r="K17" t="s">
        <v>364</v>
      </c>
      <c r="L17" s="108">
        <v>40817</v>
      </c>
      <c r="M17" s="14">
        <v>0</v>
      </c>
    </row>
    <row r="18" spans="1:13">
      <c r="A18" s="20" t="s">
        <v>408</v>
      </c>
      <c r="B18" s="26">
        <v>40725</v>
      </c>
      <c r="C18" s="23">
        <v>258.60000000000002</v>
      </c>
      <c r="D18" s="109">
        <f t="shared" si="0"/>
        <v>0</v>
      </c>
      <c r="K18" t="s">
        <v>365</v>
      </c>
      <c r="L18" s="108">
        <v>40909</v>
      </c>
      <c r="M18" s="14">
        <v>0</v>
      </c>
    </row>
    <row r="19" spans="1:13">
      <c r="A19" s="20" t="s">
        <v>409</v>
      </c>
      <c r="B19" s="26">
        <v>40817</v>
      </c>
      <c r="C19" s="23">
        <v>257.89999999999998</v>
      </c>
      <c r="D19" s="109">
        <f t="shared" si="0"/>
        <v>0</v>
      </c>
      <c r="K19" t="s">
        <v>366</v>
      </c>
      <c r="L19" s="108">
        <v>41000</v>
      </c>
      <c r="M19" s="14">
        <v>0</v>
      </c>
    </row>
    <row r="20" spans="1:13">
      <c r="A20" s="20" t="s">
        <v>410</v>
      </c>
      <c r="B20" s="26">
        <v>40909</v>
      </c>
      <c r="C20" s="23">
        <v>249.2</v>
      </c>
      <c r="D20" s="109">
        <f t="shared" si="0"/>
        <v>0</v>
      </c>
      <c r="K20" t="s">
        <v>367</v>
      </c>
      <c r="L20" s="108">
        <v>41091</v>
      </c>
      <c r="M20" s="14">
        <v>0</v>
      </c>
    </row>
    <row r="21" spans="1:13">
      <c r="A21" s="20" t="s">
        <v>411</v>
      </c>
      <c r="B21" s="26">
        <v>41000</v>
      </c>
      <c r="C21" s="23">
        <v>247.1</v>
      </c>
      <c r="D21" s="109">
        <f t="shared" si="0"/>
        <v>0</v>
      </c>
      <c r="K21" t="s">
        <v>368</v>
      </c>
      <c r="L21" s="108">
        <v>41183</v>
      </c>
      <c r="M21" s="14">
        <v>0</v>
      </c>
    </row>
    <row r="22" spans="1:13">
      <c r="A22" s="20" t="s">
        <v>412</v>
      </c>
      <c r="B22" s="26">
        <v>41091</v>
      </c>
      <c r="C22" s="23">
        <v>240.5</v>
      </c>
      <c r="D22" s="109">
        <f t="shared" si="0"/>
        <v>0</v>
      </c>
      <c r="K22" t="s">
        <v>369</v>
      </c>
      <c r="L22" s="108">
        <v>41275</v>
      </c>
      <c r="M22" s="14">
        <v>0</v>
      </c>
    </row>
    <row r="23" spans="1:13">
      <c r="A23" s="20" t="s">
        <v>413</v>
      </c>
      <c r="B23" s="26">
        <v>41183</v>
      </c>
      <c r="C23" s="23">
        <v>233.4</v>
      </c>
      <c r="D23" s="109">
        <f t="shared" si="0"/>
        <v>0</v>
      </c>
      <c r="K23" t="s">
        <v>370</v>
      </c>
      <c r="L23" s="108">
        <v>41365</v>
      </c>
      <c r="M23" s="14">
        <v>0</v>
      </c>
    </row>
    <row r="24" spans="1:13">
      <c r="A24" s="20" t="s">
        <v>414</v>
      </c>
      <c r="B24" s="26">
        <v>41275</v>
      </c>
      <c r="C24" s="23">
        <v>228.6</v>
      </c>
      <c r="D24" s="109">
        <f t="shared" si="0"/>
        <v>0</v>
      </c>
      <c r="K24" t="s">
        <v>371</v>
      </c>
      <c r="L24" s="108">
        <v>41456</v>
      </c>
      <c r="M24" s="14">
        <v>0</v>
      </c>
    </row>
    <row r="25" spans="1:13">
      <c r="A25" s="20" t="s">
        <v>415</v>
      </c>
      <c r="B25" s="26">
        <v>41365</v>
      </c>
      <c r="C25" s="23">
        <v>233.7</v>
      </c>
      <c r="D25" s="109">
        <f t="shared" si="0"/>
        <v>0</v>
      </c>
      <c r="K25" t="s">
        <v>372</v>
      </c>
      <c r="L25" s="108">
        <v>41548</v>
      </c>
      <c r="M25" s="14">
        <v>0</v>
      </c>
    </row>
    <row r="26" spans="1:13">
      <c r="A26" s="20" t="s">
        <v>416</v>
      </c>
      <c r="B26" s="26">
        <v>41456</v>
      </c>
      <c r="C26" s="23">
        <v>233</v>
      </c>
      <c r="D26" s="109">
        <f t="shared" si="0"/>
        <v>0</v>
      </c>
      <c r="K26" t="s">
        <v>373</v>
      </c>
      <c r="L26" s="108">
        <v>41640</v>
      </c>
      <c r="M26" s="14">
        <v>0</v>
      </c>
    </row>
    <row r="27" spans="1:13">
      <c r="A27" s="20" t="s">
        <v>417</v>
      </c>
      <c r="B27" s="26">
        <v>41548</v>
      </c>
      <c r="C27" s="23">
        <v>231.2</v>
      </c>
      <c r="D27" s="109">
        <f t="shared" si="0"/>
        <v>0</v>
      </c>
      <c r="K27" t="s">
        <v>374</v>
      </c>
      <c r="L27" s="108">
        <v>41730</v>
      </c>
      <c r="M27" s="14">
        <v>0</v>
      </c>
    </row>
    <row r="28" spans="1:13">
      <c r="A28" s="20" t="s">
        <v>418</v>
      </c>
      <c r="B28" s="26">
        <v>41640</v>
      </c>
      <c r="C28" s="23">
        <v>223.6</v>
      </c>
      <c r="D28" s="109">
        <f t="shared" si="0"/>
        <v>0</v>
      </c>
      <c r="K28" t="s">
        <v>375</v>
      </c>
      <c r="L28" s="108">
        <v>41821</v>
      </c>
      <c r="M28" s="14">
        <v>0</v>
      </c>
    </row>
    <row r="29" spans="1:13">
      <c r="A29" s="20" t="s">
        <v>419</v>
      </c>
      <c r="B29" s="26">
        <v>41730</v>
      </c>
      <c r="C29" s="23">
        <v>232.9</v>
      </c>
      <c r="D29" s="109">
        <f t="shared" si="0"/>
        <v>0</v>
      </c>
      <c r="K29" t="s">
        <v>392</v>
      </c>
      <c r="L29" s="108">
        <v>41913</v>
      </c>
      <c r="M29" s="14">
        <v>0</v>
      </c>
    </row>
    <row r="30" spans="1:13">
      <c r="A30" s="20" t="s">
        <v>420</v>
      </c>
      <c r="B30" s="26">
        <v>41821</v>
      </c>
      <c r="C30" s="23">
        <v>233.7</v>
      </c>
      <c r="D30" s="109">
        <f t="shared" si="0"/>
        <v>0</v>
      </c>
      <c r="K30" t="s">
        <v>444</v>
      </c>
      <c r="L30" s="108">
        <v>42005</v>
      </c>
      <c r="M30" s="14">
        <v>0</v>
      </c>
    </row>
    <row r="31" spans="1:13">
      <c r="A31" s="20" t="s">
        <v>430</v>
      </c>
      <c r="B31" s="26">
        <v>41913</v>
      </c>
      <c r="C31" s="23">
        <v>235.6</v>
      </c>
      <c r="D31" s="109">
        <f t="shared" si="0"/>
        <v>0</v>
      </c>
    </row>
    <row r="32" spans="1:13">
      <c r="A32" s="20" t="s">
        <v>445</v>
      </c>
      <c r="B32" s="26">
        <v>42005</v>
      </c>
      <c r="C32" s="23">
        <v>227.4</v>
      </c>
      <c r="D32" s="109">
        <f t="shared" si="0"/>
        <v>0</v>
      </c>
    </row>
    <row r="33" spans="2:4">
      <c r="D33" s="109" t="e">
        <f t="shared" si="0"/>
        <v>#N/A</v>
      </c>
    </row>
    <row r="34" spans="2:4">
      <c r="D34" s="109" t="e">
        <f t="shared" si="0"/>
        <v>#N/A</v>
      </c>
    </row>
    <row r="35" spans="2:4">
      <c r="D35" s="109" t="e">
        <f t="shared" si="0"/>
        <v>#N/A</v>
      </c>
    </row>
    <row r="36" spans="2:4">
      <c r="D36" s="109" t="e">
        <f t="shared" si="0"/>
        <v>#N/A</v>
      </c>
    </row>
    <row r="37" spans="2:4">
      <c r="D37" s="109" t="e">
        <f t="shared" si="0"/>
        <v>#N/A</v>
      </c>
    </row>
    <row r="38" spans="2:4">
      <c r="D38" s="109" t="e">
        <f t="shared" si="0"/>
        <v>#N/A</v>
      </c>
    </row>
    <row r="39" spans="2:4">
      <c r="D39" s="109" t="e">
        <f t="shared" si="0"/>
        <v>#N/A</v>
      </c>
    </row>
    <row r="40" spans="2:4">
      <c r="D40" s="109" t="e">
        <f t="shared" si="0"/>
        <v>#N/A</v>
      </c>
    </row>
    <row r="41" spans="2:4">
      <c r="D41" s="109" t="e">
        <f t="shared" si="0"/>
        <v>#N/A</v>
      </c>
    </row>
    <row r="42" spans="2:4">
      <c r="D42" s="109" t="e">
        <f t="shared" si="0"/>
        <v>#N/A</v>
      </c>
    </row>
    <row r="43" spans="2:4">
      <c r="D43" s="109" t="e">
        <f t="shared" si="0"/>
        <v>#N/A</v>
      </c>
    </row>
    <row r="44" spans="2:4">
      <c r="D44" s="109" t="e">
        <f t="shared" si="0"/>
        <v>#N/A</v>
      </c>
    </row>
    <row r="45" spans="2:4">
      <c r="D45" s="109" t="e">
        <f t="shared" si="0"/>
        <v>#N/A</v>
      </c>
    </row>
    <row r="46" spans="2:4">
      <c r="B46" s="40"/>
      <c r="C46" s="32"/>
      <c r="D46" s="109" t="e">
        <f t="shared" si="0"/>
        <v>#N/A</v>
      </c>
    </row>
    <row r="47" spans="2:4">
      <c r="B47" s="40"/>
      <c r="C47" s="32"/>
      <c r="D47" s="109" t="e">
        <f t="shared" si="0"/>
        <v>#N/A</v>
      </c>
    </row>
    <row r="48" spans="2:4">
      <c r="B48" s="40"/>
      <c r="C48" s="32"/>
      <c r="D48" s="109" t="e">
        <f t="shared" si="0"/>
        <v>#N/A</v>
      </c>
    </row>
    <row r="49" spans="2:4">
      <c r="B49" s="40"/>
      <c r="C49" s="32"/>
      <c r="D49" s="109" t="e">
        <f t="shared" si="0"/>
        <v>#N/A</v>
      </c>
    </row>
    <row r="50" spans="2:4">
      <c r="B50" s="40"/>
      <c r="C50" s="32"/>
      <c r="D50" s="109" t="e">
        <f t="shared" si="0"/>
        <v>#N/A</v>
      </c>
    </row>
    <row r="51" spans="2:4">
      <c r="B51" s="40"/>
      <c r="C51" s="32"/>
      <c r="D51" s="109" t="e">
        <f t="shared" si="0"/>
        <v>#N/A</v>
      </c>
    </row>
    <row r="52" spans="2:4">
      <c r="B52" s="40"/>
      <c r="C52" s="32"/>
      <c r="D52" s="109" t="e">
        <f t="shared" si="0"/>
        <v>#N/A</v>
      </c>
    </row>
    <row r="53" spans="2:4">
      <c r="B53" s="40"/>
      <c r="C53" s="32"/>
      <c r="D53" s="109" t="e">
        <f t="shared" si="0"/>
        <v>#N/A</v>
      </c>
    </row>
    <row r="54" spans="2:4">
      <c r="B54" s="40"/>
      <c r="C54" s="32"/>
      <c r="D54" s="109" t="e">
        <f t="shared" si="0"/>
        <v>#N/A</v>
      </c>
    </row>
    <row r="55" spans="2:4">
      <c r="B55" s="40"/>
      <c r="C55" s="32"/>
      <c r="D55" s="109" t="e">
        <f t="shared" si="0"/>
        <v>#N/A</v>
      </c>
    </row>
    <row r="56" spans="2:4">
      <c r="B56" s="40"/>
      <c r="C56" s="32"/>
      <c r="D56" s="109" t="e">
        <f t="shared" si="0"/>
        <v>#N/A</v>
      </c>
    </row>
    <row r="57" spans="2:4">
      <c r="B57" s="40"/>
      <c r="C57" s="32"/>
      <c r="D57" s="109" t="e">
        <f t="shared" si="0"/>
        <v>#N/A</v>
      </c>
    </row>
    <row r="58" spans="2:4">
      <c r="B58" s="40"/>
      <c r="C58" s="32"/>
      <c r="D58" s="109" t="e">
        <f t="shared" si="0"/>
        <v>#N/A</v>
      </c>
    </row>
    <row r="59" spans="2:4">
      <c r="B59" s="40"/>
      <c r="C59" s="32"/>
      <c r="D59" s="109" t="e">
        <f t="shared" si="0"/>
        <v>#N/A</v>
      </c>
    </row>
    <row r="60" spans="2:4">
      <c r="B60" s="40"/>
      <c r="C60" s="32"/>
      <c r="D60" s="109" t="e">
        <f t="shared" si="0"/>
        <v>#N/A</v>
      </c>
    </row>
    <row r="61" spans="2:4">
      <c r="B61" s="40"/>
      <c r="C61" s="32"/>
      <c r="D61" s="109" t="e">
        <f t="shared" si="0"/>
        <v>#N/A</v>
      </c>
    </row>
    <row r="62" spans="2:4">
      <c r="B62" s="40"/>
      <c r="C62" s="32"/>
      <c r="D62" s="109" t="e">
        <f t="shared" si="0"/>
        <v>#N/A</v>
      </c>
    </row>
    <row r="63" spans="2:4">
      <c r="B63" s="40"/>
      <c r="C63" s="32"/>
      <c r="D63" s="109" t="e">
        <f t="shared" si="0"/>
        <v>#N/A</v>
      </c>
    </row>
    <row r="64" spans="2:4">
      <c r="B64" s="40"/>
      <c r="C64" s="32"/>
      <c r="D64" s="109" t="e">
        <f t="shared" si="0"/>
        <v>#N/A</v>
      </c>
    </row>
    <row r="65" spans="2:4">
      <c r="B65" s="40"/>
      <c r="C65" s="32"/>
      <c r="D65" s="109" t="e">
        <f t="shared" si="0"/>
        <v>#N/A</v>
      </c>
    </row>
    <row r="66" spans="2:4">
      <c r="B66" s="40"/>
      <c r="C66" s="32"/>
      <c r="D66" s="109" t="e">
        <f t="shared" si="0"/>
        <v>#N/A</v>
      </c>
    </row>
    <row r="67" spans="2:4">
      <c r="B67" s="40"/>
      <c r="C67" s="32"/>
      <c r="D67" s="109" t="e">
        <f t="shared" si="0"/>
        <v>#N/A</v>
      </c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M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topLeftCell="A22" zoomScale="70" zoomScaleNormal="70" workbookViewId="0">
      <selection activeCell="B8" sqref="B8:B59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384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387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380</v>
      </c>
    </row>
    <row r="5" spans="1:10">
      <c r="A5" s="11" t="s">
        <v>24</v>
      </c>
      <c r="C5" t="s">
        <v>432</v>
      </c>
      <c r="D5" t="s">
        <v>432</v>
      </c>
      <c r="E5" t="s">
        <v>432</v>
      </c>
      <c r="F5" t="s">
        <v>432</v>
      </c>
      <c r="H5" s="56" t="s">
        <v>152</v>
      </c>
      <c r="J5" s="19" t="s">
        <v>437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383</v>
      </c>
    </row>
    <row r="7" spans="1:10">
      <c r="A7" s="11" t="s">
        <v>17</v>
      </c>
      <c r="B7" s="13"/>
      <c r="C7" s="14" t="s">
        <v>393</v>
      </c>
      <c r="D7" s="14" t="s">
        <v>393</v>
      </c>
      <c r="E7" s="14" t="s">
        <v>393</v>
      </c>
      <c r="F7" t="s">
        <v>393</v>
      </c>
      <c r="J7" t="s">
        <v>436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1"/>
        <v>6.7321318232440808E-2</v>
      </c>
      <c r="I51" s="29">
        <f t="shared" si="2"/>
        <v>4.396817543122844E-2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1"/>
        <v>7.0161906795127127E-2</v>
      </c>
      <c r="I52" s="29">
        <f t="shared" si="2"/>
        <v>5.3421603493966519E-2</v>
      </c>
      <c r="J52" s="14">
        <v>0</v>
      </c>
    </row>
    <row r="53" spans="1:11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1"/>
        <v>7.1735901451428052E-2</v>
      </c>
      <c r="I53" s="29">
        <f t="shared" si="2"/>
        <v>5.9204329449360937E-2</v>
      </c>
      <c r="J53" s="14">
        <v>0</v>
      </c>
    </row>
    <row r="54" spans="1:11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1"/>
        <v>2.7506729475101022E-2</v>
      </c>
      <c r="I54" s="29">
        <f t="shared" si="2"/>
        <v>5.9181463988524252E-2</v>
      </c>
      <c r="J54" s="14">
        <v>0</v>
      </c>
    </row>
    <row r="55" spans="1:11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1"/>
        <v>2.5833200446499838E-2</v>
      </c>
      <c r="I55" s="29">
        <f t="shared" si="2"/>
        <v>4.880943454203901E-2</v>
      </c>
      <c r="J55" s="14">
        <v>0</v>
      </c>
    </row>
    <row r="56" spans="1:11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1"/>
        <v>1.0177290131599959E-2</v>
      </c>
      <c r="I56" s="29">
        <f t="shared" si="2"/>
        <v>3.3813280376157218E-2</v>
      </c>
      <c r="J56" s="14">
        <v>0</v>
      </c>
    </row>
    <row r="57" spans="1:11">
      <c r="A57" s="11" t="s">
        <v>426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1"/>
        <v>3.0806427923127044E-2</v>
      </c>
      <c r="I57" s="29">
        <f t="shared" si="2"/>
        <v>2.3580911994081966E-2</v>
      </c>
      <c r="J57" s="14">
        <v>0</v>
      </c>
    </row>
    <row r="58" spans="1:11">
      <c r="A58" s="11" t="s">
        <v>427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3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v>0</v>
      </c>
    </row>
    <row r="59" spans="1:11">
      <c r="A59" s="11" t="s">
        <v>438</v>
      </c>
      <c r="B59" s="13">
        <v>42094</v>
      </c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J59" s="14">
        <v>0</v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>
        <f t="shared" si="4"/>
        <v>-1</v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topLeftCell="A25" zoomScale="85" zoomScaleNormal="85" workbookViewId="0">
      <selection activeCell="G5" sqref="G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276</v>
      </c>
      <c r="B4" s="22" t="s">
        <v>382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389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388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380</v>
      </c>
    </row>
    <row r="7" spans="1:14">
      <c r="A7" s="16" t="s">
        <v>24</v>
      </c>
      <c r="C7" t="s">
        <v>433</v>
      </c>
      <c r="D7" t="s">
        <v>433</v>
      </c>
      <c r="E7" t="s">
        <v>394</v>
      </c>
      <c r="F7" t="s">
        <v>394</v>
      </c>
      <c r="G7" t="s">
        <v>437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20.399999999999999</v>
      </c>
      <c r="E48" s="44" t="e">
        <v>#N/A</v>
      </c>
      <c r="F48" s="44" t="e">
        <v>#N/A</v>
      </c>
      <c r="G48" s="14">
        <v>0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18.3</v>
      </c>
      <c r="D50" s="32">
        <v>20.6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20.5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20.9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18.100000000000001</v>
      </c>
      <c r="D53" s="32">
        <v>21.2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21.4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21.8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21.8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21.7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abSelected="1" zoomScale="70" zoomScaleNormal="70" workbookViewId="0">
      <selection activeCell="D46" sqref="D46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382</v>
      </c>
      <c r="C3" s="45" t="s">
        <v>340</v>
      </c>
      <c r="D3" s="21" t="s">
        <v>342</v>
      </c>
      <c r="E3" s="21"/>
      <c r="F3" s="17"/>
      <c r="G3" s="111" t="s">
        <v>389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388</v>
      </c>
    </row>
    <row r="5" spans="1:10">
      <c r="A5" s="16" t="s">
        <v>20</v>
      </c>
      <c r="C5" s="19" t="s">
        <v>22</v>
      </c>
      <c r="D5" s="19" t="s">
        <v>22</v>
      </c>
      <c r="G5" t="s">
        <v>380</v>
      </c>
    </row>
    <row r="6" spans="1:10">
      <c r="A6" s="16" t="s">
        <v>24</v>
      </c>
      <c r="C6" s="19" t="s">
        <v>394</v>
      </c>
      <c r="D6" s="19" t="s">
        <v>434</v>
      </c>
      <c r="E6" s="20" t="s">
        <v>135</v>
      </c>
      <c r="F6" t="s">
        <v>136</v>
      </c>
      <c r="G6" t="s">
        <v>437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-3</v>
      </c>
      <c r="E46" s="102">
        <f t="shared" si="0"/>
        <v>-2.802</v>
      </c>
      <c r="F46" s="102">
        <f t="shared" si="1"/>
        <v>-3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-3</v>
      </c>
      <c r="E47" s="102" t="e">
        <f t="shared" si="0"/>
        <v>#N/A</v>
      </c>
      <c r="F47" s="102">
        <f t="shared" si="1"/>
        <v>-3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</v>
      </c>
      <c r="E48" s="102" t="e">
        <f t="shared" si="0"/>
        <v>#N/A</v>
      </c>
      <c r="F48" s="102">
        <f t="shared" si="1"/>
        <v>-2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</v>
      </c>
      <c r="E49" s="102" t="e">
        <f t="shared" si="0"/>
        <v>#N/A</v>
      </c>
      <c r="F49" s="102">
        <f t="shared" si="1"/>
        <v>-2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</v>
      </c>
      <c r="E50" s="102" t="e">
        <f t="shared" si="0"/>
        <v>#N/A</v>
      </c>
      <c r="F50" s="102">
        <f t="shared" si="1"/>
        <v>-2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</v>
      </c>
      <c r="E52" s="102" t="e">
        <f t="shared" si="0"/>
        <v>#N/A</v>
      </c>
      <c r="F52" s="102">
        <f t="shared" si="1"/>
        <v>-3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</v>
      </c>
      <c r="E53" s="102" t="e">
        <f t="shared" si="0"/>
        <v>#N/A</v>
      </c>
      <c r="F53" s="102">
        <f t="shared" si="1"/>
        <v>-3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-4</v>
      </c>
      <c r="E54" s="102" t="e">
        <f t="shared" si="0"/>
        <v>#N/A</v>
      </c>
      <c r="F54" s="102">
        <f t="shared" si="1"/>
        <v>-4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-4</v>
      </c>
      <c r="E55" s="102" t="e">
        <f t="shared" si="0"/>
        <v>#N/A</v>
      </c>
      <c r="F55" s="102">
        <f t="shared" si="1"/>
        <v>-4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</v>
      </c>
      <c r="E56" s="102" t="e">
        <f t="shared" si="0"/>
        <v>#N/A</v>
      </c>
      <c r="F56" s="102">
        <f t="shared" si="1"/>
        <v>-3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C5" sqref="C5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276</v>
      </c>
      <c r="B2" s="22" t="s">
        <v>382</v>
      </c>
      <c r="C2" s="21" t="s">
        <v>118</v>
      </c>
      <c r="F2" s="111" t="s">
        <v>389</v>
      </c>
    </row>
    <row r="3" spans="1:7">
      <c r="A3" s="20" t="s">
        <v>7</v>
      </c>
      <c r="C3" t="s">
        <v>119</v>
      </c>
      <c r="F3" t="s">
        <v>388</v>
      </c>
    </row>
    <row r="4" spans="1:7">
      <c r="A4" s="20" t="s">
        <v>20</v>
      </c>
      <c r="C4" t="s">
        <v>22</v>
      </c>
      <c r="F4" t="s">
        <v>380</v>
      </c>
    </row>
    <row r="5" spans="1:7">
      <c r="A5" s="20" t="s">
        <v>24</v>
      </c>
      <c r="C5" t="s">
        <v>434</v>
      </c>
      <c r="D5" t="s">
        <v>137</v>
      </c>
      <c r="E5" t="s">
        <v>138</v>
      </c>
      <c r="F5" t="s">
        <v>437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</v>
      </c>
      <c r="D45" s="29">
        <f t="shared" si="0"/>
        <v>74</v>
      </c>
      <c r="E45" s="31">
        <f t="shared" si="1"/>
        <v>74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74</v>
      </c>
      <c r="D47" s="29" t="e">
        <f t="shared" si="0"/>
        <v>#N/A</v>
      </c>
      <c r="E47" s="31">
        <f t="shared" si="1"/>
        <v>74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</v>
      </c>
      <c r="D49" s="29" t="e">
        <f t="shared" si="0"/>
        <v>#N/A</v>
      </c>
      <c r="E49" s="31">
        <f t="shared" si="1"/>
        <v>73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</v>
      </c>
      <c r="D50" s="29" t="e">
        <f t="shared" si="0"/>
        <v>#N/A</v>
      </c>
      <c r="E50" s="31">
        <f t="shared" si="1"/>
        <v>73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</v>
      </c>
      <c r="D51" s="29" t="e">
        <f t="shared" si="0"/>
        <v>#N/A</v>
      </c>
      <c r="E51" s="31">
        <f t="shared" si="1"/>
        <v>74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75</v>
      </c>
      <c r="D53" s="29" t="e">
        <f t="shared" si="0"/>
        <v>#N/A</v>
      </c>
      <c r="E53" s="31">
        <f t="shared" si="1"/>
        <v>75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</v>
      </c>
      <c r="D54" s="29" t="e">
        <f t="shared" si="0"/>
        <v>#N/A</v>
      </c>
      <c r="E54" s="31">
        <f t="shared" si="1"/>
        <v>76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</v>
      </c>
      <c r="D55" s="29" t="e">
        <f t="shared" si="0"/>
        <v>#N/A</v>
      </c>
      <c r="E55" s="31">
        <f t="shared" si="1"/>
        <v>76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382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389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388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395</v>
      </c>
      <c r="I3" s="7" t="s">
        <v>395</v>
      </c>
      <c r="M3" s="2" t="s">
        <v>390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443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394</v>
      </c>
      <c r="I6" s="7" t="s">
        <v>394</v>
      </c>
      <c r="M6" s="2" t="s">
        <v>437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49" workbookViewId="0">
      <selection activeCell="B86" sqref="B86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379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-1000</v>
      </c>
      <c r="C76" s="22" t="str">
        <f>IF(ISNUMBER('Change in Employment'!J83),TEXT('Change in Employment'!J83, "0"),"")</f>
        <v>3000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-1000</v>
      </c>
      <c r="C77" s="22" t="str">
        <f>IF(ISNUMBER('Change in Employment'!J84),TEXT('Change in Employment'!J84, "0"),"")</f>
        <v>333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45" workbookViewId="0">
      <selection activeCell="D43" sqref="D43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379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-2899.9999999996362</v>
      </c>
      <c r="C76" s="20" t="str">
        <f>IFERROR(IF(ISNUMBER('Change in Employment'!M83),TEXT('Change in Employment'!M83, "0"), ""), "")</f>
        <v>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-1400.0000000000909</v>
      </c>
      <c r="C77" s="20" t="str">
        <f>IFERROR(IF(ISNUMBER('Change in Employment'!M84),TEXT('Change in Employment'!M84, "0"), ""), "")</f>
        <v>-733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C26" sqref="C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379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227.4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A45" sqref="A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379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/>
      </c>
      <c r="C46" s="20">
        <f>IF(ISNUMBER('State and Local Taxes'!J59),'State and Local Taxes'!J59, "")</f>
        <v>0</v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1" workbookViewId="0">
      <selection activeCell="C43" sqref="C43"/>
    </sheetView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379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20.40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18.30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20.60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20.50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20.90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21.20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21.40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21.80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21.80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21.70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0" sqref="C40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379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-3.00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-3.00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-2.00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-2.00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-2.00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-3.00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-3.00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-4.00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-4.00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-3.00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379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74.00</v>
      </c>
      <c r="C41" s="20" t="str">
        <f>IFERROR(IF(ISNUMBER('Debt to GDP Ratio'!E45),TEXT('Debt to GDP Ratio'!E45,"0.00"), ""), "")</f>
        <v>74.00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74.00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73.00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73.00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74.00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75.00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76.00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76.00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379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A76494A-A07D-43E0-A620-BAF994143FD9}"/>
</file>

<file path=customXml/itemProps2.xml><?xml version="1.0" encoding="utf-8"?>
<ds:datastoreItem xmlns:ds="http://schemas.openxmlformats.org/officeDocument/2006/customXml" ds:itemID="{042F6EBB-7941-41F6-9D33-937916DA1A4E}"/>
</file>

<file path=customXml/itemProps3.xml><?xml version="1.0" encoding="utf-8"?>
<ds:datastoreItem xmlns:ds="http://schemas.openxmlformats.org/officeDocument/2006/customXml" ds:itemID="{5ECAE8AA-7F57-4D82-BADB-E6114F5C26A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2015-04-29T13:31:54Z</cp:lastPrinted>
  <dcterms:created xsi:type="dcterms:W3CDTF">2014-07-22T13:55:17Z</dcterms:created>
  <dcterms:modified xsi:type="dcterms:W3CDTF">2015-04-29T14:34:11Z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