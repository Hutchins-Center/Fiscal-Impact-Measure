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210" yWindow="-165" windowWidth="18720" windowHeight="11790" firstSheet="8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Structures'!$K$2:$M$5</definedName>
    <definedName name="DLX2.USE">'Real Structures'!$A$3:$C$7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D1" i="8" l="1"/>
  <c r="C51" i="8" s="1"/>
  <c r="D36" i="8" l="1"/>
  <c r="D21" i="8"/>
  <c r="D28" i="8"/>
  <c r="D29" i="8"/>
  <c r="D44" i="8"/>
  <c r="D12" i="8"/>
  <c r="D52" i="8"/>
  <c r="D13" i="8"/>
  <c r="D20" i="8"/>
  <c r="D37" i="8"/>
  <c r="D45" i="8"/>
  <c r="D53" i="8"/>
  <c r="D14" i="8"/>
  <c r="D22" i="8"/>
  <c r="D30" i="8"/>
  <c r="D38" i="8"/>
  <c r="D46" i="8"/>
  <c r="D54" i="8"/>
  <c r="D15" i="8"/>
  <c r="D23" i="8"/>
  <c r="D31" i="8"/>
  <c r="D39" i="8"/>
  <c r="D47" i="8"/>
  <c r="D55" i="8"/>
  <c r="D9" i="8"/>
  <c r="D17" i="8"/>
  <c r="D25" i="8"/>
  <c r="D33" i="8"/>
  <c r="D41" i="8"/>
  <c r="D49" i="8"/>
  <c r="D57" i="8"/>
  <c r="D10" i="8"/>
  <c r="D18" i="8"/>
  <c r="D26" i="8"/>
  <c r="D34" i="8"/>
  <c r="D42" i="8"/>
  <c r="D50" i="8"/>
  <c r="D11" i="8"/>
  <c r="D19" i="8"/>
  <c r="D27" i="8"/>
  <c r="D35" i="8"/>
  <c r="D43" i="8"/>
  <c r="D51" i="8"/>
  <c r="D16" i="8"/>
  <c r="D24" i="8"/>
  <c r="D32" i="8"/>
  <c r="D40" i="8"/>
  <c r="D48" i="8"/>
  <c r="D56" i="8"/>
  <c r="C45" i="8"/>
  <c r="C20" i="8"/>
  <c r="C38" i="8"/>
  <c r="C21" i="8"/>
  <c r="C44" i="8"/>
  <c r="C29" i="8"/>
  <c r="C52" i="8"/>
  <c r="C12" i="8"/>
  <c r="C30" i="8"/>
  <c r="C53" i="8"/>
  <c r="C22" i="8"/>
  <c r="C28" i="8"/>
  <c r="C46" i="8"/>
  <c r="C13" i="8"/>
  <c r="C36" i="8"/>
  <c r="C54" i="8"/>
  <c r="C14" i="8"/>
  <c r="C37" i="8"/>
  <c r="D8" i="8"/>
  <c r="C15" i="8"/>
  <c r="C23" i="8"/>
  <c r="C31" i="8"/>
  <c r="C39" i="8"/>
  <c r="C47" i="8"/>
  <c r="C55" i="8"/>
  <c r="C8" i="8"/>
  <c r="C16" i="8"/>
  <c r="C24" i="8"/>
  <c r="C32" i="8"/>
  <c r="C40" i="8"/>
  <c r="C48" i="8"/>
  <c r="C56" i="8"/>
  <c r="C9" i="8"/>
  <c r="C17" i="8"/>
  <c r="C25" i="8"/>
  <c r="C33" i="8"/>
  <c r="C41" i="8"/>
  <c r="C49" i="8"/>
  <c r="C57" i="8"/>
  <c r="C10" i="8"/>
  <c r="C18" i="8"/>
  <c r="C26" i="8"/>
  <c r="C34" i="8"/>
  <c r="C42" i="8"/>
  <c r="C50" i="8"/>
  <c r="C11" i="8"/>
  <c r="C19" i="8"/>
  <c r="C27" i="8"/>
  <c r="C35" i="8"/>
  <c r="C43" i="8"/>
  <c r="E1" i="9"/>
  <c r="E6" i="9" s="1"/>
  <c r="E1" i="7"/>
  <c r="F7" i="7" s="1"/>
  <c r="E43" i="9" l="1"/>
  <c r="E26" i="9"/>
  <c r="E34" i="9"/>
  <c r="E35" i="9"/>
  <c r="E44" i="9"/>
  <c r="E11" i="9"/>
  <c r="E52" i="9"/>
  <c r="E12" i="9"/>
  <c r="E20" i="9"/>
  <c r="E18" i="9"/>
  <c r="E36" i="9"/>
  <c r="E19" i="9"/>
  <c r="E42" i="9"/>
  <c r="E27" i="9"/>
  <c r="E50" i="9"/>
  <c r="E10" i="9"/>
  <c r="E28" i="9"/>
  <c r="E51" i="9"/>
  <c r="E13" i="9"/>
  <c r="E21" i="9"/>
  <c r="E29" i="9"/>
  <c r="E37" i="9"/>
  <c r="E45" i="9"/>
  <c r="E53" i="9"/>
  <c r="E7" i="9"/>
  <c r="E15" i="9"/>
  <c r="E23" i="9"/>
  <c r="E31" i="9"/>
  <c r="E39" i="9"/>
  <c r="E47" i="9"/>
  <c r="E55" i="9"/>
  <c r="E8" i="9"/>
  <c r="E16" i="9"/>
  <c r="E24" i="9"/>
  <c r="E32" i="9"/>
  <c r="E40" i="9"/>
  <c r="E48" i="9"/>
  <c r="E9" i="9"/>
  <c r="E17" i="9"/>
  <c r="E25" i="9"/>
  <c r="E33" i="9"/>
  <c r="E41" i="9"/>
  <c r="E49" i="9"/>
  <c r="E14" i="9"/>
  <c r="E22" i="9"/>
  <c r="E30" i="9"/>
  <c r="E38" i="9"/>
  <c r="E46" i="9"/>
  <c r="E54" i="9"/>
  <c r="F19" i="7"/>
  <c r="F27" i="7"/>
  <c r="F43" i="7"/>
  <c r="F9" i="7"/>
  <c r="F17" i="7"/>
  <c r="F25" i="7"/>
  <c r="F33" i="7"/>
  <c r="F41" i="7"/>
  <c r="F49" i="7"/>
  <c r="F10" i="7"/>
  <c r="F18" i="7"/>
  <c r="F26" i="7"/>
  <c r="F34" i="7"/>
  <c r="F42" i="7"/>
  <c r="F50" i="7"/>
  <c r="F52" i="7"/>
  <c r="F15" i="7"/>
  <c r="F23" i="7"/>
  <c r="F31" i="7"/>
  <c r="F39" i="7"/>
  <c r="F47" i="7"/>
  <c r="F55" i="7"/>
  <c r="F11" i="7"/>
  <c r="F35" i="7"/>
  <c r="F51" i="7"/>
  <c r="F12" i="7"/>
  <c r="F20" i="7"/>
  <c r="F28" i="7"/>
  <c r="F36" i="7"/>
  <c r="F44" i="7"/>
  <c r="F13" i="7"/>
  <c r="F21" i="7"/>
  <c r="F29" i="7"/>
  <c r="F37" i="7"/>
  <c r="F45" i="7"/>
  <c r="F53" i="7"/>
  <c r="F14" i="7"/>
  <c r="F22" i="7"/>
  <c r="F30" i="7"/>
  <c r="F38" i="7"/>
  <c r="F46" i="7"/>
  <c r="F54" i="7"/>
  <c r="F8" i="7"/>
  <c r="F16" i="7"/>
  <c r="F24" i="7"/>
  <c r="F32" i="7"/>
  <c r="F40" i="7"/>
  <c r="F48" i="7"/>
  <c r="F56" i="7"/>
  <c r="D67" i="15"/>
  <c r="D66" i="15"/>
  <c r="D65" i="15"/>
  <c r="D64" i="15"/>
  <c r="D63" i="15"/>
  <c r="D62" i="15"/>
  <c r="D61" i="15"/>
  <c r="D60" i="15"/>
  <c r="D59" i="15"/>
  <c r="D58" i="15"/>
  <c r="D57" i="15"/>
  <c r="D56" i="15"/>
  <c r="D55" i="15"/>
  <c r="D54" i="15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H126" i="4" l="1"/>
  <c r="H125" i="4"/>
  <c r="H124" i="4"/>
  <c r="H123" i="4"/>
  <c r="I126" i="4" s="1"/>
  <c r="H122" i="4"/>
  <c r="H121" i="4"/>
  <c r="H120" i="4"/>
  <c r="H119" i="4"/>
  <c r="I122" i="4" s="1"/>
  <c r="H118" i="4"/>
  <c r="I121" i="4" s="1"/>
  <c r="H117" i="4"/>
  <c r="H116" i="4"/>
  <c r="H115" i="4"/>
  <c r="I118" i="4" s="1"/>
  <c r="H114" i="4"/>
  <c r="H113" i="4"/>
  <c r="H112" i="4"/>
  <c r="H111" i="4"/>
  <c r="I114" i="4" s="1"/>
  <c r="H110" i="4"/>
  <c r="I113" i="4" s="1"/>
  <c r="H109" i="4"/>
  <c r="H108" i="4"/>
  <c r="H107" i="4"/>
  <c r="I110" i="4" s="1"/>
  <c r="H106" i="4"/>
  <c r="H105" i="4"/>
  <c r="H104" i="4"/>
  <c r="H103" i="4"/>
  <c r="I106" i="4" s="1"/>
  <c r="H102" i="4"/>
  <c r="I105" i="4" s="1"/>
  <c r="H101" i="4"/>
  <c r="H100" i="4"/>
  <c r="H99" i="4"/>
  <c r="I102" i="4" s="1"/>
  <c r="H98" i="4"/>
  <c r="H97" i="4"/>
  <c r="H96" i="4"/>
  <c r="H95" i="4"/>
  <c r="I98" i="4" s="1"/>
  <c r="H94" i="4"/>
  <c r="I97" i="4" s="1"/>
  <c r="H93" i="4"/>
  <c r="H92" i="4"/>
  <c r="H91" i="4"/>
  <c r="I94" i="4" s="1"/>
  <c r="H90" i="4"/>
  <c r="H89" i="4"/>
  <c r="H88" i="4"/>
  <c r="H87" i="4"/>
  <c r="I90" i="4" s="1"/>
  <c r="H86" i="4"/>
  <c r="I89" i="4" s="1"/>
  <c r="H85" i="4"/>
  <c r="H84" i="4"/>
  <c r="H83" i="4"/>
  <c r="I86" i="4" s="1"/>
  <c r="H82" i="4"/>
  <c r="H81" i="4"/>
  <c r="H80" i="4"/>
  <c r="H79" i="4"/>
  <c r="I82" i="4" s="1"/>
  <c r="H78" i="4"/>
  <c r="I81" i="4" s="1"/>
  <c r="K59" i="4" s="1"/>
  <c r="H77" i="4"/>
  <c r="H76" i="4"/>
  <c r="H75" i="4"/>
  <c r="I78" i="4" s="1"/>
  <c r="H74" i="4"/>
  <c r="H73" i="4"/>
  <c r="H72" i="4"/>
  <c r="H71" i="4"/>
  <c r="I74" i="4" s="1"/>
  <c r="H70" i="4"/>
  <c r="I73" i="4" s="1"/>
  <c r="H69" i="4"/>
  <c r="H68" i="4"/>
  <c r="H67" i="4"/>
  <c r="I70" i="4" s="1"/>
  <c r="H66" i="4"/>
  <c r="H65" i="4"/>
  <c r="H64" i="4"/>
  <c r="H63" i="4"/>
  <c r="I66" i="4" s="1"/>
  <c r="I124" i="4"/>
  <c r="I123" i="4"/>
  <c r="I116" i="4"/>
  <c r="I115" i="4"/>
  <c r="I108" i="4"/>
  <c r="I107" i="4"/>
  <c r="I100" i="4"/>
  <c r="I99" i="4"/>
  <c r="I92" i="4"/>
  <c r="I91" i="4"/>
  <c r="I84" i="4"/>
  <c r="I83" i="4"/>
  <c r="I76" i="4"/>
  <c r="I75" i="4"/>
  <c r="I68" i="4"/>
  <c r="I6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H62" i="4" s="1"/>
  <c r="I65" i="4" s="1"/>
  <c r="I69" i="4" l="1"/>
  <c r="I77" i="4"/>
  <c r="I85" i="4"/>
  <c r="I93" i="4"/>
  <c r="I101" i="4"/>
  <c r="I109" i="4"/>
  <c r="I117" i="4"/>
  <c r="I125" i="4"/>
  <c r="I71" i="4"/>
  <c r="I79" i="4"/>
  <c r="I87" i="4"/>
  <c r="I95" i="4"/>
  <c r="I103" i="4"/>
  <c r="I111" i="4"/>
  <c r="I119" i="4"/>
  <c r="I72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D30" i="15" l="1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 s="1"/>
  <c r="J52" i="8"/>
  <c r="F46" i="22" s="1"/>
  <c r="J51" i="8"/>
  <c r="F45" i="22" s="1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 s="1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 s="1"/>
  <c r="J31" i="8"/>
  <c r="F25" i="22" s="1"/>
  <c r="J30" i="8"/>
  <c r="F24" i="22" s="1"/>
  <c r="J29" i="8"/>
  <c r="F23" i="22" s="1"/>
  <c r="J28" i="8"/>
  <c r="F22" i="22" s="1"/>
  <c r="J27" i="8"/>
  <c r="F21" i="22" s="1"/>
  <c r="J26" i="8"/>
  <c r="F20" i="22" s="1"/>
  <c r="J25" i="8"/>
  <c r="F19" i="22" s="1"/>
  <c r="J24" i="8"/>
  <c r="F18" i="22" s="1"/>
  <c r="J23" i="8"/>
  <c r="F17" i="22" s="1"/>
  <c r="J22" i="8"/>
  <c r="F16" i="22" s="1"/>
  <c r="J21" i="8"/>
  <c r="F15" i="22" s="1"/>
  <c r="J20" i="8"/>
  <c r="F14" i="22" s="1"/>
  <c r="J19" i="8"/>
  <c r="F13" i="22" s="1"/>
  <c r="J18" i="8"/>
  <c r="F12" i="22" s="1"/>
  <c r="J17" i="8"/>
  <c r="F11" i="22" s="1"/>
  <c r="J16" i="8"/>
  <c r="F10" i="22" s="1"/>
  <c r="J15" i="8"/>
  <c r="F9" i="22" s="1"/>
  <c r="J14" i="8"/>
  <c r="F8" i="22" s="1"/>
  <c r="J13" i="8"/>
  <c r="F7" i="22" s="1"/>
  <c r="J12" i="8"/>
  <c r="F6" i="22" s="1"/>
  <c r="J11" i="8"/>
  <c r="F5" i="22" s="1"/>
  <c r="J10" i="8"/>
  <c r="F4" i="22" s="1"/>
  <c r="J9" i="8"/>
  <c r="F3" i="22" s="1"/>
  <c r="J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H61" i="4" l="1"/>
  <c r="I64" i="4" s="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E8" i="7" l="1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B4" i="18" s="1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H16" i="4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C80" i="18" s="1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B78" i="18" s="1"/>
  <c r="L84" i="3"/>
  <c r="L83" i="3"/>
  <c r="B76" i="18" s="1"/>
  <c r="L82" i="3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C79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B77" i="17" s="1"/>
  <c r="I83" i="3"/>
  <c r="I82" i="3"/>
  <c r="B75" i="17" s="1"/>
  <c r="I81" i="3"/>
  <c r="B74" i="17" s="1"/>
  <c r="I80" i="3"/>
  <c r="A1" i="3"/>
  <c r="J101" i="3"/>
  <c r="J117" i="3"/>
  <c r="J133" i="3"/>
  <c r="J87" i="3"/>
  <c r="J95" i="3"/>
  <c r="J103" i="3"/>
  <c r="J111" i="3"/>
  <c r="J119" i="3"/>
  <c r="J127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G48" i="4"/>
  <c r="G47" i="4"/>
  <c r="G46" i="4"/>
  <c r="G45" i="4"/>
  <c r="G44" i="4"/>
  <c r="G43" i="4"/>
  <c r="G42" i="4"/>
  <c r="G41" i="4"/>
  <c r="G40" i="4"/>
  <c r="G39" i="4"/>
  <c r="G38" i="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C2" i="24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H17" i="4" l="1"/>
  <c r="M85" i="3"/>
  <c r="C78" i="18" s="1"/>
  <c r="M86" i="3"/>
  <c r="C79" i="18" s="1"/>
  <c r="H43" i="4"/>
  <c r="B77" i="18"/>
  <c r="J85" i="3"/>
  <c r="C78" i="17" s="1"/>
  <c r="J84" i="3"/>
  <c r="C77" i="17" s="1"/>
  <c r="H20" i="4"/>
  <c r="H28" i="4"/>
  <c r="H36" i="4"/>
  <c r="H38" i="4"/>
  <c r="H46" i="4"/>
  <c r="H21" i="4"/>
  <c r="H29" i="4"/>
  <c r="H37" i="4"/>
  <c r="H39" i="4"/>
  <c r="H48" i="4"/>
  <c r="H23" i="4"/>
  <c r="H31" i="4"/>
  <c r="H41" i="4"/>
  <c r="M84" i="3"/>
  <c r="C77" i="18" s="1"/>
  <c r="B76" i="17"/>
  <c r="M83" i="3"/>
  <c r="C76" i="18" s="1"/>
  <c r="H22" i="4"/>
  <c r="H30" i="4"/>
  <c r="H45" i="4"/>
  <c r="H13" i="4"/>
  <c r="H19" i="4"/>
  <c r="H60" i="4"/>
  <c r="I63" i="4" s="1"/>
  <c r="B50" i="21" s="1"/>
  <c r="H56" i="4"/>
  <c r="H44" i="4"/>
  <c r="H51" i="4"/>
  <c r="H15" i="4"/>
  <c r="H59" i="4"/>
  <c r="I62" i="4" s="1"/>
  <c r="B49" i="21" s="1"/>
  <c r="H55" i="4"/>
  <c r="H14" i="4"/>
  <c r="H47" i="4"/>
  <c r="H24" i="4"/>
  <c r="H32" i="4"/>
  <c r="H54" i="4"/>
  <c r="H58" i="4"/>
  <c r="H50" i="4"/>
  <c r="H40" i="4"/>
  <c r="H25" i="4"/>
  <c r="H33" i="4"/>
  <c r="H49" i="4"/>
  <c r="H18" i="4"/>
  <c r="H26" i="4"/>
  <c r="H34" i="4"/>
  <c r="H53" i="4"/>
  <c r="H57" i="4"/>
  <c r="H42" i="4"/>
  <c r="H27" i="4"/>
  <c r="H35" i="4"/>
  <c r="H52" i="4"/>
  <c r="H12" i="4"/>
  <c r="J83" i="3"/>
  <c r="C76" i="17" s="1"/>
  <c r="M82" i="3"/>
  <c r="C75" i="18" s="1"/>
  <c r="B75" i="18"/>
  <c r="J81" i="3"/>
  <c r="C74" i="17" s="1"/>
  <c r="J79" i="3"/>
  <c r="C72" i="17" s="1"/>
  <c r="B74" i="18"/>
  <c r="J82" i="3"/>
  <c r="C75" i="17" s="1"/>
  <c r="J80" i="3"/>
  <c r="C73" i="17" s="1"/>
  <c r="M80" i="3"/>
  <c r="C73" i="18" s="1"/>
  <c r="M81" i="3"/>
  <c r="C74" i="18" s="1"/>
  <c r="B73" i="17"/>
  <c r="J76" i="3"/>
  <c r="C69" i="17" s="1"/>
  <c r="M37" i="3"/>
  <c r="C30" i="18" s="1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J16" i="3"/>
  <c r="C9" i="17" s="1"/>
  <c r="J32" i="3"/>
  <c r="C25" i="17" s="1"/>
  <c r="M27" i="3"/>
  <c r="C20" i="18" s="1"/>
  <c r="J36" i="3"/>
  <c r="C29" i="17" s="1"/>
  <c r="J44" i="3"/>
  <c r="C37" i="17" s="1"/>
  <c r="J52" i="3"/>
  <c r="C45" i="17" s="1"/>
  <c r="M19" i="3"/>
  <c r="C12" i="18" s="1"/>
  <c r="B28" i="17"/>
  <c r="J9" i="3"/>
  <c r="J46" i="3"/>
  <c r="C39" i="17" s="1"/>
  <c r="M13" i="3"/>
  <c r="C6" i="18" s="1"/>
  <c r="M18" i="3"/>
  <c r="C11" i="18" s="1"/>
  <c r="M43" i="3"/>
  <c r="C36" i="18" s="1"/>
  <c r="M75" i="3"/>
  <c r="C68" i="18" s="1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J13" i="3"/>
  <c r="C6" i="17" s="1"/>
  <c r="M10" i="3"/>
  <c r="C3" i="18" s="1"/>
  <c r="M24" i="3"/>
  <c r="C17" i="18" s="1"/>
  <c r="M55" i="3"/>
  <c r="C48" i="18" s="1"/>
  <c r="M71" i="3"/>
  <c r="C64" i="18" s="1"/>
  <c r="B63" i="18"/>
  <c r="J62" i="3"/>
  <c r="C55" i="17" s="1"/>
  <c r="J68" i="3"/>
  <c r="C61" i="17" s="1"/>
  <c r="M35" i="3"/>
  <c r="C28" i="18" s="1"/>
  <c r="M48" i="3"/>
  <c r="C41" i="18" s="1"/>
  <c r="M65" i="3"/>
  <c r="C58" i="18" s="1"/>
  <c r="B59" i="18"/>
  <c r="B10" i="18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B37" i="17"/>
  <c r="M57" i="3"/>
  <c r="C50" i="18" s="1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B8" i="17"/>
  <c r="J40" i="3"/>
  <c r="C33" i="17" s="1"/>
  <c r="J29" i="3"/>
  <c r="C22" i="17" s="1"/>
  <c r="M31" i="3"/>
  <c r="C24" i="18" s="1"/>
  <c r="M64" i="3"/>
  <c r="C57" i="18" s="1"/>
  <c r="M73" i="3"/>
  <c r="C66" i="18" s="1"/>
  <c r="B58" i="18"/>
  <c r="B14" i="17"/>
  <c r="B53" i="17"/>
  <c r="M20" i="3"/>
  <c r="C13" i="18" s="1"/>
  <c r="M52" i="3"/>
  <c r="C45" i="18" s="1"/>
  <c r="M70" i="3"/>
  <c r="C63" i="18" s="1"/>
  <c r="M79" i="3"/>
  <c r="C72" i="18" s="1"/>
  <c r="B16" i="18"/>
  <c r="M77" i="3"/>
  <c r="C70" i="18" s="1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41" i="4" l="1"/>
  <c r="I39" i="4"/>
  <c r="I61" i="4"/>
  <c r="B48" i="21" s="1"/>
  <c r="I31" i="4"/>
  <c r="B18" i="21" s="1"/>
  <c r="I23" i="4"/>
  <c r="B10" i="21" s="1"/>
  <c r="I38" i="4"/>
  <c r="B25" i="21" s="1"/>
  <c r="I48" i="4"/>
  <c r="B35" i="21" s="1"/>
  <c r="I24" i="4"/>
  <c r="I45" i="4"/>
  <c r="B32" i="21" s="1"/>
  <c r="I49" i="4"/>
  <c r="I55" i="4"/>
  <c r="I21" i="4"/>
  <c r="B8" i="21" s="1"/>
  <c r="I22" i="4"/>
  <c r="B9" i="21" s="1"/>
  <c r="I16" i="4"/>
  <c r="B3" i="21" s="1"/>
  <c r="I30" i="4"/>
  <c r="B17" i="21" s="1"/>
  <c r="I34" i="4"/>
  <c r="B21" i="21" s="1"/>
  <c r="I60" i="4"/>
  <c r="B47" i="21" s="1"/>
  <c r="I17" i="4"/>
  <c r="B4" i="21" s="1"/>
  <c r="I47" i="4"/>
  <c r="B34" i="21" s="1"/>
  <c r="I36" i="4"/>
  <c r="B23" i="21" s="1"/>
  <c r="I37" i="4"/>
  <c r="B24" i="21" s="1"/>
  <c r="I56" i="4"/>
  <c r="B43" i="21" s="1"/>
  <c r="I52" i="4"/>
  <c r="B39" i="21" s="1"/>
  <c r="I58" i="4"/>
  <c r="B45" i="21" s="1"/>
  <c r="I59" i="4"/>
  <c r="B46" i="21" s="1"/>
  <c r="I20" i="4"/>
  <c r="B7" i="21" s="1"/>
  <c r="I27" i="4"/>
  <c r="B14" i="21" s="1"/>
  <c r="I18" i="4"/>
  <c r="B5" i="21" s="1"/>
  <c r="I57" i="4"/>
  <c r="B44" i="21" s="1"/>
  <c r="I28" i="4"/>
  <c r="B15" i="21" s="1"/>
  <c r="I44" i="4"/>
  <c r="B31" i="21" s="1"/>
  <c r="I51" i="4"/>
  <c r="B38" i="21" s="1"/>
  <c r="I19" i="4"/>
  <c r="B6" i="21" s="1"/>
  <c r="I54" i="4"/>
  <c r="B41" i="21" s="1"/>
  <c r="I29" i="4"/>
  <c r="B16" i="21" s="1"/>
  <c r="I35" i="4"/>
  <c r="B22" i="21" s="1"/>
  <c r="I43" i="4"/>
  <c r="B30" i="21" s="1"/>
  <c r="I50" i="4"/>
  <c r="B37" i="21" s="1"/>
  <c r="I40" i="4"/>
  <c r="B27" i="21" s="1"/>
  <c r="I26" i="4"/>
  <c r="B13" i="21" s="1"/>
  <c r="I15" i="4"/>
  <c r="B2" i="21" s="1"/>
  <c r="I33" i="4"/>
  <c r="B20" i="21" s="1"/>
  <c r="I25" i="4"/>
  <c r="B12" i="21" s="1"/>
  <c r="I53" i="4"/>
  <c r="B40" i="21" s="1"/>
  <c r="I42" i="4"/>
  <c r="B29" i="21" s="1"/>
  <c r="I32" i="4"/>
  <c r="B19" i="21" s="1"/>
  <c r="I46" i="4"/>
  <c r="B33" i="21" s="1"/>
  <c r="B11" i="21"/>
  <c r="B36" i="21"/>
  <c r="B26" i="21"/>
  <c r="B42" i="21"/>
  <c r="B28" i="2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<sst xmlns="http://schemas.openxmlformats.org/spreadsheetml/2006/main" count="742" uniqueCount="456">
  <si>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</si>
  <si>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</si>
  <si>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</si>
  <si>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</si>
  <si>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</si>
  <si>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</si>
  <si>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</si>
  <si>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</si>
  <si>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</si>
  <si>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</si>
  <si>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</si>
  <si>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</si>
  <si>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</si>
  <si>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</si>
  <si>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</si>
  <si>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</si>
  <si>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</si>
  <si>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</si>
  <si>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</si>
  <si>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</si>
  <si>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</si>
  <si>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</si>
  <si>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</si>
  <si>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</si>
  <si>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</si>
  <si>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</si>
  <si>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</si>
  <si>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</si>
  <si>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</si>
  <si>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</si>
  <si>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</si>
  <si>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</si>
  <si>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</si>
  <si>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</si>
  <si>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</si>
  <si>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</si>
  <si>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</si>
  <si>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</si>
  <si>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</si>
  <si>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</si>
  <si>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</si>
  <si>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</si>
  <si>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</si>
  <si>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</si>
  <si>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</si>
  <si>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</si>
  <si>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</si>
  <si>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</si>
  <si>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</si>
  <si>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</si>
  <si>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</si>
  <si>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</si>
  <si>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</si>
  <si>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</si>
  <si>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</si>
  <si>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</si>
  <si>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</si>
  <si>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</si>
  <si>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</si>
  <si>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</si>
  <si>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</si>
  <si>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</si>
  <si>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</si>
  <si>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</si>
  <si>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</si>
  <si>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</si>
  <si>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</si>
  <si>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</si>
  <si>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</si>
  <si>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</si>
  <si>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</si>
  <si>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</si>
  <si>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</si>
  <si>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</si>
  <si>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</si>
  <si>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</si>
  <si>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</si>
  <si>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</si>
  <si>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</si>
  <si>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</si>
  <si>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</si>
  <si>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</si>
  <si>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</si>
  <si>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</si>
  <si>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</si>
  <si>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</si>
  <si>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</si>
  <si>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</si>
  <si>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</si>
  <si>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</si>
  <si>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</si>
  <si>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</si>
  <si>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</si>
  <si>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</si>
  <si>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</si>
  <si>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</si>
  <si>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</si>
  <si>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</si>
  <si>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</si>
  <si>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</si>
  <si>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</si>
  <si>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</si>
  <si>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</si>
  <si>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</si>
  <si>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</si>
  <si>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</si>
  <si>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</si>
  <si>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</si>
  <si>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</si>
  <si>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</si>
  <si>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</si>
  <si>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</si>
  <si>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</si>
  <si>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</si>
  <si>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</si>
  <si>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</si>
  <si>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</si>
  <si>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</si>
  <si>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</si>
  <si>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</si>
  <si>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</si>
  <si>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</si>
  <si>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</si>
  <si>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</si>
  <si>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</si>
  <si>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</si>
  <si>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</si>
  <si>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</si>
  <si>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</si>
  <si>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</si>
  <si>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</si>
  <si>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</si>
  <si>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</si>
  <si>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</si>
  <si>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</si>
  <si>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</si>
  <si>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</si>
  <si>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</si>
  <si>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</si>
  <si>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</si>
  <si>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</si>
  <si>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</si>
  <si>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</si>
  <si>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</si>
  <si>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</si>
  <si>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</si>
  <si>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</si>
  <si>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</si>
  <si>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</si>
  <si>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</si>
  <si>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</si>
  <si>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</si>
  <si>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</si>
  <si>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</si>
  <si>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</si>
  <si>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</si>
  <si>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</si>
  <si>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</si>
  <si>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</si>
  <si>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</si>
  <si>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</si>
  <si>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</si>
  <si>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</si>
  <si>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</si>
  <si>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</si>
  <si>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</si>
  <si>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</si>
  <si>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</si>
  <si>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</si>
  <si>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</si>
  <si>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</si>
  <si>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</si>
  <si>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</si>
  <si>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</si>
  <si>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</si>
  <si>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</si>
  <si>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</si>
  <si>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</si>
  <si>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</si>
  <si>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</si>
  <si>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</si>
  <si>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</si>
  <si>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</si>
  <si>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</si>
  <si>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</si>
  <si>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</si>
  <si>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</si>
  <si>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</si>
  <si>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</si>
  <si>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</si>
  <si>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</si>
  <si>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</si>
  <si>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</si>
  <si>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</si>
  <si>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</si>
  <si>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</si>
  <si>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</si>
  <si>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</si>
  <si>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</si>
  <si>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</si>
  <si>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</si>
  <si>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</si>
  <si>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</si>
  <si>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</si>
  <si>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</si>
  <si>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</si>
  <si>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</si>
  <si>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</si>
  <si>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</si>
  <si>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</si>
  <si>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</si>
  <si>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</si>
  <si>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</si>
  <si>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</si>
  <si>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</si>
  <si>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</si>
  <si>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</si>
  <si>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</si>
  <si>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</si>
  <si>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</si>
  <si>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</si>
  <si>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</si>
  <si>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</si>
  <si>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</si>
  <si>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</si>
  <si>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</si>
  <si>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</si>
  <si>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</si>
  <si>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</si>
  <si>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</si>
  <si>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</si>
  <si>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</si>
  <si>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</si>
  <si>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</si>
  <si>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</si>
  <si>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</si>
  <si>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</si>
  <si>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</si>
  <si>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</si>
  <si>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</si>
  <si>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</si>
  <si>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</si>
  <si>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</si>
  <si>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</si>
  <si>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</si>
  <si>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</si>
  <si>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</si>
  <si>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</si>
  <si>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</si>
  <si>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</si>
  <si>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</si>
  <si>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</si>
  <si>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</si>
  <si>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</si>
  <si>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</si>
  <si>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</si>
  <si>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</si>
  <si>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</si>
  <si>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</si>
  <si>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</si>
  <si>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</si>
  <si>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</si>
  <si>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</si>
  <si>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</si>
  <si>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</si>
  <si>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</si>
  <si>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</si>
  <si>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</si>
  <si>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</si>
  <si>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</si>
  <si>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</si>
  <si>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</si>
  <si>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</si>
  <si>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</si>
  <si>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</si>
  <si>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</si>
  <si>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</si>
  <si>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</si>
  <si>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</si>
  <si>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</si>
  <si>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</si>
  <si>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</si>
  <si>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</si>
  <si>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</si>
  <si>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</si>
  <si>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</si>
  <si>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</si>
  <si>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</si>
  <si>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</si>
  <si>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</si>
  <si>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</si>
  <si>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</si>
  <si>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</si>
  <si>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</si>
  <si>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</si>
  <si>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</si>
  <si>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</si>
  <si>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</si>
  <si>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</si>
  <si>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</si>
  <si>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</si>
  <si>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</si>
  <si>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</si>
  <si>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</si>
  <si>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</si>
  <si>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</si>
  <si>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</si>
  <si>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</si>
  <si>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</si>
  <si>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</si>
  <si>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</si>
  <si>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</si>
  <si>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</si>
  <si>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</si>
  <si>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</si>
  <si>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</si>
  <si>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</si>
  <si>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</si>
  <si>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</si>
  <si>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</si>
  <si>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</si>
  <si>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</si>
  <si>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</si>
  <si>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</si>
  <si>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</si>
  <si>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</si>
  <si>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</si>
  <si>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</si>
  <si>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</si>
  <si>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</si>
  <si>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</si>
  <si>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</si>
  <si>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</si>
  <si>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</si>
  <si>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</si>
  <si>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</si>
  <si>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</si>
  <si>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</si>
  <si>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</si>
  <si>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</si>
  <si>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</si>
  <si>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</si>
  <si>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</si>
  <si>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</si>
  <si>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</si>
  <si>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</si>
  <si>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</si>
  <si>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</si>
  <si>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</si>
  <si>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</si>
  <si>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</si>
  <si>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</si>
  <si>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201410</t>
  </si>
  <si>
    <t>20091</t>
  </si>
  <si>
    <t>20092</t>
  </si>
  <si>
    <t>20093</t>
  </si>
  <si>
    <t>20094</t>
  </si>
  <si>
    <t>20101</t>
  </si>
  <si>
    <t>20102</t>
  </si>
  <si>
    <t>20103</t>
  </si>
  <si>
    <t>20104</t>
  </si>
  <si>
    <t>20111</t>
  </si>
  <si>
    <t>20112</t>
  </si>
  <si>
    <t>20113</t>
  </si>
  <si>
    <t>20114</t>
  </si>
  <si>
    <t>20121</t>
  </si>
  <si>
    <t>20122</t>
  </si>
  <si>
    <t>20123</t>
  </si>
  <si>
    <t>20124</t>
  </si>
  <si>
    <t>20131</t>
  </si>
  <si>
    <t>20132</t>
  </si>
  <si>
    <t>20133</t>
  </si>
  <si>
    <t>20134</t>
  </si>
  <si>
    <t>20141</t>
  </si>
  <si>
    <t>20142</t>
  </si>
  <si>
    <t>20143</t>
  </si>
  <si>
    <t>.LSOURCE</t>
  </si>
  <si>
    <t xml:space="preserve">National Bureau of Economic Research </t>
  </si>
  <si>
    <t>201411</t>
  </si>
  <si>
    <t>RecessionDummy</t>
  </si>
  <si>
    <t xml:space="preserve">NBER </t>
  </si>
  <si>
    <t>20091 !Q</t>
  </si>
  <si>
    <t>.excel_first</t>
  </si>
  <si>
    <t xml:space="preserve">Q1-1920 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</si>
  <si>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</si>
  <si>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</si>
  <si>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</si>
  <si>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</si>
  <si>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</si>
  <si>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</si>
  <si>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1920 [Q1-1920] </t>
  </si>
  <si>
    <t>4. Click on the Get Data Button (Below) -- This copies in the updated CBO data</t>
  </si>
  <si>
    <t>20144</t>
  </si>
  <si>
    <t xml:space="preserve">Q4-2014 </t>
  </si>
  <si>
    <t xml:space="preserve">Jan-26-2015 15:53 </t>
  </si>
  <si>
    <t xml:space="preserve">1965 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</si>
  <si>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</si>
  <si>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</si>
  <si>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</si>
  <si>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</si>
  <si>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</si>
  <si>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</si>
  <si>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</si>
  <si>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</si>
  <si>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</si>
  <si>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</si>
  <si>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</si>
  <si>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</si>
  <si>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</si>
  <si>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</si>
  <si>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</si>
  <si>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</si>
  <si>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</si>
  <si>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</si>
  <si>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</si>
  <si>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</si>
  <si>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</si>
  <si>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</si>
  <si>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</si>
  <si>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</si>
  <si>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</si>
  <si>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 xml:space="preserve">Bureau of Economic Analysis </t>
  </si>
  <si>
    <t xml:space="preserve">Q1-1947 </t>
  </si>
  <si>
    <t xml:space="preserve">Real State &amp; Local Gross Investment: Structures (SAAR, Bil.Ch.2009$)  </t>
  </si>
  <si>
    <t>2. Press Control Shift D to Update all Haver Data in this Spreadsheet</t>
  </si>
  <si>
    <t>1. Go to theFiscal Impact Workbook and press Control+Shift+D to Update all the Data in that Workbook. Save and Close.</t>
  </si>
  <si>
    <t>Q3-2014</t>
  </si>
  <si>
    <t>Q4-2014</t>
  </si>
  <si>
    <t>201412</t>
  </si>
  <si>
    <t>201501</t>
  </si>
  <si>
    <t>2014-Q4</t>
  </si>
  <si>
    <t>201502</t>
  </si>
  <si>
    <t xml:space="preserve">Mar-24-2015 11:28 </t>
  </si>
  <si>
    <t xml:space="preserve">Mar-09-2015 12:08 </t>
  </si>
  <si>
    <t xml:space="preserve">Mar-12-2015 15:41 </t>
  </si>
  <si>
    <t>6.6</t>
  </si>
  <si>
    <t xml:space="preserve">Q1-2015 </t>
  </si>
  <si>
    <t xml:space="preserve">Apr-08-2015 17:57 </t>
  </si>
  <si>
    <t>Q1-2015</t>
  </si>
  <si>
    <t xml:space="preserve">Apr-03-2015 08:31 </t>
  </si>
  <si>
    <t xml:space="preserve">Apr-03-2015 08:34 </t>
  </si>
  <si>
    <t xml:space="preserve">Apr-01-2015 08:32 </t>
  </si>
  <si>
    <t>201503</t>
  </si>
  <si>
    <t xml:space="preserve">2015 [Q1-2015] </t>
  </si>
  <si>
    <t>20151</t>
  </si>
  <si>
    <t>2015-Q1</t>
  </si>
  <si>
    <t>7.5</t>
  </si>
  <si>
    <t>5.7</t>
  </si>
  <si>
    <t>14.8</t>
  </si>
  <si>
    <t>-2.9</t>
  </si>
  <si>
    <t>4.6</t>
  </si>
  <si>
    <t>7.3</t>
  </si>
  <si>
    <t>19.4</t>
  </si>
  <si>
    <t>-1.6</t>
  </si>
  <si>
    <t>12.3</t>
  </si>
  <si>
    <t xml:space="preserve">Apr-29-2015 10:29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</si>
</sst>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22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2" fillId="3" borderId="0" xfId="0" applyNumberFormat="1" applyFont="1" applyFill="1"/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-6000</c:v>
                </c:pt>
                <c:pt idx="28">
                  <c:v>-53000</c:v>
                </c:pt>
                <c:pt idx="29">
                  <c:v>-19000</c:v>
                </c:pt>
                <c:pt idx="30">
                  <c:v>-2000</c:v>
                </c:pt>
                <c:pt idx="31">
                  <c:v>-61000</c:v>
                </c:pt>
                <c:pt idx="32">
                  <c:v>13000</c:v>
                </c:pt>
                <c:pt idx="33">
                  <c:v>-75000</c:v>
                </c:pt>
                <c:pt idx="34">
                  <c:v>-1000</c:v>
                </c:pt>
                <c:pt idx="35">
                  <c:v>-57000</c:v>
                </c:pt>
                <c:pt idx="36">
                  <c:v>13000</c:v>
                </c:pt>
                <c:pt idx="37">
                  <c:v>-20000</c:v>
                </c:pt>
                <c:pt idx="38">
                  <c:v>-15000</c:v>
                </c:pt>
                <c:pt idx="39">
                  <c:v>4000</c:v>
                </c:pt>
                <c:pt idx="40">
                  <c:v>3000</c:v>
                </c:pt>
                <c:pt idx="41">
                  <c:v>-2000</c:v>
                </c:pt>
                <c:pt idx="42">
                  <c:v>-22000</c:v>
                </c:pt>
                <c:pt idx="43">
                  <c:v>-10000</c:v>
                </c:pt>
                <c:pt idx="44">
                  <c:v>-19000</c:v>
                </c:pt>
                <c:pt idx="45">
                  <c:v>33000</c:v>
                </c:pt>
                <c:pt idx="46">
                  <c:v>24000</c:v>
                </c:pt>
                <c:pt idx="47">
                  <c:v>-21000</c:v>
                </c:pt>
                <c:pt idx="48">
                  <c:v>-30000</c:v>
                </c:pt>
                <c:pt idx="49">
                  <c:v>-9000</c:v>
                </c:pt>
                <c:pt idx="50">
                  <c:v>20000</c:v>
                </c:pt>
                <c:pt idx="51">
                  <c:v>-14000</c:v>
                </c:pt>
                <c:pt idx="52">
                  <c:v>13000</c:v>
                </c:pt>
                <c:pt idx="53">
                  <c:v>-5000</c:v>
                </c:pt>
                <c:pt idx="54">
                  <c:v>-9000</c:v>
                </c:pt>
                <c:pt idx="55">
                  <c:v>12000</c:v>
                </c:pt>
                <c:pt idx="56">
                  <c:v>-38000</c:v>
                </c:pt>
                <c:pt idx="57">
                  <c:v>11000</c:v>
                </c:pt>
                <c:pt idx="58">
                  <c:v>51000</c:v>
                </c:pt>
                <c:pt idx="59">
                  <c:v>-16000</c:v>
                </c:pt>
                <c:pt idx="60">
                  <c:v>-1000</c:v>
                </c:pt>
                <c:pt idx="61">
                  <c:v>11000</c:v>
                </c:pt>
                <c:pt idx="62">
                  <c:v>-14000</c:v>
                </c:pt>
                <c:pt idx="63">
                  <c:v>-5000</c:v>
                </c:pt>
                <c:pt idx="64">
                  <c:v>14000</c:v>
                </c:pt>
                <c:pt idx="65">
                  <c:v>5000</c:v>
                </c:pt>
                <c:pt idx="66">
                  <c:v>18000</c:v>
                </c:pt>
                <c:pt idx="67">
                  <c:v>-2000</c:v>
                </c:pt>
                <c:pt idx="68">
                  <c:v>14000</c:v>
                </c:pt>
                <c:pt idx="69">
                  <c:v>8000</c:v>
                </c:pt>
                <c:pt idx="70">
                  <c:v>1000</c:v>
                </c:pt>
                <c:pt idx="71">
                  <c:v>17000</c:v>
                </c:pt>
                <c:pt idx="72">
                  <c:v>8000</c:v>
                </c:pt>
                <c:pt idx="73">
                  <c:v>0</c:v>
                </c:pt>
                <c:pt idx="74">
                  <c:v>7000</c:v>
                </c:pt>
                <c:pt idx="75">
                  <c:v>3000</c:v>
                </c:pt>
                <c:pt idx="76">
                  <c:v>-1000</c:v>
                </c:pt>
                <c:pt idx="77">
                  <c:v>-1000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21437952"/>
        <c:axId val="22143948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-13666.666666666666</c:v>
                </c:pt>
                <c:pt idx="28">
                  <c:v>-28000</c:v>
                </c:pt>
                <c:pt idx="29">
                  <c:v>-26000</c:v>
                </c:pt>
                <c:pt idx="30">
                  <c:v>-24666.666666666668</c:v>
                </c:pt>
                <c:pt idx="31">
                  <c:v>-27333.333333333332</c:v>
                </c:pt>
                <c:pt idx="32">
                  <c:v>-16666.666666666668</c:v>
                </c:pt>
                <c:pt idx="33">
                  <c:v>-41000</c:v>
                </c:pt>
                <c:pt idx="34">
                  <c:v>-21000</c:v>
                </c:pt>
                <c:pt idx="35">
                  <c:v>-44333.333333333336</c:v>
                </c:pt>
                <c:pt idx="36">
                  <c:v>-15000</c:v>
                </c:pt>
                <c:pt idx="37">
                  <c:v>-21333.333333333332</c:v>
                </c:pt>
                <c:pt idx="38">
                  <c:v>-7333.333333333333</c:v>
                </c:pt>
                <c:pt idx="39">
                  <c:v>-10333.333333333334</c:v>
                </c:pt>
                <c:pt idx="40">
                  <c:v>-2666.6666666666665</c:v>
                </c:pt>
                <c:pt idx="41">
                  <c:v>1666.6666666666667</c:v>
                </c:pt>
                <c:pt idx="42">
                  <c:v>-7000</c:v>
                </c:pt>
                <c:pt idx="43">
                  <c:v>-11333.333333333334</c:v>
                </c:pt>
                <c:pt idx="44">
                  <c:v>-17000</c:v>
                </c:pt>
                <c:pt idx="45">
                  <c:v>1333.3333333333333</c:v>
                </c:pt>
                <c:pt idx="46">
                  <c:v>12666.666666666666</c:v>
                </c:pt>
                <c:pt idx="47">
                  <c:v>12000</c:v>
                </c:pt>
                <c:pt idx="48">
                  <c:v>-9000</c:v>
                </c:pt>
                <c:pt idx="49">
                  <c:v>-20000</c:v>
                </c:pt>
                <c:pt idx="50">
                  <c:v>-6333.333333333333</c:v>
                </c:pt>
                <c:pt idx="51">
                  <c:v>-1000</c:v>
                </c:pt>
                <c:pt idx="52">
                  <c:v>6333.333333333333</c:v>
                </c:pt>
                <c:pt idx="53">
                  <c:v>-2000</c:v>
                </c:pt>
                <c:pt idx="54">
                  <c:v>-333.33333333333331</c:v>
                </c:pt>
                <c:pt idx="55">
                  <c:v>-666.66666666666663</c:v>
                </c:pt>
                <c:pt idx="56">
                  <c:v>-11666.666666666666</c:v>
                </c:pt>
                <c:pt idx="57">
                  <c:v>-5000</c:v>
                </c:pt>
                <c:pt idx="58">
                  <c:v>8000</c:v>
                </c:pt>
                <c:pt idx="59">
                  <c:v>15333.333333333334</c:v>
                </c:pt>
                <c:pt idx="60">
                  <c:v>11333.333333333334</c:v>
                </c:pt>
                <c:pt idx="61">
                  <c:v>-2000</c:v>
                </c:pt>
                <c:pt idx="62">
                  <c:v>-1333.3333333333333</c:v>
                </c:pt>
                <c:pt idx="63">
                  <c:v>-2666.6666666666665</c:v>
                </c:pt>
                <c:pt idx="64">
                  <c:v>-1666.6666666666667</c:v>
                </c:pt>
                <c:pt idx="65">
                  <c:v>4666.666666666667</c:v>
                </c:pt>
                <c:pt idx="66">
                  <c:v>12333.333333333334</c:v>
                </c:pt>
                <c:pt idx="67">
                  <c:v>7000</c:v>
                </c:pt>
                <c:pt idx="68">
                  <c:v>10000</c:v>
                </c:pt>
                <c:pt idx="69">
                  <c:v>6666.666666666667</c:v>
                </c:pt>
                <c:pt idx="70">
                  <c:v>7666.666666666667</c:v>
                </c:pt>
                <c:pt idx="71">
                  <c:v>8666.6666666666661</c:v>
                </c:pt>
                <c:pt idx="72">
                  <c:v>8666.6666666666661</c:v>
                </c:pt>
                <c:pt idx="73">
                  <c:v>8333.3333333333339</c:v>
                </c:pt>
                <c:pt idx="74">
                  <c:v>5000</c:v>
                </c:pt>
                <c:pt idx="75">
                  <c:v>3333.3333333333335</c:v>
                </c:pt>
                <c:pt idx="76">
                  <c:v>3000</c:v>
                </c:pt>
                <c:pt idx="77">
                  <c:v>333.33333333333331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437952"/>
        <c:axId val="221439488"/>
      </c:lineChart>
      <c:dateAx>
        <c:axId val="22143795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21439488"/>
        <c:crosses val="autoZero"/>
        <c:auto val="1"/>
        <c:lblOffset val="100"/>
        <c:baseTimeUnit val="months"/>
        <c:majorUnit val="1"/>
        <c:majorTimeUnit val="years"/>
      </c:dateAx>
      <c:valAx>
        <c:axId val="22143948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21437952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6400.0000000000909</c:v>
                </c:pt>
                <c:pt idx="28">
                  <c:v>2799.9999999997272</c:v>
                </c:pt>
                <c:pt idx="29">
                  <c:v>3300.0000000001819</c:v>
                </c:pt>
                <c:pt idx="30">
                  <c:v>-300.0000000001819</c:v>
                </c:pt>
                <c:pt idx="31">
                  <c:v>4300.0000000001819</c:v>
                </c:pt>
                <c:pt idx="32">
                  <c:v>-9699.9999999998181</c:v>
                </c:pt>
                <c:pt idx="33">
                  <c:v>-1900.0000000000909</c:v>
                </c:pt>
                <c:pt idx="34">
                  <c:v>-1000</c:v>
                </c:pt>
                <c:pt idx="35">
                  <c:v>99.999999999909051</c:v>
                </c:pt>
                <c:pt idx="36">
                  <c:v>-1199.9999999998181</c:v>
                </c:pt>
                <c:pt idx="37">
                  <c:v>-4200.0000000002728</c:v>
                </c:pt>
                <c:pt idx="38">
                  <c:v>-1799.9999999997272</c:v>
                </c:pt>
                <c:pt idx="39">
                  <c:v>-5500</c:v>
                </c:pt>
                <c:pt idx="40">
                  <c:v>-2400.0000000000909</c:v>
                </c:pt>
                <c:pt idx="41">
                  <c:v>1000</c:v>
                </c:pt>
                <c:pt idx="42">
                  <c:v>-300.0000000001819</c:v>
                </c:pt>
                <c:pt idx="43">
                  <c:v>2000</c:v>
                </c:pt>
                <c:pt idx="44">
                  <c:v>-699.9999999998181</c:v>
                </c:pt>
                <c:pt idx="45">
                  <c:v>-9000</c:v>
                </c:pt>
                <c:pt idx="46">
                  <c:v>7199.9999999998181</c:v>
                </c:pt>
                <c:pt idx="47">
                  <c:v>7099.9999999999091</c:v>
                </c:pt>
                <c:pt idx="48">
                  <c:v>-4299.9999999997272</c:v>
                </c:pt>
                <c:pt idx="49">
                  <c:v>-3900.0000000000909</c:v>
                </c:pt>
                <c:pt idx="50">
                  <c:v>-1599.9999999999091</c:v>
                </c:pt>
                <c:pt idx="51">
                  <c:v>-3800.0000000001819</c:v>
                </c:pt>
                <c:pt idx="52">
                  <c:v>0</c:v>
                </c:pt>
                <c:pt idx="53">
                  <c:v>-3099.9999999999091</c:v>
                </c:pt>
                <c:pt idx="54">
                  <c:v>-7500</c:v>
                </c:pt>
                <c:pt idx="55">
                  <c:v>-9400.0000000000909</c:v>
                </c:pt>
                <c:pt idx="56">
                  <c:v>-6699.9999999998181</c:v>
                </c:pt>
                <c:pt idx="57">
                  <c:v>-7900.0000000000909</c:v>
                </c:pt>
                <c:pt idx="58">
                  <c:v>-7400.0000000000909</c:v>
                </c:pt>
                <c:pt idx="59">
                  <c:v>-2400.0000000000909</c:v>
                </c:pt>
                <c:pt idx="60">
                  <c:v>-8699.9999999998181</c:v>
                </c:pt>
                <c:pt idx="61">
                  <c:v>699.9999999998181</c:v>
                </c:pt>
                <c:pt idx="62">
                  <c:v>-4799.9999999997272</c:v>
                </c:pt>
                <c:pt idx="63">
                  <c:v>-1700.0000000002728</c:v>
                </c:pt>
                <c:pt idx="64">
                  <c:v>-5000</c:v>
                </c:pt>
                <c:pt idx="65">
                  <c:v>-3399.9999999996362</c:v>
                </c:pt>
                <c:pt idx="66">
                  <c:v>-2300.0000000001819</c:v>
                </c:pt>
                <c:pt idx="67">
                  <c:v>-599.99999999990905</c:v>
                </c:pt>
                <c:pt idx="68">
                  <c:v>0</c:v>
                </c:pt>
                <c:pt idx="69">
                  <c:v>1000</c:v>
                </c:pt>
                <c:pt idx="70">
                  <c:v>599.99999999990905</c:v>
                </c:pt>
                <c:pt idx="71">
                  <c:v>-2300.0000000001819</c:v>
                </c:pt>
                <c:pt idx="72">
                  <c:v>-599.99999999990905</c:v>
                </c:pt>
                <c:pt idx="73">
                  <c:v>1700.0000000002728</c:v>
                </c:pt>
                <c:pt idx="74">
                  <c:v>799.99999999972715</c:v>
                </c:pt>
                <c:pt idx="75">
                  <c:v>2099.9999999999091</c:v>
                </c:pt>
                <c:pt idx="76">
                  <c:v>-2899.9999999996362</c:v>
                </c:pt>
                <c:pt idx="77">
                  <c:v>-1400.0000000000909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22829952"/>
        <c:axId val="22286451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4800.00000000003</c:v>
                </c:pt>
                <c:pt idx="28" formatCode="0.00">
                  <c:v>4899.9999999999391</c:v>
                </c:pt>
                <c:pt idx="29" formatCode="0.00">
                  <c:v>4166.666666666667</c:v>
                </c:pt>
                <c:pt idx="30" formatCode="0.00">
                  <c:v>1933.3333333332423</c:v>
                </c:pt>
                <c:pt idx="31" formatCode="0.00">
                  <c:v>2433.333333333394</c:v>
                </c:pt>
                <c:pt idx="32" formatCode="0.00">
                  <c:v>-1899.9999999999393</c:v>
                </c:pt>
                <c:pt idx="33" formatCode="0.00">
                  <c:v>-2433.3333333332425</c:v>
                </c:pt>
                <c:pt idx="34" formatCode="0.00">
                  <c:v>-4199.99999999997</c:v>
                </c:pt>
                <c:pt idx="35" formatCode="0.00">
                  <c:v>-933.33333333339397</c:v>
                </c:pt>
                <c:pt idx="36" formatCode="0.00">
                  <c:v>-699.99999999996965</c:v>
                </c:pt>
                <c:pt idx="37" formatCode="0.00">
                  <c:v>-1766.6666666667272</c:v>
                </c:pt>
                <c:pt idx="38" formatCode="0.00">
                  <c:v>-2399.9999999999395</c:v>
                </c:pt>
                <c:pt idx="39" formatCode="0.00">
                  <c:v>-3833.3333333333335</c:v>
                </c:pt>
                <c:pt idx="40" formatCode="0.00">
                  <c:v>-3233.3333333332725</c:v>
                </c:pt>
                <c:pt idx="41" formatCode="0.00">
                  <c:v>-2300.0000000000305</c:v>
                </c:pt>
                <c:pt idx="42" formatCode="0.00">
                  <c:v>-566.66666666675758</c:v>
                </c:pt>
                <c:pt idx="43" formatCode="0.00">
                  <c:v>899.9999999999394</c:v>
                </c:pt>
                <c:pt idx="44" formatCode="0.00">
                  <c:v>333.33333333333331</c:v>
                </c:pt>
                <c:pt idx="45" formatCode="0.00">
                  <c:v>-2566.666666666606</c:v>
                </c:pt>
                <c:pt idx="46" formatCode="0.00">
                  <c:v>-833.33333333333337</c:v>
                </c:pt>
                <c:pt idx="47" formatCode="0.00">
                  <c:v>1766.6666666665758</c:v>
                </c:pt>
                <c:pt idx="48" formatCode="0.00">
                  <c:v>3333.3333333333335</c:v>
                </c:pt>
                <c:pt idx="49" formatCode="0.00">
                  <c:v>-366.66666666663633</c:v>
                </c:pt>
                <c:pt idx="50" formatCode="0.00">
                  <c:v>-3266.6666666665756</c:v>
                </c:pt>
                <c:pt idx="51" formatCode="0.00">
                  <c:v>-3100.0000000000605</c:v>
                </c:pt>
                <c:pt idx="52" formatCode="0.00">
                  <c:v>-1800.0000000000302</c:v>
                </c:pt>
                <c:pt idx="53" formatCode="0.00">
                  <c:v>-2300.0000000000305</c:v>
                </c:pt>
                <c:pt idx="54" formatCode="0.00">
                  <c:v>-3533.333333333303</c:v>
                </c:pt>
                <c:pt idx="55" formatCode="0.00">
                  <c:v>-6666.666666666667</c:v>
                </c:pt>
                <c:pt idx="56" formatCode="0.00">
                  <c:v>-7866.666666666636</c:v>
                </c:pt>
                <c:pt idx="57" formatCode="0.00">
                  <c:v>-8000</c:v>
                </c:pt>
                <c:pt idx="58" formatCode="0.00">
                  <c:v>-7333.333333333333</c:v>
                </c:pt>
                <c:pt idx="59" formatCode="0.00">
                  <c:v>-5900.0000000000909</c:v>
                </c:pt>
                <c:pt idx="60" formatCode="0.00">
                  <c:v>-6166.666666666667</c:v>
                </c:pt>
                <c:pt idx="61" formatCode="0.00">
                  <c:v>-3466.666666666697</c:v>
                </c:pt>
                <c:pt idx="62" formatCode="0.00">
                  <c:v>-4266.666666666576</c:v>
                </c:pt>
                <c:pt idx="63" formatCode="0.00">
                  <c:v>-1933.333333333394</c:v>
                </c:pt>
                <c:pt idx="64" formatCode="0.00">
                  <c:v>-3833.3333333333335</c:v>
                </c:pt>
                <c:pt idx="65" formatCode="0.00">
                  <c:v>-3366.6666666666365</c:v>
                </c:pt>
                <c:pt idx="66" formatCode="0.00">
                  <c:v>-3566.666666666606</c:v>
                </c:pt>
                <c:pt idx="67" formatCode="0.00">
                  <c:v>-2099.9999999999091</c:v>
                </c:pt>
                <c:pt idx="68" formatCode="0.00">
                  <c:v>-966.66666666669698</c:v>
                </c:pt>
                <c:pt idx="69" formatCode="0.00">
                  <c:v>133.33333333336364</c:v>
                </c:pt>
                <c:pt idx="70" formatCode="0.00">
                  <c:v>533.33333333330302</c:v>
                </c:pt>
                <c:pt idx="71" formatCode="0.00">
                  <c:v>-233.33333333342429</c:v>
                </c:pt>
                <c:pt idx="72" formatCode="0.00">
                  <c:v>-766.66666666672734</c:v>
                </c:pt>
                <c:pt idx="73" formatCode="0.00">
                  <c:v>-399.99999999993935</c:v>
                </c:pt>
                <c:pt idx="74" formatCode="0.00">
                  <c:v>633.33333333336361</c:v>
                </c:pt>
                <c:pt idx="75" formatCode="0.00">
                  <c:v>1533.333333333303</c:v>
                </c:pt>
                <c:pt idx="76" formatCode="0.00">
                  <c:v>0</c:v>
                </c:pt>
                <c:pt idx="77" formatCode="0.00">
                  <c:v>-733.33333333327266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829952"/>
        <c:axId val="222864512"/>
      </c:lineChart>
      <c:dateAx>
        <c:axId val="22282995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22864512"/>
        <c:crosses val="autoZero"/>
        <c:auto val="1"/>
        <c:lblOffset val="100"/>
        <c:baseTimeUnit val="months"/>
        <c:majorUnit val="1"/>
        <c:majorTimeUnit val="years"/>
      </c:dateAx>
      <c:valAx>
        <c:axId val="22286451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22829952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233.7</c:v>
                </c:pt>
                <c:pt idx="23">
                  <c:v>235.6</c:v>
                </c:pt>
                <c:pt idx="24">
                  <c:v>227.4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623232"/>
        <c:axId val="224629120"/>
      </c:lineChart>
      <c:dateAx>
        <c:axId val="2246232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629120"/>
        <c:crosses val="autoZero"/>
        <c:auto val="1"/>
        <c:lblOffset val="100"/>
        <c:baseTimeUnit val="months"/>
        <c:majorUnit val="1"/>
        <c:majorTimeUnit val="years"/>
      </c:dateAx>
      <c:valAx>
        <c:axId val="22462912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62323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5.3421603493966519E-2</c:v>
                </c:pt>
                <c:pt idx="38">
                  <c:v>5.9204329449360937E-2</c:v>
                </c:pt>
                <c:pt idx="39">
                  <c:v>5.9181463988524252E-2</c:v>
                </c:pt>
                <c:pt idx="40">
                  <c:v>4.880943454203901E-2</c:v>
                </c:pt>
                <c:pt idx="41">
                  <c:v>3.3813280376157218E-2</c:v>
                </c:pt>
                <c:pt idx="42">
                  <c:v>2.3580911994081966E-2</c:v>
                </c:pt>
                <c:pt idx="43">
                  <c:v>2.7133746753766619E-2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160000"/>
        <c:axId val="224169984"/>
      </c:lineChart>
      <c:dateAx>
        <c:axId val="224160000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169984"/>
        <c:crossesAt val="0"/>
        <c:auto val="1"/>
        <c:lblOffset val="100"/>
        <c:baseTimeUnit val="months"/>
        <c:majorUnit val="1"/>
        <c:majorTimeUnit val="years"/>
      </c:dateAx>
      <c:valAx>
        <c:axId val="22416998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160000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 formatCode="General">
                  <c:v>4.9000000000000004</c:v>
                </c:pt>
                <c:pt idx="40" formatCode="General">
                  <c:v>5.0999999999999996</c:v>
                </c:pt>
                <c:pt idx="41" formatCode="General">
                  <c:v>5.3</c:v>
                </c:pt>
                <c:pt idx="42" formatCode="General">
                  <c:v>5.3</c:v>
                </c:pt>
                <c:pt idx="43" formatCode="General">
                  <c:v>5.3</c:v>
                </c:pt>
                <c:pt idx="44" formatCode="General">
                  <c:v>5.4</c:v>
                </c:pt>
                <c:pt idx="45" formatCode="General">
                  <c:v>5.6</c:v>
                </c:pt>
                <c:pt idx="46" formatCode="General">
                  <c:v>5.7</c:v>
                </c:pt>
                <c:pt idx="47" formatCode="General">
                  <c:v>5.9</c:v>
                </c:pt>
                <c:pt idx="48" formatCode="General">
                  <c:v>6</c:v>
                </c:pt>
                <c:pt idx="49" formatCode="General">
                  <c:v>5.9</c:v>
                </c:pt>
                <c:pt idx="50" formatCode="General">
                  <c:v>6.1</c:v>
                </c:pt>
                <c:pt idx="51" formatCode="General">
                  <c:v>6.3</c:v>
                </c:pt>
                <c:pt idx="52" formatCode="General">
                  <c:v>6.3</c:v>
                </c:pt>
                <c:pt idx="53" formatCode="General">
                  <c:v>6.5</c:v>
                </c:pt>
                <c:pt idx="54" formatCode="General">
                  <c:v>6.6</c:v>
                </c:pt>
                <c:pt idx="55" formatCode="General">
                  <c:v>6.8</c:v>
                </c:pt>
                <c:pt idx="56" formatCode="General">
                  <c:v>6.9</c:v>
                </c:pt>
                <c:pt idx="57" formatCode="General">
                  <c:v>7.1</c:v>
                </c:pt>
                <c:pt idx="58" formatCode="General">
                  <c:v>7.1999999999999993</c:v>
                </c:pt>
                <c:pt idx="59" formatCode="General">
                  <c:v>7.3000000000000007</c:v>
                </c:pt>
                <c:pt idx="60" formatCode="General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1.3320000000000001</c:v>
                </c:pt>
                <c:pt idx="39">
                  <c:v>1.329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4.8719999999999999</c:v>
                </c:pt>
                <c:pt idx="39">
                  <c:v>4.8979999999999997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694272"/>
        <c:axId val="224695808"/>
      </c:lineChart>
      <c:dateAx>
        <c:axId val="224694272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695808"/>
        <c:crosses val="autoZero"/>
        <c:auto val="1"/>
        <c:lblOffset val="100"/>
        <c:baseTimeUnit val="months"/>
        <c:majorUnit val="10"/>
        <c:majorTimeUnit val="years"/>
      </c:dateAx>
      <c:valAx>
        <c:axId val="224695808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694272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32.6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35.200000000000003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60.9</c:v>
                </c:pt>
                <c:pt idx="36">
                  <c:v>65.900000000000006</c:v>
                </c:pt>
                <c:pt idx="37">
                  <c:v>70.400000000000006</c:v>
                </c:pt>
                <c:pt idx="38">
                  <c:v>72.3</c:v>
                </c:pt>
                <c:pt idx="39">
                  <c:v>74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</c:v>
                </c:pt>
                <c:pt idx="40">
                  <c:v>74</c:v>
                </c:pt>
                <c:pt idx="41">
                  <c:v>74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74</c:v>
                </c:pt>
                <c:pt idx="46">
                  <c:v>74</c:v>
                </c:pt>
                <c:pt idx="47">
                  <c:v>75</c:v>
                </c:pt>
                <c:pt idx="48">
                  <c:v>76</c:v>
                </c:pt>
                <c:pt idx="49">
                  <c:v>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564736"/>
        <c:axId val="224566272"/>
      </c:lineChart>
      <c:dateAx>
        <c:axId val="22456473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566272"/>
        <c:crosses val="autoZero"/>
        <c:auto val="1"/>
        <c:lblOffset val="100"/>
        <c:baseTimeUnit val="months"/>
        <c:majorUnit val="5"/>
        <c:majorTimeUnit val="years"/>
      </c:dateAx>
      <c:valAx>
        <c:axId val="224566272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56473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1.321</c:v>
                </c:pt>
                <c:pt idx="25">
                  <c:v>2.3279999999999998</c:v>
                </c:pt>
                <c:pt idx="26">
                  <c:v>1.214</c:v>
                </c:pt>
                <c:pt idx="27">
                  <c:v>-1.45</c:v>
                </c:pt>
                <c:pt idx="28">
                  <c:v>-3.3319999999999999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-1.8140000000000001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-9.8000000000000007</c:v>
                </c:pt>
                <c:pt idx="35">
                  <c:v>-8.7469999999999999</c:v>
                </c:pt>
                <c:pt idx="36">
                  <c:v>-8.4499999999999993</c:v>
                </c:pt>
                <c:pt idx="37">
                  <c:v>-6.782</c:v>
                </c:pt>
                <c:pt idx="38">
                  <c:v>-4.0979999999999999</c:v>
                </c:pt>
                <c:pt idx="39">
                  <c:v>-2.802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-2.8</c:v>
                </c:pt>
                <c:pt idx="40">
                  <c:v>-2.7</c:v>
                </c:pt>
                <c:pt idx="41">
                  <c:v>-2.4</c:v>
                </c:pt>
                <c:pt idx="42">
                  <c:v>-2.2999999999999998</c:v>
                </c:pt>
                <c:pt idx="43">
                  <c:v>-2.4</c:v>
                </c:pt>
                <c:pt idx="44">
                  <c:v>-2.8</c:v>
                </c:pt>
                <c:pt idx="45">
                  <c:v>-3.1</c:v>
                </c:pt>
                <c:pt idx="46">
                  <c:v>-3.3</c:v>
                </c:pt>
                <c:pt idx="47">
                  <c:v>-3.7</c:v>
                </c:pt>
                <c:pt idx="48">
                  <c:v>-3.6</c:v>
                </c:pt>
                <c:pt idx="49">
                  <c:v>-3.4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998528"/>
        <c:axId val="225000064"/>
      </c:lineChart>
      <c:dateAx>
        <c:axId val="2249985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5000064"/>
        <c:crossesAt val="0"/>
        <c:auto val="1"/>
        <c:lblOffset val="100"/>
        <c:baseTimeUnit val="months"/>
        <c:majorUnit val="5"/>
        <c:majorTimeUnit val="years"/>
      </c:dateAx>
      <c:valAx>
        <c:axId val="22500006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9985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17.265999999999998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17.484999999999999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19.215</c:v>
                </c:pt>
                <c:pt idx="25">
                  <c:v>19.956</c:v>
                </c:pt>
                <c:pt idx="26">
                  <c:v>18.847000000000001</c:v>
                </c:pt>
                <c:pt idx="27">
                  <c:v>17.036999999999999</c:v>
                </c:pt>
                <c:pt idx="28">
                  <c:v>15.728</c:v>
                </c:pt>
                <c:pt idx="29">
                  <c:v>15.553000000000001</c:v>
                </c:pt>
                <c:pt idx="30">
                  <c:v>16.709</c:v>
                </c:pt>
                <c:pt idx="31">
                  <c:v>17.588000000000001</c:v>
                </c:pt>
                <c:pt idx="32">
                  <c:v>17.928999999999998</c:v>
                </c:pt>
                <c:pt idx="33">
                  <c:v>17.109000000000002</c:v>
                </c:pt>
                <c:pt idx="34">
                  <c:v>14.603</c:v>
                </c:pt>
                <c:pt idx="35">
                  <c:v>14.614000000000001</c:v>
                </c:pt>
                <c:pt idx="36">
                  <c:v>14.978</c:v>
                </c:pt>
                <c:pt idx="37">
                  <c:v>15.287000000000001</c:v>
                </c:pt>
                <c:pt idx="38">
                  <c:v>16.736000000000001</c:v>
                </c:pt>
                <c:pt idx="39">
                  <c:v>17.510999999999999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17.893999999999998</c:v>
                </c:pt>
                <c:pt idx="25">
                  <c:v>17.628</c:v>
                </c:pt>
                <c:pt idx="26">
                  <c:v>17.632999999999999</c:v>
                </c:pt>
                <c:pt idx="27">
                  <c:v>18.488</c:v>
                </c:pt>
                <c:pt idx="28">
                  <c:v>19.059000000000001</c:v>
                </c:pt>
                <c:pt idx="29">
                  <c:v>18.966999999999999</c:v>
                </c:pt>
                <c:pt idx="30">
                  <c:v>19.178999999999998</c:v>
                </c:pt>
                <c:pt idx="31">
                  <c:v>19.402000000000001</c:v>
                </c:pt>
                <c:pt idx="32">
                  <c:v>19.050999999999998</c:v>
                </c:pt>
                <c:pt idx="33">
                  <c:v>20.216999999999999</c:v>
                </c:pt>
                <c:pt idx="34">
                  <c:v>24.404</c:v>
                </c:pt>
                <c:pt idx="35">
                  <c:v>23.361000000000001</c:v>
                </c:pt>
                <c:pt idx="36">
                  <c:v>23.428000000000001</c:v>
                </c:pt>
                <c:pt idx="37">
                  <c:v>22.07</c:v>
                </c:pt>
                <c:pt idx="38">
                  <c:v>20.834</c:v>
                </c:pt>
                <c:pt idx="39">
                  <c:v>20.312000000000001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17.5</c:v>
                </c:pt>
                <c:pt idx="40">
                  <c:v>17.7</c:v>
                </c:pt>
                <c:pt idx="41">
                  <c:v>18.399999999999999</c:v>
                </c:pt>
                <c:pt idx="42">
                  <c:v>18.3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20.3</c:v>
                </c:pt>
                <c:pt idx="40">
                  <c:v>20.399999999999999</c:v>
                </c:pt>
                <c:pt idx="41">
                  <c:v>20.8</c:v>
                </c:pt>
                <c:pt idx="42">
                  <c:v>20.6</c:v>
                </c:pt>
                <c:pt idx="43">
                  <c:v>20.5</c:v>
                </c:pt>
                <c:pt idx="44">
                  <c:v>20.9</c:v>
                </c:pt>
                <c:pt idx="45">
                  <c:v>21.2</c:v>
                </c:pt>
                <c:pt idx="46">
                  <c:v>21.4</c:v>
                </c:pt>
                <c:pt idx="47">
                  <c:v>21.8</c:v>
                </c:pt>
                <c:pt idx="48">
                  <c:v>21.8</c:v>
                </c:pt>
                <c:pt idx="49">
                  <c:v>21.7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071104"/>
        <c:axId val="225072640"/>
      </c:lineChart>
      <c:dateAx>
        <c:axId val="2250711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5072640"/>
        <c:crosses val="autoZero"/>
        <c:auto val="1"/>
        <c:lblOffset val="100"/>
        <c:baseTimeUnit val="months"/>
        <c:majorUnit val="5"/>
        <c:majorTimeUnit val="years"/>
      </c:dateAx>
      <c:valAx>
        <c:axId val="225072640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5071104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11</xdr:row>
      <xdr:rowOff>0</xdr:rowOff>
    </xdr:from>
    <xdr:to>
      <xdr:col>4</xdr:col>
      <xdr:colOff>123825</xdr:colOff>
      <xdr:row>13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A8" sqref="A8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2">
      <c r="A1" s="25" t="s">
        <v>249</v>
      </c>
    </row>
    <row r="2" spans="1:2">
      <c r="A2" s="25" t="s">
        <v>425</v>
      </c>
    </row>
    <row r="3" spans="1:2">
      <c r="A3" s="25" t="s">
        <v>424</v>
      </c>
    </row>
    <row r="4" spans="1:2">
      <c r="A4" s="25" t="s">
        <v>346</v>
      </c>
    </row>
    <row r="5" spans="1:2">
      <c r="A5" s="25" t="s">
        <v>391</v>
      </c>
    </row>
    <row r="6" spans="1:2">
      <c r="A6" s="25" t="s">
        <v>347</v>
      </c>
    </row>
    <row r="7" spans="1:2">
      <c r="A7" s="25" t="s">
        <v>348</v>
      </c>
    </row>
    <row r="8" spans="1:2">
      <c r="A8" s="25" t="s">
        <v>349</v>
      </c>
    </row>
    <row r="9" spans="1:2">
      <c r="A9" s="25" t="s">
        <v>350</v>
      </c>
    </row>
    <row r="10" spans="1:2">
      <c r="A10" s="25" t="s">
        <v>351</v>
      </c>
    </row>
    <row r="16" spans="1:2">
      <c r="B16" s="65" t="s">
        <v>250</v>
      </c>
    </row>
    <row r="17" spans="1:3">
      <c r="B17" s="25" t="s">
        <v>255</v>
      </c>
      <c r="C17" s="25" t="s">
        <v>256</v>
      </c>
    </row>
    <row r="18" spans="1:3">
      <c r="B18" s="25" t="s">
        <v>257</v>
      </c>
      <c r="C18" s="25" t="s">
        <v>258</v>
      </c>
    </row>
    <row r="19" spans="1:3">
      <c r="B19" s="25" t="s">
        <v>259</v>
      </c>
      <c r="C19" s="25" t="s">
        <v>260</v>
      </c>
    </row>
    <row r="20" spans="1:3">
      <c r="B20" s="25" t="s">
        <v>261</v>
      </c>
      <c r="C20" s="25" t="s">
        <v>268</v>
      </c>
    </row>
    <row r="21" spans="1:3">
      <c r="B21" s="25" t="s">
        <v>262</v>
      </c>
      <c r="C21" s="25" t="s">
        <v>174</v>
      </c>
    </row>
    <row r="22" spans="1:3">
      <c r="B22" s="25" t="s">
        <v>263</v>
      </c>
      <c r="C22" s="25" t="s">
        <v>269</v>
      </c>
    </row>
    <row r="23" spans="1:3">
      <c r="B23" s="25" t="s">
        <v>264</v>
      </c>
      <c r="C23" s="25" t="s">
        <v>271</v>
      </c>
    </row>
    <row r="24" spans="1:3">
      <c r="B24" s="25" t="s">
        <v>265</v>
      </c>
      <c r="C24" s="25" t="s">
        <v>270</v>
      </c>
    </row>
    <row r="25" spans="1:3">
      <c r="B25" s="25" t="s">
        <v>267</v>
      </c>
      <c r="C25" s="25" t="s">
        <v>272</v>
      </c>
    </row>
    <row r="26" spans="1:3">
      <c r="B26" s="25" t="s">
        <v>266</v>
      </c>
      <c r="C26" s="25" t="s">
        <v>273</v>
      </c>
    </row>
    <row r="30" spans="1:3">
      <c r="A30" s="66" t="s">
        <v>251</v>
      </c>
    </row>
    <row r="31" spans="1:3">
      <c r="A31" s="25" t="s">
        <v>252</v>
      </c>
      <c r="B31" s="25" t="s">
        <v>253</v>
      </c>
      <c r="C31" s="25" t="s">
        <v>254</v>
      </c>
    </row>
    <row r="32" spans="1:3">
      <c r="A32" s="67"/>
    </row>
    <row r="33" spans="1:1">
      <c r="A33" s="68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9" t="s">
        <v>329</v>
      </c>
      <c r="D1" s="119"/>
      <c r="E1" s="119"/>
      <c r="F1" s="119"/>
      <c r="G1" s="119"/>
      <c r="H1" s="91"/>
      <c r="I1" s="91"/>
    </row>
    <row r="2" spans="1:9" ht="15" customHeight="1">
      <c r="A2" s="91"/>
      <c r="B2" s="91"/>
      <c r="C2" s="119"/>
      <c r="D2" s="119"/>
      <c r="E2" s="119"/>
      <c r="F2" s="119"/>
      <c r="G2" s="119"/>
      <c r="H2" s="91"/>
      <c r="I2" s="91"/>
    </row>
    <row r="3" spans="1:9">
      <c r="A3" s="93" t="s">
        <v>330</v>
      </c>
      <c r="B3" s="92"/>
      <c r="C3" s="92" t="s">
        <v>331</v>
      </c>
      <c r="D3" s="92"/>
      <c r="E3" s="92"/>
      <c r="F3" s="93" t="s">
        <v>332</v>
      </c>
      <c r="G3" s="92"/>
      <c r="H3" s="93" t="s">
        <v>333</v>
      </c>
      <c r="I3" s="92"/>
    </row>
    <row r="9" spans="1:9" ht="105">
      <c r="D9" s="90" t="s">
        <v>274</v>
      </c>
      <c r="G9" s="90" t="s">
        <v>328</v>
      </c>
    </row>
    <row r="12" spans="1:9">
      <c r="F12" s="103" t="s">
        <v>345</v>
      </c>
    </row>
    <row r="26" spans="6:6">
      <c r="F26" s="103" t="s">
        <v>345</v>
      </c>
    </row>
    <row r="40" spans="6:7">
      <c r="F40" s="103" t="s">
        <v>345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5"/>
  </cols>
  <sheetData>
    <row r="1" spans="1:9" ht="15" customHeight="1">
      <c r="B1" s="91"/>
      <c r="C1" s="119" t="s">
        <v>329</v>
      </c>
      <c r="D1" s="119"/>
      <c r="E1" s="119"/>
      <c r="F1" s="119"/>
      <c r="G1" s="119"/>
      <c r="H1" s="91"/>
      <c r="I1" s="91"/>
    </row>
    <row r="2" spans="1:9" ht="15" customHeight="1">
      <c r="A2" s="91"/>
      <c r="B2" s="91"/>
      <c r="C2" s="119"/>
      <c r="D2" s="119"/>
      <c r="E2" s="119"/>
      <c r="F2" s="119"/>
      <c r="G2" s="119"/>
      <c r="H2" s="91"/>
      <c r="I2" s="91"/>
    </row>
    <row r="3" spans="1:9">
      <c r="A3" s="93" t="s">
        <v>330</v>
      </c>
      <c r="B3" s="92"/>
      <c r="C3" s="93" t="s">
        <v>331</v>
      </c>
      <c r="D3" s="92"/>
      <c r="E3" s="92"/>
      <c r="F3" s="92" t="s">
        <v>332</v>
      </c>
      <c r="G3" s="92"/>
      <c r="H3" s="93" t="s">
        <v>333</v>
      </c>
      <c r="I3" s="92"/>
    </row>
    <row r="7" spans="1:9">
      <c r="A7" s="86" t="s">
        <v>174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275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20" t="s">
        <v>274</v>
      </c>
      <c r="E9" s="120"/>
      <c r="F9" s="120"/>
      <c r="G9" s="120" t="s">
        <v>328</v>
      </c>
      <c r="H9" s="120"/>
      <c r="I9" s="121"/>
    </row>
    <row r="10" spans="1:9">
      <c r="A10" s="80"/>
      <c r="B10" s="81"/>
      <c r="C10" s="81"/>
      <c r="D10" s="120"/>
      <c r="E10" s="120"/>
      <c r="F10" s="120"/>
      <c r="G10" s="120"/>
      <c r="H10" s="120"/>
      <c r="I10" s="121"/>
    </row>
    <row r="11" spans="1:9">
      <c r="A11" s="74" t="s">
        <v>122</v>
      </c>
      <c r="B11" s="69"/>
      <c r="C11" s="69"/>
      <c r="D11" s="69"/>
      <c r="E11" s="105">
        <v>3113</v>
      </c>
      <c r="F11" s="71"/>
      <c r="G11" s="94"/>
      <c r="H11" s="98" t="s">
        <v>446</v>
      </c>
      <c r="I11" s="95"/>
    </row>
    <row r="12" spans="1:9">
      <c r="A12" s="73" t="s">
        <v>123</v>
      </c>
      <c r="B12" s="69"/>
      <c r="C12" s="69"/>
      <c r="D12" s="69"/>
      <c r="E12" s="105">
        <v>2491</v>
      </c>
      <c r="F12" s="71"/>
      <c r="G12" s="72"/>
      <c r="H12" s="98" t="s">
        <v>447</v>
      </c>
      <c r="I12" s="95"/>
    </row>
    <row r="13" spans="1:9">
      <c r="A13" s="73" t="s">
        <v>124</v>
      </c>
      <c r="B13" s="69"/>
      <c r="C13" s="69"/>
      <c r="D13" s="69"/>
      <c r="E13" s="105">
        <v>622</v>
      </c>
      <c r="F13" s="71"/>
      <c r="G13" s="72"/>
      <c r="H13" s="98" t="s">
        <v>448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175</v>
      </c>
      <c r="B15" s="69"/>
      <c r="C15" s="69"/>
      <c r="D15" s="69"/>
      <c r="E15" s="105">
        <v>3617</v>
      </c>
      <c r="F15" s="71"/>
      <c r="G15" s="72"/>
      <c r="H15" s="98" t="s">
        <v>435</v>
      </c>
      <c r="I15" s="95"/>
    </row>
    <row r="16" spans="1:9">
      <c r="A16" s="73" t="s">
        <v>128</v>
      </c>
      <c r="B16" s="69"/>
      <c r="C16" s="69"/>
      <c r="D16" s="69"/>
      <c r="E16" s="105">
        <v>570</v>
      </c>
      <c r="F16" s="71"/>
      <c r="G16" s="72"/>
      <c r="H16" s="98" t="s">
        <v>449</v>
      </c>
      <c r="I16" s="95"/>
    </row>
    <row r="17" spans="1:9">
      <c r="A17" s="73" t="s">
        <v>126</v>
      </c>
      <c r="B17" s="69"/>
      <c r="C17" s="69"/>
      <c r="D17" s="69"/>
      <c r="E17" s="105">
        <v>859</v>
      </c>
      <c r="F17" s="71"/>
      <c r="G17" s="72"/>
      <c r="H17" s="98" t="s">
        <v>450</v>
      </c>
      <c r="I17" s="95"/>
    </row>
    <row r="18" spans="1:9">
      <c r="A18" s="73" t="s">
        <v>125</v>
      </c>
      <c r="B18" s="69"/>
      <c r="C18" s="69"/>
      <c r="D18" s="69"/>
      <c r="E18" s="105">
        <v>531</v>
      </c>
      <c r="F18" s="71"/>
      <c r="G18" s="72"/>
      <c r="H18" s="98" t="s">
        <v>451</v>
      </c>
      <c r="I18" s="95"/>
    </row>
    <row r="19" spans="1:9">
      <c r="A19" s="73" t="s">
        <v>120</v>
      </c>
      <c r="B19" s="69"/>
      <c r="C19" s="69"/>
      <c r="D19" s="69"/>
      <c r="E19" s="105">
        <v>332</v>
      </c>
      <c r="F19" s="71"/>
      <c r="G19" s="72"/>
      <c r="H19" s="98" t="s">
        <v>452</v>
      </c>
      <c r="I19" s="95"/>
    </row>
    <row r="20" spans="1:9">
      <c r="A20" s="73" t="s">
        <v>121</v>
      </c>
      <c r="B20" s="69"/>
      <c r="C20" s="69"/>
      <c r="D20" s="69"/>
      <c r="E20" s="105">
        <v>254</v>
      </c>
      <c r="F20" s="71"/>
      <c r="G20" s="72"/>
      <c r="H20" s="98" t="s">
        <v>453</v>
      </c>
      <c r="I20" s="95"/>
    </row>
    <row r="21" spans="1:9">
      <c r="A21" s="75" t="s">
        <v>127</v>
      </c>
      <c r="B21" s="76"/>
      <c r="C21" s="76"/>
      <c r="D21" s="76"/>
      <c r="E21" s="107">
        <v>1072</v>
      </c>
      <c r="F21" s="78"/>
      <c r="G21" s="79"/>
      <c r="H21" s="100" t="s">
        <v>454</v>
      </c>
      <c r="I21" s="97"/>
    </row>
    <row r="22" spans="1:9">
      <c r="A22" s="69" t="s">
        <v>176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139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339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155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345</v>
      </c>
    </row>
    <row r="45" spans="1:9">
      <c r="G45" s="103" t="s">
        <v>345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tabSelected="1" view="pageBreakPreview" zoomScale="130" zoomScaleNormal="100" zoomScaleSheetLayoutView="130" zoomScalePageLayoutView="85" workbookViewId="0">
      <selection activeCell="K21" sqref="K21"/>
    </sheetView>
  </sheetViews>
  <sheetFormatPr defaultRowHeight="15"/>
  <cols>
    <col min="1" max="16384" width="9.140625" style="25"/>
  </cols>
  <sheetData>
    <row r="1" spans="1:9" ht="15" customHeight="1">
      <c r="A1" s="91"/>
      <c r="B1" s="91"/>
      <c r="C1" s="119" t="s">
        <v>329</v>
      </c>
      <c r="D1" s="119"/>
      <c r="E1" s="119"/>
      <c r="F1" s="119"/>
      <c r="G1" s="119"/>
      <c r="H1" s="91"/>
      <c r="I1" s="91"/>
    </row>
    <row r="2" spans="1:9" ht="15" customHeight="1">
      <c r="A2" s="91"/>
      <c r="B2" s="91"/>
      <c r="C2" s="119"/>
      <c r="D2" s="119"/>
      <c r="E2" s="119"/>
      <c r="F2" s="119"/>
      <c r="G2" s="119"/>
      <c r="H2" s="91"/>
      <c r="I2" s="91"/>
    </row>
    <row r="3" spans="1:9">
      <c r="A3" s="93" t="s">
        <v>330</v>
      </c>
      <c r="B3" s="93"/>
      <c r="C3" s="93" t="s">
        <v>331</v>
      </c>
      <c r="D3" s="93"/>
      <c r="E3" s="93"/>
      <c r="F3" s="93" t="s">
        <v>332</v>
      </c>
      <c r="G3" s="93"/>
      <c r="H3" s="92" t="s">
        <v>333</v>
      </c>
      <c r="I3" s="92"/>
    </row>
    <row r="9" spans="1:9">
      <c r="D9" s="90"/>
      <c r="G9" s="90"/>
    </row>
    <row r="14" spans="1:9">
      <c r="F14" s="103" t="s">
        <v>345</v>
      </c>
    </row>
    <row r="25" spans="6:6">
      <c r="F25" s="103" t="s">
        <v>345</v>
      </c>
    </row>
    <row r="36" spans="6:6">
      <c r="F36" s="103" t="s">
        <v>345</v>
      </c>
    </row>
    <row r="47" spans="6:6">
      <c r="F47" s="104" t="s">
        <v>345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3" zoomScale="85" zoomScaleNormal="85" workbookViewId="0">
      <selection activeCell="A3" sqref="A3:O6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201504</v>
      </c>
      <c r="C1" s="8" t="s">
        <v>89</v>
      </c>
      <c r="D1" s="8"/>
      <c r="E1" s="8"/>
      <c r="F1" s="8"/>
    </row>
    <row r="2" spans="1:20" ht="26.25">
      <c r="C2" s="8" t="s">
        <v>90</v>
      </c>
      <c r="D2" s="8" t="s">
        <v>91</v>
      </c>
      <c r="E2" s="8" t="s">
        <v>92</v>
      </c>
      <c r="F2" s="8"/>
      <c r="I2" s="39" t="s">
        <v>154</v>
      </c>
      <c r="L2" s="55" t="s">
        <v>140</v>
      </c>
    </row>
    <row r="3" spans="1:20">
      <c r="A3" s="22" t="s">
        <v>299</v>
      </c>
      <c r="B3" s="10" t="s">
        <v>0</v>
      </c>
      <c r="C3" s="9" t="s">
        <v>93</v>
      </c>
      <c r="D3" s="9" t="s">
        <v>94</v>
      </c>
      <c r="E3" s="9" t="s">
        <v>95</v>
      </c>
      <c r="F3" s="9" t="s">
        <v>96</v>
      </c>
      <c r="G3" s="21" t="s">
        <v>385</v>
      </c>
      <c r="H3" s="21"/>
    </row>
    <row r="4" spans="1:20">
      <c r="A4" s="8" t="s">
        <v>7</v>
      </c>
      <c r="C4" t="s">
        <v>98</v>
      </c>
      <c r="D4" t="s">
        <v>99</v>
      </c>
      <c r="E4" t="s">
        <v>100</v>
      </c>
      <c r="F4" t="s">
        <v>102</v>
      </c>
      <c r="G4" s="20" t="s">
        <v>386</v>
      </c>
      <c r="I4" s="29" t="s">
        <v>133</v>
      </c>
      <c r="J4" s="29" t="s">
        <v>133</v>
      </c>
      <c r="L4" s="36" t="s">
        <v>132</v>
      </c>
      <c r="M4" s="36" t="s">
        <v>132</v>
      </c>
    </row>
    <row r="5" spans="1:20" ht="45">
      <c r="A5" s="8" t="s">
        <v>20</v>
      </c>
      <c r="C5" t="s">
        <v>97</v>
      </c>
      <c r="D5" t="s">
        <v>97</v>
      </c>
      <c r="E5" t="s">
        <v>97</v>
      </c>
      <c r="F5" t="s">
        <v>101</v>
      </c>
      <c r="G5" s="20" t="s">
        <v>380</v>
      </c>
      <c r="I5" s="30" t="s">
        <v>131</v>
      </c>
      <c r="J5" s="30" t="s">
        <v>130</v>
      </c>
      <c r="K5" s="34"/>
      <c r="L5" s="37" t="s">
        <v>131</v>
      </c>
      <c r="M5" s="37" t="s">
        <v>130</v>
      </c>
    </row>
    <row r="6" spans="1:20">
      <c r="A6" s="8" t="s">
        <v>24</v>
      </c>
      <c r="C6" t="s">
        <v>439</v>
      </c>
      <c r="D6" t="s">
        <v>439</v>
      </c>
      <c r="E6" t="s">
        <v>439</v>
      </c>
      <c r="F6" t="s">
        <v>440</v>
      </c>
      <c r="G6" s="20" t="s">
        <v>441</v>
      </c>
    </row>
    <row r="7" spans="1:20">
      <c r="A7" s="8" t="s">
        <v>246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247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248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178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179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180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181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182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183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184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185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186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187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188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189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190</v>
      </c>
      <c r="B22" s="13">
        <v>40209</v>
      </c>
      <c r="C22" s="14">
        <v>5145</v>
      </c>
      <c r="D22" s="14">
        <v>14486</v>
      </c>
      <c r="E22" s="23">
        <v>2183.6999999999998</v>
      </c>
      <c r="F22" s="14">
        <v>24</v>
      </c>
      <c r="G22" s="14">
        <v>0</v>
      </c>
      <c r="H22" s="14"/>
      <c r="I22" s="31">
        <f t="shared" si="0"/>
        <v>-20000</v>
      </c>
      <c r="J22" s="31">
        <f t="shared" si="1"/>
        <v>-16666.666666666668</v>
      </c>
      <c r="K22" s="35"/>
      <c r="L22" s="38">
        <f t="shared" si="2"/>
        <v>4500</v>
      </c>
      <c r="M22" s="63">
        <f t="shared" si="3"/>
        <v>6699.99999999997</v>
      </c>
      <c r="N22" s="15"/>
      <c r="R22" s="23"/>
    </row>
    <row r="23" spans="1:18">
      <c r="A23" s="8" t="s">
        <v>191</v>
      </c>
      <c r="B23" s="13">
        <v>40237</v>
      </c>
      <c r="C23" s="14">
        <v>5147</v>
      </c>
      <c r="D23" s="14">
        <v>14457</v>
      </c>
      <c r="E23" s="23">
        <v>2203.8000000000002</v>
      </c>
      <c r="F23" s="14">
        <v>39</v>
      </c>
      <c r="G23" s="14">
        <v>0</v>
      </c>
      <c r="H23" s="14"/>
      <c r="I23" s="31">
        <f t="shared" si="0"/>
        <v>-27000</v>
      </c>
      <c r="J23" s="31">
        <f t="shared" si="1"/>
        <v>-29000</v>
      </c>
      <c r="K23" s="35"/>
      <c r="L23" s="38">
        <f t="shared" si="2"/>
        <v>5100.0000000003638</v>
      </c>
      <c r="M23" s="63">
        <f t="shared" si="3"/>
        <v>6266.666666666727</v>
      </c>
      <c r="N23" s="15"/>
      <c r="R23" s="14"/>
    </row>
    <row r="24" spans="1:18">
      <c r="A24" s="8" t="s">
        <v>192</v>
      </c>
      <c r="B24" s="13">
        <v>40268</v>
      </c>
      <c r="C24" s="14">
        <v>5140</v>
      </c>
      <c r="D24" s="14">
        <v>14455</v>
      </c>
      <c r="E24" s="23">
        <v>2258.5</v>
      </c>
      <c r="F24" s="14">
        <v>87</v>
      </c>
      <c r="G24" s="14">
        <v>0</v>
      </c>
      <c r="H24" s="14"/>
      <c r="I24" s="31">
        <f t="shared" si="0"/>
        <v>-9000</v>
      </c>
      <c r="J24" s="31">
        <f t="shared" si="1"/>
        <v>-18666.666666666668</v>
      </c>
      <c r="K24" s="35"/>
      <c r="L24" s="38">
        <f t="shared" si="2"/>
        <v>6699.9999999998181</v>
      </c>
      <c r="M24" s="63">
        <f t="shared" si="3"/>
        <v>5433.333333333394</v>
      </c>
      <c r="N24" s="15"/>
      <c r="R24" s="23"/>
    </row>
    <row r="25" spans="1:18">
      <c r="A25" s="8" t="s">
        <v>193</v>
      </c>
      <c r="B25" s="13">
        <v>40298</v>
      </c>
      <c r="C25" s="14">
        <v>5136</v>
      </c>
      <c r="D25" s="14">
        <v>14449</v>
      </c>
      <c r="E25" s="23">
        <v>2323.3000000000002</v>
      </c>
      <c r="F25" s="14">
        <v>154</v>
      </c>
      <c r="G25" s="14">
        <v>0</v>
      </c>
      <c r="H25" s="14"/>
      <c r="I25" s="31">
        <f t="shared" si="0"/>
        <v>-10000</v>
      </c>
      <c r="J25" s="31">
        <f t="shared" si="1"/>
        <v>-15333.333333333334</v>
      </c>
      <c r="K25" s="35"/>
      <c r="L25" s="38">
        <f t="shared" si="2"/>
        <v>-2199.9999999998181</v>
      </c>
      <c r="M25" s="63">
        <f t="shared" si="3"/>
        <v>3200.0000000001214</v>
      </c>
      <c r="N25" s="15"/>
      <c r="R25" s="14"/>
    </row>
    <row r="26" spans="1:18">
      <c r="A26" s="8" t="s">
        <v>194</v>
      </c>
      <c r="B26" s="13">
        <v>40329</v>
      </c>
      <c r="C26" s="14">
        <v>5135</v>
      </c>
      <c r="D26" s="14">
        <v>14445</v>
      </c>
      <c r="E26" s="23">
        <v>2757.1</v>
      </c>
      <c r="F26" s="14">
        <v>564</v>
      </c>
      <c r="G26" s="14">
        <v>0</v>
      </c>
      <c r="H26" s="14"/>
      <c r="I26" s="31">
        <f t="shared" si="0"/>
        <v>-5000</v>
      </c>
      <c r="J26" s="31">
        <f t="shared" si="1"/>
        <v>-8000</v>
      </c>
      <c r="K26" s="35"/>
      <c r="L26" s="38">
        <f t="shared" si="2"/>
        <v>23799.999999999727</v>
      </c>
      <c r="M26" s="63">
        <f t="shared" si="3"/>
        <v>9433.333333333243</v>
      </c>
      <c r="N26" s="15"/>
      <c r="R26" s="23"/>
    </row>
    <row r="27" spans="1:18">
      <c r="A27" s="8" t="s">
        <v>195</v>
      </c>
      <c r="B27" s="13">
        <v>40359</v>
      </c>
      <c r="C27" s="14">
        <v>5139</v>
      </c>
      <c r="D27" s="14">
        <v>14408</v>
      </c>
      <c r="E27" s="23">
        <v>2533.8000000000002</v>
      </c>
      <c r="F27" s="14">
        <v>339</v>
      </c>
      <c r="G27" s="14">
        <v>0</v>
      </c>
      <c r="H27" s="14"/>
      <c r="I27" s="31">
        <f t="shared" si="0"/>
        <v>-33000</v>
      </c>
      <c r="J27" s="31">
        <f t="shared" si="1"/>
        <v>-16000</v>
      </c>
      <c r="K27" s="35"/>
      <c r="L27" s="38">
        <f t="shared" si="2"/>
        <v>1700.0000000002728</v>
      </c>
      <c r="M27" s="63">
        <f t="shared" si="3"/>
        <v>7766.666666666727</v>
      </c>
      <c r="N27" s="15"/>
      <c r="R27" s="14"/>
    </row>
    <row r="28" spans="1:18">
      <c r="A28" s="8" t="s">
        <v>196</v>
      </c>
      <c r="B28" s="13">
        <v>40390</v>
      </c>
      <c r="C28" s="14">
        <v>5136</v>
      </c>
      <c r="D28" s="14">
        <v>14382</v>
      </c>
      <c r="E28" s="23">
        <v>2396.4</v>
      </c>
      <c r="F28" s="14">
        <v>196</v>
      </c>
      <c r="G28" s="14">
        <v>0</v>
      </c>
      <c r="H28" s="14"/>
      <c r="I28" s="31">
        <f t="shared" si="0"/>
        <v>-29000</v>
      </c>
      <c r="J28" s="31">
        <f t="shared" si="1"/>
        <v>-22333.333333333332</v>
      </c>
      <c r="K28" s="35"/>
      <c r="L28" s="38">
        <f t="shared" si="2"/>
        <v>5599.9999999999091</v>
      </c>
      <c r="M28" s="63">
        <f t="shared" si="3"/>
        <v>10366.666666666637</v>
      </c>
      <c r="N28" s="15"/>
      <c r="R28" s="23"/>
    </row>
    <row r="29" spans="1:18">
      <c r="A29" s="8" t="s">
        <v>197</v>
      </c>
      <c r="B29" s="13">
        <v>40421</v>
      </c>
      <c r="C29" s="14">
        <v>5130</v>
      </c>
      <c r="D29" s="14">
        <v>14345</v>
      </c>
      <c r="E29" s="23">
        <v>2288.5</v>
      </c>
      <c r="F29" s="14">
        <v>82</v>
      </c>
      <c r="G29" s="14">
        <v>0</v>
      </c>
      <c r="H29" s="14"/>
      <c r="I29" s="31">
        <f t="shared" si="0"/>
        <v>-43000</v>
      </c>
      <c r="J29" s="31">
        <f t="shared" si="1"/>
        <v>-35000</v>
      </c>
      <c r="K29" s="35"/>
      <c r="L29" s="38">
        <f t="shared" si="2"/>
        <v>6099.9999999999091</v>
      </c>
      <c r="M29" s="63">
        <f t="shared" si="3"/>
        <v>4466.666666666697</v>
      </c>
      <c r="N29" s="15"/>
      <c r="R29" s="14"/>
    </row>
    <row r="30" spans="1:18">
      <c r="A30" s="8" t="s">
        <v>198</v>
      </c>
      <c r="B30" s="13">
        <v>40451</v>
      </c>
      <c r="C30" s="14">
        <v>5122</v>
      </c>
      <c r="D30" s="14">
        <v>14256</v>
      </c>
      <c r="E30" s="23">
        <v>2214.4</v>
      </c>
      <c r="F30" s="14">
        <v>6</v>
      </c>
      <c r="G30" s="14">
        <v>0</v>
      </c>
      <c r="H30" s="14"/>
      <c r="I30" s="31">
        <f t="shared" si="0"/>
        <v>-97000</v>
      </c>
      <c r="J30" s="31">
        <f t="shared" si="1"/>
        <v>-56333.333333333336</v>
      </c>
      <c r="K30" s="35"/>
      <c r="L30" s="38">
        <f t="shared" si="2"/>
        <v>1900.0000000000909</v>
      </c>
      <c r="M30" s="63">
        <f t="shared" si="3"/>
        <v>4533.333333333303</v>
      </c>
      <c r="N30" s="15"/>
      <c r="R30" s="23"/>
    </row>
    <row r="31" spans="1:18">
      <c r="A31" s="8" t="s">
        <v>199</v>
      </c>
      <c r="B31" s="13">
        <v>40482</v>
      </c>
      <c r="C31" s="14">
        <v>5139</v>
      </c>
      <c r="D31" s="14">
        <v>14292</v>
      </c>
      <c r="E31" s="23">
        <v>2214</v>
      </c>
      <c r="F31" s="14">
        <v>1</v>
      </c>
      <c r="G31" s="14">
        <v>0</v>
      </c>
      <c r="H31" s="14"/>
      <c r="I31" s="31">
        <f t="shared" si="0"/>
        <v>53000</v>
      </c>
      <c r="J31" s="31">
        <f t="shared" si="1"/>
        <v>-29000</v>
      </c>
      <c r="K31" s="35"/>
      <c r="L31" s="38">
        <f t="shared" si="2"/>
        <v>4599.9999999999091</v>
      </c>
      <c r="M31" s="63">
        <f t="shared" si="3"/>
        <v>4199.99999999997</v>
      </c>
      <c r="N31" s="15"/>
      <c r="R31" s="14"/>
    </row>
    <row r="32" spans="1:18">
      <c r="A32" s="8" t="s">
        <v>200</v>
      </c>
      <c r="B32" s="13">
        <v>40512</v>
      </c>
      <c r="C32" s="14">
        <v>5139</v>
      </c>
      <c r="D32" s="14">
        <v>14282</v>
      </c>
      <c r="E32" s="23">
        <v>2215.5</v>
      </c>
      <c r="F32" s="14">
        <v>0</v>
      </c>
      <c r="G32" s="14">
        <v>0</v>
      </c>
      <c r="H32" s="14"/>
      <c r="I32" s="31">
        <f t="shared" si="0"/>
        <v>-10000</v>
      </c>
      <c r="J32" s="31">
        <f t="shared" si="1"/>
        <v>-18000</v>
      </c>
      <c r="K32" s="35"/>
      <c r="L32" s="38">
        <f t="shared" si="2"/>
        <v>2500</v>
      </c>
      <c r="M32" s="63">
        <f t="shared" si="3"/>
        <v>3000</v>
      </c>
      <c r="N32" s="15"/>
      <c r="R32" s="23"/>
    </row>
    <row r="33" spans="1:18">
      <c r="A33" s="8" t="s">
        <v>201</v>
      </c>
      <c r="B33" s="13">
        <v>40543</v>
      </c>
      <c r="C33" s="14">
        <v>5133</v>
      </c>
      <c r="D33" s="14">
        <v>14263</v>
      </c>
      <c r="E33" s="23">
        <v>2221</v>
      </c>
      <c r="F33" s="14">
        <v>0</v>
      </c>
      <c r="G33" s="14">
        <v>0</v>
      </c>
      <c r="H33" s="14"/>
      <c r="I33" s="31">
        <f t="shared" si="0"/>
        <v>-25000</v>
      </c>
      <c r="J33" s="31">
        <f t="shared" si="1"/>
        <v>6000</v>
      </c>
      <c r="K33" s="35"/>
      <c r="L33" s="38">
        <f t="shared" si="2"/>
        <v>5500</v>
      </c>
      <c r="M33" s="63">
        <f t="shared" si="3"/>
        <v>4199.99999999997</v>
      </c>
      <c r="N33" s="15"/>
      <c r="R33" s="14"/>
    </row>
    <row r="34" spans="1:18">
      <c r="A34" s="8" t="s">
        <v>202</v>
      </c>
      <c r="B34" s="13">
        <v>40574</v>
      </c>
      <c r="C34" s="14">
        <v>5139</v>
      </c>
      <c r="D34" s="14">
        <v>14251</v>
      </c>
      <c r="E34" s="23">
        <v>2228.4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-13666.666666666666</v>
      </c>
      <c r="K34" s="35"/>
      <c r="L34" s="38">
        <f t="shared" si="2"/>
        <v>6400.0000000000909</v>
      </c>
      <c r="M34" s="63">
        <f t="shared" si="3"/>
        <v>4800.00000000003</v>
      </c>
      <c r="N34" s="15"/>
      <c r="R34" s="23"/>
    </row>
    <row r="35" spans="1:18">
      <c r="A35" s="8" t="s">
        <v>203</v>
      </c>
      <c r="B35" s="13">
        <v>40602</v>
      </c>
      <c r="C35" s="14">
        <v>5106</v>
      </c>
      <c r="D35" s="14">
        <v>14231</v>
      </c>
      <c r="E35" s="23">
        <v>2233.1999999999998</v>
      </c>
      <c r="F35" s="14">
        <v>3</v>
      </c>
      <c r="G35" s="14">
        <v>0</v>
      </c>
      <c r="H35" s="14"/>
      <c r="I35" s="31">
        <f t="shared" si="0"/>
        <v>-53000</v>
      </c>
      <c r="J35" s="31">
        <f t="shared" si="1"/>
        <v>-28000</v>
      </c>
      <c r="K35" s="35"/>
      <c r="L35" s="38">
        <f t="shared" si="2"/>
        <v>2799.9999999997272</v>
      </c>
      <c r="M35" s="63">
        <f t="shared" si="3"/>
        <v>4899.9999999999391</v>
      </c>
      <c r="N35" s="15"/>
      <c r="R35" s="14"/>
    </row>
    <row r="36" spans="1:18">
      <c r="A36" s="8" t="s">
        <v>204</v>
      </c>
      <c r="B36" s="13">
        <v>40633</v>
      </c>
      <c r="C36" s="14">
        <v>5096</v>
      </c>
      <c r="D36" s="14">
        <v>14222</v>
      </c>
      <c r="E36" s="23">
        <v>2236.5</v>
      </c>
      <c r="F36" s="14">
        <v>3</v>
      </c>
      <c r="G36" s="14">
        <v>0</v>
      </c>
      <c r="H36" s="14"/>
      <c r="I36" s="31">
        <f t="shared" si="0"/>
        <v>-19000</v>
      </c>
      <c r="J36" s="31">
        <f t="shared" si="1"/>
        <v>-26000</v>
      </c>
      <c r="K36" s="35"/>
      <c r="L36" s="38">
        <f t="shared" si="2"/>
        <v>3300.0000000001819</v>
      </c>
      <c r="M36" s="63">
        <f t="shared" si="3"/>
        <v>4166.666666666667</v>
      </c>
      <c r="N36" s="15"/>
      <c r="R36" s="23"/>
    </row>
    <row r="37" spans="1:18">
      <c r="A37" s="8" t="s">
        <v>205</v>
      </c>
      <c r="B37" s="13">
        <v>40663</v>
      </c>
      <c r="C37" s="14">
        <v>5090</v>
      </c>
      <c r="D37" s="14">
        <v>14226</v>
      </c>
      <c r="E37" s="23">
        <v>2233.1999999999998</v>
      </c>
      <c r="F37" s="14">
        <v>0</v>
      </c>
      <c r="G37" s="14">
        <v>0</v>
      </c>
      <c r="H37" s="14"/>
      <c r="I37" s="31">
        <f t="shared" si="0"/>
        <v>-2000</v>
      </c>
      <c r="J37" s="31">
        <f t="shared" si="1"/>
        <v>-24666.666666666668</v>
      </c>
      <c r="K37" s="35"/>
      <c r="L37" s="38">
        <f t="shared" si="2"/>
        <v>-300.0000000001819</v>
      </c>
      <c r="M37" s="63">
        <f t="shared" si="3"/>
        <v>1933.3333333332423</v>
      </c>
      <c r="N37" s="15"/>
      <c r="R37" s="14"/>
    </row>
    <row r="38" spans="1:18">
      <c r="A38" s="8" t="s">
        <v>206</v>
      </c>
      <c r="B38" s="13">
        <v>40694</v>
      </c>
      <c r="C38" s="14">
        <v>5082</v>
      </c>
      <c r="D38" s="14">
        <v>14173</v>
      </c>
      <c r="E38" s="23">
        <v>2237.5</v>
      </c>
      <c r="F38" s="14">
        <v>0</v>
      </c>
      <c r="G38" s="14">
        <v>0</v>
      </c>
      <c r="H38" s="14"/>
      <c r="I38" s="31">
        <f t="shared" si="0"/>
        <v>-61000</v>
      </c>
      <c r="J38" s="31">
        <f t="shared" si="1"/>
        <v>-27333.333333333332</v>
      </c>
      <c r="K38" s="35"/>
      <c r="L38" s="38">
        <f t="shared" si="2"/>
        <v>4300.0000000001819</v>
      </c>
      <c r="M38" s="63">
        <f t="shared" si="3"/>
        <v>2433.333333333394</v>
      </c>
      <c r="N38" s="15"/>
      <c r="R38" s="23"/>
    </row>
    <row r="39" spans="1:18">
      <c r="A39" s="8" t="s">
        <v>207</v>
      </c>
      <c r="B39" s="13">
        <v>40724</v>
      </c>
      <c r="C39" s="14">
        <v>5079</v>
      </c>
      <c r="D39" s="14">
        <v>14189</v>
      </c>
      <c r="E39" s="23">
        <v>2227.8000000000002</v>
      </c>
      <c r="F39" s="14">
        <v>0</v>
      </c>
      <c r="G39" s="14">
        <v>0</v>
      </c>
      <c r="H39" s="14"/>
      <c r="I39" s="31">
        <f t="shared" si="0"/>
        <v>13000</v>
      </c>
      <c r="J39" s="31">
        <f t="shared" si="1"/>
        <v>-16666.666666666668</v>
      </c>
      <c r="K39" s="35"/>
      <c r="L39" s="38">
        <f t="shared" si="2"/>
        <v>-9699.9999999998181</v>
      </c>
      <c r="M39" s="63">
        <f t="shared" si="3"/>
        <v>-1899.9999999999393</v>
      </c>
      <c r="N39" s="15"/>
      <c r="R39" s="14"/>
    </row>
    <row r="40" spans="1:18">
      <c r="A40" s="8" t="s">
        <v>208</v>
      </c>
      <c r="B40" s="13">
        <v>40755</v>
      </c>
      <c r="C40" s="14">
        <v>5060</v>
      </c>
      <c r="D40" s="14">
        <v>14133</v>
      </c>
      <c r="E40" s="23">
        <v>2225.9</v>
      </c>
      <c r="F40" s="14">
        <v>0</v>
      </c>
      <c r="G40" s="14">
        <v>0</v>
      </c>
      <c r="H40" s="14"/>
      <c r="I40" s="31">
        <f t="shared" si="0"/>
        <v>-75000</v>
      </c>
      <c r="J40" s="31">
        <f t="shared" si="1"/>
        <v>-41000</v>
      </c>
      <c r="K40" s="35"/>
      <c r="L40" s="38">
        <f t="shared" si="2"/>
        <v>-1900.0000000000909</v>
      </c>
      <c r="M40" s="63">
        <f t="shared" si="3"/>
        <v>-2433.3333333332425</v>
      </c>
      <c r="N40" s="15"/>
      <c r="R40" s="23"/>
    </row>
    <row r="41" spans="1:18">
      <c r="A41" s="8" t="s">
        <v>209</v>
      </c>
      <c r="B41" s="13">
        <v>40786</v>
      </c>
      <c r="C41" s="14">
        <v>5081</v>
      </c>
      <c r="D41" s="14">
        <v>14111</v>
      </c>
      <c r="E41" s="23">
        <v>2224.9</v>
      </c>
      <c r="F41" s="14">
        <v>0</v>
      </c>
      <c r="G41" s="14">
        <v>0</v>
      </c>
      <c r="H41" s="14"/>
      <c r="I41" s="31">
        <f t="shared" si="0"/>
        <v>-1000</v>
      </c>
      <c r="J41" s="31">
        <f t="shared" si="1"/>
        <v>-21000</v>
      </c>
      <c r="K41" s="35"/>
      <c r="L41" s="38">
        <f t="shared" si="2"/>
        <v>-1000</v>
      </c>
      <c r="M41" s="63">
        <f t="shared" si="3"/>
        <v>-4199.99999999997</v>
      </c>
      <c r="N41" s="15"/>
      <c r="R41" s="14"/>
    </row>
    <row r="42" spans="1:18">
      <c r="A42" s="8" t="s">
        <v>210</v>
      </c>
      <c r="B42" s="13">
        <v>40816</v>
      </c>
      <c r="C42" s="14">
        <v>5075</v>
      </c>
      <c r="D42" s="14">
        <v>14060</v>
      </c>
      <c r="E42" s="23">
        <v>2225</v>
      </c>
      <c r="F42" s="14">
        <v>0</v>
      </c>
      <c r="G42" s="14">
        <v>0</v>
      </c>
      <c r="H42" s="14"/>
      <c r="I42" s="31">
        <f t="shared" si="0"/>
        <v>-57000</v>
      </c>
      <c r="J42" s="31">
        <f t="shared" si="1"/>
        <v>-44333.333333333336</v>
      </c>
      <c r="K42" s="35"/>
      <c r="L42" s="38">
        <f t="shared" si="2"/>
        <v>99.999999999909051</v>
      </c>
      <c r="M42" s="63">
        <f t="shared" si="3"/>
        <v>-933.33333333339397</v>
      </c>
      <c r="N42" s="15"/>
      <c r="R42" s="23"/>
    </row>
    <row r="43" spans="1:18">
      <c r="A43" s="8" t="s">
        <v>211</v>
      </c>
      <c r="B43" s="13">
        <v>40847</v>
      </c>
      <c r="C43" s="14">
        <v>5055</v>
      </c>
      <c r="D43" s="14">
        <v>14093</v>
      </c>
      <c r="E43" s="23">
        <v>2223.8000000000002</v>
      </c>
      <c r="F43" s="14">
        <v>0</v>
      </c>
      <c r="G43" s="14">
        <v>0</v>
      </c>
      <c r="H43" s="14"/>
      <c r="I43" s="31">
        <f t="shared" si="0"/>
        <v>13000</v>
      </c>
      <c r="J43" s="31">
        <f t="shared" si="1"/>
        <v>-15000</v>
      </c>
      <c r="K43" s="35"/>
      <c r="L43" s="38">
        <f t="shared" si="2"/>
        <v>-1199.9999999998181</v>
      </c>
      <c r="M43" s="63">
        <f t="shared" si="3"/>
        <v>-699.99999999996965</v>
      </c>
      <c r="N43" s="15"/>
      <c r="R43" s="14"/>
    </row>
    <row r="44" spans="1:18">
      <c r="A44" s="8" t="s">
        <v>212</v>
      </c>
      <c r="B44" s="13">
        <v>40877</v>
      </c>
      <c r="C44" s="14">
        <v>5048</v>
      </c>
      <c r="D44" s="14">
        <v>14080</v>
      </c>
      <c r="E44" s="23">
        <v>2219.6</v>
      </c>
      <c r="F44" s="14">
        <v>0</v>
      </c>
      <c r="G44" s="14">
        <v>0</v>
      </c>
      <c r="H44" s="14"/>
      <c r="I44" s="31">
        <f t="shared" si="0"/>
        <v>-20000</v>
      </c>
      <c r="J44" s="31">
        <f t="shared" si="1"/>
        <v>-21333.333333333332</v>
      </c>
      <c r="K44" s="35"/>
      <c r="L44" s="38">
        <f t="shared" si="2"/>
        <v>-4200.0000000002728</v>
      </c>
      <c r="M44" s="63">
        <f t="shared" si="3"/>
        <v>-1766.6666666667272</v>
      </c>
      <c r="N44" s="15"/>
      <c r="R44" s="23"/>
    </row>
    <row r="45" spans="1:18">
      <c r="A45" s="8" t="s">
        <v>213</v>
      </c>
      <c r="B45" s="13">
        <v>40908</v>
      </c>
      <c r="C45" s="14">
        <v>5039</v>
      </c>
      <c r="D45" s="14">
        <v>14074</v>
      </c>
      <c r="E45" s="23">
        <v>2217.8000000000002</v>
      </c>
      <c r="F45" s="14">
        <v>0</v>
      </c>
      <c r="G45" s="14">
        <v>0</v>
      </c>
      <c r="H45" s="14"/>
      <c r="I45" s="31">
        <f t="shared" si="0"/>
        <v>-15000</v>
      </c>
      <c r="J45" s="31">
        <f t="shared" si="1"/>
        <v>-7333.333333333333</v>
      </c>
      <c r="K45" s="35"/>
      <c r="L45" s="38">
        <f t="shared" si="2"/>
        <v>-1799.9999999997272</v>
      </c>
      <c r="M45" s="63">
        <f t="shared" si="3"/>
        <v>-2399.9999999999395</v>
      </c>
      <c r="N45" s="15"/>
      <c r="R45" s="14"/>
    </row>
    <row r="46" spans="1:18">
      <c r="A46" s="8" t="s">
        <v>214</v>
      </c>
      <c r="B46" s="13">
        <v>40939</v>
      </c>
      <c r="C46" s="14">
        <v>5047</v>
      </c>
      <c r="D46" s="14">
        <v>14070</v>
      </c>
      <c r="E46" s="23">
        <v>2212.3000000000002</v>
      </c>
      <c r="F46" s="14">
        <v>0</v>
      </c>
      <c r="G46" s="14">
        <v>0</v>
      </c>
      <c r="H46" s="14"/>
      <c r="I46" s="31">
        <f t="shared" si="0"/>
        <v>4000</v>
      </c>
      <c r="J46" s="31">
        <f t="shared" si="1"/>
        <v>-10333.333333333334</v>
      </c>
      <c r="K46" s="35"/>
      <c r="L46" s="38">
        <f t="shared" si="2"/>
        <v>-5500</v>
      </c>
      <c r="M46" s="63">
        <f t="shared" si="3"/>
        <v>-3833.3333333333335</v>
      </c>
      <c r="N46" s="15"/>
      <c r="R46" s="23"/>
    </row>
    <row r="47" spans="1:18">
      <c r="A47" s="8" t="s">
        <v>215</v>
      </c>
      <c r="B47" s="13">
        <v>40968</v>
      </c>
      <c r="C47" s="14">
        <v>5048</v>
      </c>
      <c r="D47" s="14">
        <v>14072</v>
      </c>
      <c r="E47" s="23">
        <v>2209.9</v>
      </c>
      <c r="F47" s="14">
        <v>0</v>
      </c>
      <c r="G47" s="14">
        <v>0</v>
      </c>
      <c r="H47" s="14"/>
      <c r="I47" s="31">
        <f t="shared" si="0"/>
        <v>3000</v>
      </c>
      <c r="J47" s="31">
        <f t="shared" si="1"/>
        <v>-2666.6666666666665</v>
      </c>
      <c r="K47" s="35"/>
      <c r="L47" s="38">
        <f t="shared" si="2"/>
        <v>-2400.0000000000909</v>
      </c>
      <c r="M47" s="63">
        <f t="shared" si="3"/>
        <v>-3233.3333333332725</v>
      </c>
      <c r="N47" s="15"/>
      <c r="R47" s="14"/>
    </row>
    <row r="48" spans="1:18">
      <c r="A48" s="8" t="s">
        <v>216</v>
      </c>
      <c r="B48" s="13">
        <v>40999</v>
      </c>
      <c r="C48" s="14">
        <v>5052</v>
      </c>
      <c r="D48" s="14">
        <v>14066</v>
      </c>
      <c r="E48" s="23">
        <v>2210.9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1666.6666666666667</v>
      </c>
      <c r="K48" s="35"/>
      <c r="L48" s="38">
        <f t="shared" si="2"/>
        <v>1000</v>
      </c>
      <c r="M48" s="63">
        <f t="shared" si="3"/>
        <v>-2300.0000000000305</v>
      </c>
      <c r="N48" s="15"/>
      <c r="R48" s="23"/>
    </row>
    <row r="49" spans="1:18">
      <c r="A49" s="8" t="s">
        <v>217</v>
      </c>
      <c r="B49" s="13">
        <v>41029</v>
      </c>
      <c r="C49" s="14">
        <v>5056</v>
      </c>
      <c r="D49" s="14">
        <v>14040</v>
      </c>
      <c r="E49" s="23">
        <v>2210.6</v>
      </c>
      <c r="F49" s="14">
        <v>0</v>
      </c>
      <c r="G49" s="14">
        <v>0</v>
      </c>
      <c r="H49" s="14"/>
      <c r="I49" s="31">
        <f t="shared" si="0"/>
        <v>-22000</v>
      </c>
      <c r="J49" s="31">
        <f t="shared" si="1"/>
        <v>-7000</v>
      </c>
      <c r="K49" s="35"/>
      <c r="L49" s="38">
        <f t="shared" si="2"/>
        <v>-300.0000000001819</v>
      </c>
      <c r="M49" s="63">
        <f t="shared" si="3"/>
        <v>-566.66666666675758</v>
      </c>
      <c r="N49" s="15"/>
      <c r="R49" s="14"/>
    </row>
    <row r="50" spans="1:18">
      <c r="A50" s="8" t="s">
        <v>218</v>
      </c>
      <c r="B50" s="13">
        <v>41060</v>
      </c>
      <c r="C50" s="14">
        <v>5050</v>
      </c>
      <c r="D50" s="14">
        <v>14036</v>
      </c>
      <c r="E50" s="23">
        <v>2212.6</v>
      </c>
      <c r="F50" s="14">
        <v>0</v>
      </c>
      <c r="G50" s="14">
        <v>0</v>
      </c>
      <c r="H50" s="14"/>
      <c r="I50" s="31">
        <f t="shared" si="0"/>
        <v>-10000</v>
      </c>
      <c r="J50" s="31">
        <f t="shared" si="1"/>
        <v>-11333.333333333334</v>
      </c>
      <c r="K50" s="35"/>
      <c r="L50" s="38">
        <f>IF(E50&lt;&gt;"", ((E50-F50)-(E49-F49))*1000, "")</f>
        <v>2000</v>
      </c>
      <c r="M50" s="63">
        <f t="shared" si="3"/>
        <v>899.9999999999394</v>
      </c>
      <c r="N50" s="15"/>
      <c r="R50" s="23"/>
    </row>
    <row r="51" spans="1:18">
      <c r="A51" s="8" t="s">
        <v>219</v>
      </c>
      <c r="B51" s="13">
        <v>41090</v>
      </c>
      <c r="C51" s="14">
        <v>5057</v>
      </c>
      <c r="D51" s="14">
        <v>14010</v>
      </c>
      <c r="E51" s="23">
        <v>2211.9</v>
      </c>
      <c r="F51" s="14">
        <v>0</v>
      </c>
      <c r="G51" s="14">
        <v>0</v>
      </c>
      <c r="H51" s="14"/>
      <c r="I51" s="31">
        <f t="shared" si="0"/>
        <v>-19000</v>
      </c>
      <c r="J51" s="31">
        <f t="shared" si="1"/>
        <v>-17000</v>
      </c>
      <c r="K51" s="35"/>
      <c r="L51" s="38">
        <f t="shared" si="2"/>
        <v>-699.9999999998181</v>
      </c>
      <c r="M51" s="63">
        <f t="shared" si="3"/>
        <v>333.33333333333331</v>
      </c>
      <c r="N51" s="23"/>
      <c r="R51" s="14"/>
    </row>
    <row r="52" spans="1:18">
      <c r="A52" s="8" t="s">
        <v>220</v>
      </c>
      <c r="B52" s="13">
        <v>41121</v>
      </c>
      <c r="C52" s="14">
        <v>5056</v>
      </c>
      <c r="D52" s="14">
        <v>14044</v>
      </c>
      <c r="E52" s="23">
        <v>2202.9</v>
      </c>
      <c r="F52" s="14">
        <v>0</v>
      </c>
      <c r="G52" s="14">
        <v>0</v>
      </c>
      <c r="H52" s="14"/>
      <c r="I52" s="31">
        <f t="shared" si="0"/>
        <v>33000</v>
      </c>
      <c r="J52" s="31">
        <f t="shared" si="1"/>
        <v>1333.3333333333333</v>
      </c>
      <c r="K52" s="35"/>
      <c r="L52" s="38">
        <f t="shared" si="2"/>
        <v>-9000</v>
      </c>
      <c r="M52" s="63">
        <f t="shared" si="3"/>
        <v>-2566.666666666606</v>
      </c>
      <c r="N52" s="15"/>
      <c r="R52" s="23"/>
    </row>
    <row r="53" spans="1:18">
      <c r="A53" s="8" t="s">
        <v>221</v>
      </c>
      <c r="B53" s="13">
        <v>41152</v>
      </c>
      <c r="C53" s="14">
        <v>5063</v>
      </c>
      <c r="D53" s="14">
        <v>14061</v>
      </c>
      <c r="E53" s="23">
        <v>2210.1</v>
      </c>
      <c r="F53" s="14">
        <v>0</v>
      </c>
      <c r="G53" s="14">
        <v>0</v>
      </c>
      <c r="H53" s="14"/>
      <c r="I53" s="31">
        <f t="shared" si="0"/>
        <v>24000</v>
      </c>
      <c r="J53" s="31">
        <f t="shared" si="1"/>
        <v>12666.666666666666</v>
      </c>
      <c r="K53" s="35"/>
      <c r="L53" s="38">
        <f t="shared" si="2"/>
        <v>7199.9999999998181</v>
      </c>
      <c r="M53" s="63">
        <f t="shared" si="3"/>
        <v>-833.33333333333337</v>
      </c>
      <c r="N53" s="15"/>
      <c r="R53" s="14"/>
    </row>
    <row r="54" spans="1:18">
      <c r="A54" s="8" t="s">
        <v>222</v>
      </c>
      <c r="B54" s="13">
        <v>41182</v>
      </c>
      <c r="C54" s="14">
        <v>5076</v>
      </c>
      <c r="D54" s="14">
        <v>14027</v>
      </c>
      <c r="E54" s="23">
        <v>2217.1999999999998</v>
      </c>
      <c r="F54" s="14">
        <v>0</v>
      </c>
      <c r="G54" s="14">
        <v>0</v>
      </c>
      <c r="H54" s="14"/>
      <c r="I54" s="31">
        <f t="shared" si="0"/>
        <v>-21000</v>
      </c>
      <c r="J54" s="31">
        <f t="shared" si="1"/>
        <v>12000</v>
      </c>
      <c r="K54" s="35"/>
      <c r="L54" s="38">
        <f t="shared" si="2"/>
        <v>7099.9999999999091</v>
      </c>
      <c r="M54" s="63">
        <f t="shared" si="3"/>
        <v>1766.6666666665758</v>
      </c>
      <c r="N54" s="15"/>
      <c r="R54" s="23"/>
    </row>
    <row r="55" spans="1:18">
      <c r="A55" s="8" t="s">
        <v>223</v>
      </c>
      <c r="B55" s="13">
        <v>41213</v>
      </c>
      <c r="C55" s="14">
        <v>5052</v>
      </c>
      <c r="D55" s="14">
        <v>14021</v>
      </c>
      <c r="E55" s="23">
        <v>2212.9</v>
      </c>
      <c r="F55" s="14">
        <v>0</v>
      </c>
      <c r="G55" s="14">
        <v>0</v>
      </c>
      <c r="H55" s="14"/>
      <c r="I55" s="31">
        <f t="shared" si="0"/>
        <v>-30000</v>
      </c>
      <c r="J55" s="31">
        <f t="shared" si="1"/>
        <v>-9000</v>
      </c>
      <c r="K55" s="35"/>
      <c r="L55" s="38">
        <f t="shared" si="2"/>
        <v>-4299.9999999997272</v>
      </c>
      <c r="M55" s="63">
        <f t="shared" si="3"/>
        <v>3333.3333333333335</v>
      </c>
      <c r="N55" s="15"/>
      <c r="R55" s="14"/>
    </row>
    <row r="56" spans="1:18">
      <c r="A56" s="8" t="s">
        <v>224</v>
      </c>
      <c r="B56" s="13">
        <v>41243</v>
      </c>
      <c r="C56" s="14">
        <v>5050</v>
      </c>
      <c r="D56" s="14">
        <v>14014</v>
      </c>
      <c r="E56" s="23">
        <v>2209</v>
      </c>
      <c r="F56" s="14">
        <v>0</v>
      </c>
      <c r="G56" s="14">
        <v>0</v>
      </c>
      <c r="H56" s="14"/>
      <c r="I56" s="31">
        <f t="shared" si="0"/>
        <v>-9000</v>
      </c>
      <c r="J56" s="31">
        <f t="shared" si="1"/>
        <v>-20000</v>
      </c>
      <c r="K56" s="35"/>
      <c r="L56" s="38">
        <f t="shared" si="2"/>
        <v>-3900.0000000000909</v>
      </c>
      <c r="M56" s="63">
        <f t="shared" si="3"/>
        <v>-366.66666666663633</v>
      </c>
      <c r="N56" s="15"/>
      <c r="R56" s="23"/>
    </row>
    <row r="57" spans="1:18">
      <c r="A57" s="8" t="s">
        <v>225</v>
      </c>
      <c r="B57" s="13">
        <v>41274</v>
      </c>
      <c r="C57" s="14">
        <v>5049</v>
      </c>
      <c r="D57" s="14">
        <v>14035</v>
      </c>
      <c r="E57" s="23">
        <v>2207.4</v>
      </c>
      <c r="F57" s="14">
        <v>0</v>
      </c>
      <c r="G57" s="14">
        <v>0</v>
      </c>
      <c r="H57" s="14"/>
      <c r="I57" s="31">
        <f t="shared" si="0"/>
        <v>20000</v>
      </c>
      <c r="J57" s="31">
        <f t="shared" si="1"/>
        <v>-6333.333333333333</v>
      </c>
      <c r="K57" s="35"/>
      <c r="L57" s="38">
        <f t="shared" si="2"/>
        <v>-1599.9999999999091</v>
      </c>
      <c r="M57" s="63">
        <f t="shared" si="3"/>
        <v>-3266.6666666665756</v>
      </c>
      <c r="N57" s="15"/>
      <c r="R57" s="14"/>
    </row>
    <row r="58" spans="1:18">
      <c r="A58" s="8" t="s">
        <v>226</v>
      </c>
      <c r="B58" s="13">
        <v>41305</v>
      </c>
      <c r="C58" s="14">
        <v>5033</v>
      </c>
      <c r="D58" s="14">
        <v>14037</v>
      </c>
      <c r="E58" s="23">
        <v>2203.6</v>
      </c>
      <c r="F58" s="14">
        <v>0</v>
      </c>
      <c r="G58" s="14">
        <v>0</v>
      </c>
      <c r="H58" s="14"/>
      <c r="I58" s="31">
        <f t="shared" si="0"/>
        <v>-14000</v>
      </c>
      <c r="J58" s="31">
        <f t="shared" si="1"/>
        <v>-1000</v>
      </c>
      <c r="K58" s="35"/>
      <c r="L58" s="38">
        <f t="shared" si="2"/>
        <v>-3800.0000000001819</v>
      </c>
      <c r="M58" s="63">
        <f t="shared" si="3"/>
        <v>-3100.0000000000605</v>
      </c>
      <c r="N58" s="15"/>
      <c r="R58" s="23"/>
    </row>
    <row r="59" spans="1:18">
      <c r="A59" s="8" t="s">
        <v>227</v>
      </c>
      <c r="B59" s="13">
        <v>41333</v>
      </c>
      <c r="C59" s="14">
        <v>5046</v>
      </c>
      <c r="D59" s="14">
        <v>14037</v>
      </c>
      <c r="E59" s="23">
        <v>2203.6</v>
      </c>
      <c r="F59" s="14">
        <v>0</v>
      </c>
      <c r="G59" s="14">
        <v>0</v>
      </c>
      <c r="H59" s="14"/>
      <c r="I59" s="31">
        <f t="shared" si="0"/>
        <v>13000</v>
      </c>
      <c r="J59" s="31">
        <f t="shared" si="1"/>
        <v>6333.333333333333</v>
      </c>
      <c r="K59" s="35"/>
      <c r="L59" s="38">
        <f t="shared" si="2"/>
        <v>0</v>
      </c>
      <c r="M59" s="63">
        <f t="shared" si="3"/>
        <v>-1800.0000000000302</v>
      </c>
      <c r="N59" s="15"/>
      <c r="R59" s="14"/>
    </row>
    <row r="60" spans="1:18">
      <c r="A60" s="8" t="s">
        <v>228</v>
      </c>
      <c r="B60" s="13">
        <v>41364</v>
      </c>
      <c r="C60" s="14">
        <v>5054</v>
      </c>
      <c r="D60" s="14">
        <v>14024</v>
      </c>
      <c r="E60" s="23">
        <v>2200.5</v>
      </c>
      <c r="F60" s="14">
        <v>0</v>
      </c>
      <c r="G60" s="14">
        <v>0</v>
      </c>
      <c r="H60" s="14"/>
      <c r="I60" s="31">
        <f t="shared" si="0"/>
        <v>-5000</v>
      </c>
      <c r="J60" s="31">
        <f t="shared" si="1"/>
        <v>-2000</v>
      </c>
      <c r="K60" s="35"/>
      <c r="L60" s="38">
        <f t="shared" si="2"/>
        <v>-3099.9999999999091</v>
      </c>
      <c r="M60" s="63">
        <f t="shared" si="3"/>
        <v>-2300.0000000000305</v>
      </c>
      <c r="N60" s="15"/>
      <c r="R60" s="23"/>
    </row>
    <row r="61" spans="1:18">
      <c r="A61" s="8" t="s">
        <v>229</v>
      </c>
      <c r="B61" s="13">
        <v>41394</v>
      </c>
      <c r="C61" s="14">
        <v>5049</v>
      </c>
      <c r="D61" s="14">
        <v>14020</v>
      </c>
      <c r="E61" s="23">
        <v>2193</v>
      </c>
      <c r="F61" s="14">
        <v>0</v>
      </c>
      <c r="G61" s="14">
        <v>0</v>
      </c>
      <c r="H61" s="14"/>
      <c r="I61" s="31">
        <f t="shared" si="0"/>
        <v>-9000</v>
      </c>
      <c r="J61" s="31">
        <f t="shared" si="1"/>
        <v>-333.33333333333331</v>
      </c>
      <c r="K61" s="35"/>
      <c r="L61" s="38">
        <f t="shared" si="2"/>
        <v>-7500</v>
      </c>
      <c r="M61" s="63">
        <f t="shared" si="3"/>
        <v>-3533.333333333303</v>
      </c>
      <c r="N61" s="15"/>
      <c r="R61" s="14"/>
    </row>
    <row r="62" spans="1:18">
      <c r="A62" s="8" t="s">
        <v>230</v>
      </c>
      <c r="B62" s="13">
        <v>41425</v>
      </c>
      <c r="C62" s="14">
        <v>5049</v>
      </c>
      <c r="D62" s="14">
        <v>14032</v>
      </c>
      <c r="E62" s="23">
        <v>2183.6</v>
      </c>
      <c r="F62" s="14">
        <v>0</v>
      </c>
      <c r="G62" s="14">
        <v>0</v>
      </c>
      <c r="H62" s="14"/>
      <c r="I62" s="31">
        <f t="shared" si="0"/>
        <v>12000</v>
      </c>
      <c r="J62" s="31">
        <f t="shared" si="1"/>
        <v>-666.66666666666663</v>
      </c>
      <c r="K62" s="35"/>
      <c r="L62" s="38">
        <f t="shared" si="2"/>
        <v>-9400.0000000000909</v>
      </c>
      <c r="M62" s="63">
        <f t="shared" si="3"/>
        <v>-6666.666666666667</v>
      </c>
      <c r="N62" s="15"/>
      <c r="R62" s="23"/>
    </row>
    <row r="63" spans="1:18">
      <c r="A63" s="8" t="s">
        <v>231</v>
      </c>
      <c r="B63" s="13">
        <v>41455</v>
      </c>
      <c r="C63" s="14">
        <v>5034</v>
      </c>
      <c r="D63" s="14">
        <v>14009</v>
      </c>
      <c r="E63" s="23">
        <v>2176.9</v>
      </c>
      <c r="F63" s="14">
        <v>0</v>
      </c>
      <c r="G63" s="14">
        <v>0</v>
      </c>
      <c r="H63" s="14"/>
      <c r="I63" s="31">
        <f t="shared" si="0"/>
        <v>-38000</v>
      </c>
      <c r="J63" s="31">
        <f t="shared" si="1"/>
        <v>-11666.666666666666</v>
      </c>
      <c r="K63" s="35"/>
      <c r="L63" s="38">
        <f t="shared" si="2"/>
        <v>-6699.9999999998181</v>
      </c>
      <c r="M63" s="63">
        <f t="shared" si="3"/>
        <v>-7866.666666666636</v>
      </c>
      <c r="N63" s="15"/>
      <c r="R63" s="14"/>
    </row>
    <row r="64" spans="1:18">
      <c r="A64" s="8" t="s">
        <v>232</v>
      </c>
      <c r="B64" s="13">
        <v>41486</v>
      </c>
      <c r="C64" s="14">
        <v>5027</v>
      </c>
      <c r="D64" s="14">
        <v>14027</v>
      </c>
      <c r="E64" s="23">
        <v>2169</v>
      </c>
      <c r="F64" s="14">
        <v>0</v>
      </c>
      <c r="G64" s="14">
        <v>0</v>
      </c>
      <c r="H64" s="14"/>
      <c r="I64" s="31">
        <f t="shared" si="0"/>
        <v>11000</v>
      </c>
      <c r="J64" s="31">
        <f t="shared" si="1"/>
        <v>-5000</v>
      </c>
      <c r="K64" s="35"/>
      <c r="L64" s="38">
        <f t="shared" si="2"/>
        <v>-7900.0000000000909</v>
      </c>
      <c r="M64" s="63">
        <f t="shared" si="3"/>
        <v>-8000</v>
      </c>
      <c r="N64" s="15"/>
      <c r="R64" s="23"/>
    </row>
    <row r="65" spans="1:18">
      <c r="A65" s="8" t="s">
        <v>233</v>
      </c>
      <c r="B65" s="13">
        <v>41517</v>
      </c>
      <c r="C65" s="14">
        <v>5044</v>
      </c>
      <c r="D65" s="14">
        <v>14061</v>
      </c>
      <c r="E65" s="23">
        <v>2161.6</v>
      </c>
      <c r="F65" s="14">
        <v>0</v>
      </c>
      <c r="G65" s="14">
        <v>0</v>
      </c>
      <c r="H65" s="14"/>
      <c r="I65" s="31">
        <f t="shared" si="0"/>
        <v>51000</v>
      </c>
      <c r="J65" s="31">
        <f t="shared" si="1"/>
        <v>8000</v>
      </c>
      <c r="K65" s="35"/>
      <c r="L65" s="38">
        <f t="shared" si="2"/>
        <v>-7400.0000000000909</v>
      </c>
      <c r="M65" s="63">
        <f t="shared" si="3"/>
        <v>-7333.333333333333</v>
      </c>
      <c r="N65" s="15"/>
      <c r="R65" s="14"/>
    </row>
    <row r="66" spans="1:18">
      <c r="A66" s="8" t="s">
        <v>234</v>
      </c>
      <c r="B66" s="13">
        <v>41547</v>
      </c>
      <c r="C66" s="14">
        <v>5049</v>
      </c>
      <c r="D66" s="14">
        <v>14040</v>
      </c>
      <c r="E66" s="23">
        <v>2159.1999999999998</v>
      </c>
      <c r="F66" s="14">
        <v>0</v>
      </c>
      <c r="G66" s="14">
        <v>0</v>
      </c>
      <c r="H66" s="14"/>
      <c r="I66" s="31">
        <f t="shared" si="0"/>
        <v>-16000</v>
      </c>
      <c r="J66" s="31">
        <f t="shared" si="1"/>
        <v>15333.333333333334</v>
      </c>
      <c r="K66" s="35"/>
      <c r="L66" s="38">
        <f t="shared" si="2"/>
        <v>-2400.0000000000909</v>
      </c>
      <c r="M66" s="63">
        <f t="shared" si="3"/>
        <v>-5900.0000000000909</v>
      </c>
      <c r="N66" s="15"/>
      <c r="R66" s="23"/>
    </row>
    <row r="67" spans="1:18">
      <c r="A67" s="8" t="s">
        <v>235</v>
      </c>
      <c r="B67" s="13">
        <v>41578</v>
      </c>
      <c r="C67" s="14">
        <v>5052</v>
      </c>
      <c r="D67" s="14">
        <v>14036</v>
      </c>
      <c r="E67" s="23">
        <v>2150.5</v>
      </c>
      <c r="F67" s="14">
        <v>0</v>
      </c>
      <c r="G67" s="14">
        <v>0</v>
      </c>
      <c r="H67" s="14"/>
      <c r="I67" s="31">
        <f t="shared" si="0"/>
        <v>-1000</v>
      </c>
      <c r="J67" s="31">
        <f t="shared" si="1"/>
        <v>11333.333333333334</v>
      </c>
      <c r="K67" s="35"/>
      <c r="L67" s="38">
        <f t="shared" si="2"/>
        <v>-8699.9999999998181</v>
      </c>
      <c r="M67" s="63">
        <f t="shared" si="3"/>
        <v>-6166.666666666667</v>
      </c>
      <c r="N67" s="15"/>
      <c r="R67" s="14"/>
    </row>
    <row r="68" spans="1:18">
      <c r="A68" s="8" t="s">
        <v>236</v>
      </c>
      <c r="B68" s="13">
        <v>41608</v>
      </c>
      <c r="C68" s="14">
        <v>5058</v>
      </c>
      <c r="D68" s="14">
        <v>14041</v>
      </c>
      <c r="E68" s="23">
        <v>2151.1999999999998</v>
      </c>
      <c r="F68" s="14">
        <v>0</v>
      </c>
      <c r="G68" s="14">
        <v>0</v>
      </c>
      <c r="H68" s="14"/>
      <c r="I68" s="31">
        <f t="shared" si="0"/>
        <v>11000</v>
      </c>
      <c r="J68" s="31">
        <f t="shared" si="1"/>
        <v>-2000</v>
      </c>
      <c r="K68" s="35"/>
      <c r="L68" s="38">
        <f t="shared" si="2"/>
        <v>699.9999999998181</v>
      </c>
      <c r="M68" s="63">
        <f t="shared" si="3"/>
        <v>-3466.666666666697</v>
      </c>
      <c r="N68" s="15"/>
      <c r="R68" s="23"/>
    </row>
    <row r="69" spans="1:18">
      <c r="A69" s="8" t="s">
        <v>237</v>
      </c>
      <c r="B69" s="13">
        <v>41639</v>
      </c>
      <c r="C69" s="14">
        <v>5056</v>
      </c>
      <c r="D69" s="14">
        <v>14029</v>
      </c>
      <c r="E69" s="23">
        <v>2146.4</v>
      </c>
      <c r="F69" s="14">
        <v>0</v>
      </c>
      <c r="G69" s="14">
        <v>0</v>
      </c>
      <c r="H69" s="14"/>
      <c r="I69" s="31">
        <f t="shared" si="0"/>
        <v>-14000</v>
      </c>
      <c r="J69" s="31">
        <f t="shared" si="1"/>
        <v>-1333.3333333333333</v>
      </c>
      <c r="K69" s="35"/>
      <c r="L69" s="38">
        <f t="shared" si="2"/>
        <v>-4799.9999999997272</v>
      </c>
      <c r="M69" s="63">
        <f t="shared" si="3"/>
        <v>-4266.666666666576</v>
      </c>
      <c r="N69" s="15"/>
      <c r="R69" s="14"/>
    </row>
    <row r="70" spans="1:18">
      <c r="A70" s="8" t="s">
        <v>238</v>
      </c>
      <c r="B70" s="13">
        <v>41670</v>
      </c>
      <c r="C70" s="14">
        <v>5053</v>
      </c>
      <c r="D70" s="14">
        <v>14027</v>
      </c>
      <c r="E70" s="23">
        <v>2144.6999999999998</v>
      </c>
      <c r="F70" s="14">
        <v>0</v>
      </c>
      <c r="G70" s="14">
        <v>0</v>
      </c>
      <c r="H70" s="14"/>
      <c r="I70" s="31">
        <f t="shared" si="0"/>
        <v>-5000</v>
      </c>
      <c r="J70" s="31">
        <f t="shared" si="1"/>
        <v>-2666.6666666666665</v>
      </c>
      <c r="K70" s="35"/>
      <c r="L70" s="38">
        <f t="shared" si="2"/>
        <v>-1700.0000000002728</v>
      </c>
      <c r="M70" s="63">
        <f t="shared" si="3"/>
        <v>-1933.333333333394</v>
      </c>
      <c r="N70" s="15"/>
      <c r="R70" s="23"/>
    </row>
    <row r="71" spans="1:18">
      <c r="A71" s="8" t="s">
        <v>239</v>
      </c>
      <c r="B71" s="13">
        <v>41698</v>
      </c>
      <c r="C71" s="14">
        <v>5061</v>
      </c>
      <c r="D71" s="14">
        <v>14033</v>
      </c>
      <c r="E71" s="23">
        <v>2139.6999999999998</v>
      </c>
      <c r="F71" s="14">
        <v>0</v>
      </c>
      <c r="G71" s="14">
        <v>0</v>
      </c>
      <c r="H71" s="14"/>
      <c r="I71" s="31">
        <f t="shared" si="0"/>
        <v>14000</v>
      </c>
      <c r="J71" s="31">
        <f t="shared" si="1"/>
        <v>-1666.6666666666667</v>
      </c>
      <c r="K71" s="35"/>
      <c r="L71" s="38">
        <f t="shared" si="2"/>
        <v>-5000</v>
      </c>
      <c r="M71" s="63">
        <f t="shared" si="3"/>
        <v>-3833.3333333333335</v>
      </c>
      <c r="N71" s="15"/>
      <c r="R71" s="14"/>
    </row>
    <row r="72" spans="1:18">
      <c r="A72" s="8" t="s">
        <v>240</v>
      </c>
      <c r="B72" s="13">
        <v>41729</v>
      </c>
      <c r="C72" s="14">
        <v>5057</v>
      </c>
      <c r="D72" s="14">
        <v>14042</v>
      </c>
      <c r="E72" s="23">
        <v>2136.3000000000002</v>
      </c>
      <c r="F72" s="14">
        <v>0</v>
      </c>
      <c r="G72" s="14">
        <v>0</v>
      </c>
      <c r="H72" s="14"/>
      <c r="I72" s="31">
        <f t="shared" si="0"/>
        <v>5000</v>
      </c>
      <c r="J72" s="31">
        <f t="shared" si="1"/>
        <v>4666.666666666667</v>
      </c>
      <c r="K72" s="35"/>
      <c r="L72" s="38">
        <f t="shared" si="2"/>
        <v>-3399.9999999996362</v>
      </c>
      <c r="M72" s="63">
        <f t="shared" si="3"/>
        <v>-3366.6666666666365</v>
      </c>
      <c r="N72" s="15"/>
      <c r="R72" s="23"/>
    </row>
    <row r="73" spans="1:18">
      <c r="A73" s="8" t="s">
        <v>241</v>
      </c>
      <c r="B73" s="13">
        <v>41759</v>
      </c>
      <c r="C73" s="14">
        <v>5060</v>
      </c>
      <c r="D73" s="14">
        <v>14057</v>
      </c>
      <c r="E73" s="23">
        <v>2134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18000</v>
      </c>
      <c r="J73" s="31">
        <f t="shared" ref="J73:J133" si="5">IF(I72&lt;&gt;"", IF(I73&lt;&gt;"", (AVERAGE(I71:I73)), ""), "")</f>
        <v>12333.333333333334</v>
      </c>
      <c r="K73" s="35"/>
      <c r="L73" s="38">
        <f t="shared" ref="L73:L133" si="6">IF(E73&lt;&gt;"", ((E73-F73)-(E72-F72))*1000, "")</f>
        <v>-2300.0000000001819</v>
      </c>
      <c r="M73" s="63">
        <f t="shared" si="3"/>
        <v>-3566.666666666606</v>
      </c>
      <c r="N73" s="15"/>
      <c r="R73" s="14"/>
    </row>
    <row r="74" spans="1:18">
      <c r="A74" s="8" t="s">
        <v>242</v>
      </c>
      <c r="B74" s="13">
        <v>41790</v>
      </c>
      <c r="C74" s="14">
        <v>5054</v>
      </c>
      <c r="D74" s="14">
        <v>14061</v>
      </c>
      <c r="E74" s="23">
        <v>2133.4</v>
      </c>
      <c r="F74" s="14">
        <v>0</v>
      </c>
      <c r="G74" s="14">
        <v>0</v>
      </c>
      <c r="H74" s="14"/>
      <c r="I74" s="31">
        <f t="shared" si="4"/>
        <v>-2000</v>
      </c>
      <c r="J74" s="31">
        <f t="shared" si="5"/>
        <v>7000</v>
      </c>
      <c r="K74" s="35"/>
      <c r="L74" s="38">
        <f t="shared" si="6"/>
        <v>-599.99999999990905</v>
      </c>
      <c r="M74" s="63">
        <f t="shared" si="3"/>
        <v>-2099.9999999999091</v>
      </c>
      <c r="N74" s="15"/>
      <c r="R74" s="23"/>
    </row>
    <row r="75" spans="1:18">
      <c r="A75" s="8" t="s">
        <v>243</v>
      </c>
      <c r="B75" s="13">
        <v>41820</v>
      </c>
      <c r="C75" s="14">
        <v>5057</v>
      </c>
      <c r="D75" s="14">
        <v>14072</v>
      </c>
      <c r="E75" s="23">
        <v>2133.4</v>
      </c>
      <c r="F75" s="14">
        <v>0</v>
      </c>
      <c r="G75" s="14">
        <v>0</v>
      </c>
      <c r="H75" s="14"/>
      <c r="I75" s="31">
        <f t="shared" si="4"/>
        <v>14000</v>
      </c>
      <c r="J75" s="31">
        <f t="shared" si="5"/>
        <v>10000</v>
      </c>
      <c r="K75" s="35"/>
      <c r="L75" s="38">
        <f t="shared" si="6"/>
        <v>0</v>
      </c>
      <c r="M75" s="63">
        <f t="shared" ref="M75:M133" si="7">IF(L74&lt;&gt;"", IF(L75&lt;&gt;"", AVERAGE(L73:L75), ""), "")</f>
        <v>-966.66666666669698</v>
      </c>
      <c r="N75" s="15"/>
      <c r="R75" s="14"/>
    </row>
    <row r="76" spans="1:18">
      <c r="A76" s="8" t="s">
        <v>244</v>
      </c>
      <c r="B76" s="13">
        <v>41851</v>
      </c>
      <c r="C76" s="14">
        <v>5051</v>
      </c>
      <c r="D76" s="14">
        <v>14086</v>
      </c>
      <c r="E76" s="23">
        <v>2134.4</v>
      </c>
      <c r="F76" s="14">
        <v>0</v>
      </c>
      <c r="G76" s="14">
        <v>0</v>
      </c>
      <c r="H76" s="14"/>
      <c r="I76" s="31">
        <f t="shared" si="4"/>
        <v>8000</v>
      </c>
      <c r="J76" s="31">
        <f t="shared" si="5"/>
        <v>6666.666666666667</v>
      </c>
      <c r="K76" s="35"/>
      <c r="L76" s="38">
        <f t="shared" si="6"/>
        <v>1000</v>
      </c>
      <c r="M76" s="63">
        <f t="shared" si="7"/>
        <v>133.33333333336364</v>
      </c>
      <c r="N76" s="15"/>
      <c r="R76" s="23"/>
    </row>
    <row r="77" spans="1:18">
      <c r="A77" s="8" t="s">
        <v>245</v>
      </c>
      <c r="B77" s="13">
        <v>41882</v>
      </c>
      <c r="C77" s="14">
        <v>5042</v>
      </c>
      <c r="D77" s="14">
        <v>14096</v>
      </c>
      <c r="E77" s="23">
        <v>2135</v>
      </c>
      <c r="F77" s="14">
        <v>0</v>
      </c>
      <c r="G77" s="14">
        <v>0</v>
      </c>
      <c r="H77" s="14"/>
      <c r="I77" s="31">
        <f t="shared" si="4"/>
        <v>1000</v>
      </c>
      <c r="J77" s="31">
        <f t="shared" si="5"/>
        <v>7666.666666666667</v>
      </c>
      <c r="K77" s="35"/>
      <c r="L77" s="38">
        <f t="shared" si="6"/>
        <v>599.99999999990905</v>
      </c>
      <c r="M77" s="63">
        <f t="shared" si="7"/>
        <v>533.33333333330302</v>
      </c>
      <c r="N77" s="15"/>
      <c r="R77" s="14"/>
    </row>
    <row r="78" spans="1:18">
      <c r="A78" s="8" t="s">
        <v>338</v>
      </c>
      <c r="B78" s="13">
        <v>41912</v>
      </c>
      <c r="C78" s="14">
        <v>5062</v>
      </c>
      <c r="D78" s="14">
        <v>14093</v>
      </c>
      <c r="E78" s="23">
        <v>2132.6999999999998</v>
      </c>
      <c r="F78" s="14">
        <v>0</v>
      </c>
      <c r="G78" s="14">
        <v>0</v>
      </c>
      <c r="H78" s="14"/>
      <c r="I78" s="31">
        <f t="shared" si="4"/>
        <v>17000</v>
      </c>
      <c r="J78" s="31">
        <f t="shared" si="5"/>
        <v>8666.6666666666661</v>
      </c>
      <c r="K78" s="35"/>
      <c r="L78" s="38">
        <f t="shared" si="6"/>
        <v>-2300.0000000001819</v>
      </c>
      <c r="M78" s="63">
        <f t="shared" si="7"/>
        <v>-233.33333333342429</v>
      </c>
      <c r="N78" s="15"/>
      <c r="R78" s="23"/>
    </row>
    <row r="79" spans="1:18">
      <c r="A79" s="8" t="s">
        <v>352</v>
      </c>
      <c r="B79" s="13">
        <v>41943</v>
      </c>
      <c r="C79" s="14">
        <v>5067</v>
      </c>
      <c r="D79" s="14">
        <v>14096</v>
      </c>
      <c r="E79" s="23">
        <v>2132.1</v>
      </c>
      <c r="F79" s="14">
        <v>0</v>
      </c>
      <c r="G79" s="14">
        <v>0</v>
      </c>
      <c r="H79" s="14"/>
      <c r="I79" s="31">
        <f t="shared" si="4"/>
        <v>8000</v>
      </c>
      <c r="J79" s="31">
        <f>IF(I78&lt;&gt;"", IF(I79&lt;&gt;"", (AVERAGE(I77:I79)), ""), "")</f>
        <v>8666.6666666666661</v>
      </c>
      <c r="K79" s="35"/>
      <c r="L79" s="38">
        <f t="shared" si="6"/>
        <v>-599.99999999990905</v>
      </c>
      <c r="M79" s="63">
        <f t="shared" si="7"/>
        <v>-766.66666666672734</v>
      </c>
      <c r="N79" s="15"/>
      <c r="R79" s="14"/>
    </row>
    <row r="80" spans="1:18">
      <c r="A80" s="8" t="s">
        <v>378</v>
      </c>
      <c r="B80" s="13">
        <v>41973</v>
      </c>
      <c r="C80" s="14">
        <v>5072</v>
      </c>
      <c r="D80" s="14">
        <v>14091</v>
      </c>
      <c r="E80" s="23">
        <v>2133.8000000000002</v>
      </c>
      <c r="F80" s="14">
        <v>0</v>
      </c>
      <c r="G80" s="14">
        <v>0</v>
      </c>
      <c r="H80" s="14"/>
      <c r="I80" s="31">
        <f t="shared" si="4"/>
        <v>0</v>
      </c>
      <c r="J80" s="31">
        <f t="shared" si="5"/>
        <v>8333.3333333333339</v>
      </c>
      <c r="K80" s="35"/>
      <c r="L80" s="38">
        <f t="shared" si="6"/>
        <v>1700.0000000002728</v>
      </c>
      <c r="M80" s="63">
        <f t="shared" si="7"/>
        <v>-399.99999999993935</v>
      </c>
      <c r="N80" s="15"/>
      <c r="R80" s="23"/>
    </row>
    <row r="81" spans="1:18">
      <c r="A81" s="8" t="s">
        <v>428</v>
      </c>
      <c r="B81" s="13">
        <v>42004</v>
      </c>
      <c r="C81" s="14">
        <v>5079</v>
      </c>
      <c r="D81" s="14">
        <v>14091</v>
      </c>
      <c r="E81" s="23">
        <v>2134.6</v>
      </c>
      <c r="F81" s="14">
        <v>0</v>
      </c>
      <c r="G81" s="14">
        <v>0</v>
      </c>
      <c r="H81" s="14"/>
      <c r="I81" s="31">
        <f t="shared" si="4"/>
        <v>7000</v>
      </c>
      <c r="J81" s="31">
        <f t="shared" si="5"/>
        <v>5000</v>
      </c>
      <c r="K81" s="35"/>
      <c r="L81" s="38">
        <f t="shared" si="6"/>
        <v>799.99999999972715</v>
      </c>
      <c r="M81" s="63">
        <f t="shared" si="7"/>
        <v>633.33333333336361</v>
      </c>
      <c r="N81" s="15"/>
      <c r="R81" s="14"/>
    </row>
    <row r="82" spans="1:18">
      <c r="A82" s="8" t="s">
        <v>429</v>
      </c>
      <c r="B82" s="13">
        <v>42035</v>
      </c>
      <c r="C82" s="14">
        <v>5081</v>
      </c>
      <c r="D82" s="14">
        <v>14092</v>
      </c>
      <c r="E82" s="23">
        <v>2136.6999999999998</v>
      </c>
      <c r="F82" s="14">
        <v>0</v>
      </c>
      <c r="G82" s="14">
        <v>0</v>
      </c>
      <c r="H82" s="14"/>
      <c r="I82" s="31">
        <f t="shared" si="4"/>
        <v>3000</v>
      </c>
      <c r="J82" s="31">
        <f t="shared" si="5"/>
        <v>3333.3333333333335</v>
      </c>
      <c r="K82" s="35"/>
      <c r="L82" s="38">
        <f t="shared" si="6"/>
        <v>2099.9999999999091</v>
      </c>
      <c r="M82" s="63">
        <f t="shared" si="7"/>
        <v>1533.333333333303</v>
      </c>
      <c r="N82" s="15"/>
      <c r="R82" s="23"/>
    </row>
    <row r="83" spans="1:18">
      <c r="A83" s="8" t="s">
        <v>431</v>
      </c>
      <c r="B83" s="13">
        <v>42063</v>
      </c>
      <c r="C83" s="14">
        <v>5079</v>
      </c>
      <c r="D83" s="14">
        <v>14093</v>
      </c>
      <c r="E83" s="23">
        <v>2133.8000000000002</v>
      </c>
      <c r="F83" s="14">
        <v>0</v>
      </c>
      <c r="G83" s="14">
        <v>0</v>
      </c>
      <c r="H83" s="14"/>
      <c r="I83" s="31">
        <f t="shared" si="4"/>
        <v>-1000</v>
      </c>
      <c r="J83" s="31">
        <f t="shared" si="5"/>
        <v>3000</v>
      </c>
      <c r="K83" s="35"/>
      <c r="L83" s="38">
        <f t="shared" si="6"/>
        <v>-2899.9999999996362</v>
      </c>
      <c r="M83" s="63">
        <f t="shared" si="7"/>
        <v>0</v>
      </c>
      <c r="N83" s="15"/>
      <c r="R83" s="14"/>
    </row>
    <row r="84" spans="1:18">
      <c r="A84" s="8" t="s">
        <v>442</v>
      </c>
      <c r="B84" s="13">
        <v>42094</v>
      </c>
      <c r="C84" s="14">
        <v>5075</v>
      </c>
      <c r="D84" s="14">
        <v>14096</v>
      </c>
      <c r="E84" s="23">
        <v>2132.4</v>
      </c>
      <c r="F84" s="14">
        <v>0</v>
      </c>
      <c r="G84" s="14">
        <v>0</v>
      </c>
      <c r="H84" s="14"/>
      <c r="I84" s="31">
        <f t="shared" si="4"/>
        <v>-1000</v>
      </c>
      <c r="J84" s="31">
        <f t="shared" si="5"/>
        <v>333.33333333333331</v>
      </c>
      <c r="K84" s="35"/>
      <c r="L84" s="38">
        <f t="shared" si="6"/>
        <v>-1400.0000000000909</v>
      </c>
      <c r="M84" s="63">
        <f t="shared" si="7"/>
        <v>-733.33333333327266</v>
      </c>
      <c r="N84" s="15"/>
      <c r="R84" s="23"/>
    </row>
    <row r="85" spans="1:18">
      <c r="B85" s="13"/>
      <c r="C85" s="14"/>
      <c r="D85" s="14"/>
      <c r="E85" s="23"/>
      <c r="F85" s="14"/>
      <c r="G85" s="14"/>
      <c r="H85" s="14"/>
      <c r="I85" s="31" t="str">
        <f t="shared" si="4"/>
        <v/>
      </c>
      <c r="J85" s="31" t="str">
        <f t="shared" si="5"/>
        <v/>
      </c>
      <c r="K85" s="35"/>
      <c r="L85" s="38" t="str">
        <f t="shared" si="6"/>
        <v/>
      </c>
      <c r="M85" s="63" t="str">
        <f t="shared" si="7"/>
        <v/>
      </c>
      <c r="N85" s="15"/>
      <c r="R85" s="14"/>
    </row>
    <row r="86" spans="1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1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1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1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1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1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1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1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1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1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1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zoomScale="85" zoomScaleNormal="85" workbookViewId="0">
      <selection activeCell="C4" sqref="C4"/>
    </sheetView>
  </sheetViews>
  <sheetFormatPr defaultColWidth="12" defaultRowHeight="15"/>
  <cols>
    <col min="1" max="1" width="12" style="20"/>
    <col min="2" max="2" width="12" style="26"/>
    <col min="3" max="3" width="12" style="23"/>
    <col min="4" max="4" width="12" style="26"/>
    <col min="5" max="5" width="12" style="23"/>
    <col min="6" max="6" width="12" style="26"/>
    <col min="7" max="7" width="12" style="23"/>
    <col min="8" max="8" width="12" style="26"/>
    <col min="9" max="9" width="12" style="23"/>
  </cols>
  <sheetData>
    <row r="2" spans="1:13">
      <c r="G2" s="40">
        <v>39814</v>
      </c>
      <c r="K2" s="20" t="s">
        <v>381</v>
      </c>
      <c r="L2" s="20" t="s">
        <v>382</v>
      </c>
      <c r="M2" s="21" t="s">
        <v>384</v>
      </c>
    </row>
    <row r="3" spans="1:13">
      <c r="A3" s="20" t="s">
        <v>397</v>
      </c>
      <c r="B3" s="26" t="s">
        <v>382</v>
      </c>
      <c r="C3" s="23" t="s">
        <v>396</v>
      </c>
      <c r="K3" s="20" t="s">
        <v>7</v>
      </c>
      <c r="L3" s="20"/>
      <c r="M3" s="20" t="s">
        <v>387</v>
      </c>
    </row>
    <row r="4" spans="1:13">
      <c r="A4" s="20" t="s">
        <v>7</v>
      </c>
      <c r="C4" s="23" t="s">
        <v>423</v>
      </c>
      <c r="K4" s="20" t="s">
        <v>376</v>
      </c>
      <c r="L4" s="20"/>
      <c r="M4" s="20" t="s">
        <v>377</v>
      </c>
    </row>
    <row r="5" spans="1:13">
      <c r="A5" s="20" t="s">
        <v>16</v>
      </c>
      <c r="B5" s="27"/>
      <c r="C5" s="28" t="s">
        <v>422</v>
      </c>
      <c r="D5" s="27"/>
      <c r="F5" s="27"/>
      <c r="H5" s="27"/>
      <c r="K5" s="19" t="s">
        <v>24</v>
      </c>
      <c r="L5" s="19"/>
      <c r="M5" s="19" t="s">
        <v>437</v>
      </c>
    </row>
    <row r="6" spans="1:13">
      <c r="A6" s="20" t="s">
        <v>17</v>
      </c>
      <c r="C6" s="23" t="s">
        <v>436</v>
      </c>
      <c r="K6" t="s">
        <v>353</v>
      </c>
      <c r="L6" s="108">
        <v>39814</v>
      </c>
      <c r="M6" s="14">
        <v>1</v>
      </c>
    </row>
    <row r="7" spans="1:13">
      <c r="A7" s="20" t="s">
        <v>376</v>
      </c>
      <c r="C7" s="23" t="s">
        <v>421</v>
      </c>
      <c r="K7" t="s">
        <v>354</v>
      </c>
      <c r="L7" s="108">
        <v>39904</v>
      </c>
      <c r="M7" s="14">
        <v>1</v>
      </c>
    </row>
    <row r="8" spans="1:13">
      <c r="A8" s="20" t="s">
        <v>398</v>
      </c>
      <c r="B8" s="26">
        <v>39814</v>
      </c>
      <c r="C8" s="23">
        <v>288.7</v>
      </c>
      <c r="D8" s="109">
        <f>VLOOKUP(B8, L6:M28, 2, FALSE)</f>
        <v>1</v>
      </c>
      <c r="K8" t="s">
        <v>355</v>
      </c>
      <c r="L8" s="108">
        <v>39995</v>
      </c>
      <c r="M8" s="14">
        <v>0</v>
      </c>
    </row>
    <row r="9" spans="1:13">
      <c r="A9" s="20" t="s">
        <v>399</v>
      </c>
      <c r="B9" s="26">
        <v>39904</v>
      </c>
      <c r="C9" s="23">
        <v>294.7</v>
      </c>
      <c r="D9" s="109">
        <f t="shared" ref="D9:D67" si="0">VLOOKUP(B9, L7:M29, 2, FALSE)</f>
        <v>1</v>
      </c>
      <c r="K9" t="s">
        <v>356</v>
      </c>
      <c r="L9" s="108">
        <v>40087</v>
      </c>
      <c r="M9" s="14">
        <v>0</v>
      </c>
    </row>
    <row r="10" spans="1:13">
      <c r="A10" s="20" t="s">
        <v>400</v>
      </c>
      <c r="B10" s="26">
        <v>39995</v>
      </c>
      <c r="C10" s="23">
        <v>293.3</v>
      </c>
      <c r="D10" s="109">
        <f t="shared" si="0"/>
        <v>0</v>
      </c>
      <c r="K10" t="s">
        <v>357</v>
      </c>
      <c r="L10" s="108">
        <v>40179</v>
      </c>
      <c r="M10" s="14">
        <v>0</v>
      </c>
    </row>
    <row r="11" spans="1:13">
      <c r="A11" s="20" t="s">
        <v>401</v>
      </c>
      <c r="B11" s="26">
        <v>40087</v>
      </c>
      <c r="C11" s="23">
        <v>282.39999999999998</v>
      </c>
      <c r="D11" s="109">
        <f t="shared" si="0"/>
        <v>0</v>
      </c>
      <c r="K11" t="s">
        <v>358</v>
      </c>
      <c r="L11" s="108">
        <v>40269</v>
      </c>
      <c r="M11" s="14">
        <v>0</v>
      </c>
    </row>
    <row r="12" spans="1:13">
      <c r="A12" s="20" t="s">
        <v>402</v>
      </c>
      <c r="B12" s="26">
        <v>40179</v>
      </c>
      <c r="C12" s="23">
        <v>273.60000000000002</v>
      </c>
      <c r="D12" s="109">
        <f t="shared" si="0"/>
        <v>0</v>
      </c>
      <c r="K12" t="s">
        <v>359</v>
      </c>
      <c r="L12" s="108">
        <v>40360</v>
      </c>
      <c r="M12" s="14">
        <v>0</v>
      </c>
    </row>
    <row r="13" spans="1:13">
      <c r="A13" s="20" t="s">
        <v>403</v>
      </c>
      <c r="B13" s="26">
        <v>40269</v>
      </c>
      <c r="C13" s="23">
        <v>284.2</v>
      </c>
      <c r="D13" s="109">
        <f t="shared" si="0"/>
        <v>0</v>
      </c>
      <c r="K13" t="s">
        <v>360</v>
      </c>
      <c r="L13" s="108">
        <v>40452</v>
      </c>
      <c r="M13" s="14">
        <v>0</v>
      </c>
    </row>
    <row r="14" spans="1:13">
      <c r="A14" s="20" t="s">
        <v>404</v>
      </c>
      <c r="B14" s="26">
        <v>40360</v>
      </c>
      <c r="C14" s="23">
        <v>285.60000000000002</v>
      </c>
      <c r="D14" s="109">
        <f t="shared" si="0"/>
        <v>0</v>
      </c>
      <c r="K14" t="s">
        <v>361</v>
      </c>
      <c r="L14" s="108">
        <v>40544</v>
      </c>
      <c r="M14" s="14">
        <v>0</v>
      </c>
    </row>
    <row r="15" spans="1:13">
      <c r="A15" s="20" t="s">
        <v>405</v>
      </c>
      <c r="B15" s="26">
        <v>40452</v>
      </c>
      <c r="C15" s="23">
        <v>274.5</v>
      </c>
      <c r="D15" s="109">
        <f t="shared" si="0"/>
        <v>0</v>
      </c>
      <c r="K15" t="s">
        <v>362</v>
      </c>
      <c r="L15" s="108">
        <v>40634</v>
      </c>
      <c r="M15" s="14">
        <v>0</v>
      </c>
    </row>
    <row r="16" spans="1:13">
      <c r="A16" s="20" t="s">
        <v>406</v>
      </c>
      <c r="B16" s="26">
        <v>40544</v>
      </c>
      <c r="C16" s="23">
        <v>265.7</v>
      </c>
      <c r="D16" s="109">
        <f t="shared" si="0"/>
        <v>0</v>
      </c>
      <c r="K16" t="s">
        <v>363</v>
      </c>
      <c r="L16" s="108">
        <v>40725</v>
      </c>
      <c r="M16" s="14">
        <v>0</v>
      </c>
    </row>
    <row r="17" spans="1:13">
      <c r="A17" s="20" t="s">
        <v>407</v>
      </c>
      <c r="B17" s="26">
        <v>40634</v>
      </c>
      <c r="C17" s="23">
        <v>261.39999999999998</v>
      </c>
      <c r="D17" s="109">
        <f t="shared" si="0"/>
        <v>0</v>
      </c>
      <c r="K17" t="s">
        <v>364</v>
      </c>
      <c r="L17" s="108">
        <v>40817</v>
      </c>
      <c r="M17" s="14">
        <v>0</v>
      </c>
    </row>
    <row r="18" spans="1:13">
      <c r="A18" s="20" t="s">
        <v>408</v>
      </c>
      <c r="B18" s="26">
        <v>40725</v>
      </c>
      <c r="C18" s="23">
        <v>258.60000000000002</v>
      </c>
      <c r="D18" s="109">
        <f t="shared" si="0"/>
        <v>0</v>
      </c>
      <c r="K18" t="s">
        <v>365</v>
      </c>
      <c r="L18" s="108">
        <v>40909</v>
      </c>
      <c r="M18" s="14">
        <v>0</v>
      </c>
    </row>
    <row r="19" spans="1:13">
      <c r="A19" s="20" t="s">
        <v>409</v>
      </c>
      <c r="B19" s="26">
        <v>40817</v>
      </c>
      <c r="C19" s="23">
        <v>257.89999999999998</v>
      </c>
      <c r="D19" s="109">
        <f t="shared" si="0"/>
        <v>0</v>
      </c>
      <c r="K19" t="s">
        <v>366</v>
      </c>
      <c r="L19" s="108">
        <v>41000</v>
      </c>
      <c r="M19" s="14">
        <v>0</v>
      </c>
    </row>
    <row r="20" spans="1:13">
      <c r="A20" s="20" t="s">
        <v>410</v>
      </c>
      <c r="B20" s="26">
        <v>40909</v>
      </c>
      <c r="C20" s="23">
        <v>249.2</v>
      </c>
      <c r="D20" s="109">
        <f t="shared" si="0"/>
        <v>0</v>
      </c>
      <c r="K20" t="s">
        <v>367</v>
      </c>
      <c r="L20" s="108">
        <v>41091</v>
      </c>
      <c r="M20" s="14">
        <v>0</v>
      </c>
    </row>
    <row r="21" spans="1:13">
      <c r="A21" s="20" t="s">
        <v>411</v>
      </c>
      <c r="B21" s="26">
        <v>41000</v>
      </c>
      <c r="C21" s="23">
        <v>247.1</v>
      </c>
      <c r="D21" s="109">
        <f t="shared" si="0"/>
        <v>0</v>
      </c>
      <c r="K21" t="s">
        <v>368</v>
      </c>
      <c r="L21" s="108">
        <v>41183</v>
      </c>
      <c r="M21" s="14">
        <v>0</v>
      </c>
    </row>
    <row r="22" spans="1:13">
      <c r="A22" s="20" t="s">
        <v>412</v>
      </c>
      <c r="B22" s="26">
        <v>41091</v>
      </c>
      <c r="C22" s="23">
        <v>240.5</v>
      </c>
      <c r="D22" s="109">
        <f t="shared" si="0"/>
        <v>0</v>
      </c>
      <c r="K22" t="s">
        <v>369</v>
      </c>
      <c r="L22" s="108">
        <v>41275</v>
      </c>
      <c r="M22" s="14">
        <v>0</v>
      </c>
    </row>
    <row r="23" spans="1:13">
      <c r="A23" s="20" t="s">
        <v>413</v>
      </c>
      <c r="B23" s="26">
        <v>41183</v>
      </c>
      <c r="C23" s="23">
        <v>233.4</v>
      </c>
      <c r="D23" s="109">
        <f t="shared" si="0"/>
        <v>0</v>
      </c>
      <c r="K23" t="s">
        <v>370</v>
      </c>
      <c r="L23" s="108">
        <v>41365</v>
      </c>
      <c r="M23" s="14">
        <v>0</v>
      </c>
    </row>
    <row r="24" spans="1:13">
      <c r="A24" s="20" t="s">
        <v>414</v>
      </c>
      <c r="B24" s="26">
        <v>41275</v>
      </c>
      <c r="C24" s="23">
        <v>228.6</v>
      </c>
      <c r="D24" s="109">
        <f t="shared" si="0"/>
        <v>0</v>
      </c>
      <c r="K24" t="s">
        <v>371</v>
      </c>
      <c r="L24" s="108">
        <v>41456</v>
      </c>
      <c r="M24" s="14">
        <v>0</v>
      </c>
    </row>
    <row r="25" spans="1:13">
      <c r="A25" s="20" t="s">
        <v>415</v>
      </c>
      <c r="B25" s="26">
        <v>41365</v>
      </c>
      <c r="C25" s="23">
        <v>233.7</v>
      </c>
      <c r="D25" s="109">
        <f t="shared" si="0"/>
        <v>0</v>
      </c>
      <c r="K25" t="s">
        <v>372</v>
      </c>
      <c r="L25" s="108">
        <v>41548</v>
      </c>
      <c r="M25" s="14">
        <v>0</v>
      </c>
    </row>
    <row r="26" spans="1:13">
      <c r="A26" s="20" t="s">
        <v>416</v>
      </c>
      <c r="B26" s="26">
        <v>41456</v>
      </c>
      <c r="C26" s="23">
        <v>233</v>
      </c>
      <c r="D26" s="109">
        <f t="shared" si="0"/>
        <v>0</v>
      </c>
      <c r="K26" t="s">
        <v>373</v>
      </c>
      <c r="L26" s="108">
        <v>41640</v>
      </c>
      <c r="M26" s="14">
        <v>0</v>
      </c>
    </row>
    <row r="27" spans="1:13">
      <c r="A27" s="20" t="s">
        <v>417</v>
      </c>
      <c r="B27" s="26">
        <v>41548</v>
      </c>
      <c r="C27" s="23">
        <v>231.2</v>
      </c>
      <c r="D27" s="109">
        <f t="shared" si="0"/>
        <v>0</v>
      </c>
      <c r="K27" t="s">
        <v>374</v>
      </c>
      <c r="L27" s="108">
        <v>41730</v>
      </c>
      <c r="M27" s="14">
        <v>0</v>
      </c>
    </row>
    <row r="28" spans="1:13">
      <c r="A28" s="20" t="s">
        <v>418</v>
      </c>
      <c r="B28" s="26">
        <v>41640</v>
      </c>
      <c r="C28" s="23">
        <v>223.6</v>
      </c>
      <c r="D28" s="109">
        <f t="shared" si="0"/>
        <v>0</v>
      </c>
      <c r="K28" t="s">
        <v>375</v>
      </c>
      <c r="L28" s="108">
        <v>41821</v>
      </c>
      <c r="M28" s="14">
        <v>0</v>
      </c>
    </row>
    <row r="29" spans="1:13">
      <c r="A29" s="20" t="s">
        <v>419</v>
      </c>
      <c r="B29" s="26">
        <v>41730</v>
      </c>
      <c r="C29" s="23">
        <v>232.9</v>
      </c>
      <c r="D29" s="109">
        <f t="shared" si="0"/>
        <v>0</v>
      </c>
      <c r="K29" t="s">
        <v>392</v>
      </c>
      <c r="L29" s="108">
        <v>41913</v>
      </c>
      <c r="M29" s="14">
        <v>0</v>
      </c>
    </row>
    <row r="30" spans="1:13">
      <c r="A30" s="20" t="s">
        <v>420</v>
      </c>
      <c r="B30" s="26">
        <v>41821</v>
      </c>
      <c r="C30" s="23">
        <v>233.7</v>
      </c>
      <c r="D30" s="109">
        <f t="shared" si="0"/>
        <v>0</v>
      </c>
      <c r="K30" t="s">
        <v>444</v>
      </c>
      <c r="L30" s="108">
        <v>42005</v>
      </c>
      <c r="M30" s="14">
        <v>0</v>
      </c>
    </row>
    <row r="31" spans="1:13">
      <c r="A31" s="20" t="s">
        <v>430</v>
      </c>
      <c r="B31" s="26">
        <v>41913</v>
      </c>
      <c r="C31" s="23">
        <v>235.6</v>
      </c>
      <c r="D31" s="109">
        <f t="shared" si="0"/>
        <v>0</v>
      </c>
    </row>
    <row r="32" spans="1:13">
      <c r="A32" s="20" t="s">
        <v>445</v>
      </c>
      <c r="B32" s="26">
        <v>42005</v>
      </c>
      <c r="C32" s="23">
        <v>227.4</v>
      </c>
      <c r="D32" s="109">
        <f t="shared" si="0"/>
        <v>0</v>
      </c>
    </row>
    <row r="33" spans="2:4">
      <c r="D33" s="109" t="e">
        <f t="shared" si="0"/>
        <v>#N/A</v>
      </c>
    </row>
    <row r="34" spans="2:4">
      <c r="D34" s="109" t="e">
        <f t="shared" si="0"/>
        <v>#N/A</v>
      </c>
    </row>
    <row r="35" spans="2:4">
      <c r="D35" s="109" t="e">
        <f t="shared" si="0"/>
        <v>#N/A</v>
      </c>
    </row>
    <row r="36" spans="2:4">
      <c r="D36" s="109" t="e">
        <f t="shared" si="0"/>
        <v>#N/A</v>
      </c>
    </row>
    <row r="37" spans="2:4">
      <c r="D37" s="109" t="e">
        <f t="shared" si="0"/>
        <v>#N/A</v>
      </c>
    </row>
    <row r="38" spans="2:4">
      <c r="D38" s="109" t="e">
        <f t="shared" si="0"/>
        <v>#N/A</v>
      </c>
    </row>
    <row r="39" spans="2:4">
      <c r="D39" s="109" t="e">
        <f t="shared" si="0"/>
        <v>#N/A</v>
      </c>
    </row>
    <row r="40" spans="2:4">
      <c r="D40" s="109" t="e">
        <f t="shared" si="0"/>
        <v>#N/A</v>
      </c>
    </row>
    <row r="41" spans="2:4">
      <c r="D41" s="109" t="e">
        <f t="shared" si="0"/>
        <v>#N/A</v>
      </c>
    </row>
    <row r="42" spans="2:4">
      <c r="D42" s="109" t="e">
        <f t="shared" si="0"/>
        <v>#N/A</v>
      </c>
    </row>
    <row r="43" spans="2:4">
      <c r="D43" s="109" t="e">
        <f t="shared" si="0"/>
        <v>#N/A</v>
      </c>
    </row>
    <row r="44" spans="2:4">
      <c r="D44" s="109" t="e">
        <f t="shared" si="0"/>
        <v>#N/A</v>
      </c>
    </row>
    <row r="45" spans="2:4">
      <c r="D45" s="109" t="e">
        <f t="shared" si="0"/>
        <v>#N/A</v>
      </c>
    </row>
    <row r="46" spans="2:4">
      <c r="B46" s="40"/>
      <c r="C46" s="32"/>
      <c r="D46" s="109" t="e">
        <f t="shared" si="0"/>
        <v>#N/A</v>
      </c>
    </row>
    <row r="47" spans="2:4">
      <c r="B47" s="40"/>
      <c r="C47" s="32"/>
      <c r="D47" s="109" t="e">
        <f t="shared" si="0"/>
        <v>#N/A</v>
      </c>
    </row>
    <row r="48" spans="2:4">
      <c r="B48" s="40"/>
      <c r="C48" s="32"/>
      <c r="D48" s="109" t="e">
        <f t="shared" si="0"/>
        <v>#N/A</v>
      </c>
    </row>
    <row r="49" spans="2:4">
      <c r="B49" s="40"/>
      <c r="C49" s="32"/>
      <c r="D49" s="109" t="e">
        <f t="shared" si="0"/>
        <v>#N/A</v>
      </c>
    </row>
    <row r="50" spans="2:4">
      <c r="B50" s="40"/>
      <c r="C50" s="32"/>
      <c r="D50" s="109" t="e">
        <f t="shared" si="0"/>
        <v>#N/A</v>
      </c>
    </row>
    <row r="51" spans="2:4">
      <c r="B51" s="40"/>
      <c r="C51" s="32"/>
      <c r="D51" s="109" t="e">
        <f t="shared" si="0"/>
        <v>#N/A</v>
      </c>
    </row>
    <row r="52" spans="2:4">
      <c r="B52" s="40"/>
      <c r="C52" s="32"/>
      <c r="D52" s="109" t="e">
        <f t="shared" si="0"/>
        <v>#N/A</v>
      </c>
    </row>
    <row r="53" spans="2:4">
      <c r="B53" s="40"/>
      <c r="C53" s="32"/>
      <c r="D53" s="109" t="e">
        <f t="shared" si="0"/>
        <v>#N/A</v>
      </c>
    </row>
    <row r="54" spans="2:4">
      <c r="B54" s="40"/>
      <c r="C54" s="32"/>
      <c r="D54" s="109" t="e">
        <f t="shared" si="0"/>
        <v>#N/A</v>
      </c>
    </row>
    <row r="55" spans="2:4">
      <c r="B55" s="40"/>
      <c r="C55" s="32"/>
      <c r="D55" s="109" t="e">
        <f t="shared" si="0"/>
        <v>#N/A</v>
      </c>
    </row>
    <row r="56" spans="2:4">
      <c r="B56" s="40"/>
      <c r="C56" s="32"/>
      <c r="D56" s="109" t="e">
        <f t="shared" si="0"/>
        <v>#N/A</v>
      </c>
    </row>
    <row r="57" spans="2:4">
      <c r="B57" s="40"/>
      <c r="C57" s="32"/>
      <c r="D57" s="109" t="e">
        <f t="shared" si="0"/>
        <v>#N/A</v>
      </c>
    </row>
    <row r="58" spans="2:4">
      <c r="B58" s="40"/>
      <c r="C58" s="32"/>
      <c r="D58" s="109" t="e">
        <f t="shared" si="0"/>
        <v>#N/A</v>
      </c>
    </row>
    <row r="59" spans="2:4">
      <c r="B59" s="40"/>
      <c r="C59" s="32"/>
      <c r="D59" s="109" t="e">
        <f t="shared" si="0"/>
        <v>#N/A</v>
      </c>
    </row>
    <row r="60" spans="2:4">
      <c r="B60" s="40"/>
      <c r="C60" s="32"/>
      <c r="D60" s="109" t="e">
        <f t="shared" si="0"/>
        <v>#N/A</v>
      </c>
    </row>
    <row r="61" spans="2:4">
      <c r="B61" s="40"/>
      <c r="C61" s="32"/>
      <c r="D61" s="109" t="e">
        <f t="shared" si="0"/>
        <v>#N/A</v>
      </c>
    </row>
    <row r="62" spans="2:4">
      <c r="B62" s="40"/>
      <c r="C62" s="32"/>
      <c r="D62" s="109" t="e">
        <f t="shared" si="0"/>
        <v>#N/A</v>
      </c>
    </row>
    <row r="63" spans="2:4">
      <c r="B63" s="40"/>
      <c r="C63" s="32"/>
      <c r="D63" s="109" t="e">
        <f t="shared" si="0"/>
        <v>#N/A</v>
      </c>
    </row>
    <row r="64" spans="2:4">
      <c r="B64" s="40"/>
      <c r="C64" s="32"/>
      <c r="D64" s="109" t="e">
        <f t="shared" si="0"/>
        <v>#N/A</v>
      </c>
    </row>
    <row r="65" spans="2:4">
      <c r="B65" s="40"/>
      <c r="C65" s="32"/>
      <c r="D65" s="109" t="e">
        <f t="shared" si="0"/>
        <v>#N/A</v>
      </c>
    </row>
    <row r="66" spans="2:4">
      <c r="B66" s="40"/>
      <c r="C66" s="32"/>
      <c r="D66" s="109" t="e">
        <f t="shared" si="0"/>
        <v>#N/A</v>
      </c>
    </row>
    <row r="67" spans="2:4">
      <c r="B67" s="40"/>
      <c r="C67" s="32"/>
      <c r="D67" s="109" t="e">
        <f t="shared" si="0"/>
        <v>#N/A</v>
      </c>
    </row>
    <row r="68" spans="2:4">
      <c r="B68" s="54"/>
      <c r="C68" s="35"/>
    </row>
    <row r="69" spans="2:4">
      <c r="B69" s="54"/>
      <c r="C69" s="35"/>
    </row>
  </sheetData>
  <sortState ref="M8:M29">
    <sortCondition ref="M8"/>
  </sortState>
  <hyperlinks>
    <hyperlink ref="M2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K126"/>
  <sheetViews>
    <sheetView zoomScale="70" zoomScaleNormal="70" workbookViewId="0"/>
  </sheetViews>
  <sheetFormatPr defaultRowHeight="15"/>
  <cols>
    <col min="1" max="1" width="18.28515625" style="11" customWidth="1"/>
    <col min="2" max="2" width="13.28515625" style="11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9"/>
    <col min="11" max="11" width="29.7109375" customWidth="1"/>
  </cols>
  <sheetData>
    <row r="2" spans="1:10">
      <c r="A2" s="22" t="s">
        <v>309</v>
      </c>
      <c r="B2" s="12" t="s">
        <v>0</v>
      </c>
      <c r="C2" s="33" t="s">
        <v>141</v>
      </c>
      <c r="D2" s="33" t="s">
        <v>142</v>
      </c>
      <c r="E2" s="33" t="s">
        <v>143</v>
      </c>
      <c r="F2" s="33" t="s">
        <v>144</v>
      </c>
      <c r="J2" s="21" t="s">
        <v>384</v>
      </c>
    </row>
    <row r="3" spans="1:10">
      <c r="A3" s="11" t="s">
        <v>7</v>
      </c>
      <c r="C3" t="s">
        <v>147</v>
      </c>
      <c r="D3" t="s">
        <v>148</v>
      </c>
      <c r="E3" t="s">
        <v>149</v>
      </c>
      <c r="F3" t="s">
        <v>150</v>
      </c>
      <c r="J3" s="20" t="s">
        <v>387</v>
      </c>
    </row>
    <row r="4" spans="1:10">
      <c r="A4" s="11" t="s">
        <v>20</v>
      </c>
      <c r="C4" t="s">
        <v>146</v>
      </c>
      <c r="D4" t="s">
        <v>146</v>
      </c>
      <c r="E4" t="s">
        <v>146</v>
      </c>
      <c r="F4" t="s">
        <v>146</v>
      </c>
      <c r="G4" s="19" t="s">
        <v>151</v>
      </c>
      <c r="I4" t="s">
        <v>153</v>
      </c>
      <c r="J4" s="20" t="s">
        <v>380</v>
      </c>
    </row>
    <row r="5" spans="1:10">
      <c r="A5" s="11" t="s">
        <v>24</v>
      </c>
      <c r="C5" t="s">
        <v>432</v>
      </c>
      <c r="D5" t="s">
        <v>432</v>
      </c>
      <c r="E5" t="s">
        <v>432</v>
      </c>
      <c r="F5" t="s">
        <v>432</v>
      </c>
      <c r="H5" s="56" t="s">
        <v>152</v>
      </c>
      <c r="J5" s="19" t="s">
        <v>437</v>
      </c>
    </row>
    <row r="6" spans="1:10">
      <c r="A6" s="11" t="s">
        <v>16</v>
      </c>
      <c r="B6" s="13"/>
      <c r="C6" s="14" t="s">
        <v>145</v>
      </c>
      <c r="D6" s="14" t="s">
        <v>145</v>
      </c>
      <c r="E6" s="14" t="s">
        <v>145</v>
      </c>
      <c r="F6" t="s">
        <v>145</v>
      </c>
      <c r="J6" t="s">
        <v>383</v>
      </c>
    </row>
    <row r="7" spans="1:10">
      <c r="A7" s="11" t="s">
        <v>17</v>
      </c>
      <c r="B7" s="13"/>
      <c r="C7" s="14" t="s">
        <v>393</v>
      </c>
      <c r="D7" s="14" t="s">
        <v>393</v>
      </c>
      <c r="E7" s="14" t="s">
        <v>393</v>
      </c>
      <c r="F7" t="s">
        <v>393</v>
      </c>
      <c r="J7" t="s">
        <v>436</v>
      </c>
    </row>
    <row r="8" spans="1:10">
      <c r="A8" s="11" t="s">
        <v>308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57" si="0">SUM(C8:F8)/1000</f>
        <v>186.52</v>
      </c>
      <c r="J8" s="14">
        <v>0</v>
      </c>
    </row>
    <row r="9" spans="1:10">
      <c r="A9" s="11" t="s">
        <v>310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311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312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313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 s="20">
        <f t="shared" ref="H12:H57" si="1">IFERROR(G12/G8-1, "")</f>
        <v>-1.9107870469654897E-2</v>
      </c>
      <c r="J12" s="14">
        <v>0</v>
      </c>
    </row>
    <row r="13" spans="1:10">
      <c r="A13" s="11" t="s">
        <v>314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si="1"/>
        <v>8.9863594915979617E-2</v>
      </c>
      <c r="J13" s="14">
        <v>0</v>
      </c>
    </row>
    <row r="14" spans="1:10">
      <c r="A14" s="11" t="s">
        <v>315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316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 t="shared" ref="I15:I57" si="2">IFERROR(IF(H12&lt;&gt;-1, IF(H13&lt;&gt;-1, IF(H14&lt;&gt;-1, IF(H15&lt;&gt;-1, AVERAGE(H12:H15), ""), ""), ""), ""), "")</f>
        <v>5.369569361085616E-2</v>
      </c>
      <c r="J15" s="14">
        <v>0</v>
      </c>
    </row>
    <row r="16" spans="1:10">
      <c r="A16" s="11" t="s">
        <v>317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 t="shared" si="2"/>
        <v>8.4668850475957902E-2</v>
      </c>
      <c r="J16" s="14">
        <v>0</v>
      </c>
    </row>
    <row r="17" spans="1:10">
      <c r="A17" s="11" t="s">
        <v>318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si="2"/>
        <v>7.7355372377818199E-2</v>
      </c>
      <c r="J17" s="14">
        <v>0</v>
      </c>
    </row>
    <row r="18" spans="1:10">
      <c r="A18" s="11" t="s">
        <v>319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320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 t="shared" si="1"/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321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 t="shared" si="2"/>
        <v>0.10554327532003155</v>
      </c>
      <c r="J20" s="14">
        <v>0</v>
      </c>
    </row>
    <row r="21" spans="1:10">
      <c r="A21" s="11" t="s">
        <v>322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323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324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325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326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327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300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301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302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303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304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305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306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307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277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278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279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280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 t="shared" si="2"/>
        <v>-3.8799180571538583E-2</v>
      </c>
      <c r="J38" s="14">
        <v>0</v>
      </c>
    </row>
    <row r="39" spans="1:10">
      <c r="A39" s="11" t="s">
        <v>281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282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283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284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285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286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287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288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289</v>
      </c>
      <c r="B47" s="42">
        <v>40999</v>
      </c>
      <c r="C47" s="14">
        <v>113256</v>
      </c>
      <c r="D47" s="14">
        <v>68954</v>
      </c>
      <c r="E47" s="14">
        <v>11629</v>
      </c>
      <c r="F47" s="14">
        <v>76432</v>
      </c>
      <c r="G47" s="41">
        <f t="shared" si="0"/>
        <v>270.27100000000002</v>
      </c>
      <c r="H47" s="20">
        <f t="shared" si="1"/>
        <v>2.3335150771654156E-2</v>
      </c>
      <c r="I47" s="29">
        <f t="shared" si="2"/>
        <v>4.5037484326697075E-2</v>
      </c>
      <c r="J47" s="14">
        <v>0</v>
      </c>
    </row>
    <row r="48" spans="1:10">
      <c r="A48" s="11" t="s">
        <v>290</v>
      </c>
      <c r="B48" s="42">
        <v>41090</v>
      </c>
      <c r="C48" s="14">
        <v>90026</v>
      </c>
      <c r="D48" s="14">
        <v>98081</v>
      </c>
      <c r="E48" s="14">
        <v>17912</v>
      </c>
      <c r="F48" s="14">
        <v>84395</v>
      </c>
      <c r="G48" s="41">
        <f t="shared" si="0"/>
        <v>290.41399999999999</v>
      </c>
      <c r="H48" s="20">
        <f t="shared" si="1"/>
        <v>3.2348194544174813E-2</v>
      </c>
      <c r="I48" s="29">
        <f t="shared" si="2"/>
        <v>3.2390806974366415E-2</v>
      </c>
      <c r="J48" s="14">
        <v>0</v>
      </c>
    </row>
    <row r="49" spans="1:11">
      <c r="A49" s="11" t="s">
        <v>291</v>
      </c>
      <c r="B49" s="42">
        <v>41182</v>
      </c>
      <c r="C49" s="14">
        <v>92612</v>
      </c>
      <c r="D49" s="14">
        <v>69877</v>
      </c>
      <c r="E49" s="14">
        <v>10387</v>
      </c>
      <c r="F49" s="14">
        <v>74880</v>
      </c>
      <c r="G49" s="41">
        <f t="shared" si="0"/>
        <v>247.756</v>
      </c>
      <c r="H49" s="20">
        <f t="shared" si="1"/>
        <v>4.8604997629850377E-2</v>
      </c>
      <c r="I49" s="29">
        <f t="shared" si="2"/>
        <v>3.6677510792348267E-2</v>
      </c>
      <c r="J49" s="14">
        <v>0</v>
      </c>
    </row>
    <row r="50" spans="1:11">
      <c r="A50" s="11" t="s">
        <v>292</v>
      </c>
      <c r="B50" s="42">
        <v>41274</v>
      </c>
      <c r="C50" s="14">
        <v>177342</v>
      </c>
      <c r="D50" s="14">
        <v>76597</v>
      </c>
      <c r="E50" s="14">
        <v>10438</v>
      </c>
      <c r="F50" s="14">
        <v>80375</v>
      </c>
      <c r="G50" s="41">
        <f t="shared" si="0"/>
        <v>344.75200000000001</v>
      </c>
      <c r="H50" s="20">
        <f t="shared" si="1"/>
        <v>2.7598191318447762E-2</v>
      </c>
      <c r="I50" s="29">
        <f t="shared" si="2"/>
        <v>3.2971633566031777E-2</v>
      </c>
      <c r="J50" s="14">
        <v>0</v>
      </c>
    </row>
    <row r="51" spans="1:11">
      <c r="A51" s="11" t="s">
        <v>293</v>
      </c>
      <c r="B51" s="42">
        <v>41364</v>
      </c>
      <c r="C51" s="14">
        <v>115676</v>
      </c>
      <c r="D51" s="14">
        <v>81219</v>
      </c>
      <c r="E51" s="14">
        <v>12456</v>
      </c>
      <c r="F51" s="14">
        <v>79115</v>
      </c>
      <c r="G51" s="41">
        <f t="shared" si="0"/>
        <v>288.46600000000001</v>
      </c>
      <c r="H51" s="20">
        <f t="shared" si="1"/>
        <v>6.7321318232440808E-2</v>
      </c>
      <c r="I51" s="29">
        <f t="shared" si="2"/>
        <v>4.396817543122844E-2</v>
      </c>
      <c r="J51" s="14">
        <v>0</v>
      </c>
    </row>
    <row r="52" spans="1:11">
      <c r="A52" s="11" t="s">
        <v>294</v>
      </c>
      <c r="B52" s="42">
        <v>41455</v>
      </c>
      <c r="C52" s="14">
        <v>91231</v>
      </c>
      <c r="D52" s="14">
        <v>113642</v>
      </c>
      <c r="E52" s="14">
        <v>20254</v>
      </c>
      <c r="F52" s="14">
        <v>85663</v>
      </c>
      <c r="G52" s="41">
        <f t="shared" si="0"/>
        <v>310.79000000000002</v>
      </c>
      <c r="H52" s="20">
        <f t="shared" si="1"/>
        <v>7.0161906795127127E-2</v>
      </c>
      <c r="I52" s="29">
        <f t="shared" si="2"/>
        <v>5.3421603493966519E-2</v>
      </c>
      <c r="J52" s="14">
        <v>0</v>
      </c>
    </row>
    <row r="53" spans="1:11">
      <c r="A53" s="11" t="s">
        <v>295</v>
      </c>
      <c r="B53" s="42">
        <v>41547</v>
      </c>
      <c r="C53" s="14">
        <v>97811</v>
      </c>
      <c r="D53" s="14">
        <v>74299</v>
      </c>
      <c r="E53" s="14">
        <v>10849</v>
      </c>
      <c r="F53" s="14">
        <v>82570</v>
      </c>
      <c r="G53" s="41">
        <f t="shared" si="0"/>
        <v>265.529</v>
      </c>
      <c r="H53" s="20">
        <f t="shared" si="1"/>
        <v>7.1735901451428052E-2</v>
      </c>
      <c r="I53" s="29">
        <f t="shared" si="2"/>
        <v>5.9204329449360937E-2</v>
      </c>
      <c r="J53" s="14">
        <v>0</v>
      </c>
    </row>
    <row r="54" spans="1:11">
      <c r="A54" s="11" t="s">
        <v>296</v>
      </c>
      <c r="B54" s="42">
        <v>41639</v>
      </c>
      <c r="C54" s="14">
        <v>180243</v>
      </c>
      <c r="D54" s="14">
        <v>77709</v>
      </c>
      <c r="E54" s="14">
        <v>10409</v>
      </c>
      <c r="F54" s="14">
        <v>85874</v>
      </c>
      <c r="G54" s="41">
        <f t="shared" si="0"/>
        <v>354.23500000000001</v>
      </c>
      <c r="H54" s="20">
        <f t="shared" si="1"/>
        <v>2.7506729475101022E-2</v>
      </c>
      <c r="I54" s="29">
        <f t="shared" si="2"/>
        <v>5.9181463988524252E-2</v>
      </c>
      <c r="J54" s="14">
        <v>0</v>
      </c>
    </row>
    <row r="55" spans="1:11">
      <c r="A55" s="11" t="s">
        <v>297</v>
      </c>
      <c r="B55" s="42">
        <v>41729</v>
      </c>
      <c r="C55" s="14">
        <v>116718</v>
      </c>
      <c r="D55" s="14">
        <v>81403</v>
      </c>
      <c r="E55" s="14">
        <v>13881</v>
      </c>
      <c r="F55" s="14">
        <v>83916</v>
      </c>
      <c r="G55" s="41">
        <f t="shared" si="0"/>
        <v>295.91800000000001</v>
      </c>
      <c r="H55" s="20">
        <f t="shared" si="1"/>
        <v>2.5833200446499838E-2</v>
      </c>
      <c r="I55" s="29">
        <f t="shared" si="2"/>
        <v>4.880943454203901E-2</v>
      </c>
      <c r="J55" s="14">
        <v>0</v>
      </c>
    </row>
    <row r="56" spans="1:11">
      <c r="A56" s="11" t="s">
        <v>298</v>
      </c>
      <c r="B56" s="13">
        <v>41820</v>
      </c>
      <c r="C56" s="14">
        <v>94234</v>
      </c>
      <c r="D56" s="14">
        <v>106878</v>
      </c>
      <c r="E56" s="14">
        <v>20013</v>
      </c>
      <c r="F56" s="14">
        <v>92828</v>
      </c>
      <c r="G56" s="41">
        <f t="shared" si="0"/>
        <v>313.95299999999997</v>
      </c>
      <c r="H56" s="20">
        <f t="shared" si="1"/>
        <v>1.0177290131599959E-2</v>
      </c>
      <c r="I56" s="29">
        <f t="shared" si="2"/>
        <v>3.3813280376157218E-2</v>
      </c>
      <c r="J56" s="14">
        <v>0</v>
      </c>
    </row>
    <row r="57" spans="1:11">
      <c r="A57" s="11" t="s">
        <v>426</v>
      </c>
      <c r="B57" s="13">
        <v>41912</v>
      </c>
      <c r="C57" s="14">
        <v>99200</v>
      </c>
      <c r="D57" s="14">
        <v>77151</v>
      </c>
      <c r="E57" s="14">
        <v>11512</v>
      </c>
      <c r="F57" s="14">
        <v>85846</v>
      </c>
      <c r="G57" s="41">
        <f t="shared" si="0"/>
        <v>273.709</v>
      </c>
      <c r="H57" s="20">
        <f t="shared" si="1"/>
        <v>3.0806427923127044E-2</v>
      </c>
      <c r="I57" s="29">
        <f t="shared" si="2"/>
        <v>2.3580911994081966E-2</v>
      </c>
      <c r="J57" s="14">
        <v>0</v>
      </c>
    </row>
    <row r="58" spans="1:11">
      <c r="A58" s="11" t="s">
        <v>427</v>
      </c>
      <c r="B58" s="13">
        <v>42004</v>
      </c>
      <c r="C58" s="14">
        <v>187522</v>
      </c>
      <c r="D58" s="14">
        <v>84240</v>
      </c>
      <c r="E58" s="14">
        <v>11676</v>
      </c>
      <c r="F58" s="14">
        <v>85575</v>
      </c>
      <c r="G58" s="41">
        <f t="shared" ref="G58:G121" si="3">SUM(C58:F58)/1000</f>
        <v>369.01299999999998</v>
      </c>
      <c r="H58" s="20">
        <f>IFERROR(G58/G54-1, "")</f>
        <v>4.1718068513839635E-2</v>
      </c>
      <c r="I58" s="29">
        <f>IFERROR(IF(H55&lt;&gt;-1, IF(H56&lt;&gt;-1, IF(H57&lt;&gt;-1, IF(H58&lt;&gt;-1, AVERAGE(H55:H58), ""), ""), ""), ""), "")</f>
        <v>2.7133746753766619E-2</v>
      </c>
      <c r="J58" s="14">
        <v>0</v>
      </c>
    </row>
    <row r="59" spans="1:11">
      <c r="A59" s="11" t="s">
        <v>438</v>
      </c>
      <c r="B59" s="13">
        <v>42094</v>
      </c>
      <c r="G59" s="41">
        <f t="shared" si="3"/>
        <v>0</v>
      </c>
      <c r="H59" s="20">
        <f t="shared" ref="H59:H122" si="4">IFERROR(G59/G55-1, "")</f>
        <v>-1</v>
      </c>
      <c r="I59" s="29" t="str">
        <f t="shared" ref="I59:I122" si="5">IFERROR(IF(H56&lt;&gt;-1, IF(H57&lt;&gt;-1, IF(H58&lt;&gt;-1, IF(H59&lt;&gt;-1, AVERAGE(H56:H59), ""), ""), ""), ""), "")</f>
        <v/>
      </c>
      <c r="J59" s="14">
        <v>0</v>
      </c>
      <c r="K59" t="str">
        <f>IF(I81&lt;&gt;"", IF(I82&lt;&gt;"", (AVERAGE(I80:I82)), ""), "")</f>
        <v/>
      </c>
    </row>
    <row r="60" spans="1:11">
      <c r="B60" s="13"/>
      <c r="G60" s="41">
        <f t="shared" si="3"/>
        <v>0</v>
      </c>
      <c r="H60" s="20">
        <f t="shared" si="4"/>
        <v>-1</v>
      </c>
      <c r="I60" s="29" t="str">
        <f t="shared" si="5"/>
        <v/>
      </c>
    </row>
    <row r="61" spans="1:11">
      <c r="G61" s="41">
        <f t="shared" si="3"/>
        <v>0</v>
      </c>
      <c r="H61" s="20">
        <f t="shared" si="4"/>
        <v>-1</v>
      </c>
      <c r="I61" s="29" t="str">
        <f t="shared" si="5"/>
        <v/>
      </c>
    </row>
    <row r="62" spans="1:11">
      <c r="G62" s="41">
        <f t="shared" si="3"/>
        <v>0</v>
      </c>
      <c r="H62" s="20">
        <f t="shared" si="4"/>
        <v>-1</v>
      </c>
      <c r="I62" s="29" t="str">
        <f t="shared" si="5"/>
        <v/>
      </c>
    </row>
    <row r="63" spans="1:11">
      <c r="G63" s="41">
        <f t="shared" si="3"/>
        <v>0</v>
      </c>
      <c r="H63" s="20" t="str">
        <f t="shared" si="4"/>
        <v/>
      </c>
      <c r="I63" s="29" t="str">
        <f t="shared" si="5"/>
        <v/>
      </c>
    </row>
    <row r="64" spans="1:11">
      <c r="G64" s="41">
        <f t="shared" si="3"/>
        <v>0</v>
      </c>
      <c r="H64" s="20" t="str">
        <f t="shared" si="4"/>
        <v/>
      </c>
      <c r="I64" s="29" t="str">
        <f t="shared" si="5"/>
        <v/>
      </c>
    </row>
    <row r="65" spans="7:9">
      <c r="G65" s="41">
        <f t="shared" si="3"/>
        <v>0</v>
      </c>
      <c r="H65" s="20" t="str">
        <f t="shared" si="4"/>
        <v/>
      </c>
      <c r="I65" s="29" t="str">
        <f t="shared" si="5"/>
        <v/>
      </c>
    </row>
    <row r="66" spans="7:9">
      <c r="G66" s="41">
        <f t="shared" si="3"/>
        <v>0</v>
      </c>
      <c r="H66" s="20" t="str">
        <f t="shared" si="4"/>
        <v/>
      </c>
      <c r="I66" s="29" t="str">
        <f t="shared" si="5"/>
        <v/>
      </c>
    </row>
    <row r="67" spans="7:9">
      <c r="G67" s="41">
        <f t="shared" si="3"/>
        <v>0</v>
      </c>
      <c r="H67" s="20" t="str">
        <f t="shared" si="4"/>
        <v/>
      </c>
      <c r="I67" s="29" t="str">
        <f t="shared" si="5"/>
        <v/>
      </c>
    </row>
    <row r="68" spans="7:9">
      <c r="G68" s="41">
        <f t="shared" si="3"/>
        <v>0</v>
      </c>
      <c r="H68" s="20" t="str">
        <f t="shared" si="4"/>
        <v/>
      </c>
      <c r="I68" s="29" t="str">
        <f t="shared" si="5"/>
        <v/>
      </c>
    </row>
    <row r="69" spans="7:9">
      <c r="G69" s="41">
        <f t="shared" si="3"/>
        <v>0</v>
      </c>
      <c r="H69" s="20" t="str">
        <f t="shared" si="4"/>
        <v/>
      </c>
      <c r="I69" s="29" t="str">
        <f t="shared" si="5"/>
        <v/>
      </c>
    </row>
    <row r="70" spans="7:9">
      <c r="G70" s="41">
        <f t="shared" si="3"/>
        <v>0</v>
      </c>
      <c r="H70" s="20" t="str">
        <f t="shared" si="4"/>
        <v/>
      </c>
      <c r="I70" s="29" t="str">
        <f t="shared" si="5"/>
        <v/>
      </c>
    </row>
    <row r="71" spans="7:9">
      <c r="G71" s="41">
        <f t="shared" si="3"/>
        <v>0</v>
      </c>
      <c r="H71" s="20" t="str">
        <f t="shared" si="4"/>
        <v/>
      </c>
      <c r="I71" s="29" t="str">
        <f t="shared" si="5"/>
        <v/>
      </c>
    </row>
    <row r="72" spans="7:9">
      <c r="G72" s="41">
        <f t="shared" si="3"/>
        <v>0</v>
      </c>
      <c r="H72" s="20" t="str">
        <f t="shared" si="4"/>
        <v/>
      </c>
      <c r="I72" s="29" t="str">
        <f t="shared" si="5"/>
        <v/>
      </c>
    </row>
    <row r="73" spans="7:9">
      <c r="G73" s="41">
        <f t="shared" si="3"/>
        <v>0</v>
      </c>
      <c r="H73" s="20" t="str">
        <f t="shared" si="4"/>
        <v/>
      </c>
      <c r="I73" s="29" t="str">
        <f t="shared" si="5"/>
        <v/>
      </c>
    </row>
    <row r="74" spans="7:9">
      <c r="G74" s="41">
        <f t="shared" si="3"/>
        <v>0</v>
      </c>
      <c r="H74" s="20" t="str">
        <f t="shared" si="4"/>
        <v/>
      </c>
      <c r="I74" s="29" t="str">
        <f t="shared" si="5"/>
        <v/>
      </c>
    </row>
    <row r="75" spans="7:9">
      <c r="G75" s="41">
        <f t="shared" si="3"/>
        <v>0</v>
      </c>
      <c r="H75" s="20" t="str">
        <f t="shared" si="4"/>
        <v/>
      </c>
      <c r="I75" s="29" t="str">
        <f t="shared" si="5"/>
        <v/>
      </c>
    </row>
    <row r="76" spans="7:9">
      <c r="G76" s="41">
        <f t="shared" si="3"/>
        <v>0</v>
      </c>
      <c r="H76" s="20" t="str">
        <f t="shared" si="4"/>
        <v/>
      </c>
      <c r="I76" s="29" t="str">
        <f t="shared" si="5"/>
        <v/>
      </c>
    </row>
    <row r="77" spans="7:9">
      <c r="G77" s="41">
        <f t="shared" si="3"/>
        <v>0</v>
      </c>
      <c r="H77" s="20" t="str">
        <f t="shared" si="4"/>
        <v/>
      </c>
      <c r="I77" s="29" t="str">
        <f t="shared" si="5"/>
        <v/>
      </c>
    </row>
    <row r="78" spans="7:9">
      <c r="G78" s="41">
        <f t="shared" si="3"/>
        <v>0</v>
      </c>
      <c r="H78" s="20" t="str">
        <f t="shared" si="4"/>
        <v/>
      </c>
      <c r="I78" s="29" t="str">
        <f t="shared" si="5"/>
        <v/>
      </c>
    </row>
    <row r="79" spans="7:9">
      <c r="G79" s="41">
        <f t="shared" si="3"/>
        <v>0</v>
      </c>
      <c r="H79" s="20" t="str">
        <f t="shared" si="4"/>
        <v/>
      </c>
      <c r="I79" s="29" t="str">
        <f t="shared" si="5"/>
        <v/>
      </c>
    </row>
    <row r="80" spans="7:9">
      <c r="G80" s="41">
        <f t="shared" si="3"/>
        <v>0</v>
      </c>
      <c r="H80" s="20" t="str">
        <f t="shared" si="4"/>
        <v/>
      </c>
      <c r="I80" s="29" t="str">
        <f t="shared" si="5"/>
        <v/>
      </c>
    </row>
    <row r="81" spans="7:9">
      <c r="G81" s="41">
        <f t="shared" si="3"/>
        <v>0</v>
      </c>
      <c r="H81" s="20" t="str">
        <f t="shared" si="4"/>
        <v/>
      </c>
      <c r="I81" s="29" t="str">
        <f t="shared" si="5"/>
        <v/>
      </c>
    </row>
    <row r="82" spans="7:9">
      <c r="G82" s="41">
        <f t="shared" si="3"/>
        <v>0</v>
      </c>
      <c r="H82" s="20" t="str">
        <f t="shared" si="4"/>
        <v/>
      </c>
      <c r="I82" s="29" t="str">
        <f t="shared" si="5"/>
        <v/>
      </c>
    </row>
    <row r="83" spans="7:9">
      <c r="G83" s="41">
        <f t="shared" si="3"/>
        <v>0</v>
      </c>
      <c r="H83" s="20" t="str">
        <f t="shared" si="4"/>
        <v/>
      </c>
      <c r="I83" s="29" t="str">
        <f t="shared" si="5"/>
        <v/>
      </c>
    </row>
    <row r="84" spans="7:9">
      <c r="G84" s="41">
        <f t="shared" si="3"/>
        <v>0</v>
      </c>
      <c r="H84" s="20" t="str">
        <f t="shared" si="4"/>
        <v/>
      </c>
      <c r="I84" s="29" t="str">
        <f t="shared" si="5"/>
        <v/>
      </c>
    </row>
    <row r="85" spans="7:9">
      <c r="G85" s="41">
        <f t="shared" si="3"/>
        <v>0</v>
      </c>
      <c r="H85" s="20" t="str">
        <f t="shared" si="4"/>
        <v/>
      </c>
      <c r="I85" s="29" t="str">
        <f t="shared" si="5"/>
        <v/>
      </c>
    </row>
    <row r="86" spans="7:9">
      <c r="G86" s="41">
        <f t="shared" si="3"/>
        <v>0</v>
      </c>
      <c r="H86" s="20" t="str">
        <f t="shared" si="4"/>
        <v/>
      </c>
      <c r="I86" s="29" t="str">
        <f t="shared" si="5"/>
        <v/>
      </c>
    </row>
    <row r="87" spans="7:9">
      <c r="G87" s="41">
        <f t="shared" si="3"/>
        <v>0</v>
      </c>
      <c r="H87" s="20" t="str">
        <f t="shared" si="4"/>
        <v/>
      </c>
      <c r="I87" s="29" t="str">
        <f t="shared" si="5"/>
        <v/>
      </c>
    </row>
    <row r="88" spans="7:9">
      <c r="G88" s="41">
        <f t="shared" si="3"/>
        <v>0</v>
      </c>
      <c r="H88" s="20" t="str">
        <f t="shared" si="4"/>
        <v/>
      </c>
      <c r="I88" s="29" t="str">
        <f t="shared" si="5"/>
        <v/>
      </c>
    </row>
    <row r="89" spans="7:9">
      <c r="G89" s="41">
        <f t="shared" si="3"/>
        <v>0</v>
      </c>
      <c r="H89" s="20" t="str">
        <f t="shared" si="4"/>
        <v/>
      </c>
      <c r="I89" s="29" t="str">
        <f t="shared" si="5"/>
        <v/>
      </c>
    </row>
    <row r="90" spans="7:9">
      <c r="G90" s="41">
        <f t="shared" si="3"/>
        <v>0</v>
      </c>
      <c r="H90" s="20" t="str">
        <f t="shared" si="4"/>
        <v/>
      </c>
      <c r="I90" s="29" t="str">
        <f t="shared" si="5"/>
        <v/>
      </c>
    </row>
    <row r="91" spans="7:9">
      <c r="G91" s="41">
        <f t="shared" si="3"/>
        <v>0</v>
      </c>
      <c r="H91" s="20" t="str">
        <f t="shared" si="4"/>
        <v/>
      </c>
      <c r="I91" s="29" t="str">
        <f t="shared" si="5"/>
        <v/>
      </c>
    </row>
    <row r="92" spans="7:9">
      <c r="G92" s="41">
        <f t="shared" si="3"/>
        <v>0</v>
      </c>
      <c r="H92" s="20" t="str">
        <f t="shared" si="4"/>
        <v/>
      </c>
      <c r="I92" s="29" t="str">
        <f t="shared" si="5"/>
        <v/>
      </c>
    </row>
    <row r="93" spans="7:9">
      <c r="G93" s="41">
        <f t="shared" si="3"/>
        <v>0</v>
      </c>
      <c r="H93" s="20" t="str">
        <f t="shared" si="4"/>
        <v/>
      </c>
      <c r="I93" s="29" t="str">
        <f t="shared" si="5"/>
        <v/>
      </c>
    </row>
    <row r="94" spans="7:9">
      <c r="G94" s="41">
        <f t="shared" si="3"/>
        <v>0</v>
      </c>
      <c r="H94" s="20" t="str">
        <f t="shared" si="4"/>
        <v/>
      </c>
      <c r="I94" s="29" t="str">
        <f t="shared" si="5"/>
        <v/>
      </c>
    </row>
    <row r="95" spans="7:9">
      <c r="G95" s="41">
        <f t="shared" si="3"/>
        <v>0</v>
      </c>
      <c r="H95" s="20" t="str">
        <f t="shared" si="4"/>
        <v/>
      </c>
      <c r="I95" s="29" t="str">
        <f t="shared" si="5"/>
        <v/>
      </c>
    </row>
    <row r="96" spans="7:9">
      <c r="G96" s="41">
        <f t="shared" si="3"/>
        <v>0</v>
      </c>
      <c r="H96" s="20" t="str">
        <f t="shared" si="4"/>
        <v/>
      </c>
      <c r="I96" s="29" t="str">
        <f t="shared" si="5"/>
        <v/>
      </c>
    </row>
    <row r="97" spans="7:9">
      <c r="G97" s="41">
        <f t="shared" si="3"/>
        <v>0</v>
      </c>
      <c r="H97" s="20" t="str">
        <f t="shared" si="4"/>
        <v/>
      </c>
      <c r="I97" s="29" t="str">
        <f t="shared" si="5"/>
        <v/>
      </c>
    </row>
    <row r="98" spans="7:9">
      <c r="G98" s="41">
        <f t="shared" si="3"/>
        <v>0</v>
      </c>
      <c r="H98" s="20" t="str">
        <f t="shared" si="4"/>
        <v/>
      </c>
      <c r="I98" s="29" t="str">
        <f t="shared" si="5"/>
        <v/>
      </c>
    </row>
    <row r="99" spans="7:9">
      <c r="G99" s="41">
        <f t="shared" si="3"/>
        <v>0</v>
      </c>
      <c r="H99" s="20" t="str">
        <f t="shared" si="4"/>
        <v/>
      </c>
      <c r="I99" s="29" t="str">
        <f t="shared" si="5"/>
        <v/>
      </c>
    </row>
    <row r="100" spans="7:9">
      <c r="G100" s="41">
        <f t="shared" si="3"/>
        <v>0</v>
      </c>
      <c r="H100" s="20" t="str">
        <f t="shared" si="4"/>
        <v/>
      </c>
      <c r="I100" s="29" t="str">
        <f t="shared" si="5"/>
        <v/>
      </c>
    </row>
    <row r="101" spans="7:9">
      <c r="G101" s="41">
        <f t="shared" si="3"/>
        <v>0</v>
      </c>
      <c r="H101" s="20" t="str">
        <f t="shared" si="4"/>
        <v/>
      </c>
      <c r="I101" s="29" t="str">
        <f t="shared" si="5"/>
        <v/>
      </c>
    </row>
    <row r="102" spans="7:9">
      <c r="G102" s="41">
        <f t="shared" si="3"/>
        <v>0</v>
      </c>
      <c r="H102" s="20" t="str">
        <f t="shared" si="4"/>
        <v/>
      </c>
      <c r="I102" s="29" t="str">
        <f t="shared" si="5"/>
        <v/>
      </c>
    </row>
    <row r="103" spans="7:9">
      <c r="G103" s="41">
        <f t="shared" si="3"/>
        <v>0</v>
      </c>
      <c r="H103" s="20" t="str">
        <f t="shared" si="4"/>
        <v/>
      </c>
      <c r="I103" s="29" t="str">
        <f t="shared" si="5"/>
        <v/>
      </c>
    </row>
    <row r="104" spans="7:9">
      <c r="G104" s="41">
        <f t="shared" si="3"/>
        <v>0</v>
      </c>
      <c r="H104" s="20" t="str">
        <f t="shared" si="4"/>
        <v/>
      </c>
      <c r="I104" s="29" t="str">
        <f t="shared" si="5"/>
        <v/>
      </c>
    </row>
    <row r="105" spans="7:9">
      <c r="G105" s="41">
        <f t="shared" si="3"/>
        <v>0</v>
      </c>
      <c r="H105" s="20" t="str">
        <f t="shared" si="4"/>
        <v/>
      </c>
      <c r="I105" s="29" t="str">
        <f t="shared" si="5"/>
        <v/>
      </c>
    </row>
    <row r="106" spans="7:9">
      <c r="G106" s="41">
        <f t="shared" si="3"/>
        <v>0</v>
      </c>
      <c r="H106" s="20" t="str">
        <f t="shared" si="4"/>
        <v/>
      </c>
      <c r="I106" s="29" t="str">
        <f t="shared" si="5"/>
        <v/>
      </c>
    </row>
    <row r="107" spans="7:9">
      <c r="G107" s="41">
        <f t="shared" si="3"/>
        <v>0</v>
      </c>
      <c r="H107" s="20" t="str">
        <f t="shared" si="4"/>
        <v/>
      </c>
      <c r="I107" s="29" t="str">
        <f t="shared" si="5"/>
        <v/>
      </c>
    </row>
    <row r="108" spans="7:9">
      <c r="G108" s="41">
        <f t="shared" si="3"/>
        <v>0</v>
      </c>
      <c r="H108" s="20" t="str">
        <f t="shared" si="4"/>
        <v/>
      </c>
      <c r="I108" s="29" t="str">
        <f t="shared" si="5"/>
        <v/>
      </c>
    </row>
    <row r="109" spans="7:9">
      <c r="G109" s="41">
        <f t="shared" si="3"/>
        <v>0</v>
      </c>
      <c r="H109" s="20" t="str">
        <f t="shared" si="4"/>
        <v/>
      </c>
      <c r="I109" s="29" t="str">
        <f t="shared" si="5"/>
        <v/>
      </c>
    </row>
    <row r="110" spans="7:9">
      <c r="G110" s="41">
        <f t="shared" si="3"/>
        <v>0</v>
      </c>
      <c r="H110" s="20" t="str">
        <f t="shared" si="4"/>
        <v/>
      </c>
      <c r="I110" s="29" t="str">
        <f t="shared" si="5"/>
        <v/>
      </c>
    </row>
    <row r="111" spans="7:9">
      <c r="G111" s="41">
        <f t="shared" si="3"/>
        <v>0</v>
      </c>
      <c r="H111" s="20" t="str">
        <f t="shared" si="4"/>
        <v/>
      </c>
      <c r="I111" s="29" t="str">
        <f t="shared" si="5"/>
        <v/>
      </c>
    </row>
    <row r="112" spans="7:9">
      <c r="G112" s="41">
        <f t="shared" si="3"/>
        <v>0</v>
      </c>
      <c r="H112" s="20" t="str">
        <f t="shared" si="4"/>
        <v/>
      </c>
      <c r="I112" s="29" t="str">
        <f t="shared" si="5"/>
        <v/>
      </c>
    </row>
    <row r="113" spans="7:9">
      <c r="G113" s="41">
        <f t="shared" si="3"/>
        <v>0</v>
      </c>
      <c r="H113" s="20" t="str">
        <f t="shared" si="4"/>
        <v/>
      </c>
      <c r="I113" s="29" t="str">
        <f t="shared" si="5"/>
        <v/>
      </c>
    </row>
    <row r="114" spans="7:9">
      <c r="G114" s="41">
        <f t="shared" si="3"/>
        <v>0</v>
      </c>
      <c r="H114" s="20" t="str">
        <f t="shared" si="4"/>
        <v/>
      </c>
      <c r="I114" s="29" t="str">
        <f t="shared" si="5"/>
        <v/>
      </c>
    </row>
    <row r="115" spans="7:9">
      <c r="G115" s="41">
        <f t="shared" si="3"/>
        <v>0</v>
      </c>
      <c r="H115" s="20" t="str">
        <f t="shared" si="4"/>
        <v/>
      </c>
      <c r="I115" s="29" t="str">
        <f t="shared" si="5"/>
        <v/>
      </c>
    </row>
    <row r="116" spans="7:9">
      <c r="G116" s="41">
        <f t="shared" si="3"/>
        <v>0</v>
      </c>
      <c r="H116" s="20" t="str">
        <f t="shared" si="4"/>
        <v/>
      </c>
      <c r="I116" s="29" t="str">
        <f t="shared" si="5"/>
        <v/>
      </c>
    </row>
    <row r="117" spans="7:9">
      <c r="G117" s="41">
        <f t="shared" si="3"/>
        <v>0</v>
      </c>
      <c r="H117" s="20" t="str">
        <f t="shared" si="4"/>
        <v/>
      </c>
      <c r="I117" s="29" t="str">
        <f t="shared" si="5"/>
        <v/>
      </c>
    </row>
    <row r="118" spans="7:9">
      <c r="G118" s="41">
        <f t="shared" si="3"/>
        <v>0</v>
      </c>
      <c r="H118" s="20" t="str">
        <f t="shared" si="4"/>
        <v/>
      </c>
      <c r="I118" s="29" t="str">
        <f t="shared" si="5"/>
        <v/>
      </c>
    </row>
    <row r="119" spans="7:9">
      <c r="G119" s="41">
        <f t="shared" si="3"/>
        <v>0</v>
      </c>
      <c r="H119" s="20" t="str">
        <f t="shared" si="4"/>
        <v/>
      </c>
      <c r="I119" s="29" t="str">
        <f t="shared" si="5"/>
        <v/>
      </c>
    </row>
    <row r="120" spans="7:9">
      <c r="G120" s="41">
        <f t="shared" si="3"/>
        <v>0</v>
      </c>
      <c r="H120" s="20" t="str">
        <f t="shared" si="4"/>
        <v/>
      </c>
      <c r="I120" s="29" t="str">
        <f t="shared" si="5"/>
        <v/>
      </c>
    </row>
    <row r="121" spans="7:9">
      <c r="G121" s="41">
        <f t="shared" si="3"/>
        <v>0</v>
      </c>
      <c r="H121" s="20" t="str">
        <f t="shared" si="4"/>
        <v/>
      </c>
      <c r="I121" s="29" t="str">
        <f t="shared" si="5"/>
        <v/>
      </c>
    </row>
    <row r="122" spans="7:9">
      <c r="G122" s="41">
        <f t="shared" ref="G122:G126" si="6">SUM(C122:F122)/1000</f>
        <v>0</v>
      </c>
      <c r="H122" s="20" t="str">
        <f t="shared" si="4"/>
        <v/>
      </c>
      <c r="I122" s="29" t="str">
        <f t="shared" si="5"/>
        <v/>
      </c>
    </row>
    <row r="123" spans="7:9">
      <c r="G123" s="41">
        <f t="shared" si="6"/>
        <v>0</v>
      </c>
      <c r="H123" s="20" t="str">
        <f t="shared" ref="H123:H126" si="7">IFERROR(G123/G119-1, "")</f>
        <v/>
      </c>
      <c r="I123" s="29" t="str">
        <f t="shared" ref="I123:I126" si="8">IFERROR(IF(H120&lt;&gt;-1, IF(H121&lt;&gt;-1, IF(H122&lt;&gt;-1, IF(H123&lt;&gt;-1, AVERAGE(H120:H123), ""), ""), ""), ""), "")</f>
        <v/>
      </c>
    </row>
    <row r="124" spans="7:9">
      <c r="G124" s="41">
        <f t="shared" si="6"/>
        <v>0</v>
      </c>
      <c r="H124" s="20" t="str">
        <f t="shared" si="7"/>
        <v/>
      </c>
      <c r="I124" s="29" t="str">
        <f t="shared" si="8"/>
        <v/>
      </c>
    </row>
    <row r="125" spans="7:9">
      <c r="G125" s="41">
        <f t="shared" si="6"/>
        <v>0</v>
      </c>
      <c r="H125" s="20" t="str">
        <f t="shared" si="7"/>
        <v/>
      </c>
      <c r="I125" s="29" t="str">
        <f t="shared" si="8"/>
        <v/>
      </c>
    </row>
    <row r="126" spans="7:9">
      <c r="G126" s="41">
        <f t="shared" si="6"/>
        <v>0</v>
      </c>
      <c r="H126" s="20" t="str">
        <f t="shared" si="7"/>
        <v/>
      </c>
      <c r="I126" s="29" t="str">
        <f t="shared" si="8"/>
        <v/>
      </c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8"/>
  <sheetViews>
    <sheetView topLeftCell="A19" zoomScale="85" zoomScaleNormal="85" workbookViewId="0">
      <selection activeCell="D47" sqref="D47"/>
    </sheetView>
  </sheetViews>
  <sheetFormatPr defaultRowHeight="15"/>
  <cols>
    <col min="1" max="2" width="9.140625" style="16"/>
    <col min="3" max="4" width="9.140625" style="116"/>
    <col min="5" max="6" width="9.140625" style="20"/>
  </cols>
  <sheetData>
    <row r="1" spans="1:16" s="19" customFormat="1">
      <c r="D1" s="115">
        <f ca="1">YEAR(TODAY())</f>
        <v>2015</v>
      </c>
      <c r="G1" s="19" t="s">
        <v>105</v>
      </c>
    </row>
    <row r="2" spans="1:16">
      <c r="C2" s="116" t="s">
        <v>107</v>
      </c>
      <c r="E2" s="20" t="s">
        <v>107</v>
      </c>
      <c r="G2" s="16" t="s">
        <v>106</v>
      </c>
      <c r="H2" s="16"/>
    </row>
    <row r="3" spans="1:16">
      <c r="C3" s="116" t="s">
        <v>108</v>
      </c>
      <c r="D3" s="116" t="s">
        <v>103</v>
      </c>
      <c r="E3" s="20" t="s">
        <v>108</v>
      </c>
      <c r="F3" s="20" t="s">
        <v>103</v>
      </c>
      <c r="G3" s="16" t="s">
        <v>104</v>
      </c>
      <c r="H3" s="16" t="s">
        <v>103</v>
      </c>
    </row>
    <row r="4" spans="1:16">
      <c r="A4" s="22" t="s">
        <v>276</v>
      </c>
      <c r="B4" s="22" t="s">
        <v>382</v>
      </c>
      <c r="C4" s="117"/>
      <c r="D4" s="117"/>
      <c r="E4" s="21" t="s">
        <v>111</v>
      </c>
      <c r="F4" s="21" t="s">
        <v>112</v>
      </c>
      <c r="G4" s="17" t="s">
        <v>109</v>
      </c>
      <c r="H4" s="17" t="s">
        <v>110</v>
      </c>
      <c r="I4" s="111" t="s">
        <v>389</v>
      </c>
    </row>
    <row r="5" spans="1:16">
      <c r="A5" s="16" t="s">
        <v>7</v>
      </c>
      <c r="E5" s="20" t="s">
        <v>115</v>
      </c>
      <c r="F5" s="20" t="s">
        <v>116</v>
      </c>
      <c r="G5" t="s">
        <v>113</v>
      </c>
      <c r="H5" t="s">
        <v>114</v>
      </c>
      <c r="I5" t="s">
        <v>388</v>
      </c>
    </row>
    <row r="6" spans="1:16">
      <c r="A6" s="16" t="s">
        <v>20</v>
      </c>
      <c r="E6" s="20" t="s">
        <v>22</v>
      </c>
      <c r="F6" s="20" t="s">
        <v>22</v>
      </c>
      <c r="G6" t="s">
        <v>22</v>
      </c>
      <c r="H6" t="s">
        <v>22</v>
      </c>
      <c r="I6" t="s">
        <v>380</v>
      </c>
    </row>
    <row r="7" spans="1:16">
      <c r="A7" s="16" t="s">
        <v>24</v>
      </c>
      <c r="E7" s="20" t="s">
        <v>433</v>
      </c>
      <c r="F7" s="20" t="s">
        <v>433</v>
      </c>
      <c r="G7" t="s">
        <v>394</v>
      </c>
      <c r="H7" t="s">
        <v>394</v>
      </c>
      <c r="I7" t="s">
        <v>437</v>
      </c>
    </row>
    <row r="8" spans="1:16">
      <c r="A8" s="16" t="s">
        <v>28</v>
      </c>
      <c r="B8" s="43">
        <v>27395</v>
      </c>
      <c r="C8" s="118" t="e">
        <f ca="1">IF(YEAR($B8)&lt;$D$1-1, #N/A, E8)</f>
        <v>#N/A</v>
      </c>
      <c r="D8" s="118" t="e">
        <f ca="1">IF(YEAR($B8)&lt;$D$1-1, #N/A, F8)</f>
        <v>#N/A</v>
      </c>
      <c r="E8" s="32" t="e">
        <v>#N/A</v>
      </c>
      <c r="F8" s="32" t="e">
        <v>#N/A</v>
      </c>
      <c r="G8" s="44">
        <v>17.327999999999999</v>
      </c>
      <c r="H8" s="44">
        <v>20.634</v>
      </c>
      <c r="I8" s="14">
        <v>1</v>
      </c>
      <c r="J8">
        <f>IFERROR(IF(I8&gt;0, 1, 0), 0)</f>
        <v>1</v>
      </c>
    </row>
    <row r="9" spans="1:16">
      <c r="A9" s="16" t="s">
        <v>29</v>
      </c>
      <c r="B9" s="43">
        <v>27760</v>
      </c>
      <c r="C9" s="118" t="e">
        <f t="shared" ref="C9:C57" ca="1" si="0">IF(YEAR($B9)&lt;$D$1-1, #N/A, E9)</f>
        <v>#N/A</v>
      </c>
      <c r="D9" s="118" t="e">
        <f t="shared" ref="D9:D57" ca="1" si="1">IF(YEAR($B9)&lt;$D$1-1, #N/A, F9)</f>
        <v>#N/A</v>
      </c>
      <c r="E9" s="32" t="e">
        <v>#N/A</v>
      </c>
      <c r="F9" s="32" t="e">
        <v>#N/A</v>
      </c>
      <c r="G9" s="44">
        <v>16.649000000000001</v>
      </c>
      <c r="H9" s="44">
        <v>20.766999999999999</v>
      </c>
      <c r="I9" s="14">
        <v>0</v>
      </c>
      <c r="J9" s="20">
        <f t="shared" ref="J9:J57" si="2">IFERROR(IF(I9&gt;0, 1, 0), 0)</f>
        <v>0</v>
      </c>
    </row>
    <row r="10" spans="1:16">
      <c r="A10" s="16" t="s">
        <v>30</v>
      </c>
      <c r="B10" s="43">
        <v>28126</v>
      </c>
      <c r="C10" s="118" t="e">
        <f t="shared" ca="1" si="0"/>
        <v>#N/A</v>
      </c>
      <c r="D10" s="118" t="e">
        <f t="shared" ca="1" si="1"/>
        <v>#N/A</v>
      </c>
      <c r="E10" s="32" t="e">
        <v>#N/A</v>
      </c>
      <c r="F10" s="32" t="e">
        <v>#N/A</v>
      </c>
      <c r="G10" s="44">
        <v>17.529</v>
      </c>
      <c r="H10" s="44">
        <v>20.175000000000001</v>
      </c>
      <c r="I10" s="14">
        <v>0</v>
      </c>
      <c r="J10" s="20">
        <f t="shared" si="2"/>
        <v>0</v>
      </c>
    </row>
    <row r="11" spans="1:16">
      <c r="A11" s="16" t="s">
        <v>31</v>
      </c>
      <c r="B11" s="43">
        <v>28491</v>
      </c>
      <c r="C11" s="118" t="e">
        <f t="shared" ca="1" si="0"/>
        <v>#N/A</v>
      </c>
      <c r="D11" s="118" t="e">
        <f t="shared" ca="1" si="1"/>
        <v>#N/A</v>
      </c>
      <c r="E11" s="32" t="e">
        <v>#N/A</v>
      </c>
      <c r="F11" s="32" t="e">
        <v>#N/A</v>
      </c>
      <c r="G11" s="44">
        <v>17.538</v>
      </c>
      <c r="H11" s="44">
        <v>20.135999999999999</v>
      </c>
      <c r="I11" s="14">
        <v>0</v>
      </c>
      <c r="J11" s="20">
        <f t="shared" si="2"/>
        <v>0</v>
      </c>
    </row>
    <row r="12" spans="1:16">
      <c r="A12" s="16" t="s">
        <v>32</v>
      </c>
      <c r="B12" s="43">
        <v>28856</v>
      </c>
      <c r="C12" s="118" t="e">
        <f t="shared" ca="1" si="0"/>
        <v>#N/A</v>
      </c>
      <c r="D12" s="118" t="e">
        <f t="shared" ca="1" si="1"/>
        <v>#N/A</v>
      </c>
      <c r="E12" s="32" t="e">
        <v>#N/A</v>
      </c>
      <c r="F12" s="32" t="e">
        <v>#N/A</v>
      </c>
      <c r="G12" s="44">
        <v>18.027000000000001</v>
      </c>
      <c r="H12" s="44">
        <v>19.611999999999998</v>
      </c>
      <c r="I12" s="14">
        <v>0</v>
      </c>
      <c r="J12" s="20">
        <f t="shared" si="2"/>
        <v>0</v>
      </c>
      <c r="K12" s="19"/>
      <c r="L12" s="19"/>
      <c r="M12" s="19"/>
      <c r="N12" s="19"/>
      <c r="O12" s="19"/>
      <c r="P12" s="19"/>
    </row>
    <row r="13" spans="1:16">
      <c r="A13" s="16" t="s">
        <v>33</v>
      </c>
      <c r="B13" s="43">
        <v>29221</v>
      </c>
      <c r="C13" s="118" t="e">
        <f t="shared" ca="1" si="0"/>
        <v>#N/A</v>
      </c>
      <c r="D13" s="118" t="e">
        <f t="shared" ca="1" si="1"/>
        <v>#N/A</v>
      </c>
      <c r="E13" s="32" t="e">
        <v>#N/A</v>
      </c>
      <c r="F13" s="32" t="e">
        <v>#N/A</v>
      </c>
      <c r="G13" s="44">
        <v>18.489999999999998</v>
      </c>
      <c r="H13" s="44">
        <v>21.129000000000001</v>
      </c>
      <c r="I13" s="14">
        <v>2</v>
      </c>
      <c r="J13" s="20">
        <f t="shared" si="2"/>
        <v>1</v>
      </c>
      <c r="K13" s="19"/>
      <c r="L13" s="19"/>
      <c r="M13" s="19"/>
      <c r="N13" s="19"/>
      <c r="O13" s="19"/>
      <c r="P13" s="19"/>
    </row>
    <row r="14" spans="1:16">
      <c r="A14" s="16" t="s">
        <v>34</v>
      </c>
      <c r="B14" s="43">
        <v>29587</v>
      </c>
      <c r="C14" s="118" t="e">
        <f t="shared" ca="1" si="0"/>
        <v>#N/A</v>
      </c>
      <c r="D14" s="118" t="e">
        <f t="shared" ca="1" si="1"/>
        <v>#N/A</v>
      </c>
      <c r="E14" s="32" t="e">
        <v>#N/A</v>
      </c>
      <c r="F14" s="32" t="e">
        <v>#N/A</v>
      </c>
      <c r="G14" s="44">
        <v>19.094999999999999</v>
      </c>
      <c r="H14" s="44">
        <v>21.611000000000001</v>
      </c>
      <c r="I14" s="14">
        <v>1</v>
      </c>
      <c r="J14" s="20">
        <f t="shared" si="2"/>
        <v>1</v>
      </c>
    </row>
    <row r="15" spans="1:16">
      <c r="A15" s="16" t="s">
        <v>35</v>
      </c>
      <c r="B15" s="43">
        <v>29952</v>
      </c>
      <c r="C15" s="118" t="e">
        <f t="shared" ca="1" si="0"/>
        <v>#N/A</v>
      </c>
      <c r="D15" s="118" t="e">
        <f t="shared" ca="1" si="1"/>
        <v>#N/A</v>
      </c>
      <c r="E15" s="32" t="e">
        <v>#N/A</v>
      </c>
      <c r="F15" s="32" t="e">
        <v>#N/A</v>
      </c>
      <c r="G15" s="44">
        <v>18.641999999999999</v>
      </c>
      <c r="H15" s="44">
        <v>22.503</v>
      </c>
      <c r="I15" s="14">
        <v>4</v>
      </c>
      <c r="J15" s="20">
        <f t="shared" si="2"/>
        <v>1</v>
      </c>
    </row>
    <row r="16" spans="1:16">
      <c r="A16" s="16" t="s">
        <v>36</v>
      </c>
      <c r="B16" s="43">
        <v>30317</v>
      </c>
      <c r="C16" s="118" t="e">
        <f t="shared" ca="1" si="0"/>
        <v>#N/A</v>
      </c>
      <c r="D16" s="118" t="e">
        <f t="shared" ca="1" si="1"/>
        <v>#N/A</v>
      </c>
      <c r="E16" s="32" t="e">
        <v>#N/A</v>
      </c>
      <c r="F16" s="32" t="e">
        <v>#N/A</v>
      </c>
      <c r="G16" s="44">
        <v>16.96</v>
      </c>
      <c r="H16" s="44">
        <v>22.827999999999999</v>
      </c>
      <c r="I16" s="14">
        <v>0</v>
      </c>
      <c r="J16" s="20">
        <f t="shared" si="2"/>
        <v>0</v>
      </c>
    </row>
    <row r="17" spans="1:10">
      <c r="A17" s="16" t="s">
        <v>37</v>
      </c>
      <c r="B17" s="43">
        <v>30682</v>
      </c>
      <c r="C17" s="118" t="e">
        <f t="shared" ca="1" si="0"/>
        <v>#N/A</v>
      </c>
      <c r="D17" s="118" t="e">
        <f t="shared" ca="1" si="1"/>
        <v>#N/A</v>
      </c>
      <c r="E17" s="32" t="e">
        <v>#N/A</v>
      </c>
      <c r="F17" s="32" t="e">
        <v>#N/A</v>
      </c>
      <c r="G17" s="44">
        <v>16.86</v>
      </c>
      <c r="H17" s="44">
        <v>21.548999999999999</v>
      </c>
      <c r="I17" s="14">
        <v>0</v>
      </c>
      <c r="J17" s="20">
        <f t="shared" si="2"/>
        <v>0</v>
      </c>
    </row>
    <row r="18" spans="1:10">
      <c r="A18" s="16" t="s">
        <v>38</v>
      </c>
      <c r="B18" s="43">
        <v>31048</v>
      </c>
      <c r="C18" s="118" t="e">
        <f t="shared" ca="1" si="0"/>
        <v>#N/A</v>
      </c>
      <c r="D18" s="118" t="e">
        <f t="shared" ca="1" si="1"/>
        <v>#N/A</v>
      </c>
      <c r="E18" s="32" t="e">
        <v>#N/A</v>
      </c>
      <c r="F18" s="32" t="e">
        <v>#N/A</v>
      </c>
      <c r="G18" s="44">
        <v>17.189</v>
      </c>
      <c r="H18" s="44">
        <v>22.161000000000001</v>
      </c>
      <c r="I18" s="14">
        <v>0</v>
      </c>
      <c r="J18" s="20">
        <f t="shared" si="2"/>
        <v>0</v>
      </c>
    </row>
    <row r="19" spans="1:10">
      <c r="A19" s="16" t="s">
        <v>39</v>
      </c>
      <c r="B19" s="43">
        <v>31413</v>
      </c>
      <c r="C19" s="118" t="e">
        <f t="shared" ca="1" si="0"/>
        <v>#N/A</v>
      </c>
      <c r="D19" s="118" t="e">
        <f t="shared" ca="1" si="1"/>
        <v>#N/A</v>
      </c>
      <c r="E19" s="32" t="e">
        <v>#N/A</v>
      </c>
      <c r="F19" s="32" t="e">
        <v>#N/A</v>
      </c>
      <c r="G19" s="44">
        <v>16.956</v>
      </c>
      <c r="H19" s="44">
        <v>21.834</v>
      </c>
      <c r="I19" s="14">
        <v>0</v>
      </c>
      <c r="J19" s="20">
        <f t="shared" si="2"/>
        <v>0</v>
      </c>
    </row>
    <row r="20" spans="1:10">
      <c r="A20" s="16" t="s">
        <v>40</v>
      </c>
      <c r="B20" s="43">
        <v>31778</v>
      </c>
      <c r="C20" s="118" t="e">
        <f t="shared" ca="1" si="0"/>
        <v>#N/A</v>
      </c>
      <c r="D20" s="118" t="e">
        <f t="shared" ca="1" si="1"/>
        <v>#N/A</v>
      </c>
      <c r="E20" s="32" t="e">
        <v>#N/A</v>
      </c>
      <c r="F20" s="32" t="e">
        <v>#N/A</v>
      </c>
      <c r="G20" s="44">
        <v>17.864999999999998</v>
      </c>
      <c r="H20" s="44">
        <v>20.995999999999999</v>
      </c>
      <c r="I20" s="14">
        <v>0</v>
      </c>
      <c r="J20" s="20">
        <f t="shared" si="2"/>
        <v>0</v>
      </c>
    </row>
    <row r="21" spans="1:10">
      <c r="A21" s="16" t="s">
        <v>41</v>
      </c>
      <c r="B21" s="43">
        <v>32143</v>
      </c>
      <c r="C21" s="118" t="e">
        <f t="shared" ca="1" si="0"/>
        <v>#N/A</v>
      </c>
      <c r="D21" s="118" t="e">
        <f t="shared" ca="1" si="1"/>
        <v>#N/A</v>
      </c>
      <c r="E21" s="32" t="e">
        <v>#N/A</v>
      </c>
      <c r="F21" s="32" t="e">
        <v>#N/A</v>
      </c>
      <c r="G21" s="44">
        <v>17.638000000000002</v>
      </c>
      <c r="H21" s="44">
        <v>20.648</v>
      </c>
      <c r="I21" s="14">
        <v>0</v>
      </c>
      <c r="J21" s="20">
        <f t="shared" si="2"/>
        <v>0</v>
      </c>
    </row>
    <row r="22" spans="1:10">
      <c r="A22" s="16" t="s">
        <v>42</v>
      </c>
      <c r="B22" s="43">
        <v>32509</v>
      </c>
      <c r="C22" s="118" t="e">
        <f t="shared" ca="1" si="0"/>
        <v>#N/A</v>
      </c>
      <c r="D22" s="118" t="e">
        <f t="shared" ca="1" si="1"/>
        <v>#N/A</v>
      </c>
      <c r="E22" s="32" t="e">
        <v>#N/A</v>
      </c>
      <c r="F22" s="32" t="e">
        <v>#N/A</v>
      </c>
      <c r="G22" s="44">
        <v>17.794</v>
      </c>
      <c r="H22" s="44">
        <v>20.533999999999999</v>
      </c>
      <c r="I22" s="14">
        <v>0</v>
      </c>
      <c r="J22" s="20">
        <f t="shared" si="2"/>
        <v>0</v>
      </c>
    </row>
    <row r="23" spans="1:10">
      <c r="A23" s="16" t="s">
        <v>43</v>
      </c>
      <c r="B23" s="43">
        <v>32874</v>
      </c>
      <c r="C23" s="118" t="e">
        <f t="shared" ca="1" si="0"/>
        <v>#N/A</v>
      </c>
      <c r="D23" s="118" t="e">
        <f t="shared" ca="1" si="1"/>
        <v>#N/A</v>
      </c>
      <c r="E23" s="32" t="e">
        <v>#N/A</v>
      </c>
      <c r="F23" s="32" t="e">
        <v>#N/A</v>
      </c>
      <c r="G23" s="44">
        <v>17.448</v>
      </c>
      <c r="H23" s="44">
        <v>21.184999999999999</v>
      </c>
      <c r="I23" s="14">
        <v>1</v>
      </c>
      <c r="J23" s="20">
        <f t="shared" si="2"/>
        <v>1</v>
      </c>
    </row>
    <row r="24" spans="1:10">
      <c r="A24" s="16" t="s">
        <v>44</v>
      </c>
      <c r="B24" s="43">
        <v>33239</v>
      </c>
      <c r="C24" s="118" t="e">
        <f t="shared" ca="1" si="0"/>
        <v>#N/A</v>
      </c>
      <c r="D24" s="118" t="e">
        <f t="shared" ca="1" si="1"/>
        <v>#N/A</v>
      </c>
      <c r="E24" s="32" t="e">
        <v>#N/A</v>
      </c>
      <c r="F24" s="32" t="e">
        <v>#N/A</v>
      </c>
      <c r="G24" s="44">
        <v>17.265999999999998</v>
      </c>
      <c r="H24" s="44">
        <v>21.672999999999998</v>
      </c>
      <c r="I24" s="14">
        <v>1</v>
      </c>
      <c r="J24" s="20">
        <f t="shared" si="2"/>
        <v>1</v>
      </c>
    </row>
    <row r="25" spans="1:10">
      <c r="A25" s="16" t="s">
        <v>45</v>
      </c>
      <c r="B25" s="43">
        <v>33604</v>
      </c>
      <c r="C25" s="118" t="e">
        <f t="shared" ca="1" si="0"/>
        <v>#N/A</v>
      </c>
      <c r="D25" s="118" t="e">
        <f t="shared" ca="1" si="1"/>
        <v>#N/A</v>
      </c>
      <c r="E25" s="32" t="e">
        <v>#N/A</v>
      </c>
      <c r="F25" s="32" t="e">
        <v>#N/A</v>
      </c>
      <c r="G25" s="44">
        <v>16.957999999999998</v>
      </c>
      <c r="H25" s="44">
        <v>21.47</v>
      </c>
      <c r="I25" s="14">
        <v>0</v>
      </c>
      <c r="J25" s="20">
        <f t="shared" si="2"/>
        <v>0</v>
      </c>
    </row>
    <row r="26" spans="1:10">
      <c r="A26" s="16" t="s">
        <v>46</v>
      </c>
      <c r="B26" s="43">
        <v>33970</v>
      </c>
      <c r="C26" s="118" t="e">
        <f t="shared" ca="1" si="0"/>
        <v>#N/A</v>
      </c>
      <c r="D26" s="118" t="e">
        <f t="shared" ca="1" si="1"/>
        <v>#N/A</v>
      </c>
      <c r="E26" s="32" t="e">
        <v>#N/A</v>
      </c>
      <c r="F26" s="32" t="e">
        <v>#N/A</v>
      </c>
      <c r="G26" s="44">
        <v>16.988</v>
      </c>
      <c r="H26" s="44">
        <v>20.742000000000001</v>
      </c>
      <c r="I26" s="14">
        <v>0</v>
      </c>
      <c r="J26" s="20">
        <f t="shared" si="2"/>
        <v>0</v>
      </c>
    </row>
    <row r="27" spans="1:10">
      <c r="A27" s="16" t="s">
        <v>47</v>
      </c>
      <c r="B27" s="43">
        <v>34335</v>
      </c>
      <c r="C27" s="118" t="e">
        <f t="shared" ca="1" si="0"/>
        <v>#N/A</v>
      </c>
      <c r="D27" s="118" t="e">
        <f t="shared" ca="1" si="1"/>
        <v>#N/A</v>
      </c>
      <c r="E27" s="32" t="e">
        <v>#N/A</v>
      </c>
      <c r="F27" s="32" t="e">
        <v>#N/A</v>
      </c>
      <c r="G27" s="44">
        <v>17.484999999999999</v>
      </c>
      <c r="H27" s="44">
        <v>20.308</v>
      </c>
      <c r="I27" s="14">
        <v>0</v>
      </c>
      <c r="J27" s="20">
        <f t="shared" si="2"/>
        <v>0</v>
      </c>
    </row>
    <row r="28" spans="1:10">
      <c r="A28" s="16" t="s">
        <v>48</v>
      </c>
      <c r="B28" s="43">
        <v>34700</v>
      </c>
      <c r="C28" s="118" t="e">
        <f t="shared" ca="1" si="0"/>
        <v>#N/A</v>
      </c>
      <c r="D28" s="118" t="e">
        <f t="shared" ca="1" si="1"/>
        <v>#N/A</v>
      </c>
      <c r="E28" s="32" t="e">
        <v>#N/A</v>
      </c>
      <c r="F28" s="32" t="e">
        <v>#N/A</v>
      </c>
      <c r="G28" s="44">
        <v>17.826000000000001</v>
      </c>
      <c r="H28" s="44">
        <v>19.988</v>
      </c>
      <c r="I28" s="14">
        <v>0</v>
      </c>
      <c r="J28" s="20">
        <f t="shared" si="2"/>
        <v>0</v>
      </c>
    </row>
    <row r="29" spans="1:10">
      <c r="A29" s="16" t="s">
        <v>49</v>
      </c>
      <c r="B29" s="43">
        <v>35065</v>
      </c>
      <c r="C29" s="118" t="e">
        <f t="shared" ca="1" si="0"/>
        <v>#N/A</v>
      </c>
      <c r="D29" s="118" t="e">
        <f t="shared" ca="1" si="1"/>
        <v>#N/A</v>
      </c>
      <c r="E29" s="32" t="e">
        <v>#N/A</v>
      </c>
      <c r="F29" s="32" t="e">
        <v>#N/A</v>
      </c>
      <c r="G29" s="44">
        <v>18.213000000000001</v>
      </c>
      <c r="H29" s="44">
        <v>19.559000000000001</v>
      </c>
      <c r="I29" s="14">
        <v>0</v>
      </c>
      <c r="J29" s="20">
        <f t="shared" si="2"/>
        <v>0</v>
      </c>
    </row>
    <row r="30" spans="1:10">
      <c r="A30" s="16" t="s">
        <v>50</v>
      </c>
      <c r="B30" s="43">
        <v>35431</v>
      </c>
      <c r="C30" s="118" t="e">
        <f t="shared" ca="1" si="0"/>
        <v>#N/A</v>
      </c>
      <c r="D30" s="118" t="e">
        <f t="shared" ca="1" si="1"/>
        <v>#N/A</v>
      </c>
      <c r="E30" s="32" t="e">
        <v>#N/A</v>
      </c>
      <c r="F30" s="32" t="e">
        <v>#N/A</v>
      </c>
      <c r="G30" s="44">
        <v>18.616</v>
      </c>
      <c r="H30" s="44">
        <v>18.873999999999999</v>
      </c>
      <c r="I30" s="14">
        <v>0</v>
      </c>
      <c r="J30" s="20">
        <f t="shared" si="2"/>
        <v>0</v>
      </c>
    </row>
    <row r="31" spans="1:10">
      <c r="A31" s="16" t="s">
        <v>51</v>
      </c>
      <c r="B31" s="43">
        <v>35796</v>
      </c>
      <c r="C31" s="118" t="e">
        <f t="shared" ca="1" si="0"/>
        <v>#N/A</v>
      </c>
      <c r="D31" s="118" t="e">
        <f t="shared" ca="1" si="1"/>
        <v>#N/A</v>
      </c>
      <c r="E31" s="32" t="e">
        <v>#N/A</v>
      </c>
      <c r="F31" s="32" t="e">
        <v>#N/A</v>
      </c>
      <c r="G31" s="44">
        <v>19.227</v>
      </c>
      <c r="H31" s="44">
        <v>18.452999999999999</v>
      </c>
      <c r="I31" s="14">
        <v>0</v>
      </c>
      <c r="J31" s="20">
        <f t="shared" si="2"/>
        <v>0</v>
      </c>
    </row>
    <row r="32" spans="1:10">
      <c r="A32" s="16" t="s">
        <v>52</v>
      </c>
      <c r="B32" s="43">
        <v>36161</v>
      </c>
      <c r="C32" s="118" t="e">
        <f t="shared" ca="1" si="0"/>
        <v>#N/A</v>
      </c>
      <c r="D32" s="118" t="e">
        <f t="shared" ca="1" si="1"/>
        <v>#N/A</v>
      </c>
      <c r="E32" s="32" t="e">
        <v>#N/A</v>
      </c>
      <c r="F32" s="32" t="e">
        <v>#N/A</v>
      </c>
      <c r="G32" s="44">
        <v>19.215</v>
      </c>
      <c r="H32" s="44">
        <v>17.893999999999998</v>
      </c>
      <c r="I32" s="14">
        <v>0</v>
      </c>
      <c r="J32" s="20">
        <f t="shared" si="2"/>
        <v>0</v>
      </c>
    </row>
    <row r="33" spans="1:10">
      <c r="A33" s="16" t="s">
        <v>53</v>
      </c>
      <c r="B33" s="43">
        <v>36526</v>
      </c>
      <c r="C33" s="118" t="e">
        <f t="shared" ca="1" si="0"/>
        <v>#N/A</v>
      </c>
      <c r="D33" s="118" t="e">
        <f t="shared" ca="1" si="1"/>
        <v>#N/A</v>
      </c>
      <c r="E33" s="32" t="e">
        <v>#N/A</v>
      </c>
      <c r="F33" s="32" t="e">
        <v>#N/A</v>
      </c>
      <c r="G33" s="44">
        <v>19.956</v>
      </c>
      <c r="H33" s="44">
        <v>17.628</v>
      </c>
      <c r="I33" s="14">
        <v>0</v>
      </c>
      <c r="J33" s="20">
        <f t="shared" si="2"/>
        <v>0</v>
      </c>
    </row>
    <row r="34" spans="1:10">
      <c r="A34" s="16" t="s">
        <v>54</v>
      </c>
      <c r="B34" s="43">
        <v>36892</v>
      </c>
      <c r="C34" s="118" t="e">
        <f t="shared" ca="1" si="0"/>
        <v>#N/A</v>
      </c>
      <c r="D34" s="118" t="e">
        <f t="shared" ca="1" si="1"/>
        <v>#N/A</v>
      </c>
      <c r="E34" s="32" t="e">
        <v>#N/A</v>
      </c>
      <c r="F34" s="32" t="e">
        <v>#N/A</v>
      </c>
      <c r="G34" s="44">
        <v>18.847000000000001</v>
      </c>
      <c r="H34" s="44">
        <v>17.632999999999999</v>
      </c>
      <c r="I34" s="14">
        <v>3</v>
      </c>
      <c r="J34" s="20">
        <f t="shared" si="2"/>
        <v>1</v>
      </c>
    </row>
    <row r="35" spans="1:10">
      <c r="A35" s="16" t="s">
        <v>55</v>
      </c>
      <c r="B35" s="43">
        <v>37257</v>
      </c>
      <c r="C35" s="118" t="e">
        <f t="shared" ca="1" si="0"/>
        <v>#N/A</v>
      </c>
      <c r="D35" s="118" t="e">
        <f t="shared" ca="1" si="1"/>
        <v>#N/A</v>
      </c>
      <c r="E35" s="32" t="e">
        <v>#N/A</v>
      </c>
      <c r="F35" s="32" t="e">
        <v>#N/A</v>
      </c>
      <c r="G35" s="44">
        <v>17.036999999999999</v>
      </c>
      <c r="H35" s="44">
        <v>18.488</v>
      </c>
      <c r="I35" s="14">
        <v>0</v>
      </c>
      <c r="J35" s="20">
        <f t="shared" si="2"/>
        <v>0</v>
      </c>
    </row>
    <row r="36" spans="1:10">
      <c r="A36" s="16" t="s">
        <v>56</v>
      </c>
      <c r="B36" s="43">
        <v>37622</v>
      </c>
      <c r="C36" s="118" t="e">
        <f t="shared" ca="1" si="0"/>
        <v>#N/A</v>
      </c>
      <c r="D36" s="118" t="e">
        <f t="shared" ca="1" si="1"/>
        <v>#N/A</v>
      </c>
      <c r="E36" s="32" t="e">
        <v>#N/A</v>
      </c>
      <c r="F36" s="32" t="e">
        <v>#N/A</v>
      </c>
      <c r="G36" s="44">
        <v>15.728</v>
      </c>
      <c r="H36" s="44">
        <v>19.059000000000001</v>
      </c>
      <c r="I36" s="14">
        <v>0</v>
      </c>
      <c r="J36" s="20">
        <f t="shared" si="2"/>
        <v>0</v>
      </c>
    </row>
    <row r="37" spans="1:10">
      <c r="A37" s="16" t="s">
        <v>57</v>
      </c>
      <c r="B37" s="43">
        <v>37987</v>
      </c>
      <c r="C37" s="118" t="e">
        <f t="shared" ca="1" si="0"/>
        <v>#N/A</v>
      </c>
      <c r="D37" s="118" t="e">
        <f t="shared" ca="1" si="1"/>
        <v>#N/A</v>
      </c>
      <c r="E37" s="32" t="e">
        <v>#N/A</v>
      </c>
      <c r="F37" s="32" t="e">
        <v>#N/A</v>
      </c>
      <c r="G37" s="44">
        <v>15.553000000000001</v>
      </c>
      <c r="H37" s="44">
        <v>18.966999999999999</v>
      </c>
      <c r="I37" s="14">
        <v>0</v>
      </c>
      <c r="J37" s="20">
        <f t="shared" si="2"/>
        <v>0</v>
      </c>
    </row>
    <row r="38" spans="1:10">
      <c r="A38" s="16" t="s">
        <v>58</v>
      </c>
      <c r="B38" s="43">
        <v>38353</v>
      </c>
      <c r="C38" s="118" t="e">
        <f t="shared" ca="1" si="0"/>
        <v>#N/A</v>
      </c>
      <c r="D38" s="118" t="e">
        <f t="shared" ca="1" si="1"/>
        <v>#N/A</v>
      </c>
      <c r="E38" s="32" t="e">
        <v>#N/A</v>
      </c>
      <c r="F38" s="32" t="e">
        <v>#N/A</v>
      </c>
      <c r="G38" s="44">
        <v>16.709</v>
      </c>
      <c r="H38" s="44">
        <v>19.178999999999998</v>
      </c>
      <c r="I38" s="14">
        <v>0</v>
      </c>
      <c r="J38" s="20">
        <f t="shared" si="2"/>
        <v>0</v>
      </c>
    </row>
    <row r="39" spans="1:10">
      <c r="A39" s="16" t="s">
        <v>59</v>
      </c>
      <c r="B39" s="43">
        <v>38718</v>
      </c>
      <c r="C39" s="118" t="e">
        <f t="shared" ca="1" si="0"/>
        <v>#N/A</v>
      </c>
      <c r="D39" s="118" t="e">
        <f t="shared" ca="1" si="1"/>
        <v>#N/A</v>
      </c>
      <c r="E39" s="32" t="e">
        <v>#N/A</v>
      </c>
      <c r="F39" s="32" t="e">
        <v>#N/A</v>
      </c>
      <c r="G39" s="44">
        <v>17.588000000000001</v>
      </c>
      <c r="H39" s="44">
        <v>19.402000000000001</v>
      </c>
      <c r="I39" s="14">
        <v>0</v>
      </c>
      <c r="J39" s="20">
        <f t="shared" si="2"/>
        <v>0</v>
      </c>
    </row>
    <row r="40" spans="1:10">
      <c r="A40" s="16" t="s">
        <v>60</v>
      </c>
      <c r="B40" s="43">
        <v>39083</v>
      </c>
      <c r="C40" s="118" t="e">
        <f t="shared" ca="1" si="0"/>
        <v>#N/A</v>
      </c>
      <c r="D40" s="118" t="e">
        <f t="shared" ca="1" si="1"/>
        <v>#N/A</v>
      </c>
      <c r="E40" s="32" t="e">
        <v>#N/A</v>
      </c>
      <c r="F40" s="32" t="e">
        <v>#N/A</v>
      </c>
      <c r="G40" s="44">
        <v>17.928999999999998</v>
      </c>
      <c r="H40" s="44">
        <v>19.050999999999998</v>
      </c>
      <c r="I40" s="14">
        <v>0</v>
      </c>
      <c r="J40" s="20">
        <f t="shared" si="2"/>
        <v>0</v>
      </c>
    </row>
    <row r="41" spans="1:10">
      <c r="A41" s="16" t="s">
        <v>61</v>
      </c>
      <c r="B41" s="43">
        <v>39448</v>
      </c>
      <c r="C41" s="118" t="e">
        <f t="shared" ca="1" si="0"/>
        <v>#N/A</v>
      </c>
      <c r="D41" s="118" t="e">
        <f t="shared" ca="1" si="1"/>
        <v>#N/A</v>
      </c>
      <c r="E41" s="32" t="e">
        <v>#N/A</v>
      </c>
      <c r="F41" s="32" t="e">
        <v>#N/A</v>
      </c>
      <c r="G41" s="44">
        <v>17.109000000000002</v>
      </c>
      <c r="H41" s="44">
        <v>20.216999999999999</v>
      </c>
      <c r="I41" s="14">
        <v>4</v>
      </c>
      <c r="J41" s="20">
        <f t="shared" si="2"/>
        <v>1</v>
      </c>
    </row>
    <row r="42" spans="1:10">
      <c r="A42" s="16" t="s">
        <v>62</v>
      </c>
      <c r="B42" s="43">
        <v>39814</v>
      </c>
      <c r="C42" s="118" t="e">
        <f t="shared" ca="1" si="0"/>
        <v>#N/A</v>
      </c>
      <c r="D42" s="118" t="e">
        <f t="shared" ca="1" si="1"/>
        <v>#N/A</v>
      </c>
      <c r="E42" s="32" t="e">
        <v>#N/A</v>
      </c>
      <c r="F42" s="32" t="e">
        <v>#N/A</v>
      </c>
      <c r="G42" s="44">
        <v>14.603</v>
      </c>
      <c r="H42" s="44">
        <v>24.404</v>
      </c>
      <c r="I42" s="14">
        <v>2</v>
      </c>
      <c r="J42" s="20">
        <f t="shared" si="2"/>
        <v>1</v>
      </c>
    </row>
    <row r="43" spans="1:10">
      <c r="A43" s="16" t="s">
        <v>63</v>
      </c>
      <c r="B43" s="43">
        <v>40179</v>
      </c>
      <c r="C43" s="118" t="e">
        <f t="shared" ca="1" si="0"/>
        <v>#N/A</v>
      </c>
      <c r="D43" s="118" t="e">
        <f t="shared" ca="1" si="1"/>
        <v>#N/A</v>
      </c>
      <c r="E43" s="32" t="e">
        <v>#N/A</v>
      </c>
      <c r="F43" s="32" t="e">
        <v>#N/A</v>
      </c>
      <c r="G43" s="44">
        <v>14.614000000000001</v>
      </c>
      <c r="H43" s="44">
        <v>23.361000000000001</v>
      </c>
      <c r="I43" s="14">
        <v>0</v>
      </c>
      <c r="J43" s="20">
        <f t="shared" si="2"/>
        <v>0</v>
      </c>
    </row>
    <row r="44" spans="1:10">
      <c r="A44" s="16" t="s">
        <v>64</v>
      </c>
      <c r="B44" s="43">
        <v>40544</v>
      </c>
      <c r="C44" s="118" t="e">
        <f t="shared" ca="1" si="0"/>
        <v>#N/A</v>
      </c>
      <c r="D44" s="118" t="e">
        <f t="shared" ca="1" si="1"/>
        <v>#N/A</v>
      </c>
      <c r="E44" s="32" t="e">
        <v>#N/A</v>
      </c>
      <c r="F44" s="32" t="e">
        <v>#N/A</v>
      </c>
      <c r="G44" s="44">
        <v>14.978</v>
      </c>
      <c r="H44" s="44">
        <v>23.428000000000001</v>
      </c>
      <c r="I44" s="14">
        <v>0</v>
      </c>
      <c r="J44" s="20">
        <f t="shared" si="2"/>
        <v>0</v>
      </c>
    </row>
    <row r="45" spans="1:10">
      <c r="A45" s="16" t="s">
        <v>65</v>
      </c>
      <c r="B45" s="43">
        <v>40909</v>
      </c>
      <c r="C45" s="118" t="e">
        <f t="shared" ca="1" si="0"/>
        <v>#N/A</v>
      </c>
      <c r="D45" s="118" t="e">
        <f t="shared" ca="1" si="1"/>
        <v>#N/A</v>
      </c>
      <c r="E45" s="32">
        <v>15.2</v>
      </c>
      <c r="F45" s="32">
        <v>22</v>
      </c>
      <c r="G45" s="44">
        <v>15.287000000000001</v>
      </c>
      <c r="H45" s="44">
        <v>22.07</v>
      </c>
      <c r="I45" s="14">
        <v>0</v>
      </c>
      <c r="J45" s="20">
        <f t="shared" si="2"/>
        <v>0</v>
      </c>
    </row>
    <row r="46" spans="1:10">
      <c r="A46" s="16" t="s">
        <v>66</v>
      </c>
      <c r="B46" s="43">
        <v>41275</v>
      </c>
      <c r="C46" s="118" t="e">
        <f t="shared" ca="1" si="0"/>
        <v>#N/A</v>
      </c>
      <c r="D46" s="118" t="e">
        <f t="shared" ca="1" si="1"/>
        <v>#N/A</v>
      </c>
      <c r="E46" s="32">
        <v>16.7</v>
      </c>
      <c r="F46" s="32">
        <v>20.8</v>
      </c>
      <c r="G46" s="44">
        <v>16.736000000000001</v>
      </c>
      <c r="H46" s="44">
        <v>20.834</v>
      </c>
      <c r="I46" s="14">
        <v>0</v>
      </c>
      <c r="J46" s="20">
        <f t="shared" si="2"/>
        <v>0</v>
      </c>
    </row>
    <row r="47" spans="1:10">
      <c r="A47" s="16" t="s">
        <v>67</v>
      </c>
      <c r="B47" s="43">
        <v>41640</v>
      </c>
      <c r="C47" s="118">
        <f t="shared" ca="1" si="0"/>
        <v>17.5</v>
      </c>
      <c r="D47" s="118">
        <f t="shared" ca="1" si="1"/>
        <v>20.3</v>
      </c>
      <c r="E47" s="32">
        <v>17.5</v>
      </c>
      <c r="F47" s="32">
        <v>20.3</v>
      </c>
      <c r="G47" s="44">
        <v>17.510999999999999</v>
      </c>
      <c r="H47" s="44">
        <v>20.312000000000001</v>
      </c>
      <c r="I47" s="14">
        <v>0</v>
      </c>
      <c r="J47" s="20">
        <f t="shared" si="2"/>
        <v>0</v>
      </c>
    </row>
    <row r="48" spans="1:10">
      <c r="A48" s="16" t="s">
        <v>68</v>
      </c>
      <c r="B48" s="43">
        <v>42005</v>
      </c>
      <c r="C48" s="118">
        <f t="shared" ca="1" si="0"/>
        <v>17.7</v>
      </c>
      <c r="D48" s="118">
        <f t="shared" ca="1" si="1"/>
        <v>20.399999999999999</v>
      </c>
      <c r="E48" s="32">
        <v>17.7</v>
      </c>
      <c r="F48" s="32">
        <v>20.399999999999999</v>
      </c>
      <c r="G48" s="44" t="e">
        <v>#N/A</v>
      </c>
      <c r="H48" s="44" t="e">
        <v>#N/A</v>
      </c>
      <c r="I48" s="14">
        <v>0</v>
      </c>
      <c r="J48" s="20">
        <f t="shared" si="2"/>
        <v>0</v>
      </c>
    </row>
    <row r="49" spans="1:10">
      <c r="A49" s="16" t="s">
        <v>69</v>
      </c>
      <c r="B49" s="43">
        <v>42370</v>
      </c>
      <c r="C49" s="118">
        <f t="shared" ca="1" si="0"/>
        <v>18.399999999999999</v>
      </c>
      <c r="D49" s="118">
        <f t="shared" ca="1" si="1"/>
        <v>20.8</v>
      </c>
      <c r="E49" s="32">
        <v>18.399999999999999</v>
      </c>
      <c r="F49" s="32">
        <v>20.8</v>
      </c>
      <c r="G49" s="44" t="e">
        <v>#N/A</v>
      </c>
      <c r="H49" s="44" t="e">
        <v>#N/A</v>
      </c>
      <c r="I49" s="14" t="e">
        <v>#N/A</v>
      </c>
      <c r="J49" s="20">
        <f t="shared" si="2"/>
        <v>0</v>
      </c>
    </row>
    <row r="50" spans="1:10">
      <c r="A50" s="16" t="s">
        <v>70</v>
      </c>
      <c r="B50" s="43">
        <v>42736</v>
      </c>
      <c r="C50" s="118">
        <f t="shared" ca="1" si="0"/>
        <v>18.3</v>
      </c>
      <c r="D50" s="118">
        <f t="shared" ca="1" si="1"/>
        <v>20.6</v>
      </c>
      <c r="E50" s="32">
        <v>18.3</v>
      </c>
      <c r="F50" s="32">
        <v>20.6</v>
      </c>
      <c r="G50" s="44" t="e">
        <v>#N/A</v>
      </c>
      <c r="H50" s="44" t="e">
        <v>#N/A</v>
      </c>
      <c r="I50" s="14" t="e">
        <v>#N/A</v>
      </c>
      <c r="J50" s="20">
        <f t="shared" si="2"/>
        <v>0</v>
      </c>
    </row>
    <row r="51" spans="1:10">
      <c r="A51" s="16" t="s">
        <v>71</v>
      </c>
      <c r="B51" s="43">
        <v>43101</v>
      </c>
      <c r="C51" s="118">
        <f t="shared" ca="1" si="0"/>
        <v>18.100000000000001</v>
      </c>
      <c r="D51" s="118">
        <f t="shared" ca="1" si="1"/>
        <v>20.5</v>
      </c>
      <c r="E51" s="32">
        <v>18.100000000000001</v>
      </c>
      <c r="F51" s="32">
        <v>20.5</v>
      </c>
      <c r="G51" s="44" t="e">
        <v>#N/A</v>
      </c>
      <c r="H51" s="44" t="e">
        <v>#N/A</v>
      </c>
      <c r="I51" s="14" t="e">
        <v>#N/A</v>
      </c>
      <c r="J51" s="20">
        <f t="shared" si="2"/>
        <v>0</v>
      </c>
    </row>
    <row r="52" spans="1:10">
      <c r="A52" s="16" t="s">
        <v>72</v>
      </c>
      <c r="B52" s="43">
        <v>43466</v>
      </c>
      <c r="C52" s="118">
        <f t="shared" ca="1" si="0"/>
        <v>18.100000000000001</v>
      </c>
      <c r="D52" s="118">
        <f t="shared" ca="1" si="1"/>
        <v>20.9</v>
      </c>
      <c r="E52" s="32">
        <v>18.100000000000001</v>
      </c>
      <c r="F52" s="32">
        <v>20.9</v>
      </c>
      <c r="G52" s="44" t="e">
        <v>#N/A</v>
      </c>
      <c r="H52" s="44" t="e">
        <v>#N/A</v>
      </c>
      <c r="I52" s="14" t="e">
        <v>#N/A</v>
      </c>
      <c r="J52" s="20">
        <f t="shared" si="2"/>
        <v>0</v>
      </c>
    </row>
    <row r="53" spans="1:10">
      <c r="A53" s="16" t="s">
        <v>73</v>
      </c>
      <c r="B53" s="43">
        <v>43831</v>
      </c>
      <c r="C53" s="118">
        <f t="shared" ca="1" si="0"/>
        <v>18.100000000000001</v>
      </c>
      <c r="D53" s="118">
        <f t="shared" ca="1" si="1"/>
        <v>21.2</v>
      </c>
      <c r="E53" s="32">
        <v>18.100000000000001</v>
      </c>
      <c r="F53" s="32">
        <v>21.2</v>
      </c>
      <c r="G53" s="44" t="e">
        <v>#N/A</v>
      </c>
      <c r="H53" s="44" t="e">
        <v>#N/A</v>
      </c>
      <c r="I53" s="14" t="e">
        <v>#N/A</v>
      </c>
      <c r="J53" s="20">
        <f t="shared" si="2"/>
        <v>0</v>
      </c>
    </row>
    <row r="54" spans="1:10">
      <c r="A54" s="16" t="s">
        <v>74</v>
      </c>
      <c r="B54" s="43">
        <v>44197</v>
      </c>
      <c r="C54" s="118">
        <f t="shared" ca="1" si="0"/>
        <v>18.100000000000001</v>
      </c>
      <c r="D54" s="118">
        <f t="shared" ca="1" si="1"/>
        <v>21.4</v>
      </c>
      <c r="E54" s="32">
        <v>18.100000000000001</v>
      </c>
      <c r="F54" s="32">
        <v>21.4</v>
      </c>
      <c r="G54" s="44" t="e">
        <v>#N/A</v>
      </c>
      <c r="H54" s="44" t="e">
        <v>#N/A</v>
      </c>
      <c r="I54" s="14" t="e">
        <v>#N/A</v>
      </c>
      <c r="J54" s="20">
        <f t="shared" si="2"/>
        <v>0</v>
      </c>
    </row>
    <row r="55" spans="1:10">
      <c r="A55" s="16" t="s">
        <v>75</v>
      </c>
      <c r="B55" s="43">
        <v>44562</v>
      </c>
      <c r="C55" s="118">
        <f t="shared" ca="1" si="0"/>
        <v>18.100000000000001</v>
      </c>
      <c r="D55" s="118">
        <f t="shared" ca="1" si="1"/>
        <v>21.8</v>
      </c>
      <c r="E55" s="32">
        <v>18.100000000000001</v>
      </c>
      <c r="F55" s="32">
        <v>21.8</v>
      </c>
      <c r="G55" s="44" t="e">
        <v>#N/A</v>
      </c>
      <c r="H55" s="44" t="e">
        <v>#N/A</v>
      </c>
      <c r="I55" s="14" t="e">
        <v>#N/A</v>
      </c>
      <c r="J55" s="20">
        <f t="shared" si="2"/>
        <v>0</v>
      </c>
    </row>
    <row r="56" spans="1:10">
      <c r="A56" s="16" t="s">
        <v>76</v>
      </c>
      <c r="B56" s="43">
        <v>44927</v>
      </c>
      <c r="C56" s="118">
        <f t="shared" ca="1" si="0"/>
        <v>18.2</v>
      </c>
      <c r="D56" s="118">
        <f t="shared" ca="1" si="1"/>
        <v>21.8</v>
      </c>
      <c r="E56" s="32">
        <v>18.2</v>
      </c>
      <c r="F56" s="32">
        <v>21.8</v>
      </c>
      <c r="G56" s="44" t="e">
        <v>#N/A</v>
      </c>
      <c r="H56" s="44" t="e">
        <v>#N/A</v>
      </c>
      <c r="I56" s="14" t="e">
        <v>#N/A</v>
      </c>
      <c r="J56" s="20">
        <f t="shared" si="2"/>
        <v>0</v>
      </c>
    </row>
    <row r="57" spans="1:10">
      <c r="A57" s="16" t="s">
        <v>77</v>
      </c>
      <c r="B57" s="43">
        <v>45292</v>
      </c>
      <c r="C57" s="118">
        <f t="shared" ca="1" si="0"/>
        <v>18.2</v>
      </c>
      <c r="D57" s="118">
        <f t="shared" ca="1" si="1"/>
        <v>21.7</v>
      </c>
      <c r="E57" s="32">
        <v>18.2</v>
      </c>
      <c r="F57" s="32">
        <v>21.7</v>
      </c>
      <c r="G57" s="44" t="e">
        <v>#N/A</v>
      </c>
      <c r="H57" s="44" t="e">
        <v>#N/A</v>
      </c>
      <c r="I57" s="14" t="e">
        <v>#N/A</v>
      </c>
      <c r="J57" s="20">
        <f t="shared" si="2"/>
        <v>0</v>
      </c>
    </row>
    <row r="58" spans="1:10">
      <c r="J58" s="20"/>
    </row>
  </sheetData>
  <hyperlinks>
    <hyperlink ref="G4" r:id="rId1"/>
    <hyperlink ref="H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zoomScale="70" zoomScaleNormal="70" workbookViewId="0">
      <selection activeCell="F7" sqref="F7"/>
    </sheetView>
  </sheetViews>
  <sheetFormatPr defaultRowHeight="15"/>
  <cols>
    <col min="1" max="2" width="9.140625" style="16"/>
    <col min="3" max="3" width="64.85546875" bestFit="1" customWidth="1"/>
    <col min="4" max="4" width="60.85546875" style="20" bestFit="1" customWidth="1"/>
    <col min="5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E1" s="115">
        <f ca="1">YEAR(TODAY())</f>
        <v>2015</v>
      </c>
      <c r="F1" t="s">
        <v>134</v>
      </c>
      <c r="G1">
        <v>2014</v>
      </c>
    </row>
    <row r="2" spans="1:10">
      <c r="C2" s="19" t="s">
        <v>341</v>
      </c>
      <c r="D2" s="19"/>
    </row>
    <row r="3" spans="1:10">
      <c r="A3" s="22" t="s">
        <v>276</v>
      </c>
      <c r="B3" s="22" t="s">
        <v>382</v>
      </c>
      <c r="C3" s="45" t="s">
        <v>340</v>
      </c>
      <c r="D3" s="21" t="s">
        <v>342</v>
      </c>
      <c r="E3" s="21"/>
      <c r="F3" s="17"/>
      <c r="G3" s="111" t="s">
        <v>389</v>
      </c>
      <c r="I3" s="17"/>
      <c r="J3" s="17"/>
    </row>
    <row r="4" spans="1:10">
      <c r="A4" s="16" t="s">
        <v>7</v>
      </c>
      <c r="C4" s="19" t="s">
        <v>343</v>
      </c>
      <c r="D4" s="19" t="s">
        <v>344</v>
      </c>
      <c r="G4" t="s">
        <v>388</v>
      </c>
    </row>
    <row r="5" spans="1:10">
      <c r="A5" s="16" t="s">
        <v>20</v>
      </c>
      <c r="C5" s="19" t="s">
        <v>22</v>
      </c>
      <c r="D5" s="19" t="s">
        <v>22</v>
      </c>
      <c r="G5" t="s">
        <v>380</v>
      </c>
    </row>
    <row r="6" spans="1:10">
      <c r="A6" s="16" t="s">
        <v>24</v>
      </c>
      <c r="C6" s="19" t="s">
        <v>394</v>
      </c>
      <c r="D6" s="19" t="s">
        <v>455</v>
      </c>
      <c r="E6" s="20" t="s">
        <v>135</v>
      </c>
      <c r="F6" t="s">
        <v>136</v>
      </c>
      <c r="G6" t="s">
        <v>437</v>
      </c>
    </row>
    <row r="7" spans="1:10">
      <c r="A7" s="16" t="s">
        <v>28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 ca="1">IF(YEAR(B7)&lt;$E$1-1,#N/A,D7)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29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ca="1" si="1">IF(YEAR(B8)&lt;$E$1-1,#N/A,D8)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30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ca="1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31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ca="1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32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ca="1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33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ca="1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34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ca="1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35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ca="1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36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ca="1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37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ca="1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38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ca="1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39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ca="1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40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ca="1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41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ca="1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42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ca="1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43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ca="1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44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ca="1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45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ca="1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46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ca="1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47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ca="1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48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ca="1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49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ca="1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50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ca="1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51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ca="1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52</v>
      </c>
      <c r="B31" s="43">
        <v>36161</v>
      </c>
      <c r="C31" s="101">
        <v>1.321</v>
      </c>
      <c r="D31" s="35" t="e">
        <v>#N/A</v>
      </c>
      <c r="E31" s="102">
        <f t="shared" si="0"/>
        <v>1.321</v>
      </c>
      <c r="F31" s="102" t="e">
        <f t="shared" ca="1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53</v>
      </c>
      <c r="B32" s="43">
        <v>36526</v>
      </c>
      <c r="C32" s="101">
        <v>2.3279999999999998</v>
      </c>
      <c r="D32" s="35" t="e">
        <v>#N/A</v>
      </c>
      <c r="E32" s="102">
        <f t="shared" si="0"/>
        <v>2.3279999999999998</v>
      </c>
      <c r="F32" s="102" t="e">
        <f t="shared" ca="1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54</v>
      </c>
      <c r="B33" s="43">
        <v>36892</v>
      </c>
      <c r="C33" s="101">
        <v>1.214</v>
      </c>
      <c r="D33" s="35" t="e">
        <v>#N/A</v>
      </c>
      <c r="E33" s="102">
        <f t="shared" si="0"/>
        <v>1.214</v>
      </c>
      <c r="F33" s="102" t="e">
        <f t="shared" ca="1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55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ca="1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56</v>
      </c>
      <c r="B35" s="43">
        <v>37622</v>
      </c>
      <c r="C35" s="101">
        <v>-3.3319999999999999</v>
      </c>
      <c r="D35" s="35" t="e">
        <v>#N/A</v>
      </c>
      <c r="E35" s="102">
        <f t="shared" si="0"/>
        <v>-3.3319999999999999</v>
      </c>
      <c r="F35" s="102" t="e">
        <f t="shared" ca="1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57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ca="1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58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ca="1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59</v>
      </c>
      <c r="B38" s="43">
        <v>38718</v>
      </c>
      <c r="C38" s="101">
        <v>-1.8140000000000001</v>
      </c>
      <c r="D38" s="35" t="e">
        <v>#N/A</v>
      </c>
      <c r="E38" s="102">
        <f t="shared" si="0"/>
        <v>-1.8140000000000001</v>
      </c>
      <c r="F38" s="102" t="e">
        <f t="shared" ca="1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60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ca="1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61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ca="1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62</v>
      </c>
      <c r="B41" s="43">
        <v>39814</v>
      </c>
      <c r="C41" s="101">
        <v>-9.8000000000000007</v>
      </c>
      <c r="D41" s="35" t="e">
        <v>#N/A</v>
      </c>
      <c r="E41" s="102">
        <f t="shared" si="0"/>
        <v>-9.8000000000000007</v>
      </c>
      <c r="F41" s="102" t="e">
        <f t="shared" ca="1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63</v>
      </c>
      <c r="B42" s="43">
        <v>40179</v>
      </c>
      <c r="C42" s="101">
        <v>-8.7469999999999999</v>
      </c>
      <c r="D42" s="35" t="e">
        <v>#N/A</v>
      </c>
      <c r="E42" s="102">
        <f t="shared" si="0"/>
        <v>-8.7469999999999999</v>
      </c>
      <c r="F42" s="102" t="e">
        <f t="shared" ca="1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64</v>
      </c>
      <c r="B43" s="43">
        <v>40544</v>
      </c>
      <c r="C43" s="101">
        <v>-8.4499999999999993</v>
      </c>
      <c r="D43" s="35" t="e">
        <v>#N/A</v>
      </c>
      <c r="E43" s="102">
        <f t="shared" si="0"/>
        <v>-8.4499999999999993</v>
      </c>
      <c r="F43" s="102" t="e">
        <f t="shared" ca="1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65</v>
      </c>
      <c r="B44" s="43">
        <v>40909</v>
      </c>
      <c r="C44" s="101">
        <v>-6.782</v>
      </c>
      <c r="D44" s="35">
        <v>-6.8</v>
      </c>
      <c r="E44" s="102">
        <f t="shared" si="0"/>
        <v>-6.782</v>
      </c>
      <c r="F44" s="102" t="e">
        <f t="shared" ca="1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66</v>
      </c>
      <c r="B45" s="43">
        <v>41275</v>
      </c>
      <c r="C45" s="101">
        <v>-4.0979999999999999</v>
      </c>
      <c r="D45" s="35">
        <v>-4.0999999999999996</v>
      </c>
      <c r="E45" s="102">
        <f t="shared" si="0"/>
        <v>-4.0979999999999999</v>
      </c>
      <c r="F45" s="102" t="e">
        <f t="shared" ca="1" si="1"/>
        <v>#N/A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67</v>
      </c>
      <c r="B46" s="43">
        <v>41640</v>
      </c>
      <c r="C46" s="101">
        <v>-2.802</v>
      </c>
      <c r="D46" s="35">
        <v>-2.8</v>
      </c>
      <c r="E46" s="102">
        <f t="shared" si="0"/>
        <v>-2.802</v>
      </c>
      <c r="F46" s="102">
        <f t="shared" ca="1" si="1"/>
        <v>-2.8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68</v>
      </c>
      <c r="B47" s="43">
        <v>42005</v>
      </c>
      <c r="C47" s="101" t="e">
        <v>#N/A</v>
      </c>
      <c r="D47" s="35">
        <v>-2.7</v>
      </c>
      <c r="E47" s="102" t="e">
        <f t="shared" si="0"/>
        <v>#N/A</v>
      </c>
      <c r="F47" s="102">
        <f t="shared" ca="1" si="1"/>
        <v>-2.7</v>
      </c>
      <c r="G47" s="14">
        <v>0</v>
      </c>
      <c r="H47" s="29">
        <f t="shared" si="2"/>
        <v>0</v>
      </c>
      <c r="I47" s="18"/>
      <c r="J47" s="18"/>
    </row>
    <row r="48" spans="1:10">
      <c r="A48" s="16" t="s">
        <v>69</v>
      </c>
      <c r="B48" s="43">
        <v>42370</v>
      </c>
      <c r="C48" s="101" t="e">
        <v>#N/A</v>
      </c>
      <c r="D48" s="35">
        <v>-2.4</v>
      </c>
      <c r="E48" s="102" t="e">
        <f t="shared" si="0"/>
        <v>#N/A</v>
      </c>
      <c r="F48" s="102">
        <f t="shared" ca="1" si="1"/>
        <v>-2.4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70</v>
      </c>
      <c r="B49" s="43">
        <v>42736</v>
      </c>
      <c r="C49" s="101" t="e">
        <v>#N/A</v>
      </c>
      <c r="D49" s="35">
        <v>-2.2999999999999998</v>
      </c>
      <c r="E49" s="102" t="e">
        <f t="shared" si="0"/>
        <v>#N/A</v>
      </c>
      <c r="F49" s="102">
        <f t="shared" ca="1" si="1"/>
        <v>-2.2999999999999998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71</v>
      </c>
      <c r="B50" s="43">
        <v>43101</v>
      </c>
      <c r="C50" s="101" t="e">
        <v>#N/A</v>
      </c>
      <c r="D50" s="35">
        <v>-2.4</v>
      </c>
      <c r="E50" s="102" t="e">
        <f t="shared" si="0"/>
        <v>#N/A</v>
      </c>
      <c r="F50" s="102">
        <f t="shared" ca="1" si="1"/>
        <v>-2.4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72</v>
      </c>
      <c r="B51" s="43">
        <v>43466</v>
      </c>
      <c r="C51" s="101" t="e">
        <v>#N/A</v>
      </c>
      <c r="D51" s="35">
        <v>-2.8</v>
      </c>
      <c r="E51" s="102" t="e">
        <f t="shared" si="0"/>
        <v>#N/A</v>
      </c>
      <c r="F51" s="102">
        <f t="shared" ca="1" si="1"/>
        <v>-2.8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73</v>
      </c>
      <c r="B52" s="43">
        <v>43831</v>
      </c>
      <c r="C52" s="101" t="e">
        <v>#N/A</v>
      </c>
      <c r="D52" s="35">
        <v>-3.1</v>
      </c>
      <c r="E52" s="102" t="e">
        <f t="shared" si="0"/>
        <v>#N/A</v>
      </c>
      <c r="F52" s="102">
        <f t="shared" ca="1" si="1"/>
        <v>-3.1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74</v>
      </c>
      <c r="B53" s="43">
        <v>44197</v>
      </c>
      <c r="C53" s="101" t="e">
        <v>#N/A</v>
      </c>
      <c r="D53" s="35">
        <v>-3.3</v>
      </c>
      <c r="E53" s="102" t="e">
        <f t="shared" si="0"/>
        <v>#N/A</v>
      </c>
      <c r="F53" s="102">
        <f t="shared" ca="1" si="1"/>
        <v>-3.3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75</v>
      </c>
      <c r="B54" s="43">
        <v>44562</v>
      </c>
      <c r="C54" s="101" t="e">
        <v>#N/A</v>
      </c>
      <c r="D54" s="35">
        <v>-3.7</v>
      </c>
      <c r="E54" s="102" t="e">
        <f t="shared" si="0"/>
        <v>#N/A</v>
      </c>
      <c r="F54" s="102">
        <f t="shared" ca="1" si="1"/>
        <v>-3.7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76</v>
      </c>
      <c r="B55" s="43">
        <v>44927</v>
      </c>
      <c r="C55" s="101" t="e">
        <v>#N/A</v>
      </c>
      <c r="D55" s="35">
        <v>-3.6</v>
      </c>
      <c r="E55" s="102" t="e">
        <f t="shared" si="0"/>
        <v>#N/A</v>
      </c>
      <c r="F55" s="102">
        <f t="shared" ca="1" si="1"/>
        <v>-3.6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77</v>
      </c>
      <c r="B56" s="43">
        <v>45292</v>
      </c>
      <c r="C56" s="101" t="e">
        <v>#N/A</v>
      </c>
      <c r="D56" s="35">
        <v>-3.4</v>
      </c>
      <c r="E56" s="102" t="e">
        <f t="shared" si="0"/>
        <v>#N/A</v>
      </c>
      <c r="F56" s="102">
        <f t="shared" ca="1" si="1"/>
        <v>-3.4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>
      <selection activeCell="E6" sqref="E6"/>
    </sheetView>
  </sheetViews>
  <sheetFormatPr defaultRowHeight="15"/>
  <cols>
    <col min="1" max="2" width="9.140625" style="20"/>
    <col min="3" max="3" width="22.28515625" customWidth="1"/>
    <col min="7" max="7" width="9.140625" style="29"/>
  </cols>
  <sheetData>
    <row r="1" spans="1:7">
      <c r="C1" s="20" t="s">
        <v>117</v>
      </c>
      <c r="E1" s="115">
        <f ca="1">YEAR(TODAY())</f>
        <v>2015</v>
      </c>
    </row>
    <row r="2" spans="1:7">
      <c r="A2" s="22" t="s">
        <v>276</v>
      </c>
      <c r="B2" s="22" t="s">
        <v>382</v>
      </c>
      <c r="C2" s="21" t="s">
        <v>118</v>
      </c>
      <c r="F2" s="111" t="s">
        <v>389</v>
      </c>
    </row>
    <row r="3" spans="1:7" ht="60">
      <c r="A3" s="20" t="s">
        <v>7</v>
      </c>
      <c r="C3" s="113" t="s">
        <v>119</v>
      </c>
      <c r="F3" t="s">
        <v>388</v>
      </c>
    </row>
    <row r="4" spans="1:7">
      <c r="A4" s="20" t="s">
        <v>20</v>
      </c>
      <c r="C4" t="s">
        <v>22</v>
      </c>
      <c r="F4" t="s">
        <v>380</v>
      </c>
    </row>
    <row r="5" spans="1:7">
      <c r="A5" s="20" t="s">
        <v>24</v>
      </c>
      <c r="C5" t="s">
        <v>434</v>
      </c>
      <c r="D5" t="s">
        <v>137</v>
      </c>
      <c r="E5" t="s">
        <v>138</v>
      </c>
      <c r="F5" t="s">
        <v>437</v>
      </c>
    </row>
    <row r="6" spans="1:7">
      <c r="A6" s="20" t="s">
        <v>28</v>
      </c>
      <c r="B6" s="43">
        <v>27395</v>
      </c>
      <c r="C6" s="23">
        <v>24.5</v>
      </c>
      <c r="D6" s="29">
        <f>IF(YEAR(B6)&gt;2014, #N/A, C6)</f>
        <v>24.5</v>
      </c>
      <c r="E6" s="31" t="e">
        <f ca="1">IF(YEAR(B6)&lt;$E$1-1,#N/A,C6)</f>
        <v>#N/A</v>
      </c>
      <c r="F6" s="14">
        <v>1</v>
      </c>
      <c r="G6" s="29">
        <f>IFERROR(IF(F6&gt;0, 1, 0), 0)</f>
        <v>1</v>
      </c>
    </row>
    <row r="7" spans="1:7">
      <c r="A7" s="20" t="s">
        <v>29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ca="1" si="1">IF(YEAR(B7)&lt;$E$1-1,#N/A,C7)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30</v>
      </c>
      <c r="B8" s="43">
        <v>28126</v>
      </c>
      <c r="C8" s="23">
        <v>27.1</v>
      </c>
      <c r="D8" s="29">
        <f t="shared" si="0"/>
        <v>27.1</v>
      </c>
      <c r="E8" s="31" t="e">
        <f t="shared" ca="1" si="1"/>
        <v>#N/A</v>
      </c>
      <c r="F8" s="14">
        <v>0</v>
      </c>
      <c r="G8" s="29">
        <f t="shared" si="2"/>
        <v>0</v>
      </c>
    </row>
    <row r="9" spans="1:7">
      <c r="A9" s="20" t="s">
        <v>31</v>
      </c>
      <c r="B9" s="43">
        <v>28491</v>
      </c>
      <c r="C9" s="23">
        <v>26.6</v>
      </c>
      <c r="D9" s="29">
        <f t="shared" si="0"/>
        <v>26.6</v>
      </c>
      <c r="E9" s="31" t="e">
        <f t="shared" ca="1" si="1"/>
        <v>#N/A</v>
      </c>
      <c r="F9" s="14">
        <v>0</v>
      </c>
      <c r="G9" s="29">
        <f t="shared" si="2"/>
        <v>0</v>
      </c>
    </row>
    <row r="10" spans="1:7">
      <c r="A10" s="20" t="s">
        <v>32</v>
      </c>
      <c r="B10" s="43">
        <v>28856</v>
      </c>
      <c r="C10" s="23">
        <v>24.9</v>
      </c>
      <c r="D10" s="29">
        <f t="shared" si="0"/>
        <v>24.9</v>
      </c>
      <c r="E10" s="31" t="e">
        <f t="shared" ca="1" si="1"/>
        <v>#N/A</v>
      </c>
      <c r="F10" s="14">
        <v>0</v>
      </c>
      <c r="G10" s="29">
        <f t="shared" si="2"/>
        <v>0</v>
      </c>
    </row>
    <row r="11" spans="1:7">
      <c r="A11" s="20" t="s">
        <v>33</v>
      </c>
      <c r="B11" s="43">
        <v>29221</v>
      </c>
      <c r="C11" s="23">
        <v>25.5</v>
      </c>
      <c r="D11" s="29">
        <f t="shared" si="0"/>
        <v>25.5</v>
      </c>
      <c r="E11" s="31" t="e">
        <f t="shared" ca="1" si="1"/>
        <v>#N/A</v>
      </c>
      <c r="F11" s="14">
        <v>2</v>
      </c>
      <c r="G11" s="29">
        <f t="shared" si="2"/>
        <v>1</v>
      </c>
    </row>
    <row r="12" spans="1:7">
      <c r="A12" s="20" t="s">
        <v>34</v>
      </c>
      <c r="B12" s="43">
        <v>29587</v>
      </c>
      <c r="C12" s="23">
        <v>25.2</v>
      </c>
      <c r="D12" s="29">
        <f t="shared" si="0"/>
        <v>25.2</v>
      </c>
      <c r="E12" s="31" t="e">
        <f t="shared" ca="1" si="1"/>
        <v>#N/A</v>
      </c>
      <c r="F12" s="14">
        <v>1</v>
      </c>
      <c r="G12" s="29">
        <f t="shared" si="2"/>
        <v>1</v>
      </c>
    </row>
    <row r="13" spans="1:7">
      <c r="A13" s="20" t="s">
        <v>35</v>
      </c>
      <c r="B13" s="43">
        <v>29952</v>
      </c>
      <c r="C13" s="23">
        <v>27.9</v>
      </c>
      <c r="D13" s="29">
        <f t="shared" si="0"/>
        <v>27.9</v>
      </c>
      <c r="E13" s="31" t="e">
        <f t="shared" ca="1" si="1"/>
        <v>#N/A</v>
      </c>
      <c r="F13" s="14">
        <v>4</v>
      </c>
      <c r="G13" s="29">
        <f t="shared" si="2"/>
        <v>1</v>
      </c>
    </row>
    <row r="14" spans="1:7">
      <c r="A14" s="20" t="s">
        <v>36</v>
      </c>
      <c r="B14" s="43">
        <v>30317</v>
      </c>
      <c r="C14" s="23">
        <v>32.1</v>
      </c>
      <c r="D14" s="29">
        <f t="shared" si="0"/>
        <v>32.1</v>
      </c>
      <c r="E14" s="31" t="e">
        <f t="shared" ca="1" si="1"/>
        <v>#N/A</v>
      </c>
      <c r="F14" s="14">
        <v>0</v>
      </c>
      <c r="G14" s="29">
        <f t="shared" si="2"/>
        <v>0</v>
      </c>
    </row>
    <row r="15" spans="1:7">
      <c r="A15" s="20" t="s">
        <v>37</v>
      </c>
      <c r="B15" s="43">
        <v>30682</v>
      </c>
      <c r="C15" s="23">
        <v>33.1</v>
      </c>
      <c r="D15" s="29">
        <f t="shared" si="0"/>
        <v>33.1</v>
      </c>
      <c r="E15" s="31" t="e">
        <f t="shared" ca="1" si="1"/>
        <v>#N/A</v>
      </c>
      <c r="F15" s="14">
        <v>0</v>
      </c>
      <c r="G15" s="29">
        <f t="shared" si="2"/>
        <v>0</v>
      </c>
    </row>
    <row r="16" spans="1:7">
      <c r="A16" s="20" t="s">
        <v>38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ca="1" si="1"/>
        <v>#N/A</v>
      </c>
      <c r="F16" s="14">
        <v>0</v>
      </c>
      <c r="G16" s="29">
        <f t="shared" si="2"/>
        <v>0</v>
      </c>
    </row>
    <row r="17" spans="1:7">
      <c r="A17" s="20" t="s">
        <v>39</v>
      </c>
      <c r="B17" s="43">
        <v>31413</v>
      </c>
      <c r="C17" s="23">
        <v>38.4</v>
      </c>
      <c r="D17" s="29">
        <f t="shared" si="0"/>
        <v>38.4</v>
      </c>
      <c r="E17" s="31" t="e">
        <f t="shared" ca="1" si="1"/>
        <v>#N/A</v>
      </c>
      <c r="F17" s="14">
        <v>0</v>
      </c>
      <c r="G17" s="29">
        <f t="shared" si="2"/>
        <v>0</v>
      </c>
    </row>
    <row r="18" spans="1:7">
      <c r="A18" s="20" t="s">
        <v>40</v>
      </c>
      <c r="B18" s="43">
        <v>31778</v>
      </c>
      <c r="C18" s="23">
        <v>39.5</v>
      </c>
      <c r="D18" s="29">
        <f t="shared" si="0"/>
        <v>39.5</v>
      </c>
      <c r="E18" s="31" t="e">
        <f t="shared" ca="1" si="1"/>
        <v>#N/A</v>
      </c>
      <c r="F18" s="14">
        <v>0</v>
      </c>
      <c r="G18" s="29">
        <f t="shared" si="2"/>
        <v>0</v>
      </c>
    </row>
    <row r="19" spans="1:7">
      <c r="A19" s="20" t="s">
        <v>41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ca="1" si="1"/>
        <v>#N/A</v>
      </c>
      <c r="F19" s="14">
        <v>0</v>
      </c>
      <c r="G19" s="29">
        <f t="shared" si="2"/>
        <v>0</v>
      </c>
    </row>
    <row r="20" spans="1:7">
      <c r="A20" s="20" t="s">
        <v>42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ca="1" si="1"/>
        <v>#N/A</v>
      </c>
      <c r="F20" s="14">
        <v>0</v>
      </c>
      <c r="G20" s="29">
        <f t="shared" si="2"/>
        <v>0</v>
      </c>
    </row>
    <row r="21" spans="1:7">
      <c r="A21" s="20" t="s">
        <v>43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ca="1" si="1"/>
        <v>#N/A</v>
      </c>
      <c r="F21" s="14">
        <v>1</v>
      </c>
      <c r="G21" s="29">
        <f t="shared" si="2"/>
        <v>1</v>
      </c>
    </row>
    <row r="22" spans="1:7">
      <c r="A22" s="20" t="s">
        <v>44</v>
      </c>
      <c r="B22" s="43">
        <v>33239</v>
      </c>
      <c r="C22" s="23">
        <v>44</v>
      </c>
      <c r="D22" s="29">
        <f t="shared" si="0"/>
        <v>44</v>
      </c>
      <c r="E22" s="31" t="e">
        <f t="shared" ca="1" si="1"/>
        <v>#N/A</v>
      </c>
      <c r="F22" s="14">
        <v>1</v>
      </c>
      <c r="G22" s="29">
        <f t="shared" si="2"/>
        <v>1</v>
      </c>
    </row>
    <row r="23" spans="1:7">
      <c r="A23" s="20" t="s">
        <v>45</v>
      </c>
      <c r="B23" s="43">
        <v>33604</v>
      </c>
      <c r="C23" s="23">
        <v>46.6</v>
      </c>
      <c r="D23" s="29">
        <f t="shared" si="0"/>
        <v>46.6</v>
      </c>
      <c r="E23" s="31" t="e">
        <f t="shared" ca="1" si="1"/>
        <v>#N/A</v>
      </c>
      <c r="F23" s="14">
        <v>0</v>
      </c>
      <c r="G23" s="29">
        <f t="shared" si="2"/>
        <v>0</v>
      </c>
    </row>
    <row r="24" spans="1:7">
      <c r="A24" s="20" t="s">
        <v>46</v>
      </c>
      <c r="B24" s="43">
        <v>33970</v>
      </c>
      <c r="C24" s="23">
        <v>47.8</v>
      </c>
      <c r="D24" s="29">
        <f t="shared" si="0"/>
        <v>47.8</v>
      </c>
      <c r="E24" s="31" t="e">
        <f t="shared" ca="1" si="1"/>
        <v>#N/A</v>
      </c>
      <c r="F24" s="14">
        <v>0</v>
      </c>
      <c r="G24" s="29">
        <f t="shared" si="2"/>
        <v>0</v>
      </c>
    </row>
    <row r="25" spans="1:7">
      <c r="A25" s="20" t="s">
        <v>47</v>
      </c>
      <c r="B25" s="43">
        <v>34335</v>
      </c>
      <c r="C25" s="23">
        <v>47.7</v>
      </c>
      <c r="D25" s="29">
        <f t="shared" si="0"/>
        <v>47.7</v>
      </c>
      <c r="E25" s="31" t="e">
        <f t="shared" ca="1" si="1"/>
        <v>#N/A</v>
      </c>
      <c r="F25" s="14">
        <v>0</v>
      </c>
      <c r="G25" s="29">
        <f t="shared" si="2"/>
        <v>0</v>
      </c>
    </row>
    <row r="26" spans="1:7">
      <c r="A26" s="20" t="s">
        <v>48</v>
      </c>
      <c r="B26" s="43">
        <v>34700</v>
      </c>
      <c r="C26" s="23">
        <v>47.5</v>
      </c>
      <c r="D26" s="29">
        <f t="shared" si="0"/>
        <v>47.5</v>
      </c>
      <c r="E26" s="31" t="e">
        <f t="shared" ca="1" si="1"/>
        <v>#N/A</v>
      </c>
      <c r="F26" s="14">
        <v>0</v>
      </c>
      <c r="G26" s="29">
        <f t="shared" si="2"/>
        <v>0</v>
      </c>
    </row>
    <row r="27" spans="1:7">
      <c r="A27" s="20" t="s">
        <v>49</v>
      </c>
      <c r="B27" s="43">
        <v>35065</v>
      </c>
      <c r="C27" s="23">
        <v>46.8</v>
      </c>
      <c r="D27" s="29">
        <f t="shared" si="0"/>
        <v>46.8</v>
      </c>
      <c r="E27" s="31" t="e">
        <f t="shared" ca="1" si="1"/>
        <v>#N/A</v>
      </c>
      <c r="F27" s="14">
        <v>0</v>
      </c>
      <c r="G27" s="29">
        <f t="shared" si="2"/>
        <v>0</v>
      </c>
    </row>
    <row r="28" spans="1:7">
      <c r="A28" s="20" t="s">
        <v>50</v>
      </c>
      <c r="B28" s="43">
        <v>35431</v>
      </c>
      <c r="C28" s="23">
        <v>44.5</v>
      </c>
      <c r="D28" s="29">
        <f t="shared" si="0"/>
        <v>44.5</v>
      </c>
      <c r="E28" s="31" t="e">
        <f t="shared" ca="1" si="1"/>
        <v>#N/A</v>
      </c>
      <c r="F28" s="14">
        <v>0</v>
      </c>
      <c r="G28" s="29">
        <f t="shared" si="2"/>
        <v>0</v>
      </c>
    </row>
    <row r="29" spans="1:7">
      <c r="A29" s="20" t="s">
        <v>51</v>
      </c>
      <c r="B29" s="43">
        <v>35796</v>
      </c>
      <c r="C29" s="23">
        <v>41.6</v>
      </c>
      <c r="D29" s="29">
        <f t="shared" si="0"/>
        <v>41.6</v>
      </c>
      <c r="E29" s="31" t="e">
        <f t="shared" ca="1" si="1"/>
        <v>#N/A</v>
      </c>
      <c r="F29" s="14">
        <v>0</v>
      </c>
      <c r="G29" s="29">
        <f t="shared" si="2"/>
        <v>0</v>
      </c>
    </row>
    <row r="30" spans="1:7">
      <c r="A30" s="20" t="s">
        <v>52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ca="1" si="1"/>
        <v>#N/A</v>
      </c>
      <c r="F30" s="14">
        <v>0</v>
      </c>
      <c r="G30" s="29">
        <f t="shared" si="2"/>
        <v>0</v>
      </c>
    </row>
    <row r="31" spans="1:7">
      <c r="A31" s="20" t="s">
        <v>53</v>
      </c>
      <c r="B31" s="43">
        <v>36526</v>
      </c>
      <c r="C31" s="23">
        <v>33.6</v>
      </c>
      <c r="D31" s="29">
        <f t="shared" si="0"/>
        <v>33.6</v>
      </c>
      <c r="E31" s="31" t="e">
        <f t="shared" ca="1" si="1"/>
        <v>#N/A</v>
      </c>
      <c r="F31" s="14">
        <v>0</v>
      </c>
      <c r="G31" s="29">
        <f t="shared" si="2"/>
        <v>0</v>
      </c>
    </row>
    <row r="32" spans="1:7">
      <c r="A32" s="20" t="s">
        <v>54</v>
      </c>
      <c r="B32" s="43">
        <v>36892</v>
      </c>
      <c r="C32" s="23">
        <v>31.4</v>
      </c>
      <c r="D32" s="29">
        <f t="shared" si="0"/>
        <v>31.4</v>
      </c>
      <c r="E32" s="31" t="e">
        <f t="shared" ca="1" si="1"/>
        <v>#N/A</v>
      </c>
      <c r="F32" s="14">
        <v>3</v>
      </c>
      <c r="G32" s="29">
        <f t="shared" si="2"/>
        <v>1</v>
      </c>
    </row>
    <row r="33" spans="1:7">
      <c r="A33" s="20" t="s">
        <v>55</v>
      </c>
      <c r="B33" s="43">
        <v>37257</v>
      </c>
      <c r="C33" s="23">
        <v>32.6</v>
      </c>
      <c r="D33" s="29">
        <f t="shared" si="0"/>
        <v>32.6</v>
      </c>
      <c r="E33" s="31" t="e">
        <f t="shared" ca="1" si="1"/>
        <v>#N/A</v>
      </c>
      <c r="F33" s="14">
        <v>0</v>
      </c>
      <c r="G33" s="29">
        <f t="shared" si="2"/>
        <v>0</v>
      </c>
    </row>
    <row r="34" spans="1:7">
      <c r="A34" s="20" t="s">
        <v>56</v>
      </c>
      <c r="B34" s="43">
        <v>37622</v>
      </c>
      <c r="C34" s="23">
        <v>34.5</v>
      </c>
      <c r="D34" s="29">
        <f t="shared" si="0"/>
        <v>34.5</v>
      </c>
      <c r="E34" s="31" t="e">
        <f t="shared" ca="1" si="1"/>
        <v>#N/A</v>
      </c>
      <c r="F34" s="14">
        <v>0</v>
      </c>
      <c r="G34" s="29">
        <f t="shared" si="2"/>
        <v>0</v>
      </c>
    </row>
    <row r="35" spans="1:7">
      <c r="A35" s="20" t="s">
        <v>57</v>
      </c>
      <c r="B35" s="43">
        <v>37987</v>
      </c>
      <c r="C35" s="23">
        <v>35.5</v>
      </c>
      <c r="D35" s="29">
        <f t="shared" si="0"/>
        <v>35.5</v>
      </c>
      <c r="E35" s="31" t="e">
        <f t="shared" ca="1" si="1"/>
        <v>#N/A</v>
      </c>
      <c r="F35" s="14">
        <v>0</v>
      </c>
      <c r="G35" s="29">
        <f t="shared" si="2"/>
        <v>0</v>
      </c>
    </row>
    <row r="36" spans="1:7">
      <c r="A36" s="20" t="s">
        <v>58</v>
      </c>
      <c r="B36" s="43">
        <v>38353</v>
      </c>
      <c r="C36" s="23">
        <v>35.6</v>
      </c>
      <c r="D36" s="29">
        <f t="shared" si="0"/>
        <v>35.6</v>
      </c>
      <c r="E36" s="31" t="e">
        <f t="shared" ca="1" si="1"/>
        <v>#N/A</v>
      </c>
      <c r="F36" s="14">
        <v>0</v>
      </c>
      <c r="G36" s="29">
        <f t="shared" si="2"/>
        <v>0</v>
      </c>
    </row>
    <row r="37" spans="1:7">
      <c r="A37" s="20" t="s">
        <v>59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ca="1" si="1"/>
        <v>#N/A</v>
      </c>
      <c r="F37" s="14">
        <v>0</v>
      </c>
      <c r="G37" s="29">
        <f t="shared" si="2"/>
        <v>0</v>
      </c>
    </row>
    <row r="38" spans="1:7">
      <c r="A38" s="20" t="s">
        <v>60</v>
      </c>
      <c r="B38" s="43">
        <v>39083</v>
      </c>
      <c r="C38" s="23">
        <v>35.200000000000003</v>
      </c>
      <c r="D38" s="29">
        <f t="shared" si="0"/>
        <v>35.200000000000003</v>
      </c>
      <c r="E38" s="31" t="e">
        <f t="shared" ca="1" si="1"/>
        <v>#N/A</v>
      </c>
      <c r="F38" s="14">
        <v>0</v>
      </c>
      <c r="G38" s="29">
        <f t="shared" si="2"/>
        <v>0</v>
      </c>
    </row>
    <row r="39" spans="1:7">
      <c r="A39" s="20" t="s">
        <v>61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ca="1" si="1"/>
        <v>#N/A</v>
      </c>
      <c r="F39" s="14">
        <v>4</v>
      </c>
      <c r="G39" s="29">
        <f t="shared" si="2"/>
        <v>1</v>
      </c>
    </row>
    <row r="40" spans="1:7">
      <c r="A40" s="20" t="s">
        <v>62</v>
      </c>
      <c r="B40" s="43">
        <v>39814</v>
      </c>
      <c r="C40" s="23">
        <v>52.3</v>
      </c>
      <c r="D40" s="29">
        <f t="shared" si="0"/>
        <v>52.3</v>
      </c>
      <c r="E40" s="31" t="e">
        <f t="shared" ca="1" si="1"/>
        <v>#N/A</v>
      </c>
      <c r="F40" s="14">
        <v>2</v>
      </c>
      <c r="G40" s="29">
        <f t="shared" si="2"/>
        <v>1</v>
      </c>
    </row>
    <row r="41" spans="1:7">
      <c r="A41" s="20" t="s">
        <v>63</v>
      </c>
      <c r="B41" s="43">
        <v>40179</v>
      </c>
      <c r="C41" s="23">
        <v>60.9</v>
      </c>
      <c r="D41" s="29">
        <f t="shared" si="0"/>
        <v>60.9</v>
      </c>
      <c r="E41" s="31" t="e">
        <f t="shared" ca="1" si="1"/>
        <v>#N/A</v>
      </c>
      <c r="F41" s="14">
        <v>0</v>
      </c>
      <c r="G41" s="29">
        <f t="shared" si="2"/>
        <v>0</v>
      </c>
    </row>
    <row r="42" spans="1:7">
      <c r="A42" s="20" t="s">
        <v>64</v>
      </c>
      <c r="B42" s="43">
        <v>40544</v>
      </c>
      <c r="C42" s="23">
        <v>65.900000000000006</v>
      </c>
      <c r="D42" s="29">
        <f t="shared" si="0"/>
        <v>65.900000000000006</v>
      </c>
      <c r="E42" s="31" t="e">
        <f t="shared" ca="1" si="1"/>
        <v>#N/A</v>
      </c>
      <c r="F42" s="14">
        <v>0</v>
      </c>
      <c r="G42" s="29">
        <f t="shared" si="2"/>
        <v>0</v>
      </c>
    </row>
    <row r="43" spans="1:7">
      <c r="A43" s="20" t="s">
        <v>65</v>
      </c>
      <c r="B43" s="43">
        <v>40909</v>
      </c>
      <c r="C43" s="23">
        <v>70.400000000000006</v>
      </c>
      <c r="D43" s="29">
        <f t="shared" si="0"/>
        <v>70.400000000000006</v>
      </c>
      <c r="E43" s="31" t="e">
        <f t="shared" ca="1" si="1"/>
        <v>#N/A</v>
      </c>
      <c r="F43" s="14">
        <v>0</v>
      </c>
      <c r="G43" s="29">
        <f t="shared" si="2"/>
        <v>0</v>
      </c>
    </row>
    <row r="44" spans="1:7">
      <c r="A44" s="20" t="s">
        <v>66</v>
      </c>
      <c r="B44" s="43">
        <v>41275</v>
      </c>
      <c r="C44" s="23">
        <v>72.3</v>
      </c>
      <c r="D44" s="29">
        <f t="shared" si="0"/>
        <v>72.3</v>
      </c>
      <c r="E44" s="31" t="e">
        <f t="shared" ca="1" si="1"/>
        <v>#N/A</v>
      </c>
      <c r="F44" s="14">
        <v>0</v>
      </c>
      <c r="G44" s="29">
        <f t="shared" si="2"/>
        <v>0</v>
      </c>
    </row>
    <row r="45" spans="1:7">
      <c r="A45" s="20" t="s">
        <v>67</v>
      </c>
      <c r="B45" s="43">
        <v>41640</v>
      </c>
      <c r="C45" s="23">
        <v>74</v>
      </c>
      <c r="D45" s="29">
        <f t="shared" si="0"/>
        <v>74</v>
      </c>
      <c r="E45" s="31">
        <f t="shared" ca="1" si="1"/>
        <v>74</v>
      </c>
      <c r="F45" s="14">
        <v>0</v>
      </c>
      <c r="G45" s="29">
        <f t="shared" si="2"/>
        <v>0</v>
      </c>
    </row>
    <row r="46" spans="1:7">
      <c r="A46" s="20" t="s">
        <v>68</v>
      </c>
      <c r="B46" s="43">
        <v>42005</v>
      </c>
      <c r="C46" s="23">
        <v>74</v>
      </c>
      <c r="D46" s="29" t="e">
        <f t="shared" si="0"/>
        <v>#N/A</v>
      </c>
      <c r="E46" s="31">
        <f t="shared" ca="1" si="1"/>
        <v>74</v>
      </c>
      <c r="F46" s="14">
        <v>0</v>
      </c>
      <c r="G46" s="29">
        <f t="shared" si="2"/>
        <v>0</v>
      </c>
    </row>
    <row r="47" spans="1:7">
      <c r="A47" s="20" t="s">
        <v>69</v>
      </c>
      <c r="B47" s="43">
        <v>42370</v>
      </c>
      <c r="C47" s="23">
        <v>74</v>
      </c>
      <c r="D47" s="29" t="e">
        <f t="shared" si="0"/>
        <v>#N/A</v>
      </c>
      <c r="E47" s="31">
        <f t="shared" ca="1" si="1"/>
        <v>74</v>
      </c>
      <c r="F47" s="14" t="e">
        <v>#N/A</v>
      </c>
      <c r="G47" s="29">
        <f t="shared" si="2"/>
        <v>0</v>
      </c>
    </row>
    <row r="48" spans="1:7">
      <c r="A48" s="20" t="s">
        <v>70</v>
      </c>
      <c r="B48" s="43">
        <v>42736</v>
      </c>
      <c r="C48" s="23">
        <v>73</v>
      </c>
      <c r="D48" s="29" t="e">
        <f t="shared" si="0"/>
        <v>#N/A</v>
      </c>
      <c r="E48" s="31">
        <f t="shared" ca="1" si="1"/>
        <v>73</v>
      </c>
      <c r="F48" s="14" t="e">
        <v>#N/A</v>
      </c>
      <c r="G48" s="29">
        <f t="shared" si="2"/>
        <v>0</v>
      </c>
    </row>
    <row r="49" spans="1:7">
      <c r="A49" s="20" t="s">
        <v>71</v>
      </c>
      <c r="B49" s="43">
        <v>43101</v>
      </c>
      <c r="C49" s="23">
        <v>73</v>
      </c>
      <c r="D49" s="29" t="e">
        <f t="shared" si="0"/>
        <v>#N/A</v>
      </c>
      <c r="E49" s="31">
        <f t="shared" ca="1" si="1"/>
        <v>73</v>
      </c>
      <c r="F49" s="14" t="e">
        <v>#N/A</v>
      </c>
      <c r="G49" s="29">
        <f t="shared" si="2"/>
        <v>0</v>
      </c>
    </row>
    <row r="50" spans="1:7">
      <c r="A50" s="20" t="s">
        <v>72</v>
      </c>
      <c r="B50" s="43">
        <v>43466</v>
      </c>
      <c r="C50" s="23">
        <v>73</v>
      </c>
      <c r="D50" s="29" t="e">
        <f t="shared" si="0"/>
        <v>#N/A</v>
      </c>
      <c r="E50" s="31">
        <f t="shared" ca="1" si="1"/>
        <v>73</v>
      </c>
      <c r="F50" s="14" t="e">
        <v>#N/A</v>
      </c>
      <c r="G50" s="29">
        <f t="shared" si="2"/>
        <v>0</v>
      </c>
    </row>
    <row r="51" spans="1:7">
      <c r="A51" s="20" t="s">
        <v>73</v>
      </c>
      <c r="B51" s="43">
        <v>43831</v>
      </c>
      <c r="C51" s="23">
        <v>74</v>
      </c>
      <c r="D51" s="29" t="e">
        <f t="shared" si="0"/>
        <v>#N/A</v>
      </c>
      <c r="E51" s="31">
        <f t="shared" ca="1" si="1"/>
        <v>74</v>
      </c>
      <c r="F51" s="14" t="e">
        <v>#N/A</v>
      </c>
      <c r="G51" s="29">
        <f t="shared" si="2"/>
        <v>0</v>
      </c>
    </row>
    <row r="52" spans="1:7">
      <c r="A52" s="20" t="s">
        <v>74</v>
      </c>
      <c r="B52" s="43">
        <v>44197</v>
      </c>
      <c r="C52" s="23">
        <v>74</v>
      </c>
      <c r="D52" s="29" t="e">
        <f t="shared" si="0"/>
        <v>#N/A</v>
      </c>
      <c r="E52" s="31">
        <f t="shared" ca="1" si="1"/>
        <v>74</v>
      </c>
      <c r="F52" s="14" t="e">
        <v>#N/A</v>
      </c>
      <c r="G52" s="29">
        <f t="shared" si="2"/>
        <v>0</v>
      </c>
    </row>
    <row r="53" spans="1:7">
      <c r="A53" s="20" t="s">
        <v>75</v>
      </c>
      <c r="B53" s="43">
        <v>44562</v>
      </c>
      <c r="C53" s="23">
        <v>75</v>
      </c>
      <c r="D53" s="29" t="e">
        <f t="shared" si="0"/>
        <v>#N/A</v>
      </c>
      <c r="E53" s="31">
        <f t="shared" ca="1" si="1"/>
        <v>75</v>
      </c>
      <c r="F53" s="14" t="e">
        <v>#N/A</v>
      </c>
      <c r="G53" s="29">
        <f t="shared" si="2"/>
        <v>0</v>
      </c>
    </row>
    <row r="54" spans="1:7">
      <c r="A54" s="20" t="s">
        <v>76</v>
      </c>
      <c r="B54" s="43">
        <v>44927</v>
      </c>
      <c r="C54" s="23">
        <v>76</v>
      </c>
      <c r="D54" s="29" t="e">
        <f t="shared" si="0"/>
        <v>#N/A</v>
      </c>
      <c r="E54" s="31">
        <f t="shared" ca="1" si="1"/>
        <v>76</v>
      </c>
      <c r="F54" s="14" t="e">
        <v>#N/A</v>
      </c>
      <c r="G54" s="29">
        <f t="shared" si="2"/>
        <v>0</v>
      </c>
    </row>
    <row r="55" spans="1:7">
      <c r="A55" s="20" t="s">
        <v>77</v>
      </c>
      <c r="B55" s="43">
        <v>45292</v>
      </c>
      <c r="C55" s="23">
        <v>76</v>
      </c>
      <c r="D55" s="29" t="e">
        <f t="shared" si="0"/>
        <v>#N/A</v>
      </c>
      <c r="E55" s="31">
        <f t="shared" ca="1" si="1"/>
        <v>76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topLeftCell="A19" workbookViewId="0">
      <selection activeCell="C47" sqref="C47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177</v>
      </c>
      <c r="B1" s="1" t="s">
        <v>382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389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388</v>
      </c>
    </row>
    <row r="3" spans="1:14">
      <c r="A3" s="2" t="s">
        <v>16</v>
      </c>
      <c r="C3" s="6" t="s">
        <v>169</v>
      </c>
      <c r="D3" s="6" t="s">
        <v>170</v>
      </c>
      <c r="E3" s="6" t="s">
        <v>170</v>
      </c>
      <c r="F3" s="6" t="s">
        <v>170</v>
      </c>
      <c r="G3" s="59"/>
      <c r="H3" s="6" t="s">
        <v>395</v>
      </c>
      <c r="I3" s="7" t="s">
        <v>395</v>
      </c>
      <c r="M3" s="2" t="s">
        <v>390</v>
      </c>
    </row>
    <row r="4" spans="1:14">
      <c r="A4" s="2" t="s">
        <v>17</v>
      </c>
      <c r="C4" s="6" t="s">
        <v>18</v>
      </c>
      <c r="D4" s="6" t="s">
        <v>19</v>
      </c>
      <c r="E4" s="6" t="s">
        <v>19</v>
      </c>
      <c r="F4" s="6" t="s">
        <v>19</v>
      </c>
      <c r="G4" s="59"/>
      <c r="H4" s="6" t="s">
        <v>170</v>
      </c>
      <c r="I4" s="7" t="s">
        <v>170</v>
      </c>
      <c r="M4" s="2" t="s">
        <v>443</v>
      </c>
    </row>
    <row r="5" spans="1:14">
      <c r="A5" s="2" t="s">
        <v>20</v>
      </c>
      <c r="C5" s="6" t="s">
        <v>21</v>
      </c>
      <c r="D5" s="6" t="s">
        <v>22</v>
      </c>
      <c r="E5" s="6" t="s">
        <v>22</v>
      </c>
      <c r="F5" s="6" t="s">
        <v>22</v>
      </c>
      <c r="G5" s="59" t="s">
        <v>23</v>
      </c>
      <c r="H5" s="6" t="s">
        <v>22</v>
      </c>
      <c r="I5" s="7" t="s">
        <v>22</v>
      </c>
      <c r="M5" s="2" t="s">
        <v>380</v>
      </c>
    </row>
    <row r="6" spans="1:14">
      <c r="A6" s="2" t="s">
        <v>24</v>
      </c>
      <c r="C6" s="6" t="s">
        <v>25</v>
      </c>
      <c r="D6" s="6" t="s">
        <v>26</v>
      </c>
      <c r="E6" s="6" t="s">
        <v>26</v>
      </c>
      <c r="F6" s="6" t="s">
        <v>26</v>
      </c>
      <c r="G6" s="59"/>
      <c r="H6" s="6" t="s">
        <v>394</v>
      </c>
      <c r="I6" s="7" t="s">
        <v>394</v>
      </c>
      <c r="M6" s="2" t="s">
        <v>437</v>
      </c>
    </row>
    <row r="7" spans="1:14">
      <c r="A7" s="2" t="s">
        <v>27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28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29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30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31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32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33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34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35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36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37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38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39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40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41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42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43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44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45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46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47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48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49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50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51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52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4.069</v>
      </c>
      <c r="I32" s="49">
        <v>2.4159999999999999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53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4.0010000000000003</v>
      </c>
      <c r="I33" s="49">
        <v>2.1970000000000001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54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4.0640000000000001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55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4.1559999999999997</v>
      </c>
      <c r="I35" s="49">
        <v>1.5720000000000001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56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57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4.0659999999999998</v>
      </c>
      <c r="I37" s="49">
        <v>1.3260000000000001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58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4.0250000000000004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59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3.9750000000000001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60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4.0599999999999996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61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4.149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62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63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4.7350000000000003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64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4.7140000000000004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65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4.79</v>
      </c>
      <c r="I45" s="49">
        <v>1.375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66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4.8719999999999999</v>
      </c>
      <c r="I46" s="49">
        <v>1.3320000000000001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67</v>
      </c>
      <c r="B47" s="46">
        <v>41640</v>
      </c>
      <c r="C47" s="114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>
        <v>4.8979999999999997</v>
      </c>
      <c r="I47" s="62">
        <v>1.329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68</v>
      </c>
      <c r="B48" s="46">
        <v>42005</v>
      </c>
      <c r="C48" s="114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48"/>
      <c r="L48" s="48"/>
      <c r="M48" s="112">
        <v>0</v>
      </c>
      <c r="N48" s="2">
        <f t="shared" si="0"/>
        <v>0</v>
      </c>
    </row>
    <row r="49" spans="1:14">
      <c r="A49" s="2" t="s">
        <v>69</v>
      </c>
      <c r="B49" s="46">
        <v>42370</v>
      </c>
      <c r="C49" s="114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70</v>
      </c>
      <c r="B50" s="46">
        <v>42736</v>
      </c>
      <c r="C50" s="114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71</v>
      </c>
      <c r="B51" s="46">
        <v>43101</v>
      </c>
      <c r="C51" s="114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72</v>
      </c>
      <c r="B52" s="46">
        <v>43466</v>
      </c>
      <c r="C52" s="114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73</v>
      </c>
      <c r="B53" s="46">
        <v>43831</v>
      </c>
      <c r="C53" s="114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74</v>
      </c>
      <c r="B54" s="46">
        <v>44197</v>
      </c>
      <c r="C54" s="114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75</v>
      </c>
      <c r="B55" s="46">
        <v>44562</v>
      </c>
      <c r="C55" s="114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76</v>
      </c>
      <c r="B56" s="46">
        <v>44927</v>
      </c>
      <c r="C56" s="114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77</v>
      </c>
      <c r="B57" s="46">
        <v>45292</v>
      </c>
      <c r="C57" s="114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78</v>
      </c>
      <c r="B58" s="46">
        <v>45658</v>
      </c>
      <c r="C58" s="114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79</v>
      </c>
      <c r="B59" s="46">
        <v>46023</v>
      </c>
      <c r="C59" s="114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80</v>
      </c>
      <c r="B60" s="46">
        <v>46388</v>
      </c>
      <c r="C60" s="114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81</v>
      </c>
      <c r="B61" s="46">
        <v>46753</v>
      </c>
      <c r="C61" s="114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82</v>
      </c>
      <c r="B62" s="46">
        <v>47119</v>
      </c>
      <c r="C62" s="114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83</v>
      </c>
      <c r="B63" s="46">
        <v>47484</v>
      </c>
      <c r="C63" s="114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84</v>
      </c>
      <c r="B64" s="46">
        <v>47849</v>
      </c>
      <c r="C64" s="114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85</v>
      </c>
      <c r="B65" s="46">
        <v>48214</v>
      </c>
      <c r="C65" s="114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86</v>
      </c>
      <c r="B66" s="46">
        <v>48580</v>
      </c>
      <c r="C66" s="114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87</v>
      </c>
      <c r="B67" s="46">
        <v>48945</v>
      </c>
      <c r="C67" s="114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88</v>
      </c>
      <c r="B68" s="46">
        <v>49310</v>
      </c>
      <c r="C68" s="114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49" workbookViewId="0">
      <selection activeCell="B86" sqref="B86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129</v>
      </c>
      <c r="B1" t="s">
        <v>335</v>
      </c>
      <c r="C1" t="s">
        <v>336</v>
      </c>
      <c r="D1" t="s">
        <v>379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-20000</v>
      </c>
      <c r="C15" s="22" t="str">
        <f>IF(ISNUMBER('Change in Employment'!J22),TEXT('Change in Employment'!J22, "0"),"")</f>
        <v>-16667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-27000</v>
      </c>
      <c r="C16" s="22" t="str">
        <f>IF(ISNUMBER('Change in Employment'!J23),TEXT('Change in Employment'!J23, "0"),"")</f>
        <v>-29000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-9000</v>
      </c>
      <c r="C17" s="22" t="str">
        <f>IF(ISNUMBER('Change in Employment'!J24),TEXT('Change in Employment'!J24, "0"),"")</f>
        <v>-18667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-10000</v>
      </c>
      <c r="C18" s="22" t="str">
        <f>IF(ISNUMBER('Change in Employment'!J25),TEXT('Change in Employment'!J25, "0"),"")</f>
        <v>-15333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-5000</v>
      </c>
      <c r="C19" s="22" t="str">
        <f>IF(ISNUMBER('Change in Employment'!J26),TEXT('Change in Employment'!J26, "0"),"")</f>
        <v>-8000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-33000</v>
      </c>
      <c r="C20" s="22" t="str">
        <f>IF(ISNUMBER('Change in Employment'!J27),TEXT('Change in Employment'!J27, "0"),"")</f>
        <v>-16000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-29000</v>
      </c>
      <c r="C21" s="22" t="str">
        <f>IF(ISNUMBER('Change in Employment'!J28),TEXT('Change in Employment'!J28, "0"),"")</f>
        <v>-22333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-43000</v>
      </c>
      <c r="C22" s="22" t="str">
        <f>IF(ISNUMBER('Change in Employment'!J29),TEXT('Change in Employment'!J29, "0"),"")</f>
        <v>-35000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-97000</v>
      </c>
      <c r="C23" s="22" t="str">
        <f>IF(ISNUMBER('Change in Employment'!J30),TEXT('Change in Employment'!J30, "0"),"")</f>
        <v>-56333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53000</v>
      </c>
      <c r="C24" s="22" t="str">
        <f>IF(ISNUMBER('Change in Employment'!J31),TEXT('Change in Employment'!J31, "0"),"")</f>
        <v>-29000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-10000</v>
      </c>
      <c r="C25" s="22" t="str">
        <f>IF(ISNUMBER('Change in Employment'!J32),TEXT('Change in Employment'!J32, "0"),"")</f>
        <v>-18000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-25000</v>
      </c>
      <c r="C26" s="22" t="str">
        <f>IF(ISNUMBER('Change in Employment'!J33),TEXT('Change in Employment'!J33, "0"),"")</f>
        <v>6000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-13667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-53000</v>
      </c>
      <c r="C28" s="22" t="str">
        <f>IF(ISNUMBER('Change in Employment'!J35),TEXT('Change in Employment'!J35, "0"),"")</f>
        <v>-28000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-19000</v>
      </c>
      <c r="C29" s="22" t="str">
        <f>IF(ISNUMBER('Change in Employment'!J36),TEXT('Change in Employment'!J36, "0"),"")</f>
        <v>-26000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-2000</v>
      </c>
      <c r="C30" s="22" t="str">
        <f>IF(ISNUMBER('Change in Employment'!J37),TEXT('Change in Employment'!J37, "0"),"")</f>
        <v>-24667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-61000</v>
      </c>
      <c r="C31" s="22" t="str">
        <f>IF(ISNUMBER('Change in Employment'!J38),TEXT('Change in Employment'!J38, "0"),"")</f>
        <v>-27333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13000</v>
      </c>
      <c r="C32" s="22" t="str">
        <f>IF(ISNUMBER('Change in Employment'!J39),TEXT('Change in Employment'!J39, "0"),"")</f>
        <v>-16667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-75000</v>
      </c>
      <c r="C33" s="22" t="str">
        <f>IF(ISNUMBER('Change in Employment'!J40),TEXT('Change in Employment'!J40, "0"),"")</f>
        <v>-41000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-1000</v>
      </c>
      <c r="C34" s="22" t="str">
        <f>IF(ISNUMBER('Change in Employment'!J41),TEXT('Change in Employment'!J41, "0"),"")</f>
        <v>-21000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-57000</v>
      </c>
      <c r="C35" s="22" t="str">
        <f>IF(ISNUMBER('Change in Employment'!J42),TEXT('Change in Employment'!J42, "0"),"")</f>
        <v>-44333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13000</v>
      </c>
      <c r="C36" s="22" t="str">
        <f>IF(ISNUMBER('Change in Employment'!J43),TEXT('Change in Employment'!J43, "0"),"")</f>
        <v>-15000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-20000</v>
      </c>
      <c r="C37" s="22" t="str">
        <f>IF(ISNUMBER('Change in Employment'!J44),TEXT('Change in Employment'!J44, "0"),"")</f>
        <v>-21333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-15000</v>
      </c>
      <c r="C38" s="22" t="str">
        <f>IF(ISNUMBER('Change in Employment'!J45),TEXT('Change in Employment'!J45, "0"),"")</f>
        <v>-7333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4000</v>
      </c>
      <c r="C39" s="22" t="str">
        <f>IF(ISNUMBER('Change in Employment'!J46),TEXT('Change in Employment'!J46, "0"),"")</f>
        <v>-10333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3000</v>
      </c>
      <c r="C40" s="22" t="str">
        <f>IF(ISNUMBER('Change in Employment'!J47),TEXT('Change in Employment'!J47, "0"),"")</f>
        <v>-2667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1667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-22000</v>
      </c>
      <c r="C42" s="22" t="str">
        <f>IF(ISNUMBER('Change in Employment'!J49),TEXT('Change in Employment'!J49, "0"),"")</f>
        <v>-7000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-10000</v>
      </c>
      <c r="C43" s="22" t="str">
        <f>IF(ISNUMBER('Change in Employment'!J50),TEXT('Change in Employment'!J50, "0"),"")</f>
        <v>-11333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-19000</v>
      </c>
      <c r="C44" s="22" t="str">
        <f>IF(ISNUMBER('Change in Employment'!J51),TEXT('Change in Employment'!J51, "0"),"")</f>
        <v>-17000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33000</v>
      </c>
      <c r="C45" s="22" t="str">
        <f>IF(ISNUMBER('Change in Employment'!J52),TEXT('Change in Employment'!J52, "0"),"")</f>
        <v>1333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24000</v>
      </c>
      <c r="C46" s="22" t="str">
        <f>IF(ISNUMBER('Change in Employment'!J53),TEXT('Change in Employment'!J53, "0"),"")</f>
        <v>12667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-21000</v>
      </c>
      <c r="C47" s="22" t="str">
        <f>IF(ISNUMBER('Change in Employment'!J54),TEXT('Change in Employment'!J54, "0"),"")</f>
        <v>12000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-30000</v>
      </c>
      <c r="C48" s="22" t="str">
        <f>IF(ISNUMBER('Change in Employment'!J55),TEXT('Change in Employment'!J55, "0"),"")</f>
        <v>-9000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-9000</v>
      </c>
      <c r="C49" s="22" t="str">
        <f>IF(ISNUMBER('Change in Employment'!J56),TEXT('Change in Employment'!J56, "0"),"")</f>
        <v>-20000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20000</v>
      </c>
      <c r="C50" s="22" t="str">
        <f>IF(ISNUMBER('Change in Employment'!J57),TEXT('Change in Employment'!J57, "0"),"")</f>
        <v>-6333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-14000</v>
      </c>
      <c r="C51" s="22" t="str">
        <f>IF(ISNUMBER('Change in Employment'!J58),TEXT('Change in Employment'!J58, "0"),"")</f>
        <v>-1000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13000</v>
      </c>
      <c r="C52" s="22" t="str">
        <f>IF(ISNUMBER('Change in Employment'!J59),TEXT('Change in Employment'!J59, "0"),"")</f>
        <v>6333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-5000</v>
      </c>
      <c r="C53" s="22" t="str">
        <f>IF(ISNUMBER('Change in Employment'!J60),TEXT('Change in Employment'!J60, "0"),"")</f>
        <v>-2000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-9000</v>
      </c>
      <c r="C54" s="22" t="str">
        <f>IF(ISNUMBER('Change in Employment'!J61),TEXT('Change in Employment'!J61, "0"),"")</f>
        <v>-333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12000</v>
      </c>
      <c r="C55" s="22" t="str">
        <f>IF(ISNUMBER('Change in Employment'!J62),TEXT('Change in Employment'!J62, "0"),"")</f>
        <v>-667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-38000</v>
      </c>
      <c r="C56" s="22" t="str">
        <f>IF(ISNUMBER('Change in Employment'!J63),TEXT('Change in Employment'!J63, "0"),"")</f>
        <v>-11667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11000</v>
      </c>
      <c r="C57" s="22" t="str">
        <f>IF(ISNUMBER('Change in Employment'!J64),TEXT('Change in Employment'!J64, "0"),"")</f>
        <v>-5000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51000</v>
      </c>
      <c r="C58" s="22" t="str">
        <f>IF(ISNUMBER('Change in Employment'!J65),TEXT('Change in Employment'!J65, "0"),"")</f>
        <v>8000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-16000</v>
      </c>
      <c r="C59" s="22" t="str">
        <f>IF(ISNUMBER('Change in Employment'!J66),TEXT('Change in Employment'!J66, "0"),"")</f>
        <v>15333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-1000</v>
      </c>
      <c r="C60" s="22" t="str">
        <f>IF(ISNUMBER('Change in Employment'!J67),TEXT('Change in Employment'!J67, "0"),"")</f>
        <v>11333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11000</v>
      </c>
      <c r="C61" s="22" t="str">
        <f>IF(ISNUMBER('Change in Employment'!J68),TEXT('Change in Employment'!J68, "0"),"")</f>
        <v>-2000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-14000</v>
      </c>
      <c r="C62" s="22" t="str">
        <f>IF(ISNUMBER('Change in Employment'!J69),TEXT('Change in Employment'!J69, "0"),"")</f>
        <v>-1333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-5000</v>
      </c>
      <c r="C63" s="22" t="str">
        <f>IF(ISNUMBER('Change in Employment'!J70),TEXT('Change in Employment'!J70, "0"),"")</f>
        <v>-2667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14000</v>
      </c>
      <c r="C64" s="22" t="str">
        <f>IF(ISNUMBER('Change in Employment'!J71),TEXT('Change in Employment'!J71, "0"),"")</f>
        <v>-1667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5000</v>
      </c>
      <c r="C65" s="22" t="str">
        <f>IF(ISNUMBER('Change in Employment'!J72),TEXT('Change in Employment'!J72, "0"),"")</f>
        <v>4667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18000</v>
      </c>
      <c r="C66" s="22" t="str">
        <f>IF(ISNUMBER('Change in Employment'!J73),TEXT('Change in Employment'!J73, "0"),"")</f>
        <v>12333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-2000</v>
      </c>
      <c r="C67" s="22" t="str">
        <f>IF(ISNUMBER('Change in Employment'!J74),TEXT('Change in Employment'!J74, "0"),"")</f>
        <v>7000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14000</v>
      </c>
      <c r="C68" s="22" t="str">
        <f>IF(ISNUMBER('Change in Employment'!J75),TEXT('Change in Employment'!J75, "0"),"")</f>
        <v>10000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8000</v>
      </c>
      <c r="C69" s="22" t="str">
        <f>IF(ISNUMBER('Change in Employment'!J76),TEXT('Change in Employment'!J76, "0"),"")</f>
        <v>6667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1000</v>
      </c>
      <c r="C70" s="22" t="str">
        <f>IF(ISNUMBER('Change in Employment'!J77),TEXT('Change in Employment'!J77, "0"),"")</f>
        <v>7667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17000</v>
      </c>
      <c r="C71" s="22" t="str">
        <f>IF(ISNUMBER('Change in Employment'!J78),TEXT('Change in Employment'!J78, "0"),"")</f>
        <v>8667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8000</v>
      </c>
      <c r="C72" s="22" t="str">
        <f>IF(ISNUMBER('Change in Employment'!J79),TEXT('Change in Employment'!J79, "0"),"")</f>
        <v>8667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0</v>
      </c>
      <c r="C73" s="22" t="str">
        <f>IF(ISNUMBER('Change in Employment'!J80),TEXT('Change in Employment'!J80, "0"),"")</f>
        <v>8333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2" t="str">
        <f>IF(ISNUMBER('Change in Employment'!I81), TEXT('Change in Employment'!I81, "0"), "")</f>
        <v>7000</v>
      </c>
      <c r="C74" s="22" t="str">
        <f>IF(ISNUMBER('Change in Employment'!J81),TEXT('Change in Employment'!J81, "0"),"")</f>
        <v>5000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2" t="str">
        <f>IF(ISNUMBER('Change in Employment'!I82), TEXT('Change in Employment'!I82, "0"), "")</f>
        <v>3000</v>
      </c>
      <c r="C75" s="22" t="str">
        <f>IF(ISNUMBER('Change in Employment'!J82),TEXT('Change in Employment'!J82, "0"),"")</f>
        <v>3333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2" t="str">
        <f>IF(ISNUMBER('Change in Employment'!I83), TEXT('Change in Employment'!I83, "0"), "")</f>
        <v>-1000</v>
      </c>
      <c r="C76" s="22" t="str">
        <f>IF(ISNUMBER('Change in Employment'!J83),TEXT('Change in Employment'!J83, "0"),"")</f>
        <v>3000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2" t="str">
        <f>IF(ISNUMBER('Change in Employment'!I84), TEXT('Change in Employment'!I84, "0"), "")</f>
        <v>-1000</v>
      </c>
      <c r="C77" s="22" t="str">
        <f>IF(ISNUMBER('Change in Employment'!J84),TEXT('Change in Employment'!J84, "0"),"")</f>
        <v>333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2" t="str">
        <f>IF(ISNUMBER('Change in Employment'!I85), TEXT('Change in Employment'!I85, "0"), "")</f>
        <v/>
      </c>
      <c r="C78" s="22" t="str">
        <f>IF(ISNUMBER('Change in Employment'!J85),TEXT('Change in Employment'!J85, "0"),"")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71" workbookViewId="0">
      <selection activeCell="A71" sqref="A71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129</v>
      </c>
      <c r="B1" s="20" t="s">
        <v>335</v>
      </c>
      <c r="C1" s="20" t="s">
        <v>336</v>
      </c>
      <c r="D1" s="20" t="s">
        <v>379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4500</v>
      </c>
      <c r="C15" s="20" t="str">
        <f>IFERROR(IF(ISNUMBER('Change in Employment'!M22),TEXT('Change in Employment'!M22, "0"), ""), "")</f>
        <v>6700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5100.0000000003638</v>
      </c>
      <c r="C16" s="20" t="str">
        <f>IFERROR(IF(ISNUMBER('Change in Employment'!M23),TEXT('Change in Employment'!M23, "0"), ""), "")</f>
        <v>6267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6699.9999999998181</v>
      </c>
      <c r="C17" s="20" t="str">
        <f>IFERROR(IF(ISNUMBER('Change in Employment'!M24),TEXT('Change in Employment'!M24, "0"), ""), "")</f>
        <v>5433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-2199.9999999998181</v>
      </c>
      <c r="C18" s="20" t="str">
        <f>IFERROR(IF(ISNUMBER('Change in Employment'!M25),TEXT('Change in Employment'!M25, "0"), ""), "")</f>
        <v>3200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23799.999999999727</v>
      </c>
      <c r="C19" s="20" t="str">
        <f>IFERROR(IF(ISNUMBER('Change in Employment'!M26),TEXT('Change in Employment'!M26, "0"), ""), "")</f>
        <v>9433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1700.0000000002728</v>
      </c>
      <c r="C20" s="20" t="str">
        <f>IFERROR(IF(ISNUMBER('Change in Employment'!M27),TEXT('Change in Employment'!M27, "0"), ""), "")</f>
        <v>7767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5599.9999999999091</v>
      </c>
      <c r="C21" s="20" t="str">
        <f>IFERROR(IF(ISNUMBER('Change in Employment'!M28),TEXT('Change in Employment'!M28, "0"), ""), "")</f>
        <v>10367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6099.9999999999091</v>
      </c>
      <c r="C22" s="20" t="str">
        <f>IFERROR(IF(ISNUMBER('Change in Employment'!M29),TEXT('Change in Employment'!M29, "0"), ""), "")</f>
        <v>4467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1900.0000000000909</v>
      </c>
      <c r="C23" s="20" t="str">
        <f>IFERROR(IF(ISNUMBER('Change in Employment'!M30),TEXT('Change in Employment'!M30, "0"), ""), "")</f>
        <v>4533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4200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2500</v>
      </c>
      <c r="C25" s="20" t="str">
        <f>IFERROR(IF(ISNUMBER('Change in Employment'!M32),TEXT('Change in Employment'!M32, "0"), ""), "")</f>
        <v>3000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5500</v>
      </c>
      <c r="C26" s="20" t="str">
        <f>IFERROR(IF(ISNUMBER('Change in Employment'!M33),TEXT('Change in Employment'!M33, "0"), ""), "")</f>
        <v>4200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6400.0000000000909</v>
      </c>
      <c r="C27" s="20" t="str">
        <f>IFERROR(IF(ISNUMBER('Change in Employment'!M34),TEXT('Change in Employment'!M34, "0"), ""), "")</f>
        <v>4800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2799.9999999997272</v>
      </c>
      <c r="C28" s="20" t="str">
        <f>IFERROR(IF(ISNUMBER('Change in Employment'!M35),TEXT('Change in Employment'!M35, "0"), ""), "")</f>
        <v>4900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3300.0000000001819</v>
      </c>
      <c r="C29" s="20" t="str">
        <f>IFERROR(IF(ISNUMBER('Change in Employment'!M36),TEXT('Change in Employment'!M36, "0"), ""), "")</f>
        <v>4167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-300.0000000001819</v>
      </c>
      <c r="C30" s="20" t="str">
        <f>IFERROR(IF(ISNUMBER('Change in Employment'!M37),TEXT('Change in Employment'!M37, "0"), ""), "")</f>
        <v>1933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4300.0000000001819</v>
      </c>
      <c r="C31" s="20" t="str">
        <f>IFERROR(IF(ISNUMBER('Change in Employment'!M38),TEXT('Change in Employment'!M38, "0"), ""), "")</f>
        <v>2433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-9699.9999999998181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-1900.0000000000909</v>
      </c>
      <c r="C33" s="20" t="str">
        <f>IFERROR(IF(ISNUMBER('Change in Employment'!M40),TEXT('Change in Employment'!M40, "0"), ""), "")</f>
        <v>-2433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-1000</v>
      </c>
      <c r="C34" s="20" t="str">
        <f>IFERROR(IF(ISNUMBER('Change in Employment'!M41),TEXT('Change in Employment'!M41, "0"), ""), "")</f>
        <v>-4200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99.999999999909051</v>
      </c>
      <c r="C35" s="20" t="str">
        <f>IFERROR(IF(ISNUMBER('Change in Employment'!M42),TEXT('Change in Employment'!M42, "0"), ""), "")</f>
        <v>-933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-1199.9999999998181</v>
      </c>
      <c r="C36" s="20" t="str">
        <f>IFERROR(IF(ISNUMBER('Change in Employment'!M43),TEXT('Change in Employment'!M43, "0"), ""), "")</f>
        <v>-700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-4200.0000000002728</v>
      </c>
      <c r="C37" s="20" t="str">
        <f>IFERROR(IF(ISNUMBER('Change in Employment'!M44),TEXT('Change in Employment'!M44, "0"), ""), "")</f>
        <v>-1767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-1799.9999999997272</v>
      </c>
      <c r="C38" s="20" t="str">
        <f>IFERROR(IF(ISNUMBER('Change in Employment'!M45),TEXT('Change in Employment'!M45, "0"), ""), "")</f>
        <v>-2400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-5500</v>
      </c>
      <c r="C39" s="20" t="str">
        <f>IFERROR(IF(ISNUMBER('Change in Employment'!M46),TEXT('Change in Employment'!M46, "0"), ""), "")</f>
        <v>-3833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-2400.0000000000909</v>
      </c>
      <c r="C40" s="20" t="str">
        <f>IFERROR(IF(ISNUMBER('Change in Employment'!M47),TEXT('Change in Employment'!M47, "0"), ""), "")</f>
        <v>-3233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1000</v>
      </c>
      <c r="C41" s="20" t="str">
        <f>IFERROR(IF(ISNUMBER('Change in Employment'!M48),TEXT('Change in Employment'!M48, "0"), ""), "")</f>
        <v>-2300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-300.0000000001819</v>
      </c>
      <c r="C42" s="20" t="str">
        <f>IFERROR(IF(ISNUMBER('Change in Employment'!M49),TEXT('Change in Employment'!M49, "0"), ""), "")</f>
        <v>-567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2000</v>
      </c>
      <c r="C43" s="20" t="str">
        <f>IFERROR(IF(ISNUMBER('Change in Employment'!M50),TEXT('Change in Employment'!M50, "0"), ""), "")</f>
        <v>900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-699.9999999998181</v>
      </c>
      <c r="C44" s="20" t="str">
        <f>IFERROR(IF(ISNUMBER('Change in Employment'!M51),TEXT('Change in Employment'!M51, "0"), ""), "")</f>
        <v>333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-9000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-833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7099.9999999999091</v>
      </c>
      <c r="C47" s="20" t="str">
        <f>IFERROR(IF(ISNUMBER('Change in Employment'!M54),TEXT('Change in Employment'!M54, "0"), ""), "")</f>
        <v>1767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-4299.9999999997272</v>
      </c>
      <c r="C48" s="20" t="str">
        <f>IFERROR(IF(ISNUMBER('Change in Employment'!M55),TEXT('Change in Employment'!M55, "0"), ""), "")</f>
        <v>3333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-3900.0000000000909</v>
      </c>
      <c r="C49" s="20" t="str">
        <f>IFERROR(IF(ISNUMBER('Change in Employment'!M56),TEXT('Change in Employment'!M56, "0"), ""), "")</f>
        <v>-367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-1599.9999999999091</v>
      </c>
      <c r="C50" s="20" t="str">
        <f>IFERROR(IF(ISNUMBER('Change in Employment'!M57),TEXT('Change in Employment'!M57, "0"), ""), "")</f>
        <v>-3267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-3800.0000000001819</v>
      </c>
      <c r="C51" s="20" t="str">
        <f>IFERROR(IF(ISNUMBER('Change in Employment'!M58),TEXT('Change in Employment'!M58, "0"), ""), "")</f>
        <v>-3100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0</v>
      </c>
      <c r="C52" s="20" t="str">
        <f>IFERROR(IF(ISNUMBER('Change in Employment'!M59),TEXT('Change in Employment'!M59, "0"), ""), "")</f>
        <v>-1800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-3099.9999999999091</v>
      </c>
      <c r="C53" s="20" t="str">
        <f>IFERROR(IF(ISNUMBER('Change in Employment'!M60),TEXT('Change in Employment'!M60, "0"), ""), "")</f>
        <v>-2300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-7500</v>
      </c>
      <c r="C54" s="20" t="str">
        <f>IFERROR(IF(ISNUMBER('Change in Employment'!M61),TEXT('Change in Employment'!M61, "0"), ""), "")</f>
        <v>-3533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-9400.0000000000909</v>
      </c>
      <c r="C55" s="20" t="str">
        <f>IFERROR(IF(ISNUMBER('Change in Employment'!M62),TEXT('Change in Employment'!M62, "0"), ""), "")</f>
        <v>-6667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-6699.9999999998181</v>
      </c>
      <c r="C56" s="20" t="str">
        <f>IFERROR(IF(ISNUMBER('Change in Employment'!M63),TEXT('Change in Employment'!M63, "0"), ""), "")</f>
        <v>-7867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-7900.0000000000909</v>
      </c>
      <c r="C57" s="20" t="str">
        <f>IFERROR(IF(ISNUMBER('Change in Employment'!M64),TEXT('Change in Employment'!M64, "0"), ""), "")</f>
        <v>-8000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-7400.0000000000909</v>
      </c>
      <c r="C58" s="20" t="str">
        <f>IFERROR(IF(ISNUMBER('Change in Employment'!M65),TEXT('Change in Employment'!M65, "0"), ""), "")</f>
        <v>-7333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-2400.0000000000909</v>
      </c>
      <c r="C59" s="20" t="str">
        <f>IFERROR(IF(ISNUMBER('Change in Employment'!M66),TEXT('Change in Employment'!M66, "0"), ""), "")</f>
        <v>-5900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-8699.9999999998181</v>
      </c>
      <c r="C60" s="20" t="str">
        <f>IFERROR(IF(ISNUMBER('Change in Employment'!M67),TEXT('Change in Employment'!M67, "0"), ""), "")</f>
        <v>-6167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699.9999999998181</v>
      </c>
      <c r="C61" s="20" t="str">
        <f>IFERROR(IF(ISNUMBER('Change in Employment'!M68),TEXT('Change in Employment'!M68, "0"), ""), "")</f>
        <v>-3467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-4799.9999999997272</v>
      </c>
      <c r="C62" s="20" t="str">
        <f>IFERROR(IF(ISNUMBER('Change in Employment'!M69),TEXT('Change in Employment'!M69, "0"), ""), "")</f>
        <v>-4267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-1700.0000000002728</v>
      </c>
      <c r="C63" s="20" t="str">
        <f>IFERROR(IF(ISNUMBER('Change in Employment'!M70),TEXT('Change in Employment'!M70, "0"), ""), "")</f>
        <v>-1933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-5000</v>
      </c>
      <c r="C64" s="20" t="str">
        <f>IFERROR(IF(ISNUMBER('Change in Employment'!M71),TEXT('Change in Employment'!M71, "0"), ""), "")</f>
        <v>-3833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-3399.9999999996362</v>
      </c>
      <c r="C65" s="20" t="str">
        <f>IFERROR(IF(ISNUMBER('Change in Employment'!M72),TEXT('Change in Employment'!M72, "0"), ""), "")</f>
        <v>-3367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-2300.0000000001819</v>
      </c>
      <c r="C66" s="20" t="str">
        <f>IFERROR(IF(ISNUMBER('Change in Employment'!M73),TEXT('Change in Employment'!M73, "0"), ""), "")</f>
        <v>-3567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-599.99999999990905</v>
      </c>
      <c r="C67" s="20" t="str">
        <f>IFERROR(IF(ISNUMBER('Change in Employment'!M74),TEXT('Change in Employment'!M74, "0"), ""), "")</f>
        <v>-2100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0</v>
      </c>
      <c r="C68" s="20" t="str">
        <f>IFERROR(IF(ISNUMBER('Change in Employment'!M75),TEXT('Change in Employment'!M75, "0"), ""), "")</f>
        <v>-967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1000</v>
      </c>
      <c r="C69" s="20" t="str">
        <f>IFERROR(IF(ISNUMBER('Change in Employment'!M76),TEXT('Change in Employment'!M76, "0"), ""), "")</f>
        <v>133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599.99999999990905</v>
      </c>
      <c r="C70" s="20" t="str">
        <f>IFERROR(IF(ISNUMBER('Change in Employment'!M77),TEXT('Change in Employment'!M77, "0"), ""), "")</f>
        <v>533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-2300.0000000001819</v>
      </c>
      <c r="C71" s="20" t="str">
        <f>IFERROR(IF(ISNUMBER('Change in Employment'!M78),TEXT('Change in Employment'!M78, "0"), ""), "")</f>
        <v>-233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-599.99999999990905</v>
      </c>
      <c r="C72" s="20" t="str">
        <f>IFERROR(IF(ISNUMBER('Change in Employment'!M79),TEXT('Change in Employment'!M79, "0"), ""), "")</f>
        <v>-767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1700.0000000002728</v>
      </c>
      <c r="C73" s="20" t="str">
        <f>IFERROR(IF(ISNUMBER('Change in Employment'!M80),TEXT('Change in Employment'!M80, "0"), ""), "")</f>
        <v>-400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0">
        <f>IF(ISNUMBER('Change in Employment'!L81),'Change in Employment'!L81, "")</f>
        <v>799.99999999972715</v>
      </c>
      <c r="C74" s="20" t="str">
        <f>IFERROR(IF(ISNUMBER('Change in Employment'!M81),TEXT('Change in Employment'!M81, "0"), ""), "")</f>
        <v>633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0">
        <f>IF(ISNUMBER('Change in Employment'!L82),'Change in Employment'!L82, "")</f>
        <v>2099.9999999999091</v>
      </c>
      <c r="C75" s="20" t="str">
        <f>IFERROR(IF(ISNUMBER('Change in Employment'!M82),TEXT('Change in Employment'!M82, "0"), ""), "")</f>
        <v>1533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0">
        <f>IF(ISNUMBER('Change in Employment'!L83),'Change in Employment'!L83, "")</f>
        <v>-2899.9999999996362</v>
      </c>
      <c r="C76" s="20" t="str">
        <f>IFERROR(IF(ISNUMBER('Change in Employment'!M83),TEXT('Change in Employment'!M83, "0"), ""), "")</f>
        <v>0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0">
        <f>IF(ISNUMBER('Change in Employment'!L84),'Change in Employment'!L84, "")</f>
        <v>-1400.0000000000909</v>
      </c>
      <c r="C77" s="20" t="str">
        <f>IFERROR(IF(ISNUMBER('Change in Employment'!M84),TEXT('Change in Employment'!M84, "0"), ""), "")</f>
        <v>-733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0" t="str">
        <f>IF(ISNUMBER('Change in Employment'!L85),'Change in Employment'!L85, "")</f>
        <v/>
      </c>
      <c r="C78" s="20" t="str">
        <f>IFERROR(IF(ISNUMBER('Change in Employment'!M85),TEXT('Change in Employment'!M85, "0"), ""), 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C26" sqref="C26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129</v>
      </c>
      <c r="B1" s="20" t="s">
        <v>334</v>
      </c>
      <c r="C1" s="20" t="s">
        <v>379</v>
      </c>
    </row>
    <row r="2" spans="1:3">
      <c r="A2" s="20" t="str">
        <f>TEXT(IF('Real Structures'!B8&lt;&gt;0,'Real Structures'!B8, ""), "d-mmm-yy")</f>
        <v>1-Jan-09</v>
      </c>
      <c r="B2" s="20">
        <f>IF(ISNUMBER('Real Structures'!C8),'Real Structures'!C8, "")</f>
        <v>288.7</v>
      </c>
      <c r="C2" s="20">
        <f>IF(ISNUMBER('Real Structures'!D8),'Real Structures'!D8, "")</f>
        <v>1</v>
      </c>
    </row>
    <row r="3" spans="1:3">
      <c r="A3" s="20" t="str">
        <f>TEXT(IF('Real Structures'!B9&lt;&gt;0,'Real Structures'!B9, ""), "d-mmm-yy")</f>
        <v>1-Apr-09</v>
      </c>
      <c r="B3" s="20">
        <f>IF(ISNUMBER('Real Structures'!C9),'Real Structures'!C9, "")</f>
        <v>294.7</v>
      </c>
      <c r="C3" s="20">
        <f>IF(ISNUMBER('Real Structures'!D9),'Real Structures'!D9, "")</f>
        <v>1</v>
      </c>
    </row>
    <row r="4" spans="1:3">
      <c r="A4" s="20" t="str">
        <f>TEXT(IF('Real Structures'!B10&lt;&gt;0,'Real Structures'!B10, ""), "d-mmm-yy")</f>
        <v>1-Jul-09</v>
      </c>
      <c r="B4" s="20">
        <f>IF(ISNUMBER('Real Structures'!C10),'Real Structures'!C10, "")</f>
        <v>293.3</v>
      </c>
      <c r="C4" s="20">
        <f>IF(ISNUMBER('Real Structures'!D10),'Real Structures'!D10, "")</f>
        <v>0</v>
      </c>
    </row>
    <row r="5" spans="1:3">
      <c r="A5" s="20" t="str">
        <f>TEXT(IF('Real Structures'!B11&lt;&gt;0,'Real Structures'!B11, ""), "d-mmm-yy")</f>
        <v>1-Oct-09</v>
      </c>
      <c r="B5" s="20">
        <f>IF(ISNUMBER('Real Structures'!C11),'Real Structures'!C11, "")</f>
        <v>282.39999999999998</v>
      </c>
      <c r="C5" s="20">
        <f>IF(ISNUMBER('Real Structures'!D11),'Real Structures'!D11, "")</f>
        <v>0</v>
      </c>
    </row>
    <row r="6" spans="1:3">
      <c r="A6" s="20" t="str">
        <f>TEXT(IF('Real Structures'!B12&lt;&gt;0,'Real Structures'!B12, ""), "d-mmm-yy")</f>
        <v>1-Jan-10</v>
      </c>
      <c r="B6" s="20">
        <f>IF(ISNUMBER('Real Structures'!C12),'Real Structures'!C12, "")</f>
        <v>273.60000000000002</v>
      </c>
      <c r="C6" s="20">
        <f>IF(ISNUMBER('Real Structures'!D12),'Real Structures'!D12, "")</f>
        <v>0</v>
      </c>
    </row>
    <row r="7" spans="1:3">
      <c r="A7" s="20" t="str">
        <f>TEXT(IF('Real Structures'!B13&lt;&gt;0,'Real Structures'!B13, ""), "d-mmm-yy")</f>
        <v>1-Apr-10</v>
      </c>
      <c r="B7" s="20">
        <f>IF(ISNUMBER('Real Structures'!C13),'Real Structures'!C13, "")</f>
        <v>284.2</v>
      </c>
      <c r="C7" s="20">
        <f>IF(ISNUMBER('Real Structures'!D13),'Real Structures'!D13, "")</f>
        <v>0</v>
      </c>
    </row>
    <row r="8" spans="1:3">
      <c r="A8" s="20" t="str">
        <f>TEXT(IF('Real Structures'!B14&lt;&gt;0,'Real Structures'!B14, ""), "d-mmm-yy")</f>
        <v>1-Jul-10</v>
      </c>
      <c r="B8" s="20">
        <f>IF(ISNUMBER('Real Structures'!C14),'Real Structures'!C14, "")</f>
        <v>285.60000000000002</v>
      </c>
      <c r="C8" s="20">
        <f>IF(ISNUMBER('Real Structures'!D14),'Real Structures'!D14, "")</f>
        <v>0</v>
      </c>
    </row>
    <row r="9" spans="1:3">
      <c r="A9" s="20" t="str">
        <f>TEXT(IF('Real Structures'!B15&lt;&gt;0,'Real Structures'!B15, ""), "d-mmm-yy")</f>
        <v>1-Oct-10</v>
      </c>
      <c r="B9" s="20">
        <f>IF(ISNUMBER('Real Structures'!C15),'Real Structures'!C15, "")</f>
        <v>274.5</v>
      </c>
      <c r="C9" s="20">
        <f>IF(ISNUMBER('Real Structures'!D15),'Real Structures'!D15, "")</f>
        <v>0</v>
      </c>
    </row>
    <row r="10" spans="1:3">
      <c r="A10" s="20" t="str">
        <f>TEXT(IF('Real Structures'!B16&lt;&gt;0,'Real Structures'!B16, ""), "d-mmm-yy")</f>
        <v>1-Jan-11</v>
      </c>
      <c r="B10" s="20">
        <f>IF(ISNUMBER('Real Structures'!C16),'Real Structures'!C16, "")</f>
        <v>265.7</v>
      </c>
      <c r="C10" s="20">
        <f>IF(ISNUMBER('Real Structures'!D16),'Real Structures'!D16, "")</f>
        <v>0</v>
      </c>
    </row>
    <row r="11" spans="1:3">
      <c r="A11" s="20" t="str">
        <f>TEXT(IF('Real Structures'!B17&lt;&gt;0,'Real Structures'!B17, ""), "d-mmm-yy")</f>
        <v>1-Apr-11</v>
      </c>
      <c r="B11" s="20">
        <f>IF(ISNUMBER('Real Structures'!C17),'Real Structures'!C17, "")</f>
        <v>261.39999999999998</v>
      </c>
      <c r="C11" s="20">
        <f>IF(ISNUMBER('Real Structures'!D17),'Real Structures'!D17, "")</f>
        <v>0</v>
      </c>
    </row>
    <row r="12" spans="1:3">
      <c r="A12" s="20" t="str">
        <f>TEXT(IF('Real Structures'!B18&lt;&gt;0,'Real Structures'!B18, ""), "d-mmm-yy")</f>
        <v>1-Jul-11</v>
      </c>
      <c r="B12" s="20">
        <f>IF(ISNUMBER('Real Structures'!C18),'Real Structures'!C18, "")</f>
        <v>258.60000000000002</v>
      </c>
      <c r="C12" s="20">
        <f>IF(ISNUMBER('Real Structures'!D18),'Real Structures'!D18, "")</f>
        <v>0</v>
      </c>
    </row>
    <row r="13" spans="1:3">
      <c r="A13" s="20" t="str">
        <f>TEXT(IF('Real Structures'!B19&lt;&gt;0,'Real Structures'!B19, ""), "d-mmm-yy")</f>
        <v>1-Oct-11</v>
      </c>
      <c r="B13" s="20">
        <f>IF(ISNUMBER('Real Structures'!C19),'Real Structures'!C19, "")</f>
        <v>257.89999999999998</v>
      </c>
      <c r="C13" s="20">
        <f>IF(ISNUMBER('Real Structures'!D19),'Real Structures'!D19, "")</f>
        <v>0</v>
      </c>
    </row>
    <row r="14" spans="1:3">
      <c r="A14" s="20" t="str">
        <f>TEXT(IF('Real Structures'!B20&lt;&gt;0,'Real Structures'!B20, ""), "d-mmm-yy")</f>
        <v>1-Jan-12</v>
      </c>
      <c r="B14" s="20">
        <f>IF(ISNUMBER('Real Structures'!C20),'Real Structures'!C20, "")</f>
        <v>249.2</v>
      </c>
      <c r="C14" s="20">
        <f>IF(ISNUMBER('Real Structures'!D20),'Real Structures'!D20, "")</f>
        <v>0</v>
      </c>
    </row>
    <row r="15" spans="1:3">
      <c r="A15" s="20" t="str">
        <f>TEXT(IF('Real Structures'!B21&lt;&gt;0,'Real Structures'!B21, ""), "d-mmm-yy")</f>
        <v>1-Apr-12</v>
      </c>
      <c r="B15" s="20">
        <f>IF(ISNUMBER('Real Structures'!C21),'Real Structures'!C21, "")</f>
        <v>247.1</v>
      </c>
      <c r="C15" s="20">
        <f>IF(ISNUMBER('Real Structures'!D21),'Real Structures'!D21, "")</f>
        <v>0</v>
      </c>
    </row>
    <row r="16" spans="1:3">
      <c r="A16" s="20" t="str">
        <f>TEXT(IF('Real Structures'!B22&lt;&gt;0,'Real Structures'!B22, ""), "d-mmm-yy")</f>
        <v>1-Jul-12</v>
      </c>
      <c r="B16" s="20">
        <f>IF(ISNUMBER('Real Structures'!C22),'Real Structures'!C22, "")</f>
        <v>240.5</v>
      </c>
      <c r="C16" s="20">
        <f>IF(ISNUMBER('Real Structures'!D22),'Real Structures'!D22, "")</f>
        <v>0</v>
      </c>
    </row>
    <row r="17" spans="1:3">
      <c r="A17" s="20" t="str">
        <f>TEXT(IF('Real Structures'!B23&lt;&gt;0,'Real Structures'!B23, ""), "d-mmm-yy")</f>
        <v>1-Oct-12</v>
      </c>
      <c r="B17" s="20">
        <f>IF(ISNUMBER('Real Structures'!C23),'Real Structures'!C23, "")</f>
        <v>233.4</v>
      </c>
      <c r="C17" s="20">
        <f>IF(ISNUMBER('Real Structures'!D23),'Real Structures'!D23, "")</f>
        <v>0</v>
      </c>
    </row>
    <row r="18" spans="1:3">
      <c r="A18" s="20" t="str">
        <f>TEXT(IF('Real Structures'!B24&lt;&gt;0,'Real Structures'!B24, ""), "d-mmm-yy")</f>
        <v>1-Jan-13</v>
      </c>
      <c r="B18" s="20">
        <f>IF(ISNUMBER('Real Structures'!C24),'Real Structures'!C24, "")</f>
        <v>228.6</v>
      </c>
      <c r="C18" s="20">
        <f>IF(ISNUMBER('Real Structures'!D24),'Real Structures'!D24, "")</f>
        <v>0</v>
      </c>
    </row>
    <row r="19" spans="1:3">
      <c r="A19" s="20" t="str">
        <f>TEXT(IF('Real Structures'!B25&lt;&gt;0,'Real Structures'!B25, ""), "d-mmm-yy")</f>
        <v>1-Apr-13</v>
      </c>
      <c r="B19" s="20">
        <f>IF(ISNUMBER('Real Structures'!C25),'Real Structures'!C25, "")</f>
        <v>233.7</v>
      </c>
      <c r="C19" s="20">
        <f>IF(ISNUMBER('Real Structures'!D25),'Real Structures'!D25, "")</f>
        <v>0</v>
      </c>
    </row>
    <row r="20" spans="1:3">
      <c r="A20" s="20" t="str">
        <f>TEXT(IF('Real Structures'!B26&lt;&gt;0,'Real Structures'!B26, ""), "d-mmm-yy")</f>
        <v>1-Jul-13</v>
      </c>
      <c r="B20" s="20">
        <f>IF(ISNUMBER('Real Structures'!C26),'Real Structures'!C26, "")</f>
        <v>233</v>
      </c>
      <c r="C20" s="20">
        <f>IF(ISNUMBER('Real Structures'!D26),'Real Structures'!D26, "")</f>
        <v>0</v>
      </c>
    </row>
    <row r="21" spans="1:3">
      <c r="A21" s="20" t="str">
        <f>TEXT(IF('Real Structures'!B27&lt;&gt;0,'Real Structures'!B27, ""), "d-mmm-yy")</f>
        <v>1-Oct-13</v>
      </c>
      <c r="B21" s="20">
        <f>IF(ISNUMBER('Real Structures'!C27),'Real Structures'!C27, "")</f>
        <v>231.2</v>
      </c>
      <c r="C21" s="20">
        <f>IF(ISNUMBER('Real Structures'!D27),'Real Structures'!D27, "")</f>
        <v>0</v>
      </c>
    </row>
    <row r="22" spans="1:3">
      <c r="A22" s="20" t="str">
        <f>TEXT(IF('Real Structures'!B28&lt;&gt;0,'Real Structures'!B28, ""), "d-mmm-yy")</f>
        <v>1-Jan-14</v>
      </c>
      <c r="B22" s="20">
        <f>IF(ISNUMBER('Real Structures'!C28),'Real Structures'!C28, "")</f>
        <v>223.6</v>
      </c>
      <c r="C22" s="20">
        <f>IF(ISNUMBER('Real Structures'!D28),'Real Structures'!D28, "")</f>
        <v>0</v>
      </c>
    </row>
    <row r="23" spans="1:3">
      <c r="A23" s="20" t="str">
        <f>TEXT(IF('Real Structures'!B29&lt;&gt;0,'Real Structures'!B29, ""), "d-mmm-yy")</f>
        <v>1-Apr-14</v>
      </c>
      <c r="B23" s="20">
        <f>IF(ISNUMBER('Real Structures'!C29),'Real Structures'!C29, "")</f>
        <v>232.9</v>
      </c>
      <c r="C23" s="20">
        <f>IF(ISNUMBER('Real Structures'!D29),'Real Structures'!D29, "")</f>
        <v>0</v>
      </c>
    </row>
    <row r="24" spans="1:3">
      <c r="A24" s="20" t="str">
        <f>TEXT(IF('Real Structures'!B30&lt;&gt;0,'Real Structures'!B30, ""), "d-mmm-yy")</f>
        <v>1-Jul-14</v>
      </c>
      <c r="B24" s="20">
        <f>IF(ISNUMBER('Real Structures'!C30),'Real Structures'!C30, "")</f>
        <v>233.7</v>
      </c>
      <c r="C24" s="20">
        <f>IF(ISNUMBER('Real Structures'!D30),'Real Structures'!D30, "")</f>
        <v>0</v>
      </c>
    </row>
    <row r="25" spans="1:3">
      <c r="A25" s="20" t="str">
        <f>TEXT(IF('Real Structures'!B31&lt;&gt;0,'Real Structures'!B31, ""), "d-mmm-yy")</f>
        <v>1-Oct-14</v>
      </c>
      <c r="B25" s="20">
        <f>IF(ISNUMBER('Real Structures'!C31),'Real Structures'!C31, "")</f>
        <v>235.6</v>
      </c>
      <c r="C25" s="20">
        <f>IF(ISNUMBER('Real Structures'!D31),'Real Structures'!D31, "")</f>
        <v>0</v>
      </c>
    </row>
    <row r="26" spans="1:3">
      <c r="A26" s="20" t="str">
        <f>TEXT(IF('Real Structures'!B32&lt;&gt;0,'Real Structures'!B32, ""), "d-mmm-yy")</f>
        <v>1-Jan-15</v>
      </c>
      <c r="B26" s="20">
        <f>IF(ISNUMBER('Real Structures'!C32),'Real Structures'!C32, "")</f>
        <v>227.4</v>
      </c>
      <c r="C26" s="20">
        <f>IF(ISNUMBER('Real Structures'!D32),'Real Structures'!D32, "")</f>
        <v>0</v>
      </c>
    </row>
    <row r="27" spans="1:3">
      <c r="A27" s="20" t="str">
        <f>TEXT(IF('Real Structures'!B33&lt;&gt;0,'Real Structures'!B33, ""), "d-mmm-yy")</f>
        <v/>
      </c>
      <c r="B27" s="20" t="str">
        <f>IF(ISNUMBER('Real Structures'!C33),'Real Structures'!C33, "")</f>
        <v/>
      </c>
      <c r="C27" s="20" t="str">
        <f>IF(ISNUMBER('Real Structures'!D33),'Real Structures'!D33, "")</f>
        <v/>
      </c>
    </row>
    <row r="28" spans="1:3">
      <c r="A28" s="20" t="str">
        <f>TEXT(IF('Real Structures'!B34&lt;&gt;0,'Real Structures'!B34, ""), "d-mmm-yy")</f>
        <v/>
      </c>
      <c r="B28" s="20" t="str">
        <f>IF(ISNUMBER('Real Structures'!C34),'Real Structures'!C34, "")</f>
        <v/>
      </c>
      <c r="C28" s="20" t="str">
        <f>IF(ISNUMBER('Real Structures'!D34),'Real Structures'!D34, "")</f>
        <v/>
      </c>
    </row>
    <row r="29" spans="1:3">
      <c r="A29" s="20" t="str">
        <f>TEXT(IF('Real Structures'!B35&lt;&gt;0,'Real Structures'!B35, ""), "d-mmm-yy")</f>
        <v/>
      </c>
      <c r="B29" s="20" t="str">
        <f>IF(ISNUMBER('Real Structures'!C35),'Real Structures'!C35, "")</f>
        <v/>
      </c>
      <c r="C29" s="20" t="str">
        <f>IF(ISNUMBER('Real Structures'!D35),'Real Structures'!D35, "")</f>
        <v/>
      </c>
    </row>
    <row r="30" spans="1:3">
      <c r="A30" s="20" t="str">
        <f>TEXT(IF('Real Structures'!B36&lt;&gt;0,'Real Structures'!B36, ""), "d-mmm-yy")</f>
        <v/>
      </c>
      <c r="B30" s="20" t="str">
        <f>IF(ISNUMBER('Real Structures'!C36),'Real Structures'!C36, "")</f>
        <v/>
      </c>
      <c r="C30" s="20" t="str">
        <f>IF(ISNUMBER('Real Structures'!D36),'Real Structures'!D36, "")</f>
        <v/>
      </c>
    </row>
    <row r="31" spans="1:3">
      <c r="A31" s="20" t="str">
        <f>TEXT(IF('Real Structures'!B37&lt;&gt;0,'Real Structures'!B37, ""), "d-mmm-yy")</f>
        <v/>
      </c>
      <c r="B31" s="20" t="str">
        <f>IF(ISNUMBER('Real Structures'!C37),'Real Structures'!C37, "")</f>
        <v/>
      </c>
      <c r="C31" s="20" t="str">
        <f>IF(ISNUMBER('Real Structures'!D37),'Real Structures'!D37, "")</f>
        <v/>
      </c>
    </row>
    <row r="32" spans="1:3">
      <c r="A32" s="20" t="str">
        <f>TEXT(IF('Real Structures'!B38&lt;&gt;0,'Real Structures'!B38, ""), "d-mmm-yy")</f>
        <v/>
      </c>
      <c r="B32" s="20" t="str">
        <f>IF(ISNUMBER('Real Structures'!C38),'Real Structures'!C38, "")</f>
        <v/>
      </c>
      <c r="C32" s="20" t="str">
        <f>IF(ISNUMBER('Real Structures'!D38),'Real Structures'!D38, "")</f>
        <v/>
      </c>
    </row>
    <row r="33" spans="1:3">
      <c r="A33" s="20" t="str">
        <f>TEXT(IF('Real Structures'!B39&lt;&gt;0,'Real Structures'!B39, ""), "d-mmm-yy")</f>
        <v/>
      </c>
      <c r="B33" s="20" t="str">
        <f>IF(ISNUMBER('Real Structures'!C39),'Real Structures'!C39, "")</f>
        <v/>
      </c>
      <c r="C33" s="20" t="str">
        <f>IF(ISNUMBER('Real Structures'!D39),'Real Structures'!D39, "")</f>
        <v/>
      </c>
    </row>
    <row r="34" spans="1:3">
      <c r="A34" s="20" t="str">
        <f>TEXT(IF('Real Structures'!B40&lt;&gt;0,'Real Structures'!B40, ""), "d-mmm-yy")</f>
        <v/>
      </c>
      <c r="B34" s="20" t="str">
        <f>IF(ISNUMBER('Real Structures'!C40),'Real Structures'!C40, "")</f>
        <v/>
      </c>
      <c r="C34" s="20" t="str">
        <f>IF(ISNUMBER('Real Structures'!D40),'Real Structures'!D40, "")</f>
        <v/>
      </c>
    </row>
    <row r="35" spans="1:3">
      <c r="A35" s="20" t="str">
        <f>TEXT(IF('Real Structures'!B41&lt;&gt;0,'Real Structures'!B41, ""), "d-mmm-yy")</f>
        <v/>
      </c>
      <c r="B35" s="20" t="str">
        <f>IF(ISNUMBER('Real Structures'!C41),'Real Structures'!C41, "")</f>
        <v/>
      </c>
      <c r="C35" s="20" t="str">
        <f>IF(ISNUMBER('Real Structures'!D41),'Real Structures'!D41, "")</f>
        <v/>
      </c>
    </row>
    <row r="36" spans="1:3">
      <c r="A36" s="20" t="str">
        <f>TEXT(IF('Real Structures'!B42&lt;&gt;0,'Real Structures'!B42, ""), "d-mmm-yy")</f>
        <v/>
      </c>
      <c r="B36" s="20" t="str">
        <f>IF(ISNUMBER('Real Structures'!C42),'Real Structures'!C42, "")</f>
        <v/>
      </c>
      <c r="C36" s="20" t="str">
        <f>IF(ISNUMBER('Real Structures'!D42),'Real Structures'!D42, "")</f>
        <v/>
      </c>
    </row>
    <row r="37" spans="1:3">
      <c r="A37" s="20" t="str">
        <f>TEXT(IF('Real Structures'!B43&lt;&gt;0,'Real Structures'!B43, ""), "d-mmm-yy")</f>
        <v/>
      </c>
      <c r="B37" s="20" t="str">
        <f>IF(ISNUMBER('Real Structures'!C43),'Real Structures'!C43, "")</f>
        <v/>
      </c>
      <c r="C37" s="20" t="str">
        <f>IF(ISNUMBER('Real Structures'!D43),'Real Structures'!D43, "")</f>
        <v/>
      </c>
    </row>
    <row r="38" spans="1:3">
      <c r="A38" s="20" t="str">
        <f>TEXT(IF('Real Structures'!B44&lt;&gt;0,'Real Structures'!B44, ""), "d-mmm-yy")</f>
        <v/>
      </c>
      <c r="B38" s="20" t="str">
        <f>IF(ISNUMBER('Real Structures'!C44),'Real Structures'!C44, "")</f>
        <v/>
      </c>
      <c r="C38" s="20" t="str">
        <f>IF(ISNUMBER('Real Structures'!D44),'Real Structures'!D44, "")</f>
        <v/>
      </c>
    </row>
    <row r="39" spans="1:3">
      <c r="A39" s="20" t="str">
        <f>TEXT(IF('Real Structures'!B45&lt;&gt;0,'Real Structures'!B45, ""), "d-mmm-yy")</f>
        <v/>
      </c>
      <c r="B39" s="20" t="str">
        <f>IF(ISNUMBER('Real Structures'!C45),'Real Structures'!C45, "")</f>
        <v/>
      </c>
      <c r="C39" s="20" t="str">
        <f>IF(ISNUMBER('Real Structures'!D45),'Real Structures'!D45, "")</f>
        <v/>
      </c>
    </row>
    <row r="40" spans="1:3">
      <c r="A40" s="20" t="str">
        <f>TEXT(IF('Real Structures'!B46&lt;&gt;0,'Real Structures'!B46, ""), "d-mmm-yy")</f>
        <v/>
      </c>
      <c r="B40" s="20" t="str">
        <f>IF(ISNUMBER('Real Structures'!C46),'Real Structures'!C46, "")</f>
        <v/>
      </c>
      <c r="C40" s="20" t="str">
        <f>IF(ISNUMBER('Real Structures'!D46),'Real Structures'!D46, "")</f>
        <v/>
      </c>
    </row>
    <row r="41" spans="1:3">
      <c r="A41" s="20" t="str">
        <f>TEXT(IF('Real Structures'!B47&lt;&gt;0,'Real Structures'!B47, ""), "d-mmm-yy")</f>
        <v/>
      </c>
      <c r="B41" s="20" t="str">
        <f>IF(ISNUMBER('Real Structures'!C47),'Real Structures'!C47, "")</f>
        <v/>
      </c>
      <c r="C41" s="20" t="str">
        <f>IF(ISNUMBER('Real Structures'!D47),'Real Structures'!D47, "")</f>
        <v/>
      </c>
    </row>
    <row r="42" spans="1:3">
      <c r="A42" s="20" t="str">
        <f>TEXT(IF('Real Structures'!B48&lt;&gt;0,'Real Structures'!B48, ""), "d-mmm-yy")</f>
        <v/>
      </c>
      <c r="B42" s="20" t="str">
        <f>IF(ISNUMBER('Real Structures'!C48),'Real Structures'!C48, "")</f>
        <v/>
      </c>
      <c r="C42" s="20" t="str">
        <f>IF(ISNUMBER('Real Structures'!D48),'Real Structures'!D48, "")</f>
        <v/>
      </c>
    </row>
    <row r="43" spans="1:3">
      <c r="A43" s="20" t="str">
        <f>TEXT(IF('Real Structures'!B49&lt;&gt;0,'Real Structures'!B49, ""), "d-mmm-yy")</f>
        <v/>
      </c>
      <c r="B43" s="20" t="str">
        <f>IF(ISNUMBER('Real Structures'!C49),'Real Structures'!C49, "")</f>
        <v/>
      </c>
      <c r="C43" s="20" t="str">
        <f>IF(ISNUMBER('Real Structures'!D49),'Real Structures'!D49, "")</f>
        <v/>
      </c>
    </row>
    <row r="44" spans="1:3">
      <c r="A44" s="20" t="str">
        <f>TEXT(IF('Real Structures'!B50&lt;&gt;0,'Real Structures'!B50, ""), "d-mmm-yy")</f>
        <v/>
      </c>
      <c r="B44" s="20" t="str">
        <f>IF(ISNUMBER('Real Structures'!C50),'Real Structures'!C50, "")</f>
        <v/>
      </c>
      <c r="C44" s="20" t="str">
        <f>IF(ISNUMBER('Real Structures'!D50),'Real Structures'!D50, "")</f>
        <v/>
      </c>
    </row>
    <row r="45" spans="1:3">
      <c r="A45" s="20" t="str">
        <f>TEXT(IF('Real Structures'!B51&lt;&gt;0,'Real Structures'!B51, ""), "d-mmm-yy")</f>
        <v/>
      </c>
      <c r="B45" s="20" t="str">
        <f>IF(ISNUMBER('Real Structures'!C51),'Real Structures'!C51, "")</f>
        <v/>
      </c>
      <c r="C45" s="20" t="str">
        <f>IF(ISNUMBER('Real Structures'!D51),'Real Structures'!D51, "")</f>
        <v/>
      </c>
    </row>
    <row r="46" spans="1:3">
      <c r="A46" s="20" t="str">
        <f>TEXT(IF('Real Structures'!B52&lt;&gt;0,'Real Structures'!B52, ""), "d-mmm-yy")</f>
        <v/>
      </c>
      <c r="B46" s="20" t="str">
        <f>IF(ISNUMBER('Real Structures'!C52),'Real Structures'!C52, "")</f>
        <v/>
      </c>
      <c r="C46" s="20" t="str">
        <f>IF(ISNUMBER('Real Structures'!D52),'Real Structures'!D52, "")</f>
        <v/>
      </c>
    </row>
    <row r="47" spans="1:3">
      <c r="A47" s="20" t="str">
        <f>TEXT(IF('Real Structures'!B53&lt;&gt;0,'Real Structures'!B53, ""), "d-mmm-yy")</f>
        <v/>
      </c>
      <c r="B47" s="20" t="str">
        <f>IF(ISNUMBER('Real Structures'!C53),'Real Structures'!C53, "")</f>
        <v/>
      </c>
      <c r="C47" s="20" t="str">
        <f>IF(ISNUMBER('Real Structures'!D53),'Real Structures'!D53, "")</f>
        <v/>
      </c>
    </row>
    <row r="48" spans="1:3">
      <c r="A48" s="20" t="str">
        <f>TEXT(IF('Real Structures'!B54&lt;&gt;0,'Real Structures'!B54, ""), "d-mmm-yy")</f>
        <v/>
      </c>
      <c r="B48" s="20" t="str">
        <f>IF(ISNUMBER('Real Structures'!C54),'Real Structures'!C54, "")</f>
        <v/>
      </c>
      <c r="C48" s="20" t="str">
        <f>IF(ISNUMBER('Real Structures'!D54),'Real Structures'!D54, "")</f>
        <v/>
      </c>
    </row>
    <row r="49" spans="1:3">
      <c r="A49" s="20" t="str">
        <f>TEXT(IF('Real Structures'!B55&lt;&gt;0,'Real Structures'!B55, ""), "d-mmm-yy")</f>
        <v/>
      </c>
      <c r="B49" s="20" t="str">
        <f>IF(ISNUMBER('Real Structures'!C55),'Real Structures'!C55, "")</f>
        <v/>
      </c>
      <c r="C49" s="20" t="str">
        <f>IF(ISNUMBER('Real Structures'!D55),'Real Structures'!D55, "")</f>
        <v/>
      </c>
    </row>
    <row r="50" spans="1:3">
      <c r="A50" s="20" t="str">
        <f>TEXT(IF('Real Structures'!B56&lt;&gt;0,'Real Structures'!B56, ""), "d-mmm-yy")</f>
        <v/>
      </c>
      <c r="B50" s="20" t="str">
        <f>IF(ISNUMBER('Real Structures'!C56),'Real Structures'!C56, "")</f>
        <v/>
      </c>
      <c r="C50" s="20" t="str">
        <f>IF(ISNUMBER('Real Structures'!D56),'Real Structures'!D56, "")</f>
        <v/>
      </c>
    </row>
    <row r="51" spans="1:3">
      <c r="A51" s="20" t="str">
        <f>TEXT(IF('Real Structures'!B57&lt;&gt;0,'Real Structures'!B57, ""), "d-mmm-yy")</f>
        <v/>
      </c>
      <c r="B51" s="20" t="str">
        <f>IF(ISNUMBER('Real Structures'!C57),'Real Structures'!C57, "")</f>
        <v/>
      </c>
      <c r="C51" s="20" t="str">
        <f>IF(ISNUMBER('Real Structures'!D57),'Real Structures'!D57, "")</f>
        <v/>
      </c>
    </row>
    <row r="52" spans="1:3">
      <c r="A52" s="20" t="str">
        <f>TEXT(IF('Real Structures'!B58&lt;&gt;0,'Real Structures'!B58, ""), "d-mmm-yy")</f>
        <v/>
      </c>
      <c r="B52" s="20" t="str">
        <f>IF(ISNUMBER('Real Structures'!C58),'Real Structures'!C58, "")</f>
        <v/>
      </c>
      <c r="C52" s="20" t="str">
        <f>IF(ISNUMBER('Real Structures'!D58),'Real Structures'!D58, "")</f>
        <v/>
      </c>
    </row>
    <row r="53" spans="1:3">
      <c r="A53" s="20" t="str">
        <f>TEXT(IF('Real Structures'!B59&lt;&gt;0,'Real Structures'!B59, ""), "d-mmm-yy")</f>
        <v/>
      </c>
      <c r="B53" s="20" t="str">
        <f>IF(ISNUMBER('Real Structures'!C59),'Real Structures'!C59, "")</f>
        <v/>
      </c>
      <c r="C53" s="20" t="str">
        <f>IF(ISNUMBER('Real Structures'!D59),'Real Structures'!D59, "")</f>
        <v/>
      </c>
    </row>
    <row r="54" spans="1:3">
      <c r="A54" s="20" t="str">
        <f>TEXT(IF('Real Structures'!B60&lt;&gt;0,'Real Structures'!B60, ""), "d-mmm-yy")</f>
        <v/>
      </c>
      <c r="B54" s="20" t="str">
        <f>IF(ISNUMBER('Real Structures'!C60),'Real Structures'!C60, "")</f>
        <v/>
      </c>
      <c r="C54" s="20" t="str">
        <f>IF(ISNUMBER('Real Structures'!D60),'Real Structures'!D60, "")</f>
        <v/>
      </c>
    </row>
    <row r="55" spans="1:3">
      <c r="A55" s="20" t="str">
        <f>TEXT(IF('Real Structures'!B61&lt;&gt;0,'Real Structures'!B61, ""), "d-mmm-yy")</f>
        <v/>
      </c>
      <c r="B55" s="20" t="str">
        <f>IF(ISNUMBER('Real Structures'!C61),'Real Structures'!C61, "")</f>
        <v/>
      </c>
      <c r="C55" s="20" t="str">
        <f>IF(ISNUMBER('Real Structures'!D61),'Real Structures'!D61, "")</f>
        <v/>
      </c>
    </row>
    <row r="56" spans="1:3">
      <c r="A56" s="20" t="str">
        <f>TEXT(IF('Real Structures'!B62&lt;&gt;0,'Real Structures'!B62, ""), "d-mmm-yy")</f>
        <v/>
      </c>
      <c r="B56" s="20" t="str">
        <f>IF(ISNUMBER('Real Structures'!C62),'Real Structures'!C62, "")</f>
        <v/>
      </c>
      <c r="C56" s="20" t="str">
        <f>IF(ISNUMBER('Real Structures'!D62),'Real Structures'!D62, "")</f>
        <v/>
      </c>
    </row>
    <row r="57" spans="1:3">
      <c r="A57" s="20" t="str">
        <f>TEXT(IF('Real Structures'!B63&lt;&gt;0,'Real Structures'!B63, ""), "d-mmm-yy")</f>
        <v/>
      </c>
      <c r="B57" s="20" t="str">
        <f>IF(ISNUMBER('Real Structures'!C63),'Real Structures'!C63, "")</f>
        <v/>
      </c>
      <c r="C57" s="20" t="str">
        <f>IF(ISNUMBER('Real Structures'!D63),'Real Structures'!D63, "")</f>
        <v/>
      </c>
    </row>
    <row r="58" spans="1:3">
      <c r="A58" s="20" t="str">
        <f>TEXT(IF('Real Structures'!B64&lt;&gt;0,'Real Structures'!B64, ""), "d-mmm-yy")</f>
        <v/>
      </c>
      <c r="B58" s="20" t="str">
        <f>IF(ISNUMBER('Real Structures'!C64),'Real Structures'!C64, "")</f>
        <v/>
      </c>
      <c r="C58" s="20" t="str">
        <f>IF(ISNUMBER('Real Structures'!D64),'Real Structures'!D64, "")</f>
        <v/>
      </c>
    </row>
    <row r="59" spans="1:3">
      <c r="A59" s="20" t="str">
        <f>TEXT(IF('Real Structures'!B65&lt;&gt;0,'Real Structures'!B65, ""), "d-mmm-yy")</f>
        <v/>
      </c>
      <c r="B59" s="20" t="str">
        <f>IF(ISNUMBER('Real Structures'!C65),'Real Structures'!C65, "")</f>
        <v/>
      </c>
      <c r="C59" s="20" t="str">
        <f>IF(ISNUMBER('Real Structures'!D65),'Real Structures'!D65, "")</f>
        <v/>
      </c>
    </row>
    <row r="60" spans="1:3">
      <c r="A60" s="20" t="str">
        <f>TEXT(IF('Real Structures'!B66&lt;&gt;0,'Real Structures'!B66, ""), "d-mmm-yy")</f>
        <v/>
      </c>
      <c r="B60" s="20" t="str">
        <f>IF(ISNUMBER('Real Structures'!C66),'Real Structures'!C66, "")</f>
        <v/>
      </c>
      <c r="C60" s="20" t="str">
        <f>IF(ISNUMBER('Real Structures'!D66),'Real Structures'!D66, "")</f>
        <v/>
      </c>
    </row>
    <row r="61" spans="1:3">
      <c r="A61" s="20" t="str">
        <f>TEXT(IF('Real Structures'!B67&lt;&gt;0,'Real Structures'!B67, ""), "d-mmm-yy")</f>
        <v/>
      </c>
      <c r="B61" s="20" t="str">
        <f>IF(ISNUMBER('Real Structures'!C67),'Real Structures'!C67, "")</f>
        <v/>
      </c>
      <c r="C61" s="20" t="str">
        <f>IF(ISNUMBER('Real Structures'!D67),'Real Structures'!D67, "")</f>
        <v/>
      </c>
    </row>
    <row r="62" spans="1:3">
      <c r="A62" s="20" t="str">
        <f>TEXT(IF('Real Structures'!B68&lt;&gt;0,'Real Structures'!B68, ""), "d-mmm-yy")</f>
        <v/>
      </c>
      <c r="B62" s="20" t="str">
        <f>IF(ISNUMBER('Real Structures'!C68),'Real Structures'!C68, "")</f>
        <v/>
      </c>
      <c r="C62" s="20" t="str">
        <f>IF(ISNUMBER('Real Structures'!D68),'Real Structures'!D68, "")</f>
        <v/>
      </c>
    </row>
    <row r="63" spans="1:3">
      <c r="A63" s="20" t="str">
        <f>TEXT(IF('Real Structures'!B69&lt;&gt;0,'Real Structures'!B69, ""), "d-mmm-yy")</f>
        <v/>
      </c>
      <c r="B63" s="20" t="str">
        <f>IF(ISNUMBER('Real Structures'!C69),'Real Structures'!C69, "")</f>
        <v/>
      </c>
      <c r="C63" s="20" t="str">
        <f>IF(ISNUMBER('Real Structures'!D69),'Real Structures'!D69, "")</f>
        <v/>
      </c>
    </row>
    <row r="64" spans="1:3">
      <c r="A64" s="20" t="str">
        <f>TEXT(IF('Real Structures'!B70&lt;&gt;0,'Real Structures'!B70, ""), "d-mmm-yy")</f>
        <v/>
      </c>
      <c r="B64" s="20" t="str">
        <f>IF(ISNUMBER('Real Structures'!C70),'Real Structures'!C70, "")</f>
        <v/>
      </c>
      <c r="C64" s="20" t="str">
        <f>IF(ISNUMBER('Real Structures'!D70),'Real Structures'!D70, "")</f>
        <v/>
      </c>
    </row>
    <row r="65" spans="1:3">
      <c r="A65" s="20" t="str">
        <f>TEXT(IF('Real Structures'!B71&lt;&gt;0,'Real Structures'!B71, ""), "d-mmm-yy")</f>
        <v/>
      </c>
      <c r="B65" s="20" t="str">
        <f>IF(ISNUMBER('Real Structures'!C71),'Real Structures'!C71, "")</f>
        <v/>
      </c>
      <c r="C65" s="20" t="str">
        <f>IF(ISNUMBER('Real Structures'!D71),'Real Structures'!D71, "")</f>
        <v/>
      </c>
    </row>
    <row r="66" spans="1:3">
      <c r="A66" s="20" t="str">
        <f>TEXT(IF('Real Structures'!B72&lt;&gt;0,'Real Structures'!B72, ""), "d-mmm-yy")</f>
        <v/>
      </c>
      <c r="B66" s="20" t="str">
        <f>IF(ISNUMBER('Real Structures'!C72),'Real Structures'!C72, "")</f>
        <v/>
      </c>
      <c r="C66" s="20" t="str">
        <f>IF(ISNUMBER('Real Structures'!D72),'Real Structures'!D72, "")</f>
        <v/>
      </c>
    </row>
    <row r="67" spans="1:3">
      <c r="A67" s="20" t="str">
        <f>TEXT(IF('Real Structures'!B73&lt;&gt;0,'Real Structures'!B73, ""), "d-mmm-yy")</f>
        <v/>
      </c>
      <c r="B67" s="20" t="str">
        <f>IF(ISNUMBER('Real Structures'!C73),'Real Structures'!C73, "")</f>
        <v/>
      </c>
      <c r="C67" s="20" t="str">
        <f>IF(ISNUMBER('Real Structures'!D73),'Real Structures'!D73, "")</f>
        <v/>
      </c>
    </row>
    <row r="68" spans="1:3">
      <c r="A68" s="20" t="str">
        <f>TEXT(IF('Real Structures'!B74&lt;&gt;0,'Real Structures'!B74, ""), "d-mmm-yy")</f>
        <v/>
      </c>
      <c r="B68" s="20" t="str">
        <f>IF(ISNUMBER('Real Structures'!C74),'Real Structures'!C74, "")</f>
        <v/>
      </c>
      <c r="C68" s="20" t="str">
        <f>IF(ISNUMBER('Real Structures'!D74),'Real Structures'!D74, "")</f>
        <v/>
      </c>
    </row>
    <row r="69" spans="1:3">
      <c r="A69" s="20" t="str">
        <f>TEXT(IF('Real Structures'!B75&lt;&gt;0,'Real Structures'!B75, ""), "d-mmm-yy")</f>
        <v/>
      </c>
      <c r="B69" s="20" t="str">
        <f>IF(ISNUMBER('Real Structures'!C75),'Real Structures'!C75, "")</f>
        <v/>
      </c>
      <c r="C69" s="20" t="str">
        <f>IF(ISNUMBER('Real Structures'!D75),'Real Structures'!D75, "")</f>
        <v/>
      </c>
    </row>
    <row r="70" spans="1:3">
      <c r="A70" s="20" t="str">
        <f>TEXT(IF('Real Structures'!B76&lt;&gt;0,'Real Structures'!B76, ""), "d-mmm-yy")</f>
        <v/>
      </c>
      <c r="B70" s="20" t="str">
        <f>IF(ISNUMBER('Real Structures'!C76),'Real Structures'!C76, "")</f>
        <v/>
      </c>
      <c r="C70" s="20" t="str">
        <f>IF(ISNUMBER('Real Structures'!D76),'Real Structures'!D76, "")</f>
        <v/>
      </c>
    </row>
    <row r="71" spans="1:3">
      <c r="A71" s="20" t="str">
        <f>TEXT(IF('Real Structures'!B77&lt;&gt;0,'Real Structures'!B77, ""), "d-mmm-yy")</f>
        <v/>
      </c>
      <c r="B71" s="20" t="str">
        <f>IF(ISNUMBER('Real Structures'!C77),'Real Structures'!C77, "")</f>
        <v/>
      </c>
      <c r="C71" s="20" t="str">
        <f>IF(ISNUMBER('Real Structures'!D77),'Real Structures'!D77, "")</f>
        <v/>
      </c>
    </row>
    <row r="72" spans="1:3">
      <c r="A72" s="20" t="str">
        <f>TEXT(IF('Real Structures'!B78&lt;&gt;0,'Real Structures'!B78, ""), "d-mmm-yy")</f>
        <v/>
      </c>
      <c r="B72" s="20" t="str">
        <f>IF(ISNUMBER('Real Structures'!C78),'Real Structures'!C78, "")</f>
        <v/>
      </c>
      <c r="C72" s="20" t="str">
        <f>IF(ISNUMBER('Real Structures'!D78),'Real Structures'!D78, "")</f>
        <v/>
      </c>
    </row>
    <row r="73" spans="1:3">
      <c r="A73" s="20" t="str">
        <f>TEXT(IF('Real Structures'!B79&lt;&gt;0,'Real Structures'!B79, ""), "d-mmm-yy")</f>
        <v/>
      </c>
      <c r="B73" s="20" t="str">
        <f>IF(ISNUMBER('Real Structures'!C79),'Real Structures'!C79, "")</f>
        <v/>
      </c>
      <c r="C73" s="20" t="str">
        <f>IF(ISNUMBER('Real Structures'!D79),'Real Structures'!D79, "")</f>
        <v/>
      </c>
    </row>
    <row r="74" spans="1:3">
      <c r="A74" s="20" t="str">
        <f>TEXT(IF('Real Structures'!B80&lt;&gt;0,'Real Structures'!B80, ""), "d-mmm-yy")</f>
        <v/>
      </c>
      <c r="B74" s="20" t="str">
        <f>IF(ISNUMBER('Real Structures'!C80),'Real Structures'!C80, "")</f>
        <v/>
      </c>
      <c r="C74" s="20" t="str">
        <f>IF(ISNUMBER('Real Structures'!D80),'Real Structures'!D80, "")</f>
        <v/>
      </c>
    </row>
    <row r="75" spans="1:3">
      <c r="A75" s="20" t="str">
        <f>TEXT(IF('Real Structures'!B81&lt;&gt;0,'Real Structures'!B81, ""), "d-mmm-yy")</f>
        <v/>
      </c>
      <c r="B75" s="20" t="str">
        <f>IF(ISNUMBER('Real Structures'!C81),'Real Structures'!C81, "")</f>
        <v/>
      </c>
      <c r="C75" s="20" t="str">
        <f>IF(ISNUMBER('Real Structures'!D81),'Real Structures'!D81, "")</f>
        <v/>
      </c>
    </row>
    <row r="76" spans="1:3">
      <c r="A76" s="20" t="str">
        <f>TEXT(IF('Real Structures'!B82&lt;&gt;0,'Real Structures'!B82, ""), "d-mmm-yy")</f>
        <v/>
      </c>
      <c r="B76" s="20" t="str">
        <f>IF(ISNUMBER('Real Structures'!C82),'Real Structures'!C82, "")</f>
        <v/>
      </c>
      <c r="C76" s="20" t="str">
        <f>IF(ISNUMBER('Real Structures'!D82),'Real Structures'!D82, "")</f>
        <v/>
      </c>
    </row>
    <row r="77" spans="1:3">
      <c r="A77" s="20" t="str">
        <f>TEXT(IF('Real Structures'!B83&lt;&gt;0,'Real Structures'!B83, ""), "d-mmm-yy")</f>
        <v/>
      </c>
      <c r="B77" s="20" t="str">
        <f>IF(ISNUMBER('Real Structures'!C83),'Real Structures'!C83, "")</f>
        <v/>
      </c>
      <c r="C77" s="20" t="str">
        <f>IF(ISNUMBER('Real Structures'!D83),'Real Structures'!D83, "")</f>
        <v/>
      </c>
    </row>
    <row r="78" spans="1:3">
      <c r="A78" s="20" t="str">
        <f>TEXT(IF('Real Structures'!B84&lt;&gt;0,'Real Structures'!B84, ""), "d-mmm-yy")</f>
        <v/>
      </c>
      <c r="B78" s="20" t="str">
        <f>IF(ISNUMBER('Real Structures'!C84),'Real Structures'!C84, "")</f>
        <v/>
      </c>
      <c r="C78" s="20" t="str">
        <f>IF(ISNUMBER('Real Structures'!D84),'Real Structures'!D84, "")</f>
        <v/>
      </c>
    </row>
    <row r="79" spans="1:3">
      <c r="A79" s="20" t="str">
        <f>TEXT(IF('Real Structures'!B85&lt;&gt;0,'Real Structures'!B85, ""), "d-mmm-yy")</f>
        <v/>
      </c>
      <c r="B79" s="20" t="str">
        <f>IF(ISNUMBER('Real Structures'!C85),'Real Structures'!C85, "")</f>
        <v/>
      </c>
      <c r="C79" s="20" t="str">
        <f>IF(ISNUMBER('Real Structures'!D85),'Real Structures'!D85, "")</f>
        <v/>
      </c>
    </row>
    <row r="80" spans="1:3">
      <c r="A80" s="20" t="str">
        <f>TEXT(IF('Real Structures'!B86&lt;&gt;0,'Real Structures'!B86, ""), "d-mmm-yy")</f>
        <v/>
      </c>
      <c r="B80" s="20" t="str">
        <f>IF(ISNUMBER('Real Structures'!C86),'Real Structures'!C86, "")</f>
        <v/>
      </c>
      <c r="C80" s="20" t="str">
        <f>IF(ISNUMBER('Real Structures'!D86),'Real Structures'!D86, "")</f>
        <v/>
      </c>
    </row>
    <row r="81" spans="1:3">
      <c r="A81" s="20" t="str">
        <f>TEXT(IF('Real Structures'!B87&lt;&gt;0,'Real Structures'!B87, ""), "d-mmm-yy")</f>
        <v/>
      </c>
      <c r="B81" s="20" t="str">
        <f>IF(ISNUMBER('Real Structures'!C87),'Real Structures'!C87, "")</f>
        <v/>
      </c>
      <c r="C81" s="20" t="str">
        <f>IF(ISNUMBER('Real Structures'!D87),'Real Structures'!D87, "")</f>
        <v/>
      </c>
    </row>
    <row r="82" spans="1:3">
      <c r="A82" s="20" t="str">
        <f>TEXT(IF('Real Structures'!B88&lt;&gt;0,'Real Structures'!B88, ""), "d-mmm-yy")</f>
        <v/>
      </c>
      <c r="B82" s="20" t="str">
        <f>IF(ISNUMBER('Real Structures'!C88),'Real Structures'!C88, "")</f>
        <v/>
      </c>
      <c r="C82" s="20" t="str">
        <f>IF(ISNUMBER('Real Structures'!D88),'Real Structures'!D88, "")</f>
        <v/>
      </c>
    </row>
    <row r="83" spans="1:3">
      <c r="A83" s="20" t="str">
        <f>TEXT(IF('Real Structures'!B89&lt;&gt;0,'Real Structures'!B89, ""), "d-mmm-yy")</f>
        <v/>
      </c>
      <c r="B83" s="20" t="str">
        <f>IF(ISNUMBER('Real Structures'!C89),'Real Structures'!C89, "")</f>
        <v/>
      </c>
      <c r="C83" s="20" t="str">
        <f>IF(ISNUMBER('Real Structures'!D89),'Real Structures'!D89, "")</f>
        <v/>
      </c>
    </row>
    <row r="84" spans="1:3">
      <c r="A84" s="20" t="str">
        <f>TEXT(IF('Real Structures'!B90&lt;&gt;0,'Real Structures'!B90, ""), "d-mmm-yy")</f>
        <v/>
      </c>
      <c r="B84" s="20" t="str">
        <f>IF(ISNUMBER('Real Structures'!C90),'Real Structures'!C90, "")</f>
        <v/>
      </c>
      <c r="C84" s="20" t="str">
        <f>IF(ISNUMBER('Real Structures'!D90),'Real Structures'!D90, "")</f>
        <v/>
      </c>
    </row>
    <row r="85" spans="1:3">
      <c r="A85" s="20" t="str">
        <f>TEXT(IF('Real Structures'!B91&lt;&gt;0,'Real Structures'!B91, ""), "d-mmm-yy")</f>
        <v/>
      </c>
      <c r="B85" s="20" t="str">
        <f>IF(ISNUMBER('Real Structures'!C91),'Real Structures'!C91, "")</f>
        <v/>
      </c>
      <c r="C85" s="20" t="str">
        <f>IF(ISNUMBER('Real Structures'!D91),'Real Structures'!D91, "")</f>
        <v/>
      </c>
    </row>
    <row r="86" spans="1:3">
      <c r="A86" s="20" t="str">
        <f>TEXT(IF('Real Structures'!B92&lt;&gt;0,'Real Structures'!B92, ""), "d-mmm-yy")</f>
        <v/>
      </c>
      <c r="B86" s="20" t="str">
        <f>IF(ISNUMBER('Real Structures'!C92),'Real Structures'!C92, "")</f>
        <v/>
      </c>
      <c r="C86" s="20" t="str">
        <f>IF(ISNUMBER('Real Structures'!D92),'Real Structures'!D92, "")</f>
        <v/>
      </c>
    </row>
    <row r="87" spans="1:3">
      <c r="A87" s="20" t="str">
        <f>TEXT(IF('Real Structures'!B93&lt;&gt;0,'Real Structures'!B93, ""), "d-mmm-yy")</f>
        <v/>
      </c>
      <c r="B87" s="20" t="str">
        <f>IF(ISNUMBER('Real Structures'!C93),'Real Structures'!C93, "")</f>
        <v/>
      </c>
      <c r="C87" s="20" t="str">
        <f>IF(ISNUMBER('Real Structures'!D93),'Real Structures'!D93, "")</f>
        <v/>
      </c>
    </row>
    <row r="88" spans="1:3">
      <c r="A88" s="20" t="str">
        <f>TEXT(IF('Real Structures'!B94&lt;&gt;0,'Real Structures'!B94, ""), "d-mmm-yy")</f>
        <v/>
      </c>
      <c r="B88" s="20" t="str">
        <f>IF(ISNUMBER('Real Structures'!C94),'Real Structures'!C94, "")</f>
        <v/>
      </c>
      <c r="C88" s="20" t="str">
        <f>IF(ISNUMBER('Real Structures'!D94),'Real Structures'!D94, "")</f>
        <v/>
      </c>
    </row>
    <row r="89" spans="1:3">
      <c r="A89" s="20" t="str">
        <f>TEXT(IF('Real Structures'!B95&lt;&gt;0,'Real Structures'!B95, ""), "d-mmm-yy")</f>
        <v/>
      </c>
      <c r="B89" s="20" t="str">
        <f>IF(ISNUMBER('Real Structures'!C95),'Real Structures'!C95, "")</f>
        <v/>
      </c>
      <c r="C89" s="20" t="str">
        <f>IF(ISNUMBER('Real Structures'!D95),'Real Structures'!D95, "")</f>
        <v/>
      </c>
    </row>
    <row r="90" spans="1:3">
      <c r="A90" s="20" t="str">
        <f>TEXT(IF('Real Structures'!B96&lt;&gt;0,'Real Structures'!B96, ""), "d-mmm-yy")</f>
        <v/>
      </c>
      <c r="B90" s="20" t="str">
        <f>IF(ISNUMBER('Real Structures'!C96),'Real Structures'!C96, "")</f>
        <v/>
      </c>
      <c r="C90" s="20" t="str">
        <f>IF(ISNUMBER('Real Structures'!D96),'Real Structures'!D96, "")</f>
        <v/>
      </c>
    </row>
    <row r="91" spans="1:3">
      <c r="A91" s="20" t="str">
        <f>TEXT(IF('Real Structures'!B97&lt;&gt;0,'Real Structures'!B97, ""), "d-mmm-yy")</f>
        <v/>
      </c>
      <c r="B91" s="20" t="str">
        <f>IF(ISNUMBER('Real Structures'!C97),'Real Structures'!C97, "")</f>
        <v/>
      </c>
      <c r="C91" s="20" t="str">
        <f>IF(ISNUMBER('Real Structures'!D97),'Real Structures'!D97, "")</f>
        <v/>
      </c>
    </row>
    <row r="92" spans="1:3">
      <c r="A92" s="20" t="str">
        <f>TEXT(IF('Real Structures'!B98&lt;&gt;0,'Real Structures'!B98, ""), "d-mmm-yy")</f>
        <v/>
      </c>
      <c r="B92" s="20" t="str">
        <f>IF(ISNUMBER('Real Structures'!C98),'Real Structures'!C98, "")</f>
        <v/>
      </c>
      <c r="C92" s="20" t="str">
        <f>IF(ISNUMBER('Real Structures'!D98),'Real Structures'!D98, "")</f>
        <v/>
      </c>
    </row>
    <row r="93" spans="1:3">
      <c r="A93" s="20" t="str">
        <f>TEXT(IF('Real Structures'!B99&lt;&gt;0,'Real Structures'!B99, ""), "d-mmm-yy")</f>
        <v/>
      </c>
      <c r="B93" s="20" t="str">
        <f>IF(ISNUMBER('Real Structures'!C99),'Real Structures'!C99, "")</f>
        <v/>
      </c>
      <c r="C93" s="20" t="str">
        <f>IF(ISNUMBER('Real Structures'!D99),'Real Structures'!D99, "")</f>
        <v/>
      </c>
    </row>
    <row r="94" spans="1:3">
      <c r="A94" s="20" t="str">
        <f>TEXT(IF('Real Structures'!B100&lt;&gt;0,'Real Structures'!B100, ""), "d-mmm-yy")</f>
        <v/>
      </c>
      <c r="B94" s="20" t="str">
        <f>IF(ISNUMBER('Real Structures'!C100),'Real Structures'!C100, "")</f>
        <v/>
      </c>
      <c r="C94" s="20" t="str">
        <f>IF(ISNUMBER('Real Structures'!D100),'Real Structures'!D100, "")</f>
        <v/>
      </c>
    </row>
    <row r="95" spans="1:3">
      <c r="A95" s="20" t="str">
        <f>TEXT(IF('Real Structures'!B101&lt;&gt;0,'Real Structures'!B101, ""), "d-mmm-yy")</f>
        <v/>
      </c>
      <c r="B95" s="20" t="str">
        <f>IF(ISNUMBER('Real Structures'!C101),'Real Structures'!C101, "")</f>
        <v/>
      </c>
      <c r="C95" s="20" t="str">
        <f>IF(ISNUMBER('Real Structures'!D101),'Real Structures'!D101, "")</f>
        <v/>
      </c>
    </row>
    <row r="96" spans="1:3">
      <c r="A96" s="20" t="str">
        <f>TEXT(IF('Real Structures'!B102&lt;&gt;0,'Real Structures'!B102, ""), "d-mmm-yy")</f>
        <v/>
      </c>
      <c r="B96" s="20" t="str">
        <f>IF(ISNUMBER('Real Structures'!C102),'Real Structures'!C102, "")</f>
        <v/>
      </c>
      <c r="C96" s="20" t="str">
        <f>IF(ISNUMBER('Real Structures'!D102),'Real Structures'!D102, "")</f>
        <v/>
      </c>
    </row>
    <row r="97" spans="1:3">
      <c r="A97" s="20" t="str">
        <f>TEXT(IF('Real Structures'!B103&lt;&gt;0,'Real Structures'!B103, ""), "d-mmm-yy")</f>
        <v/>
      </c>
      <c r="B97" s="20" t="str">
        <f>IF(ISNUMBER('Real Structures'!C103),'Real Structures'!C103, "")</f>
        <v/>
      </c>
      <c r="C97" s="20" t="str">
        <f>IF(ISNUMBER('Real Structures'!D103),'Real Structures'!D103, "")</f>
        <v/>
      </c>
    </row>
    <row r="98" spans="1:3">
      <c r="A98" s="20" t="str">
        <f>TEXT(IF('Real Structures'!B104&lt;&gt;0,'Real Structures'!B104, ""), "d-mmm-yy")</f>
        <v/>
      </c>
      <c r="B98" s="20" t="str">
        <f>IF(ISNUMBER('Real Structures'!C104),'Real Structures'!C104, "")</f>
        <v/>
      </c>
      <c r="C98" s="20" t="str">
        <f>IF(ISNUMBER('Real Structures'!D104),'Real Structures'!D104, "")</f>
        <v/>
      </c>
    </row>
    <row r="99" spans="1:3">
      <c r="A99" s="20" t="str">
        <f>TEXT(IF('Real Structures'!B105&lt;&gt;0,'Real Structures'!B105, ""), "d-mmm-yy")</f>
        <v/>
      </c>
      <c r="B99" s="20" t="str">
        <f>IF(ISNUMBER('Real Structures'!C105),'Real Structures'!C105, "")</f>
        <v/>
      </c>
      <c r="C99" s="20" t="str">
        <f>IF(ISNUMBER('Real Structures'!D105),'Real Structures'!D105, "")</f>
        <v/>
      </c>
    </row>
    <row r="100" spans="1:3">
      <c r="A100" s="20" t="str">
        <f>TEXT(IF('Real Structures'!B106&lt;&gt;0,'Real Structures'!B106, ""), "d-mmm-yy")</f>
        <v/>
      </c>
      <c r="B100" s="20" t="str">
        <f>IF(ISNUMBER('Real Structures'!C106),'Real Structures'!C106, "")</f>
        <v/>
      </c>
      <c r="C100" s="20" t="str">
        <f>IF(ISNUMBER('Real Structures'!D106),'Real Structures'!D106, "")</f>
        <v/>
      </c>
    </row>
    <row r="101" spans="1:3">
      <c r="A101" s="20" t="str">
        <f>TEXT(IF('Real Structures'!B107&lt;&gt;0,'Real Structures'!B107, ""), "d-mmm-yy")</f>
        <v/>
      </c>
      <c r="B101" s="20" t="str">
        <f>IF(ISNUMBER('Real Structures'!C107),'Real Structures'!C107, "")</f>
        <v/>
      </c>
      <c r="C101" s="20" t="str">
        <f>IF(ISNUMBER('Real Structures'!D107),'Real Structures'!D107, "")</f>
        <v/>
      </c>
    </row>
    <row r="102" spans="1:3">
      <c r="A102" s="20" t="str">
        <f>TEXT(IF('Real Structures'!B108&lt;&gt;0,'Real Structures'!B108, ""), "d-mmm-yy")</f>
        <v/>
      </c>
      <c r="B102" s="20" t="str">
        <f>IF(ISNUMBER('Real Structures'!C108),'Real Structures'!C108, "")</f>
        <v/>
      </c>
      <c r="C102" s="20" t="str">
        <f>IF(ISNUMBER('Real Structures'!D108),'Real Structures'!D108, "")</f>
        <v/>
      </c>
    </row>
    <row r="103" spans="1:3">
      <c r="A103" s="20" t="str">
        <f>TEXT(IF('Real Structures'!B109&lt;&gt;0,'Real Structures'!B109, ""), "d-mmm-yy")</f>
        <v/>
      </c>
      <c r="B103" s="20" t="str">
        <f>IF(ISNUMBER('Real Structures'!C109),'Real Structures'!C109, "")</f>
        <v/>
      </c>
      <c r="C103" s="20" t="str">
        <f>IF(ISNUMBER('Real Structures'!D109),'Real Structures'!D109, "")</f>
        <v/>
      </c>
    </row>
    <row r="104" spans="1:3">
      <c r="A104" s="20" t="str">
        <f>TEXT(IF('Real Structures'!B110&lt;&gt;0,'Real Structures'!B110, ""), "d-mmm-yy")</f>
        <v/>
      </c>
      <c r="B104" s="20" t="str">
        <f>IF(ISNUMBER('Real Structures'!C110),'Real Structures'!C110, "")</f>
        <v/>
      </c>
      <c r="C104" s="20" t="str">
        <f>IF(ISNUMBER('Real Structures'!D110),'Real Structures'!D110, "")</f>
        <v/>
      </c>
    </row>
    <row r="105" spans="1:3">
      <c r="A105" s="20" t="str">
        <f>TEXT(IF('Real Structures'!B111&lt;&gt;0,'Real Structures'!B111, ""), "d-mmm-yy")</f>
        <v/>
      </c>
      <c r="B105" s="20" t="str">
        <f>IF(ISNUMBER('Real Structures'!C111),'Real Structures'!C111, "")</f>
        <v/>
      </c>
      <c r="C105" s="20" t="str">
        <f>IF(ISNUMBER('Real Structures'!D111),'Real Structures'!D111, "")</f>
        <v/>
      </c>
    </row>
    <row r="106" spans="1:3">
      <c r="A106" s="20" t="str">
        <f>TEXT(IF('Real Structures'!B112&lt;&gt;0,'Real Structures'!B112, ""), "d-mmm-yy")</f>
        <v/>
      </c>
      <c r="B106" s="20" t="str">
        <f>IF(ISNUMBER('Real Structures'!C112),'Real Structures'!C112, "")</f>
        <v/>
      </c>
      <c r="C106" s="20" t="str">
        <f>IF(ISNUMBER('Real Structures'!D112),'Real Structures'!D112, "")</f>
        <v/>
      </c>
    </row>
    <row r="107" spans="1:3">
      <c r="A107" s="20" t="str">
        <f>TEXT(IF('Real Structures'!B113&lt;&gt;0,'Real Structures'!B113, ""), "d-mmm-yy")</f>
        <v/>
      </c>
      <c r="B107" s="20" t="str">
        <f>IF(ISNUMBER('Real Structures'!C113),'Real Structures'!C113, "")</f>
        <v/>
      </c>
      <c r="C107" s="20" t="str">
        <f>IF(ISNUMBER('Real Structures'!D113),'Real Structures'!D113, "")</f>
        <v/>
      </c>
    </row>
    <row r="108" spans="1:3">
      <c r="A108" s="20" t="str">
        <f>TEXT(IF('Real Structures'!B114&lt;&gt;0,'Real Structures'!B114, ""), "d-mmm-yy")</f>
        <v/>
      </c>
      <c r="B108" s="20" t="str">
        <f>IF(ISNUMBER('Real Structures'!C114),'Real Structures'!C114, "")</f>
        <v/>
      </c>
      <c r="C108" s="20" t="str">
        <f>IF(ISNUMBER('Real Structures'!D114),'Real Structures'!D114, "")</f>
        <v/>
      </c>
    </row>
    <row r="109" spans="1:3">
      <c r="A109" s="20" t="str">
        <f>TEXT(IF('Real Structures'!B115&lt;&gt;0,'Real Structures'!B115, ""), "d-mmm-yy")</f>
        <v/>
      </c>
      <c r="B109" s="20" t="str">
        <f>IF(ISNUMBER('Real Structures'!C115),'Real Structures'!C115, "")</f>
        <v/>
      </c>
      <c r="C109" s="20" t="str">
        <f>IF(ISNUMBER('Real Structures'!D115),'Real Structures'!D115, "")</f>
        <v/>
      </c>
    </row>
    <row r="110" spans="1:3">
      <c r="A110" s="20" t="str">
        <f>TEXT(IF('Real Structures'!B116&lt;&gt;0,'Real Structures'!B116, ""), "d-mmm-yy")</f>
        <v/>
      </c>
      <c r="B110" s="20" t="str">
        <f>IF(ISNUMBER('Real Structures'!C116),'Real Structures'!C116, "")</f>
        <v/>
      </c>
      <c r="C110" s="20" t="str">
        <f>IF(ISNUMBER('Real Structures'!D116),'Real Structures'!D116, "")</f>
        <v/>
      </c>
    </row>
    <row r="111" spans="1:3">
      <c r="A111" s="20" t="str">
        <f>TEXT(IF('Real Structures'!B117&lt;&gt;0,'Real Structures'!B117, ""), "d-mmm-yy")</f>
        <v/>
      </c>
      <c r="B111" s="20" t="str">
        <f>IF(ISNUMBER('Real Structures'!C117),'Real Structures'!C117, "")</f>
        <v/>
      </c>
      <c r="C111" s="20" t="str">
        <f>IF(ISNUMBER('Real Structures'!D117),'Real Structures'!D117, "")</f>
        <v/>
      </c>
    </row>
    <row r="112" spans="1:3">
      <c r="A112" s="20" t="str">
        <f>TEXT(IF('Real Structures'!B118&lt;&gt;0,'Real Structures'!B118, ""), "d-mmm-yy")</f>
        <v/>
      </c>
      <c r="B112" s="20" t="str">
        <f>IF(ISNUMBER('Real Structures'!C118),'Real Structures'!C118, "")</f>
        <v/>
      </c>
      <c r="C112" s="20" t="str">
        <f>IF(ISNUMBER('Real Structures'!D118),'Real Structures'!D118, "")</f>
        <v/>
      </c>
    </row>
    <row r="113" spans="1:3">
      <c r="A113" s="20" t="str">
        <f>TEXT(IF('Real Structures'!B119&lt;&gt;0,'Real Structures'!B119, ""), "d-mmm-yy")</f>
        <v/>
      </c>
      <c r="B113" s="20" t="str">
        <f>IF(ISNUMBER('Real Structures'!C119),'Real Structures'!C119, "")</f>
        <v/>
      </c>
      <c r="C113" s="20" t="str">
        <f>IF(ISNUMBER('Real Structures'!D119),'Real Structures'!D119, "")</f>
        <v/>
      </c>
    </row>
    <row r="114" spans="1:3">
      <c r="A114" s="20" t="str">
        <f>TEXT(IF('Real Structures'!B120&lt;&gt;0,'Real Structures'!B120, ""), "d-mmm-yy")</f>
        <v/>
      </c>
      <c r="B114" s="20" t="str">
        <f>IF(ISNUMBER('Real Structures'!C120),'Real Structures'!C120, "")</f>
        <v/>
      </c>
      <c r="C114" s="20" t="str">
        <f>IF(ISNUMBER('Real Structures'!D120),'Real Structures'!D120, "")</f>
        <v/>
      </c>
    </row>
    <row r="115" spans="1:3">
      <c r="A115" s="20" t="str">
        <f>TEXT(IF('Real Structures'!B121&lt;&gt;0,'Real Structures'!B121, ""), "d-mmm-yy")</f>
        <v/>
      </c>
      <c r="B115" s="20" t="str">
        <f>IF(ISNUMBER('Real Structures'!C121),'Real Structures'!C121, "")</f>
        <v/>
      </c>
      <c r="C115" s="20" t="str">
        <f>IF(ISNUMBER('Real Structures'!D121),'Real Structures'!D121, "")</f>
        <v/>
      </c>
    </row>
    <row r="116" spans="1:3">
      <c r="A116" s="20" t="str">
        <f>TEXT(IF('Real Structures'!B122&lt;&gt;0,'Real Structures'!B122, ""), "d-mmm-yy")</f>
        <v/>
      </c>
      <c r="B116" s="20" t="str">
        <f>IF(ISNUMBER('Real Structures'!C122),'Real Structures'!C122, "")</f>
        <v/>
      </c>
      <c r="C116" s="20" t="str">
        <f>IF(ISNUMBER('Real Structures'!D122),'Real Structures'!D122, "")</f>
        <v/>
      </c>
    </row>
    <row r="117" spans="1:3">
      <c r="A117" s="20" t="str">
        <f>TEXT(IF('Real Structures'!B123&lt;&gt;0,'Real Structures'!B123, ""), "d-mmm-yy")</f>
        <v/>
      </c>
      <c r="B117" s="20" t="str">
        <f>IF(ISNUMBER('Real Structures'!C123),'Real Structures'!C123, "")</f>
        <v/>
      </c>
      <c r="C117" s="20" t="str">
        <f>IF(ISNUMBER('Real Structures'!D123),'Real Structures'!D123, "")</f>
        <v/>
      </c>
    </row>
    <row r="118" spans="1:3">
      <c r="A118" s="20" t="str">
        <f>TEXT(IF('Real Structures'!B124&lt;&gt;0,'Real Structures'!B124, ""), "d-mmm-yy")</f>
        <v/>
      </c>
      <c r="B118" s="20" t="str">
        <f>IF(ISNUMBER('Real Structures'!C124),'Real Structures'!C124, "")</f>
        <v/>
      </c>
      <c r="C118" s="20" t="str">
        <f>IF(ISNUMBER('Real Structures'!D124),'Real Structures'!D124, "")</f>
        <v/>
      </c>
    </row>
    <row r="119" spans="1:3">
      <c r="A119" s="20" t="str">
        <f>TEXT(IF('Real Structures'!B125&lt;&gt;0,'Real Structures'!B125, ""), "d-mmm-yy")</f>
        <v/>
      </c>
      <c r="B119" s="20" t="str">
        <f>IF(ISNUMBER('Real Structures'!C125),'Real Structures'!C125, "")</f>
        <v/>
      </c>
      <c r="C119" s="20" t="str">
        <f>IF(ISNUMBER('Real Structures'!D125),'Real Structures'!D125, "")</f>
        <v/>
      </c>
    </row>
    <row r="120" spans="1:3">
      <c r="A120" s="20" t="str">
        <f>TEXT(IF('Real Structures'!B126&lt;&gt;0,'Real Structures'!B126, ""), "d-mmm-yy")</f>
        <v/>
      </c>
      <c r="B120" s="20" t="str">
        <f>IF(ISNUMBER('Real Structures'!C126),'Real Structures'!C126, "")</f>
        <v/>
      </c>
      <c r="C120" s="20" t="str">
        <f>IF(ISNUMBER('Real Structures'!D126),'Real Structures'!D126, "")</f>
        <v/>
      </c>
    </row>
    <row r="121" spans="1:3">
      <c r="A121" s="20" t="str">
        <f>TEXT(IF('Real Structures'!B127&lt;&gt;0,'Real Structures'!B127, ""), "d-mmm-yy")</f>
        <v/>
      </c>
      <c r="B121" s="20" t="str">
        <f>IF(ISNUMBER('Real Structures'!C127),'Real Structures'!C127, "")</f>
        <v/>
      </c>
      <c r="C121" s="20" t="str">
        <f>IF(ISNUMBER('Real Structures'!D127),'Real Structures'!D127, "")</f>
        <v/>
      </c>
    </row>
    <row r="122" spans="1:3">
      <c r="A122" s="20" t="str">
        <f>TEXT(IF('Real Structures'!B128&lt;&gt;0,'Real Structures'!B128, ""), "d-mmm-yy")</f>
        <v/>
      </c>
      <c r="B122" s="20" t="str">
        <f>IF(ISNUMBER('Real Structures'!C128),'Real Structures'!C128, "")</f>
        <v/>
      </c>
      <c r="C122" s="20" t="str">
        <f>IF(ISNUMBER('Real Structures'!D128),'Real Structures'!D128, "")</f>
        <v/>
      </c>
    </row>
    <row r="123" spans="1:3">
      <c r="A123" s="20" t="str">
        <f>TEXT(IF('Real Structures'!B129&lt;&gt;0,'Real Structures'!B129, ""), "d-mmm-yy")</f>
        <v/>
      </c>
      <c r="B123" s="20" t="str">
        <f>IF(ISNUMBER('Real Structures'!C129),'Real Structures'!C129, "")</f>
        <v/>
      </c>
      <c r="C123" s="20" t="str">
        <f>IF(ISNUMBER('Real Structures'!D129),'Real Structures'!D129, "")</f>
        <v/>
      </c>
    </row>
    <row r="124" spans="1:3">
      <c r="A124" s="20" t="str">
        <f>TEXT(IF('Real Structures'!B130&lt;&gt;0,'Real Structures'!B130, ""), "d-mmm-yy")</f>
        <v/>
      </c>
      <c r="B124" s="20" t="str">
        <f>IF(ISNUMBER('Real Structures'!C130),'Real Structures'!C130, "")</f>
        <v/>
      </c>
      <c r="C124" s="20" t="str">
        <f>IF(ISNUMBER('Real Structures'!D130),'Real Structures'!D130, "")</f>
        <v/>
      </c>
    </row>
    <row r="125" spans="1:3">
      <c r="A125" s="20" t="str">
        <f>TEXT(IF('Real Structures'!B131&lt;&gt;0,'Real Structures'!B131, ""), "d-mmm-yy")</f>
        <v/>
      </c>
      <c r="B125" s="20" t="str">
        <f>IF(ISNUMBER('Real Structures'!C131),'Real Structures'!C131, "")</f>
        <v/>
      </c>
      <c r="C125" s="20" t="str">
        <f>IF(ISNUMBER('Real Structures'!D131),'Real Structures'!D131, "")</f>
        <v/>
      </c>
    </row>
    <row r="126" spans="1:3">
      <c r="A126" s="20" t="str">
        <f>TEXT(IF('Real Structures'!B132&lt;&gt;0,'Real Structures'!B132, ""), "d-mmm-yy")</f>
        <v/>
      </c>
      <c r="B126" s="20" t="str">
        <f>IF(ISNUMBER('Real Structures'!C132),'Real Structures'!C132, "")</f>
        <v/>
      </c>
      <c r="C126" s="20" t="str">
        <f>IF(ISNUMBER('Real Structures'!D132),'Real Structures'!D132, "")</f>
        <v/>
      </c>
    </row>
    <row r="127" spans="1:3">
      <c r="A127" s="20" t="str">
        <f>TEXT(IF('Real Structures'!B133&lt;&gt;0,'Real Structures'!B133, ""), "d-mmm-yy")</f>
        <v/>
      </c>
      <c r="B127" s="20" t="str">
        <f>IF(ISNUMBER('Real Structures'!C133),'Real Structures'!C133, "")</f>
        <v/>
      </c>
      <c r="C127" s="20" t="str">
        <f>IF(ISNUMBER('Real Structures'!D133),'Real Structures'!D133, "")</f>
        <v/>
      </c>
    </row>
    <row r="128" spans="1:3">
      <c r="A128" s="20" t="str">
        <f>TEXT(IF('Real Structures'!B134&lt;&gt;0,'Real Structures'!B134, ""), "d-mmm-yy")</f>
        <v/>
      </c>
      <c r="B128" s="20" t="str">
        <f>IF(ISNUMBER('Real Structures'!C134),'Real Structures'!C134, "")</f>
        <v/>
      </c>
      <c r="C128" s="20" t="str">
        <f>IF(ISNUMBER('Real Structures'!D134),'Real Structures'!D134, "")</f>
        <v/>
      </c>
    </row>
    <row r="129" spans="1:3">
      <c r="A129" s="20" t="str">
        <f>TEXT(IF('Real Structures'!B135&lt;&gt;0,'Real Structures'!B135, ""), "d-mmm-yy")</f>
        <v/>
      </c>
      <c r="B129" s="20" t="str">
        <f>IF(ISNUMBER('Real Structures'!C135),'Real Structures'!C135, "")</f>
        <v/>
      </c>
      <c r="C129" s="20" t="str">
        <f>IF(ISNUMBER('Real Structures'!D135),'Real Structures'!D135, "")</f>
        <v/>
      </c>
    </row>
    <row r="130" spans="1:3">
      <c r="A130" s="20" t="str">
        <f>TEXT(IF('Real Structures'!B136&lt;&gt;0,'Real Structures'!B136, ""), "d-mmm-yy")</f>
        <v/>
      </c>
      <c r="B130" s="20" t="str">
        <f>IF(ISNUMBER('Real Structures'!C136),'Real Structures'!C136, "")</f>
        <v/>
      </c>
      <c r="C130" s="20" t="str">
        <f>IF(ISNUMBER('Real Structures'!D136),'Real Structures'!D136, "")</f>
        <v/>
      </c>
    </row>
    <row r="131" spans="1:3">
      <c r="A131" s="20" t="str">
        <f>TEXT(IF('Real Structures'!B137&lt;&gt;0,'Real Structures'!B137, ""), "d-mmm-yy")</f>
        <v/>
      </c>
      <c r="B131" s="20" t="str">
        <f>IF(ISNUMBER('Real Structures'!C137),'Real Structures'!C137, "")</f>
        <v/>
      </c>
      <c r="C131" s="20" t="str">
        <f>IF(ISNUMBER('Real Structures'!D137),'Real Structures'!D137, "")</f>
        <v/>
      </c>
    </row>
    <row r="132" spans="1:3">
      <c r="A132" s="20" t="str">
        <f>TEXT(IF('Real Structures'!B138&lt;&gt;0,'Real Structures'!B138, ""), "d-mmm-yy")</f>
        <v/>
      </c>
      <c r="B132" s="20" t="str">
        <f>IF(ISNUMBER('Real Structures'!C138),'Real Structures'!C138, "")</f>
        <v/>
      </c>
      <c r="C132" s="20" t="str">
        <f>IF(ISNUMBER('Real Structures'!D138),'Real Structures'!D138, "")</f>
        <v/>
      </c>
    </row>
    <row r="133" spans="1:3">
      <c r="A133" s="20" t="str">
        <f>TEXT(IF('Real Structures'!B139&lt;&gt;0,'Real Structures'!B139, ""), "d-mmm-yy")</f>
        <v/>
      </c>
      <c r="B133" s="20" t="str">
        <f>IF(ISNUMBER('Real Structures'!C139),'Real Structures'!C139, "")</f>
        <v/>
      </c>
      <c r="C133" s="20" t="str">
        <f>IF(ISNUMBER('Real Structures'!D139),'Real Structures'!D139, "")</f>
        <v/>
      </c>
    </row>
    <row r="134" spans="1:3">
      <c r="A134" s="20" t="str">
        <f>TEXT(IF('Real Structures'!B140&lt;&gt;0,'Real Structures'!B140, ""), "d-mmm-yy")</f>
        <v/>
      </c>
      <c r="B134" s="20" t="str">
        <f>IF(ISNUMBER('Real Structures'!C140),'Real Structures'!C140, "")</f>
        <v/>
      </c>
      <c r="C134" s="20" t="str">
        <f>IF(ISNUMBER('Real Structures'!D140),'Real Structures'!D140, "")</f>
        <v/>
      </c>
    </row>
    <row r="135" spans="1:3">
      <c r="A135" s="20" t="str">
        <f>TEXT(IF('Real Structures'!B141&lt;&gt;0,'Real Structures'!B141, ""), "d-mmm-yy")</f>
        <v/>
      </c>
      <c r="B135" s="20" t="str">
        <f>IF(ISNUMBER('Real Structures'!C141),'Real Structures'!C141, "")</f>
        <v/>
      </c>
      <c r="C135" s="20" t="str">
        <f>IF(ISNUMBER('Real Structures'!D141),'Real Structures'!D141, "")</f>
        <v/>
      </c>
    </row>
    <row r="136" spans="1:3">
      <c r="A136" s="20" t="str">
        <f>TEXT(IF('Real Structures'!B142&lt;&gt;0,'Real Structures'!B142, ""), "d-mmm-yy")</f>
        <v/>
      </c>
      <c r="B136" s="20" t="str">
        <f>IF(ISNUMBER('Real Structures'!C142),'Real Structures'!C142, "")</f>
        <v/>
      </c>
      <c r="C136" s="20" t="str">
        <f>IF(ISNUMBER('Real Structures'!D142),'Real Structures'!D142, "")</f>
        <v/>
      </c>
    </row>
    <row r="137" spans="1:3">
      <c r="A137" s="20" t="str">
        <f>TEXT(IF('Real Structures'!B143&lt;&gt;0,'Real Structures'!B143, ""), "d-mmm-yy")</f>
        <v/>
      </c>
      <c r="B137" s="20" t="str">
        <f>IF(ISNUMBER('Real Structures'!C143),'Real Structures'!C143, "")</f>
        <v/>
      </c>
      <c r="C137" s="20" t="str">
        <f>IF(ISNUMBER('Real Structures'!D143),'Real Structures'!D143, "")</f>
        <v/>
      </c>
    </row>
    <row r="138" spans="1:3">
      <c r="A138" s="20" t="str">
        <f>TEXT(IF('Real Structures'!B144&lt;&gt;0,'Real Structures'!B144, ""), "d-mmm-yy")</f>
        <v/>
      </c>
      <c r="B138" s="20" t="str">
        <f>IF(ISNUMBER('Real Structures'!C144),'Real Structures'!C144, "")</f>
        <v/>
      </c>
      <c r="C138" s="20" t="str">
        <f>IF(ISNUMBER('Real Structures'!D144),'Real Structures'!D144, "")</f>
        <v/>
      </c>
    </row>
    <row r="139" spans="1:3">
      <c r="A139" s="20" t="str">
        <f>TEXT(IF('Real Structures'!B145&lt;&gt;0,'Real Structures'!B145, ""), "d-mmm-yy")</f>
        <v/>
      </c>
      <c r="B139" s="20" t="str">
        <f>IF(ISNUMBER('Real Structures'!C145),'Real Structures'!C145, "")</f>
        <v/>
      </c>
      <c r="C139" s="20" t="str">
        <f>IF(ISNUMBER('Real Structures'!D145),'Real Structures'!D145, "")</f>
        <v/>
      </c>
    </row>
    <row r="140" spans="1:3">
      <c r="A140" s="20" t="str">
        <f>TEXT(IF('Real Structures'!B146&lt;&gt;0,'Real Structures'!B146, ""), "d-mmm-yy")</f>
        <v/>
      </c>
      <c r="B140" s="20" t="str">
        <f>IF(ISNUMBER('Real Structures'!C146),'Real Structures'!C146, "")</f>
        <v/>
      </c>
      <c r="C140" s="20" t="str">
        <f>IF(ISNUMBER('Real Structures'!D146),'Real Structures'!D146, "")</f>
        <v/>
      </c>
    </row>
    <row r="141" spans="1:3">
      <c r="A141" s="20" t="str">
        <f>TEXT(IF('Real Structures'!B147&lt;&gt;0,'Real Structures'!B147, ""), "d-mmm-yy")</f>
        <v/>
      </c>
      <c r="B141" s="20" t="str">
        <f>IF(ISNUMBER('Real Structures'!C147),'Real Structures'!C147, "")</f>
        <v/>
      </c>
      <c r="C141" s="20" t="str">
        <f>IF(ISNUMBER('Real Structures'!D147),'Real Structures'!D147, "")</f>
        <v/>
      </c>
    </row>
    <row r="142" spans="1:3">
      <c r="A142" s="20" t="str">
        <f>TEXT(IF('Real Structures'!B148&lt;&gt;0,'Real Structures'!B148, ""), "d-mmm-yy")</f>
        <v/>
      </c>
      <c r="B142" s="20" t="str">
        <f>IF(ISNUMBER('Real Structures'!C148),'Real Structures'!C148, "")</f>
        <v/>
      </c>
      <c r="C142" s="20" t="str">
        <f>IF(ISNUMBER('Real Structures'!D148),'Real Structures'!D148, "")</f>
        <v/>
      </c>
    </row>
    <row r="143" spans="1:3">
      <c r="A143" s="20" t="str">
        <f>TEXT(IF('Real Structures'!B149&lt;&gt;0,'Real Structures'!B149, ""), "d-mmm-yy")</f>
        <v/>
      </c>
      <c r="B143" s="20" t="str">
        <f>IF(ISNUMBER('Real Structures'!C149),'Real Structures'!C149, "")</f>
        <v/>
      </c>
      <c r="C143" s="20" t="str">
        <f>IF(ISNUMBER('Real Structures'!D149),'Real Structures'!D149, "")</f>
        <v/>
      </c>
    </row>
    <row r="144" spans="1:3">
      <c r="A144" s="20" t="str">
        <f>TEXT(IF('Real Structures'!B150&lt;&gt;0,'Real Structures'!B150, ""), "d-mmm-yy")</f>
        <v/>
      </c>
      <c r="B144" s="20" t="str">
        <f>IF(ISNUMBER('Real Structures'!C150),'Real Structures'!C150, "")</f>
        <v/>
      </c>
      <c r="C144" s="20" t="str">
        <f>IF(ISNUMBER('Real Structures'!D150),'Real Structures'!D150, "")</f>
        <v/>
      </c>
    </row>
    <row r="145" spans="1:3">
      <c r="A145" s="20" t="str">
        <f>TEXT(IF('Real Structures'!B151&lt;&gt;0,'Real Structures'!B151, ""), "d-mmm-yy")</f>
        <v/>
      </c>
      <c r="B145" s="20" t="str">
        <f>IF(ISNUMBER('Real Structures'!C151),'Real Structures'!C151, "")</f>
        <v/>
      </c>
      <c r="C145" s="20" t="str">
        <f>IF(ISNUMBER('Real Structures'!D151),'Real Structures'!D151, "")</f>
        <v/>
      </c>
    </row>
    <row r="146" spans="1:3">
      <c r="A146" s="20" t="str">
        <f>TEXT(IF('Real Structures'!B152&lt;&gt;0,'Real Structures'!B152, ""), "d-mmm-yy")</f>
        <v/>
      </c>
      <c r="B146" s="20" t="str">
        <f>IF(ISNUMBER('Real Structures'!C152),'Real Structures'!C152, "")</f>
        <v/>
      </c>
      <c r="C146" s="20" t="str">
        <f>IF(ISNUMBER('Real Structures'!D152),'Real Structures'!D152, "")</f>
        <v/>
      </c>
    </row>
    <row r="147" spans="1:3">
      <c r="A147" s="20" t="str">
        <f>TEXT(IF('Real Structures'!B153&lt;&gt;0,'Real Structures'!B153, ""), "d-mmm-yy")</f>
        <v/>
      </c>
      <c r="B147" s="20" t="str">
        <f>IF(ISNUMBER('Real Structures'!C153),'Real Structures'!C153, "")</f>
        <v/>
      </c>
      <c r="C147" s="20" t="str">
        <f>IF(ISNUMBER('Real Structures'!D153),'Real Structures'!D153, "")</f>
        <v/>
      </c>
    </row>
    <row r="148" spans="1:3">
      <c r="A148" s="20" t="str">
        <f>TEXT(IF('Real Structures'!B154&lt;&gt;0,'Real Structures'!B154, ""), "d-mmm-yy")</f>
        <v/>
      </c>
      <c r="B148" s="20" t="str">
        <f>IF(ISNUMBER('Real Structures'!C154),'Real Structures'!C154, "")</f>
        <v/>
      </c>
      <c r="C148" s="20" t="str">
        <f>IF(ISNUMBER('Real Structures'!D154),'Real Structures'!D154, "")</f>
        <v/>
      </c>
    </row>
    <row r="149" spans="1:3">
      <c r="A149" s="20" t="str">
        <f>TEXT(IF('Real Structures'!B155&lt;&gt;0,'Real Structures'!B155, ""), "d-mmm-yy")</f>
        <v/>
      </c>
      <c r="B149" s="20" t="str">
        <f>IF(ISNUMBER('Real Structures'!C155),'Real Structures'!C155, "")</f>
        <v/>
      </c>
      <c r="C149" s="20" t="str">
        <f>IF(ISNUMBER('Real Structures'!D155),'Real Structures'!D155, "")</f>
        <v/>
      </c>
    </row>
    <row r="150" spans="1:3">
      <c r="A150" s="20" t="str">
        <f>TEXT(IF('Real Structures'!B156&lt;&gt;0,'Real Structures'!B156, ""), "d-mmm-yy")</f>
        <v/>
      </c>
      <c r="B150" s="20" t="str">
        <f>IF(ISNUMBER('Real Structures'!C156),'Real Structures'!C156, "")</f>
        <v/>
      </c>
      <c r="C150" s="20" t="str">
        <f>IF(ISNUMBER('Real Structures'!D156),'Real Structures'!D156, "")</f>
        <v/>
      </c>
    </row>
    <row r="151" spans="1:3">
      <c r="A151" s="20" t="str">
        <f>TEXT(IF('Real Structures'!B157&lt;&gt;0,'Real Structures'!B157, ""), "d-mmm-yy")</f>
        <v/>
      </c>
      <c r="B151" s="20" t="str">
        <f>IF(ISNUMBER('Real Structures'!C157),'Real Structures'!C157, "")</f>
        <v/>
      </c>
      <c r="C151" s="20" t="str">
        <f>IF(ISNUMBER('Real Structures'!D157),'Real Structures'!D157, "")</f>
        <v/>
      </c>
    </row>
    <row r="152" spans="1:3">
      <c r="A152" s="20" t="str">
        <f>TEXT(IF('Real Structures'!B158&lt;&gt;0,'Real Structures'!B158, ""), "d-mmm-yy")</f>
        <v/>
      </c>
      <c r="B152" s="20" t="str">
        <f>IF(ISNUMBER('Real Structures'!C158),'Real Structures'!C158, "")</f>
        <v/>
      </c>
      <c r="C152" s="20" t="str">
        <f>IF(ISNUMBER('Real Structures'!D158),'Real Structures'!D158, "")</f>
        <v/>
      </c>
    </row>
    <row r="153" spans="1:3">
      <c r="A153" s="20" t="str">
        <f>TEXT(IF('Real Structures'!B159&lt;&gt;0,'Real Structures'!B159, ""), "d-mmm-yy")</f>
        <v/>
      </c>
      <c r="B153" s="20" t="str">
        <f>IF(ISNUMBER('Real Structures'!C159),'Real Structures'!C159, "")</f>
        <v/>
      </c>
      <c r="C153" s="20" t="str">
        <f>IF(ISNUMBER('Real Structures'!D159),'Real Structures'!D159, "")</f>
        <v/>
      </c>
    </row>
    <row r="154" spans="1:3">
      <c r="A154" s="20" t="str">
        <f>TEXT(IF('Real Structures'!B160&lt;&gt;0,'Real Structures'!B160, ""), "d-mmm-yy")</f>
        <v/>
      </c>
      <c r="B154" s="20" t="str">
        <f>IF(ISNUMBER('Real Structures'!C160),'Real Structures'!C160, "")</f>
        <v/>
      </c>
      <c r="C154" s="20" t="str">
        <f>IF(ISNUMBER('Real Structures'!D160),'Real Structures'!D160, "")</f>
        <v/>
      </c>
    </row>
    <row r="155" spans="1:3">
      <c r="A155" s="20" t="str">
        <f>TEXT(IF('Real Structures'!B161&lt;&gt;0,'Real Structures'!B161, ""), "d-mmm-yy")</f>
        <v/>
      </c>
      <c r="B155" s="20" t="str">
        <f>IF(ISNUMBER('Real Structures'!C161),'Real Structures'!C161, "")</f>
        <v/>
      </c>
      <c r="C155" s="20" t="str">
        <f>IF(ISNUMBER('Real Structures'!D161),'Real Structures'!D161, "")</f>
        <v/>
      </c>
    </row>
    <row r="156" spans="1:3">
      <c r="A156" s="20" t="str">
        <f>TEXT(IF('Real Structures'!B162&lt;&gt;0,'Real Structures'!B162, ""), "d-mmm-yy")</f>
        <v/>
      </c>
      <c r="B156" s="20" t="str">
        <f>IF(ISNUMBER('Real Structures'!C162),'Real Structures'!C162, "")</f>
        <v/>
      </c>
      <c r="C156" s="20" t="str">
        <f>IF(ISNUMBER('Real Structures'!D162),'Real Structures'!D162, "")</f>
        <v/>
      </c>
    </row>
    <row r="157" spans="1:3">
      <c r="A157" s="20" t="str">
        <f>TEXT(IF('Real Structures'!B163&lt;&gt;0,'Real Structures'!B163, ""), "d-mmm-yy")</f>
        <v/>
      </c>
      <c r="B157" s="20" t="str">
        <f>IF(ISNUMBER('Real Structures'!C163),'Real Structures'!C163, "")</f>
        <v/>
      </c>
      <c r="C157" s="20" t="str">
        <f>IF(ISNUMBER('Real Structures'!D163),'Real Structures'!D163, "")</f>
        <v/>
      </c>
    </row>
    <row r="158" spans="1:3">
      <c r="A158" s="20" t="str">
        <f>TEXT(IF('Real Structures'!B164&lt;&gt;0,'Real Structures'!B164, ""), "d-mmm-yy")</f>
        <v/>
      </c>
      <c r="B158" s="20" t="str">
        <f>IF(ISNUMBER('Real Structures'!C164),'Real Structures'!C164, "")</f>
        <v/>
      </c>
      <c r="C158" s="20" t="str">
        <f>IF(ISNUMBER('Real Structures'!D164),'Real Structures'!D164, "")</f>
        <v/>
      </c>
    </row>
    <row r="159" spans="1:3">
      <c r="A159" s="20" t="str">
        <f>TEXT(IF('Real Structures'!B165&lt;&gt;0,'Real Structures'!B165, ""), "d-mmm-yy")</f>
        <v/>
      </c>
      <c r="B159" s="20" t="str">
        <f>IF(ISNUMBER('Real Structures'!C165),'Real Structures'!C165, "")</f>
        <v/>
      </c>
      <c r="C159" s="20" t="str">
        <f>IF(ISNUMBER('Real Structures'!D165),'Real Structures'!D165, "")</f>
        <v/>
      </c>
    </row>
    <row r="160" spans="1:3">
      <c r="A160" s="20" t="str">
        <f>TEXT(IF('Real Structures'!B166&lt;&gt;0,'Real Structures'!B166, ""), "d-mmm-yy")</f>
        <v/>
      </c>
      <c r="B160" s="20" t="str">
        <f>IF(ISNUMBER('Real Structures'!C166),'Real Structures'!C166, "")</f>
        <v/>
      </c>
      <c r="C160" s="20" t="str">
        <f>IF(ISNUMBER('Real Structures'!D166),'Real Structures'!D166, "")</f>
        <v/>
      </c>
    </row>
    <row r="161" spans="1:3">
      <c r="A161" s="20" t="str">
        <f>TEXT(IF('Real Structures'!B167&lt;&gt;0,'Real Structures'!B167, ""), "d-mmm-yy")</f>
        <v/>
      </c>
      <c r="B161" s="20" t="str">
        <f>IF(ISNUMBER('Real Structures'!C167),'Real Structures'!C167, "")</f>
        <v/>
      </c>
      <c r="C161" s="20" t="str">
        <f>IF(ISNUMBER('Real Structures'!D167),'Real Structures'!D167, "")</f>
        <v/>
      </c>
    </row>
    <row r="162" spans="1:3">
      <c r="A162" s="20" t="str">
        <f>TEXT(IF('Real Structures'!B168&lt;&gt;0,'Real Structures'!B168, ""), "d-mmm-yy")</f>
        <v/>
      </c>
      <c r="B162" s="20" t="str">
        <f>IF(ISNUMBER('Real Structures'!C168),'Real Structures'!C168, "")</f>
        <v/>
      </c>
      <c r="C162" s="20" t="str">
        <f>IF(ISNUMBER('Real Structures'!D168),'Real Structures'!D168, "")</f>
        <v/>
      </c>
    </row>
    <row r="163" spans="1:3">
      <c r="A163" s="20" t="str">
        <f>TEXT(IF('Real Structures'!B169&lt;&gt;0,'Real Structures'!B169, ""), "d-mmm-yy")</f>
        <v/>
      </c>
      <c r="B163" s="20" t="str">
        <f>IF(ISNUMBER('Real Structures'!C169),'Real Structures'!C169, "")</f>
        <v/>
      </c>
      <c r="C163" s="20" t="str">
        <f>IF(ISNUMBER('Real Structures'!D169),'Real Structures'!D169, "")</f>
        <v/>
      </c>
    </row>
    <row r="164" spans="1:3">
      <c r="A164" s="20" t="str">
        <f>TEXT(IF('Real Structures'!B170&lt;&gt;0,'Real Structures'!B170, ""), "d-mmm-yy")</f>
        <v/>
      </c>
      <c r="B164" s="20" t="str">
        <f>IF(ISNUMBER('Real Structures'!C170),'Real Structures'!C170, "")</f>
        <v/>
      </c>
      <c r="C164" s="20" t="str">
        <f>IF(ISNUMBER('Real Structures'!D170),'Real Structures'!D170, "")</f>
        <v/>
      </c>
    </row>
    <row r="165" spans="1:3">
      <c r="A165" s="20" t="str">
        <f>TEXT(IF('Real Structures'!B171&lt;&gt;0,'Real Structures'!B171, ""), "d-mmm-yy")</f>
        <v/>
      </c>
      <c r="B165" s="20" t="str">
        <f>IF(ISNUMBER('Real Structures'!C171),'Real Structures'!C171, "")</f>
        <v/>
      </c>
      <c r="C165" s="20" t="str">
        <f>IF(ISNUMBER('Real Structures'!D171),'Real Structures'!D171, "")</f>
        <v/>
      </c>
    </row>
    <row r="166" spans="1:3">
      <c r="A166" s="20" t="str">
        <f>TEXT(IF('Real Structures'!B172&lt;&gt;0,'Real Structures'!B172, ""), "d-mmm-yy")</f>
        <v/>
      </c>
      <c r="B166" s="20" t="str">
        <f>IF(ISNUMBER('Real Structures'!C172),'Real Structures'!C172, "")</f>
        <v/>
      </c>
      <c r="C166" s="20" t="str">
        <f>IF(ISNUMBER('Real Structures'!D172),'Real Structures'!D172, "")</f>
        <v/>
      </c>
    </row>
    <row r="167" spans="1:3">
      <c r="A167" s="20" t="str">
        <f>TEXT(IF('Real Structures'!B173&lt;&gt;0,'Real Structures'!B173, ""), "d-mmm-yy")</f>
        <v/>
      </c>
      <c r="B167" s="20" t="str">
        <f>IF(ISNUMBER('Real Structures'!C173),'Real Structures'!C173, "")</f>
        <v/>
      </c>
      <c r="C167" s="20" t="str">
        <f>IF(ISNUMBER('Real Structures'!D173),'Real Structures'!D173, "")</f>
        <v/>
      </c>
    </row>
    <row r="168" spans="1:3">
      <c r="A168" s="20" t="str">
        <f>TEXT(IF('Real Structures'!B174&lt;&gt;0,'Real Structures'!B174, ""), "d-mmm-yy")</f>
        <v/>
      </c>
      <c r="B168" s="20" t="str">
        <f>IF(ISNUMBER('Real Structures'!C174),'Real Structures'!C174, "")</f>
        <v/>
      </c>
      <c r="C168" s="20" t="str">
        <f>IF(ISNUMBER('Real Structures'!D174),'Real Structures'!D174, "")</f>
        <v/>
      </c>
    </row>
    <row r="169" spans="1:3">
      <c r="A169" s="20" t="str">
        <f>TEXT(IF('Real Structures'!B175&lt;&gt;0,'Real Structures'!B175, ""), "d-mmm-yy")</f>
        <v/>
      </c>
      <c r="B169" s="20" t="str">
        <f>IF(ISNUMBER('Real Structures'!C175),'Real Structures'!C175, "")</f>
        <v/>
      </c>
      <c r="C169" s="20" t="str">
        <f>IF(ISNUMBER('Real Structures'!D175),'Real Structures'!D175, "")</f>
        <v/>
      </c>
    </row>
    <row r="170" spans="1:3">
      <c r="A170" s="20" t="str">
        <f>TEXT(IF('Real Structures'!B176&lt;&gt;0,'Real Structures'!B176, ""), "d-mmm-yy")</f>
        <v/>
      </c>
      <c r="B170" s="20" t="str">
        <f>IF(ISNUMBER('Real Structures'!C176),'Real Structures'!C176, "")</f>
        <v/>
      </c>
      <c r="C170" s="20" t="str">
        <f>IF(ISNUMBER('Real Structures'!D176),'Real Structures'!D176, "")</f>
        <v/>
      </c>
    </row>
    <row r="171" spans="1:3">
      <c r="A171" s="20" t="str">
        <f>TEXT(IF('Real Structures'!B177&lt;&gt;0,'Real Structures'!B177, ""), "d-mmm-yy")</f>
        <v/>
      </c>
      <c r="B171" s="20" t="str">
        <f>IF(ISNUMBER('Real Structures'!C177),'Real Structures'!C177, "")</f>
        <v/>
      </c>
      <c r="C171" s="20" t="str">
        <f>IF(ISNUMBER('Real Structures'!D177),'Real Structures'!D177, "")</f>
        <v/>
      </c>
    </row>
    <row r="172" spans="1:3">
      <c r="A172" s="20" t="str">
        <f>TEXT(IF('Real Structures'!B178&lt;&gt;0,'Real Structures'!B178, ""), "d-mmm-yy")</f>
        <v/>
      </c>
      <c r="B172" s="20" t="str">
        <f>IF(ISNUMBER('Real Structures'!C178),'Real Structures'!C178, "")</f>
        <v/>
      </c>
      <c r="C172" s="20" t="str">
        <f>IF(ISNUMBER('Real Structures'!D178),'Real Structures'!D178, "")</f>
        <v/>
      </c>
    </row>
    <row r="173" spans="1:3">
      <c r="A173" s="20" t="str">
        <f>TEXT(IF('Real Structures'!B179&lt;&gt;0,'Real Structures'!B179, ""), "d-mmm-yy")</f>
        <v/>
      </c>
      <c r="B173" s="20" t="str">
        <f>IF(ISNUMBER('Real Structures'!C179),'Real Structures'!C179, "")</f>
        <v/>
      </c>
      <c r="C173" s="20" t="str">
        <f>IF(ISNUMBER('Real Structures'!D179),'Real Structures'!D179, "")</f>
        <v/>
      </c>
    </row>
    <row r="174" spans="1:3">
      <c r="A174" s="20" t="str">
        <f>TEXT(IF('Real Structures'!B180&lt;&gt;0,'Real Structures'!B180, ""), "d-mmm-yy")</f>
        <v/>
      </c>
      <c r="B174" s="20" t="str">
        <f>IF(ISNUMBER('Real Structures'!C180),'Real Structures'!C180, "")</f>
        <v/>
      </c>
      <c r="C174" s="20" t="str">
        <f>IF(ISNUMBER('Real Structures'!D180),'Real Structures'!D180, "")</f>
        <v/>
      </c>
    </row>
    <row r="175" spans="1:3">
      <c r="A175" s="20" t="str">
        <f>TEXT(IF('Real Structures'!B181&lt;&gt;0,'Real Structures'!B181, ""), "d-mmm-yy")</f>
        <v/>
      </c>
      <c r="B175" s="20" t="str">
        <f>IF(ISNUMBER('Real Structures'!C181),'Real Structures'!C181, "")</f>
        <v/>
      </c>
      <c r="C175" s="20" t="str">
        <f>IF(ISNUMBER('Real Structures'!D181),'Real Structures'!D181, "")</f>
        <v/>
      </c>
    </row>
    <row r="176" spans="1:3">
      <c r="A176" s="20" t="str">
        <f>TEXT(IF('Real Structures'!B182&lt;&gt;0,'Real Structures'!B182, ""), "d-mmm-yy")</f>
        <v/>
      </c>
      <c r="B176" s="20" t="str">
        <f>IF(ISNUMBER('Real Structures'!C182),'Real Structures'!C182, "")</f>
        <v/>
      </c>
      <c r="C176" s="20" t="str">
        <f>IF(ISNUMBER('Real Structures'!D182),'Real Structures'!D182, "")</f>
        <v/>
      </c>
    </row>
    <row r="177" spans="1:3">
      <c r="A177" s="20" t="str">
        <f>TEXT(IF('Real Structures'!B183&lt;&gt;0,'Real Structures'!B183, ""), "d-mmm-yy")</f>
        <v/>
      </c>
      <c r="B177" s="20" t="str">
        <f>IF(ISNUMBER('Real Structures'!C183),'Real Structures'!C183, "")</f>
        <v/>
      </c>
      <c r="C177" s="20" t="str">
        <f>IF(ISNUMBER('Real Structures'!D183),'Real Structures'!D183, "")</f>
        <v/>
      </c>
    </row>
    <row r="178" spans="1:3">
      <c r="A178" s="20" t="str">
        <f>TEXT(IF('Real Structures'!B184&lt;&gt;0,'Real Structures'!B184, ""), "d-mmm-yy")</f>
        <v/>
      </c>
      <c r="B178" s="20" t="str">
        <f>IF(ISNUMBER('Real Structures'!C184),'Real Structures'!C184, "")</f>
        <v/>
      </c>
      <c r="C178" s="20" t="str">
        <f>IF(ISNUMBER('Real Structures'!D184),'Real Structures'!D184, "")</f>
        <v/>
      </c>
    </row>
    <row r="179" spans="1:3">
      <c r="A179" s="20" t="str">
        <f>TEXT(IF('Real Structures'!B185&lt;&gt;0,'Real Structures'!B185, ""), "d-mmm-yy")</f>
        <v/>
      </c>
      <c r="B179" s="20" t="str">
        <f>IF(ISNUMBER('Real Structures'!C185),'Real Structures'!C185, "")</f>
        <v/>
      </c>
      <c r="C179" s="20" t="str">
        <f>IF(ISNUMBER('Real Structures'!D185),'Real Structures'!D185, "")</f>
        <v/>
      </c>
    </row>
    <row r="180" spans="1:3">
      <c r="A180" s="20" t="str">
        <f>TEXT(IF('Real Structures'!B186&lt;&gt;0,'Real Structures'!B186, ""), "d-mmm-yy")</f>
        <v/>
      </c>
      <c r="B180" s="20" t="str">
        <f>IF(ISNUMBER('Real Structures'!C186),'Real Structures'!C186, "")</f>
        <v/>
      </c>
      <c r="C180" s="20" t="str">
        <f>IF(ISNUMBER('Real Structures'!D186),'Real Structures'!D186, "")</f>
        <v/>
      </c>
    </row>
    <row r="181" spans="1:3">
      <c r="A181" s="20" t="str">
        <f>TEXT(IF('Real Structures'!B187&lt;&gt;0,'Real Structures'!B187, ""), "d-mmm-yy")</f>
        <v/>
      </c>
      <c r="B181" s="20" t="str">
        <f>IF(ISNUMBER('Real Structures'!C187),'Real Structures'!C187, "")</f>
        <v/>
      </c>
      <c r="C181" s="20" t="str">
        <f>IF(ISNUMBER('Real Structures'!D187),'Real Structures'!D187, "")</f>
        <v/>
      </c>
    </row>
    <row r="182" spans="1:3">
      <c r="A182" s="20" t="str">
        <f>TEXT(IF('Real Structures'!B188&lt;&gt;0,'Real Structures'!B188, ""), "d-mmm-yy")</f>
        <v/>
      </c>
      <c r="B182" s="20" t="str">
        <f>IF(ISNUMBER('Real Structures'!C188),'Real Structures'!C188, "")</f>
        <v/>
      </c>
      <c r="C182" s="20" t="str">
        <f>IF(ISNUMBER('Real Structures'!D188),'Real Structures'!D188, "")</f>
        <v/>
      </c>
    </row>
    <row r="183" spans="1:3">
      <c r="A183" s="20" t="str">
        <f>TEXT(IF('Real Structures'!B189&lt;&gt;0,'Real Structures'!B189, ""), "d-mmm-yy")</f>
        <v/>
      </c>
      <c r="B183" s="20" t="str">
        <f>IF(ISNUMBER('Real Structures'!C189),'Real Structures'!C189, "")</f>
        <v/>
      </c>
      <c r="C183" s="20" t="str">
        <f>IF(ISNUMBER('Real Structures'!D189),'Real Structures'!D189, "")</f>
        <v/>
      </c>
    </row>
    <row r="184" spans="1:3">
      <c r="A184" s="20" t="str">
        <f>TEXT(IF('Real Structures'!B190&lt;&gt;0,'Real Structures'!B190, ""), "d-mmm-yy")</f>
        <v/>
      </c>
      <c r="B184" s="20" t="str">
        <f>IF(ISNUMBER('Real Structures'!C190),'Real Structures'!C190, "")</f>
        <v/>
      </c>
      <c r="C184" s="20" t="str">
        <f>IF(ISNUMBER('Real Structures'!D190),'Real Structures'!D190, "")</f>
        <v/>
      </c>
    </row>
    <row r="185" spans="1:3">
      <c r="A185" s="20" t="str">
        <f>TEXT(IF('Real Structures'!B191&lt;&gt;0,'Real Structures'!B191, ""), "d-mmm-yy")</f>
        <v/>
      </c>
      <c r="B185" s="20" t="str">
        <f>IF(ISNUMBER('Real Structures'!C191),'Real Structures'!C191, "")</f>
        <v/>
      </c>
      <c r="C185" s="20" t="str">
        <f>IF(ISNUMBER('Real Structures'!D191),'Real Structures'!D191, "")</f>
        <v/>
      </c>
    </row>
    <row r="186" spans="1:3">
      <c r="A186" s="20" t="str">
        <f>TEXT(IF('Real Structures'!B192&lt;&gt;0,'Real Structures'!B192, ""), "d-mmm-yy")</f>
        <v/>
      </c>
      <c r="B186" s="20" t="str">
        <f>IF(ISNUMBER('Real Structures'!C192),'Real Structures'!C192, "")</f>
        <v/>
      </c>
      <c r="C186" s="20" t="str">
        <f>IF(ISNUMBER('Real Structures'!D192),'Real Structures'!D192, "")</f>
        <v/>
      </c>
    </row>
    <row r="187" spans="1:3">
      <c r="A187" s="20" t="str">
        <f>TEXT(IF('Real Structures'!B193&lt;&gt;0,'Real Structures'!B193, ""), "d-mmm-yy")</f>
        <v/>
      </c>
      <c r="B187" s="20" t="str">
        <f>IF(ISNUMBER('Real Structures'!C193),'Real Structures'!C193, "")</f>
        <v/>
      </c>
      <c r="C187" s="20" t="str">
        <f>IF(ISNUMBER('Real Structures'!D193),'Real Structures'!D193, "")</f>
        <v/>
      </c>
    </row>
    <row r="188" spans="1:3">
      <c r="A188" s="20" t="str">
        <f>TEXT(IF('Real Structures'!B194&lt;&gt;0,'Real Structures'!B194, ""), "d-mmm-yy")</f>
        <v/>
      </c>
      <c r="B188" s="20" t="str">
        <f>IF(ISNUMBER('Real Structures'!C194),'Real Structures'!C194, "")</f>
        <v/>
      </c>
      <c r="C188" s="20" t="str">
        <f>IF(ISNUMBER('Real Structures'!D194),'Real Structures'!D194, "")</f>
        <v/>
      </c>
    </row>
    <row r="189" spans="1:3">
      <c r="A189" s="20" t="str">
        <f>TEXT(IF('Real Structures'!B195&lt;&gt;0,'Real Structures'!B195, ""), "d-mmm-yy")</f>
        <v/>
      </c>
      <c r="B189" s="20" t="str">
        <f>IF(ISNUMBER('Real Structures'!C195),'Real Structures'!C195, "")</f>
        <v/>
      </c>
      <c r="C189" s="20" t="str">
        <f>IF(ISNUMBER('Real Structures'!D195),'Real Structures'!D195, "")</f>
        <v/>
      </c>
    </row>
    <row r="190" spans="1:3">
      <c r="A190" s="20" t="str">
        <f>TEXT(IF('Real Structures'!B196&lt;&gt;0,'Real Structures'!B196, ""), "d-mmm-yy")</f>
        <v/>
      </c>
      <c r="B190" s="20" t="str">
        <f>IF(ISNUMBER('Real Structures'!C196),'Real Structures'!C196, "")</f>
        <v/>
      </c>
      <c r="C190" s="20" t="str">
        <f>IF(ISNUMBER('Real Structures'!D196),'Real Structures'!D196, "")</f>
        <v/>
      </c>
    </row>
    <row r="191" spans="1:3">
      <c r="A191" s="20" t="str">
        <f>TEXT(IF('Real Structures'!B197&lt;&gt;0,'Real Structures'!B197, ""), "d-mmm-yy")</f>
        <v/>
      </c>
      <c r="B191" s="20" t="str">
        <f>IF(ISNUMBER('Real Structures'!C197),'Real Structures'!C197, "")</f>
        <v/>
      </c>
      <c r="C191" s="20" t="str">
        <f>IF(ISNUMBER('Real Structures'!D197),'Real Structures'!D197, "")</f>
        <v/>
      </c>
    </row>
    <row r="192" spans="1:3">
      <c r="A192" s="20" t="str">
        <f>TEXT(IF('Real Structures'!B198&lt;&gt;0,'Real Structures'!B198, ""), "d-mmm-yy")</f>
        <v/>
      </c>
      <c r="B192" s="20" t="str">
        <f>IF(ISNUMBER('Real Structures'!C198),'Real Structures'!C198, "")</f>
        <v/>
      </c>
      <c r="C192" s="20" t="str">
        <f>IF(ISNUMBER('Real Structures'!D198),'Real Structures'!D198, "")</f>
        <v/>
      </c>
    </row>
    <row r="193" spans="1:3">
      <c r="A193" s="20" t="str">
        <f>TEXT(IF('Real Structures'!B199&lt;&gt;0,'Real Structures'!B199, ""), "d-mmm-yy")</f>
        <v/>
      </c>
      <c r="B193" s="20" t="str">
        <f>IF(ISNUMBER('Real Structures'!C199),'Real Structures'!C199, "")</f>
        <v/>
      </c>
      <c r="C193" s="20" t="str">
        <f>IF(ISNUMBER('Real Structures'!D199),'Real Structures'!D199, "")</f>
        <v/>
      </c>
    </row>
    <row r="194" spans="1:3">
      <c r="A194" s="20" t="str">
        <f>TEXT(IF('Real Structures'!B200&lt;&gt;0,'Real Structures'!B200, ""), "d-mmm-yy")</f>
        <v/>
      </c>
      <c r="B194" s="20" t="str">
        <f>IF(ISNUMBER('Real Structures'!C200),'Real Structures'!C200, "")</f>
        <v/>
      </c>
      <c r="C194" s="20" t="str">
        <f>IF(ISNUMBER('Real Structures'!D200),'Real Structures'!D200, "")</f>
        <v/>
      </c>
    </row>
    <row r="195" spans="1:3">
      <c r="A195" s="20" t="str">
        <f>TEXT(IF('Real Structures'!B201&lt;&gt;0,'Real Structures'!B201, ""), "d-mmm-yy")</f>
        <v/>
      </c>
      <c r="B195" s="20" t="str">
        <f>IF(ISNUMBER('Real Structures'!C201),'Real Structures'!C201, "")</f>
        <v/>
      </c>
      <c r="C195" s="20" t="str">
        <f>IF(ISNUMBER('Real Structures'!D201),'Real Structures'!D201, "")</f>
        <v/>
      </c>
    </row>
    <row r="196" spans="1:3">
      <c r="A196" s="20" t="str">
        <f>TEXT(IF('Real Structures'!B202&lt;&gt;0,'Real Structures'!B202, ""), "d-mmm-yy")</f>
        <v/>
      </c>
      <c r="B196" s="20" t="str">
        <f>IF(ISNUMBER('Real Structures'!C202),'Real Structures'!C202, "")</f>
        <v/>
      </c>
      <c r="C196" s="20" t="str">
        <f>IF(ISNUMBER('Real Structures'!D202),'Real Structures'!D202, "")</f>
        <v/>
      </c>
    </row>
    <row r="197" spans="1:3">
      <c r="A197" s="20" t="str">
        <f>TEXT(IF('Real Structures'!B203&lt;&gt;0,'Real Structures'!B203, ""), "d-mmm-yy")</f>
        <v/>
      </c>
      <c r="B197" s="20" t="str">
        <f>IF(ISNUMBER('Real Structures'!C203),'Real Structures'!C203, "")</f>
        <v/>
      </c>
      <c r="C197" s="20" t="str">
        <f>IF(ISNUMBER('Real Structures'!D203),'Real Structures'!D203, "")</f>
        <v/>
      </c>
    </row>
    <row r="198" spans="1:3">
      <c r="A198" s="20" t="str">
        <f>TEXT(IF('Real Structures'!B204&lt;&gt;0,'Real Structures'!B204, ""), "d-mmm-yy")</f>
        <v/>
      </c>
      <c r="B198" s="20" t="str">
        <f>IF(ISNUMBER('Real Structures'!C204),'Real Structures'!C204, "")</f>
        <v/>
      </c>
      <c r="C198" s="20" t="str">
        <f>IF(ISNUMBER('Real Structures'!D204),'Real Structures'!D204, "")</f>
        <v/>
      </c>
    </row>
    <row r="199" spans="1:3">
      <c r="A199" s="20" t="str">
        <f>TEXT(IF('Real Structures'!B205&lt;&gt;0,'Real Structures'!B205, ""), "d-mmm-yy")</f>
        <v/>
      </c>
      <c r="B199" s="20" t="str">
        <f>IF(ISNUMBER('Real Structures'!C205),'Real Structures'!C205, "")</f>
        <v/>
      </c>
      <c r="C199" s="20" t="str">
        <f>IF(ISNUMBER('Real Structures'!D205),'Real Structures'!D205, "")</f>
        <v/>
      </c>
    </row>
    <row r="200" spans="1:3">
      <c r="A200" s="20" t="str">
        <f>TEXT(IF('Real Structures'!B206&lt;&gt;0,'Real Structures'!B206, ""), "d-mmm-yy")</f>
        <v/>
      </c>
      <c r="B200" s="20" t="str">
        <f>IF(ISNUMBER('Real Structures'!C206),'Real Structures'!C206, "")</f>
        <v/>
      </c>
      <c r="C200" s="20" t="str">
        <f>IF(ISNUMBER('Real Structures'!D206),'Real Structures'!D206, "")</f>
        <v/>
      </c>
    </row>
    <row r="201" spans="1:3">
      <c r="A201" s="20" t="str">
        <f>TEXT(IF('Real Structures'!B207&lt;&gt;0,'Real Structures'!B207, ""), "d-mmm-yy")</f>
        <v/>
      </c>
      <c r="B201" s="20" t="str">
        <f>IF(ISNUMBER('Real Structures'!C207),'Real Structures'!C207, "")</f>
        <v/>
      </c>
      <c r="C201" s="20" t="str">
        <f>IF(ISNUMBER('Real Structures'!D207),'Real Structures'!D207, "")</f>
        <v/>
      </c>
    </row>
    <row r="202" spans="1:3">
      <c r="A202" s="20" t="str">
        <f>TEXT(IF('Real Structures'!B208&lt;&gt;0,'Real Structures'!B208, ""), "d-mmm-yy")</f>
        <v/>
      </c>
      <c r="B202" s="20" t="str">
        <f>IF(ISNUMBER('Real Structures'!C208),'Real Structures'!C208, "")</f>
        <v/>
      </c>
      <c r="C202" s="20" t="str">
        <f>IF(ISNUMBER('Real Structures'!D208),'Real Structures'!D208, "")</f>
        <v/>
      </c>
    </row>
    <row r="203" spans="1:3">
      <c r="A203" s="20" t="str">
        <f>TEXT(IF('Real Structures'!B209&lt;&gt;0,'Real Structures'!B209, ""), "d-mmm-yy")</f>
        <v/>
      </c>
      <c r="B203" s="20" t="str">
        <f>IF(ISNUMBER('Real Structures'!C209),'Real Structures'!C209, "")</f>
        <v/>
      </c>
      <c r="C203" s="20" t="str">
        <f>IF(ISNUMBER('Real Structures'!D209),'Real Structures'!D209, "")</f>
        <v/>
      </c>
    </row>
    <row r="204" spans="1:3">
      <c r="A204" s="20" t="str">
        <f>TEXT(IF('Real Structures'!B210&lt;&gt;0,'Real Structures'!B210, ""), "d-mmm-yy")</f>
        <v/>
      </c>
      <c r="B204" s="20" t="str">
        <f>IF(ISNUMBER('Real Structures'!C210),'Real Structures'!C210, "")</f>
        <v/>
      </c>
      <c r="C204" s="20" t="str">
        <f>IF(ISNUMBER('Real Structures'!D210),'Real Structures'!D210, "")</f>
        <v/>
      </c>
    </row>
    <row r="205" spans="1:3">
      <c r="A205" s="20" t="str">
        <f>TEXT(IF('Real Structures'!B211&lt;&gt;0,'Real Structures'!B211, ""), "d-mmm-yy")</f>
        <v/>
      </c>
      <c r="B205" s="20" t="str">
        <f>IF(ISNUMBER('Real Structures'!C211),'Real Structures'!C211, "")</f>
        <v/>
      </c>
      <c r="C205" s="20" t="str">
        <f>IF(ISNUMBER('Real Structures'!D211),'Real Structures'!D211, "")</f>
        <v/>
      </c>
    </row>
    <row r="206" spans="1:3">
      <c r="A206" s="20" t="str">
        <f>TEXT(IF('Real Structures'!B212&lt;&gt;0,'Real Structures'!B212, ""), "d-mmm-yy")</f>
        <v/>
      </c>
      <c r="B206" s="20" t="str">
        <f>IF(ISNUMBER('Real Structures'!C212),'Real Structures'!C212, "")</f>
        <v/>
      </c>
      <c r="C206" s="20" t="str">
        <f>IF(ISNUMBER('Real Structures'!D212),'Real Structures'!D212, "")</f>
        <v/>
      </c>
    </row>
    <row r="207" spans="1:3">
      <c r="A207" s="20" t="str">
        <f>TEXT(IF('Real Structures'!B213&lt;&gt;0,'Real Structures'!B213, ""), "d-mmm-yy")</f>
        <v/>
      </c>
      <c r="B207" s="20" t="str">
        <f>IF(ISNUMBER('Real Structures'!C213),'Real Structures'!C213, "")</f>
        <v/>
      </c>
      <c r="C207" s="20" t="str">
        <f>IF(ISNUMBER('Real Structures'!D213),'Real Structures'!D213, "")</f>
        <v/>
      </c>
    </row>
    <row r="208" spans="1:3">
      <c r="A208" s="20" t="str">
        <f>TEXT(IF('Real Structures'!B214&lt;&gt;0,'Real Structures'!B214, ""), "d-mmm-yy")</f>
        <v/>
      </c>
      <c r="B208" s="20" t="str">
        <f>IF(ISNUMBER('Real Structures'!C214),'Real Structures'!C214, "")</f>
        <v/>
      </c>
      <c r="C208" s="20" t="str">
        <f>IF(ISNUMBER('Real Structures'!D214),'Real Structures'!D214, "")</f>
        <v/>
      </c>
    </row>
    <row r="209" spans="1:3">
      <c r="A209" s="20" t="str">
        <f>TEXT(IF('Real Structures'!B215&lt;&gt;0,'Real Structures'!B215, ""), "d-mmm-yy")</f>
        <v/>
      </c>
      <c r="B209" s="20" t="str">
        <f>IF(ISNUMBER('Real Structures'!C215),'Real Structures'!C215, "")</f>
        <v/>
      </c>
      <c r="C209" s="20" t="str">
        <f>IF(ISNUMBER('Real Structures'!D215),'Real Structures'!D215, "")</f>
        <v/>
      </c>
    </row>
    <row r="210" spans="1:3">
      <c r="A210" s="20" t="str">
        <f>TEXT(IF('Real Structures'!B216&lt;&gt;0,'Real Structures'!B216, ""), "d-mmm-yy")</f>
        <v/>
      </c>
      <c r="B210" s="20" t="str">
        <f>IF(ISNUMBER('Real Structures'!C216),'Real Structures'!C216, "")</f>
        <v/>
      </c>
      <c r="C210" s="20" t="str">
        <f>IF(ISNUMBER('Real Structures'!D216),'Real Structures'!D216, "")</f>
        <v/>
      </c>
    </row>
    <row r="211" spans="1:3">
      <c r="A211" s="20" t="str">
        <f>TEXT(IF('Real Structures'!B217&lt;&gt;0,'Real Structures'!B217, ""), "d-mmm-yy")</f>
        <v/>
      </c>
      <c r="B211" s="20" t="str">
        <f>IF(ISNUMBER('Real Structures'!C217),'Real Structures'!C217, "")</f>
        <v/>
      </c>
      <c r="C211" s="20" t="str">
        <f>IF(ISNUMBER('Real Structures'!D217),'Real Structures'!D217, "")</f>
        <v/>
      </c>
    </row>
    <row r="212" spans="1:3">
      <c r="A212" s="20" t="str">
        <f>TEXT(IF('Real Structures'!B218&lt;&gt;0,'Real Structures'!B218, ""), "d-mmm-yy")</f>
        <v/>
      </c>
      <c r="B212" s="20" t="str">
        <f>IF(ISNUMBER('Real Structures'!C218),'Real Structures'!C218, "")</f>
        <v/>
      </c>
      <c r="C212" s="20" t="str">
        <f>IF(ISNUMBER('Real Structures'!D218),'Real Structures'!D218, "")</f>
        <v/>
      </c>
    </row>
    <row r="213" spans="1:3">
      <c r="A213" s="20" t="str">
        <f>TEXT(IF('Real Structures'!B219&lt;&gt;0,'Real Structures'!B219, ""), "d-mmm-yy")</f>
        <v/>
      </c>
      <c r="B213" s="20" t="str">
        <f>IF(ISNUMBER('Real Structures'!C219),'Real Structures'!C219, "")</f>
        <v/>
      </c>
      <c r="C213" s="20" t="str">
        <f>IF(ISNUMBER('Real Structures'!D219),'Real Structures'!D219, "")</f>
        <v/>
      </c>
    </row>
    <row r="214" spans="1:3">
      <c r="A214" s="20" t="str">
        <f>TEXT(IF('Real Structures'!B220&lt;&gt;0,'Real Structures'!B220, ""), "d-mmm-yy")</f>
        <v/>
      </c>
      <c r="B214" s="20" t="str">
        <f>IF(ISNUMBER('Real Structures'!C220),'Real Structures'!C220, "")</f>
        <v/>
      </c>
      <c r="C214" s="20" t="str">
        <f>IF(ISNUMBER('Real Structures'!D220),'Real Structures'!D220, "")</f>
        <v/>
      </c>
    </row>
    <row r="215" spans="1:3">
      <c r="A215" s="20" t="str">
        <f>TEXT(IF('Real Structures'!B221&lt;&gt;0,'Real Structures'!B221, ""), "d-mmm-yy")</f>
        <v/>
      </c>
      <c r="B215" s="20" t="str">
        <f>IF(ISNUMBER('Real Structures'!C221),'Real Structures'!C221, "")</f>
        <v/>
      </c>
      <c r="C215" s="20" t="str">
        <f>IF(ISNUMBER('Real Structures'!D221),'Real Structures'!D221, "")</f>
        <v/>
      </c>
    </row>
    <row r="216" spans="1:3">
      <c r="A216" s="20" t="str">
        <f>TEXT(IF('Real Structures'!B222&lt;&gt;0,'Real Structures'!B222, ""), "d-mmm-yy")</f>
        <v/>
      </c>
      <c r="B216" s="20" t="str">
        <f>IF(ISNUMBER('Real Structures'!C222),'Real Structures'!C222, "")</f>
        <v/>
      </c>
      <c r="C216" s="20" t="str">
        <f>IF(ISNUMBER('Real Structures'!D222),'Real Structures'!D222, "")</f>
        <v/>
      </c>
    </row>
    <row r="217" spans="1:3">
      <c r="A217" s="20" t="str">
        <f>TEXT(IF('Real Structures'!B223&lt;&gt;0,'Real Structures'!B223, ""), "d-mmm-yy")</f>
        <v/>
      </c>
      <c r="B217" s="20" t="str">
        <f>IF(ISNUMBER('Real Structures'!C223),'Real Structures'!C223, "")</f>
        <v/>
      </c>
      <c r="C217" s="20" t="str">
        <f>IF(ISNUMBER('Real Structures'!D223),'Real Structures'!D223, "")</f>
        <v/>
      </c>
    </row>
    <row r="218" spans="1:3">
      <c r="A218" s="20" t="str">
        <f>TEXT(IF('Real Structures'!B224&lt;&gt;0,'Real Structures'!B224, ""), "d-mmm-yy")</f>
        <v/>
      </c>
      <c r="B218" s="20" t="str">
        <f>IF(ISNUMBER('Real Structures'!C224),'Real Structures'!C224, "")</f>
        <v/>
      </c>
      <c r="C218" s="20" t="str">
        <f>IF(ISNUMBER('Real Structures'!D224),'Real Structures'!D224, "")</f>
        <v/>
      </c>
    </row>
    <row r="219" spans="1:3">
      <c r="A219" s="20" t="str">
        <f>TEXT(IF('Real Structures'!B225&lt;&gt;0,'Real Structures'!B225, ""), "d-mmm-yy")</f>
        <v/>
      </c>
      <c r="B219" s="20" t="str">
        <f>IF(ISNUMBER('Real Structures'!C225),'Real Structures'!C225, "")</f>
        <v/>
      </c>
      <c r="C219" s="20" t="str">
        <f>IF(ISNUMBER('Real Structures'!D225),'Real Structures'!D225, "")</f>
        <v/>
      </c>
    </row>
    <row r="220" spans="1:3">
      <c r="A220" s="20" t="str">
        <f>TEXT(IF('Real Structures'!B226&lt;&gt;0,'Real Structures'!B226, ""), "d-mmm-yy")</f>
        <v/>
      </c>
      <c r="B220" s="20" t="str">
        <f>IF(ISNUMBER('Real Structures'!C226),'Real Structures'!C226, "")</f>
        <v/>
      </c>
      <c r="C220" s="20" t="str">
        <f>IF(ISNUMBER('Real Structures'!D226),'Real Structures'!D226, "")</f>
        <v/>
      </c>
    </row>
    <row r="221" spans="1:3">
      <c r="A221" s="20" t="str">
        <f>TEXT(IF('Real Structures'!B227&lt;&gt;0,'Real Structures'!B227, ""), "d-mmm-yy")</f>
        <v/>
      </c>
      <c r="B221" s="20" t="str">
        <f>IF(ISNUMBER('Real Structures'!C227),'Real Structures'!C227, "")</f>
        <v/>
      </c>
      <c r="C221" s="20" t="str">
        <f>IF(ISNUMBER('Real Structures'!D227),'Real Structures'!D227, "")</f>
        <v/>
      </c>
    </row>
    <row r="222" spans="1:3">
      <c r="A222" s="20" t="str">
        <f>TEXT(IF('Real Structures'!B228&lt;&gt;0,'Real Structures'!B228, ""), "d-mmm-yy")</f>
        <v/>
      </c>
      <c r="B222" s="20" t="str">
        <f>IF(ISNUMBER('Real Structures'!C228),'Real Structures'!C228, "")</f>
        <v/>
      </c>
      <c r="C222" s="20" t="str">
        <f>IF(ISNUMBER('Real Structures'!D228),'Real Structures'!D228, "")</f>
        <v/>
      </c>
    </row>
    <row r="223" spans="1:3">
      <c r="A223" s="20" t="str">
        <f>TEXT(IF('Real Structures'!B229&lt;&gt;0,'Real Structures'!B229, ""), "d-mmm-yy")</f>
        <v/>
      </c>
      <c r="B223" s="20" t="str">
        <f>IF(ISNUMBER('Real Structures'!C229),'Real Structures'!C229, "")</f>
        <v/>
      </c>
      <c r="C223" s="20" t="str">
        <f>IF(ISNUMBER('Real Structures'!D229),'Real Structures'!D229, "")</f>
        <v/>
      </c>
    </row>
    <row r="224" spans="1:3">
      <c r="A224" s="20" t="str">
        <f>TEXT(IF('Real Structures'!B230&lt;&gt;0,'Real Structures'!B230, ""), "d-mmm-yy")</f>
        <v/>
      </c>
      <c r="B224" s="20" t="str">
        <f>IF(ISNUMBER('Real Structures'!C230),'Real Structures'!C230, "")</f>
        <v/>
      </c>
      <c r="C224" s="20" t="str">
        <f>IF(ISNUMBER('Real Structures'!D230),'Real Structures'!D230, "")</f>
        <v/>
      </c>
    </row>
    <row r="225" spans="1:3">
      <c r="A225" s="20" t="str">
        <f>TEXT(IF('Real Structures'!B231&lt;&gt;0,'Real Structures'!B231, ""), "d-mmm-yy")</f>
        <v/>
      </c>
      <c r="B225" s="20" t="str">
        <f>IF(ISNUMBER('Real Structures'!C231),'Real Structures'!C231, "")</f>
        <v/>
      </c>
      <c r="C225" s="20" t="str">
        <f>IF(ISNUMBER('Real Structures'!D231),'Real Structures'!D231, "")</f>
        <v/>
      </c>
    </row>
    <row r="226" spans="1:3">
      <c r="A226" s="20" t="str">
        <f>TEXT(IF('Real Structures'!B232&lt;&gt;0,'Real Structures'!B232, ""), "d-mmm-yy")</f>
        <v/>
      </c>
      <c r="B226" s="20" t="str">
        <f>IF(ISNUMBER('Real Structures'!C232),'Real Structures'!C232, "")</f>
        <v/>
      </c>
      <c r="C226" s="20" t="str">
        <f>IF(ISNUMBER('Real Structures'!D232),'Real Structures'!D232, "")</f>
        <v/>
      </c>
    </row>
    <row r="227" spans="1:3">
      <c r="A227" s="20" t="str">
        <f>TEXT(IF('Real Structures'!B233&lt;&gt;0,'Real Structures'!B233, ""), "d-mmm-yy")</f>
        <v/>
      </c>
      <c r="B227" s="20" t="str">
        <f>IF(ISNUMBER('Real Structures'!C233),'Real Structures'!C233, "")</f>
        <v/>
      </c>
      <c r="C227" s="20" t="str">
        <f>IF(ISNUMBER('Real Structures'!D233),'Real Structures'!D233, "")</f>
        <v/>
      </c>
    </row>
    <row r="228" spans="1:3">
      <c r="A228" s="20" t="str">
        <f>TEXT(IF('Real Structures'!B234&lt;&gt;0,'Real Structures'!B234, ""), "d-mmm-yy")</f>
        <v/>
      </c>
      <c r="B228" s="20" t="str">
        <f>IF(ISNUMBER('Real Structures'!C234),'Real Structures'!C234, "")</f>
        <v/>
      </c>
      <c r="C228" s="20" t="str">
        <f>IF(ISNUMBER('Real Structures'!D234),'Real Structures'!D234, "")</f>
        <v/>
      </c>
    </row>
    <row r="229" spans="1:3">
      <c r="A229" s="20" t="str">
        <f>TEXT(IF('Real Structures'!B235&lt;&gt;0,'Real Structures'!B235, ""), "d-mmm-yy")</f>
        <v/>
      </c>
      <c r="B229" s="20" t="str">
        <f>IF(ISNUMBER('Real Structures'!C235),'Real Structures'!C235, "")</f>
        <v/>
      </c>
      <c r="C229" s="20" t="str">
        <f>IF(ISNUMBER('Real Structures'!D235),'Real Structures'!D235, "")</f>
        <v/>
      </c>
    </row>
    <row r="230" spans="1:3">
      <c r="A230" s="20" t="str">
        <f>TEXT(IF('Real Structures'!B236&lt;&gt;0,'Real Structures'!B236, ""), "d-mmm-yy")</f>
        <v/>
      </c>
      <c r="B230" s="20" t="str">
        <f>IF(ISNUMBER('Real Structures'!C236),'Real Structures'!C236, "")</f>
        <v/>
      </c>
      <c r="C230" s="20" t="str">
        <f>IF(ISNUMBER('Real Structures'!D236),'Real Structures'!D236, "")</f>
        <v/>
      </c>
    </row>
    <row r="231" spans="1:3">
      <c r="A231" s="20" t="str">
        <f>TEXT(IF('Real Structures'!B237&lt;&gt;0,'Real Structures'!B237, ""), "d-mmm-yy")</f>
        <v/>
      </c>
      <c r="B231" s="20" t="str">
        <f>IF(ISNUMBER('Real Structures'!C237),'Real Structures'!C237, "")</f>
        <v/>
      </c>
      <c r="C231" s="20" t="str">
        <f>IF(ISNUMBER('Real Structures'!D237),'Real Structures'!D237, "")</f>
        <v/>
      </c>
    </row>
    <row r="232" spans="1:3">
      <c r="A232" s="20" t="str">
        <f>TEXT(IF('Real Structures'!B238&lt;&gt;0,'Real Structures'!B238, ""), "d-mmm-yy")</f>
        <v/>
      </c>
      <c r="B232" s="20" t="str">
        <f>IF(ISNUMBER('Real Structures'!C238),'Real Structures'!C238, "")</f>
        <v/>
      </c>
      <c r="C232" s="20" t="str">
        <f>IF(ISNUMBER('Real Structures'!D238),'Real Structures'!D238, "")</f>
        <v/>
      </c>
    </row>
    <row r="233" spans="1:3">
      <c r="A233" s="20" t="str">
        <f>TEXT(IF('Real Structures'!B239&lt;&gt;0,'Real Structures'!B239, ""), "d-mmm-yy")</f>
        <v/>
      </c>
      <c r="B233" s="20" t="str">
        <f>IF(ISNUMBER('Real Structures'!C239),'Real Structures'!C239, "")</f>
        <v/>
      </c>
      <c r="C233" s="20" t="str">
        <f>IF(ISNUMBER('Real Structures'!D239),'Real Structures'!D239, "")</f>
        <v/>
      </c>
    </row>
    <row r="234" spans="1:3">
      <c r="A234" s="20" t="str">
        <f>TEXT(IF('Real Structures'!B240&lt;&gt;0,'Real Structures'!B240, ""), "d-mmm-yy")</f>
        <v/>
      </c>
      <c r="B234" s="20" t="str">
        <f>IF(ISNUMBER('Real Structures'!C240),'Real Structures'!C240, "")</f>
        <v/>
      </c>
      <c r="C234" s="20" t="str">
        <f>IF(ISNUMBER('Real Structures'!D240),'Real Structures'!D240, "")</f>
        <v/>
      </c>
    </row>
    <row r="235" spans="1:3">
      <c r="A235" s="20" t="str">
        <f>TEXT(IF('Real Structures'!B241&lt;&gt;0,'Real Structures'!B241, ""), "d-mmm-yy")</f>
        <v/>
      </c>
      <c r="B235" s="20" t="str">
        <f>IF(ISNUMBER('Real Structures'!C241),'Real Structures'!C241, "")</f>
        <v/>
      </c>
      <c r="C235" s="20" t="str">
        <f>IF(ISNUMBER('Real Structures'!D241),'Real Structures'!D241, "")</f>
        <v/>
      </c>
    </row>
    <row r="236" spans="1:3">
      <c r="A236" s="20" t="str">
        <f>TEXT(IF('Real Structures'!B242&lt;&gt;0,'Real Structures'!B242, ""), "d-mmm-yy")</f>
        <v/>
      </c>
      <c r="B236" s="20" t="str">
        <f>IF(ISNUMBER('Real Structures'!C242),'Real Structures'!C242, "")</f>
        <v/>
      </c>
      <c r="C236" s="20" t="str">
        <f>IF(ISNUMBER('Real Structures'!D242),'Real Structures'!D242, "")</f>
        <v/>
      </c>
    </row>
    <row r="237" spans="1:3">
      <c r="A237" s="20" t="str">
        <f>TEXT(IF('Real Structures'!B243&lt;&gt;0,'Real Structures'!B243, ""), "d-mmm-yy")</f>
        <v/>
      </c>
      <c r="B237" s="20" t="str">
        <f>IF(ISNUMBER('Real Structures'!C243),'Real Structures'!C243, "")</f>
        <v/>
      </c>
      <c r="C237" s="20" t="str">
        <f>IF(ISNUMBER('Real Structures'!D243),'Real Structures'!D243, "")</f>
        <v/>
      </c>
    </row>
    <row r="238" spans="1:3">
      <c r="A238" s="20" t="str">
        <f>TEXT(IF('Real Structures'!B244&lt;&gt;0,'Real Structures'!B244, ""), "d-mmm-yy")</f>
        <v/>
      </c>
      <c r="B238" s="20" t="str">
        <f>IF(ISNUMBER('Real Structures'!C244),'Real Structures'!C244, "")</f>
        <v/>
      </c>
      <c r="C238" s="20" t="str">
        <f>IF(ISNUMBER('Real Structures'!D244),'Real Structures'!D244, "")</f>
        <v/>
      </c>
    </row>
    <row r="239" spans="1:3">
      <c r="A239" s="20" t="str">
        <f>TEXT(IF('Real Structures'!B245&lt;&gt;0,'Real Structures'!B245, ""), "d-mmm-yy")</f>
        <v/>
      </c>
      <c r="B239" s="20" t="str">
        <f>IF(ISNUMBER('Real Structures'!C245),'Real Structures'!C245, "")</f>
        <v/>
      </c>
      <c r="C239" s="20" t="str">
        <f>IF(ISNUMBER('Real Structures'!D245),'Real Structures'!D245, "")</f>
        <v/>
      </c>
    </row>
    <row r="240" spans="1:3">
      <c r="A240" s="20" t="str">
        <f>TEXT(IF('Real Structures'!B246&lt;&gt;0,'Real Structures'!B246, ""), "d-mmm-yy")</f>
        <v/>
      </c>
      <c r="B240" s="20" t="str">
        <f>IF(ISNUMBER('Real Structures'!C246),'Real Structures'!C246, "")</f>
        <v/>
      </c>
      <c r="C240" s="20" t="str">
        <f>IF(ISNUMBER('Real Structures'!D246),'Real Structures'!D246, "")</f>
        <v/>
      </c>
    </row>
    <row r="241" spans="1:3">
      <c r="A241" s="20" t="str">
        <f>TEXT(IF('Real Structures'!B247&lt;&gt;0,'Real Structures'!B247, ""), "d-mmm-yy")</f>
        <v/>
      </c>
      <c r="B241" s="20" t="str">
        <f>IF(ISNUMBER('Real Structures'!C247),'Real Structures'!C247, "")</f>
        <v/>
      </c>
      <c r="C241" s="20" t="str">
        <f>IF(ISNUMBER('Real Structures'!D247),'Real Structures'!D247, "")</f>
        <v/>
      </c>
    </row>
    <row r="242" spans="1:3">
      <c r="A242" s="20" t="str">
        <f>TEXT(IF('Real Structures'!B248&lt;&gt;0,'Real Structures'!B248, ""), "d-mmm-yy")</f>
        <v/>
      </c>
      <c r="B242" s="20" t="str">
        <f>IF(ISNUMBER('Real Structures'!C248),'Real Structures'!C248, "")</f>
        <v/>
      </c>
      <c r="C242" s="20" t="str">
        <f>IF(ISNUMBER('Real Structures'!D248),'Real Structures'!D248, "")</f>
        <v/>
      </c>
    </row>
    <row r="243" spans="1:3">
      <c r="A243" s="20" t="str">
        <f>TEXT(IF('Real Structures'!B249&lt;&gt;0,'Real Structures'!B249, ""), "d-mmm-yy")</f>
        <v/>
      </c>
      <c r="B243" s="20" t="str">
        <f>IF(ISNUMBER('Real Structures'!C249),'Real Structures'!C249, "")</f>
        <v/>
      </c>
      <c r="C243" s="20" t="str">
        <f>IF(ISNUMBER('Real Structures'!D249),'Real Structures'!D249, "")</f>
        <v/>
      </c>
    </row>
    <row r="244" spans="1:3">
      <c r="A244" s="20" t="str">
        <f>TEXT(IF('Real Structures'!B250&lt;&gt;0,'Real Structures'!B250, ""), "d-mmm-yy")</f>
        <v/>
      </c>
      <c r="B244" s="20" t="str">
        <f>IF(ISNUMBER('Real Structures'!C250),'Real Structures'!C250, "")</f>
        <v/>
      </c>
      <c r="C244" s="20" t="str">
        <f>IF(ISNUMBER('Real Structures'!D250),'Real Structures'!D250, "")</f>
        <v/>
      </c>
    </row>
    <row r="245" spans="1:3">
      <c r="A245" s="20" t="str">
        <f>TEXT(IF('Real Structures'!B251&lt;&gt;0,'Real Structures'!B251, ""), "d-mmm-yy")</f>
        <v/>
      </c>
      <c r="B245" s="20" t="str">
        <f>IF(ISNUMBER('Real Structures'!C251),'Real Structures'!C251, "")</f>
        <v/>
      </c>
      <c r="C245" s="20" t="str">
        <f>IF(ISNUMBER('Real Structures'!D251),'Real Structures'!D251, "")</f>
        <v/>
      </c>
    </row>
    <row r="246" spans="1:3">
      <c r="A246" s="20" t="str">
        <f>TEXT(IF('Real Structures'!B252&lt;&gt;0,'Real Structures'!B252, ""), "d-mmm-yy")</f>
        <v/>
      </c>
      <c r="B246" s="20" t="str">
        <f>IF(ISNUMBER('Real Structures'!C252),'Real Structures'!C252, "")</f>
        <v/>
      </c>
      <c r="C246" s="20" t="str">
        <f>IF(ISNUMBER('Real Structures'!D252),'Real Structures'!D252, "")</f>
        <v/>
      </c>
    </row>
    <row r="247" spans="1:3">
      <c r="A247" s="20" t="str">
        <f>TEXT(IF('Real Structures'!B253&lt;&gt;0,'Real Structures'!B253, ""), "d-mmm-yy")</f>
        <v/>
      </c>
      <c r="B247" s="20" t="str">
        <f>IF(ISNUMBER('Real Structures'!C253),'Real Structures'!C253, "")</f>
        <v/>
      </c>
      <c r="C247" s="20" t="str">
        <f>IF(ISNUMBER('Real Structures'!D253),'Real Structures'!D253, "")</f>
        <v/>
      </c>
    </row>
    <row r="248" spans="1:3">
      <c r="A248" s="20" t="str">
        <f>TEXT(IF('Real Structures'!B254&lt;&gt;0,'Real Structures'!B254, ""), "d-mmm-yy")</f>
        <v/>
      </c>
      <c r="B248" s="20" t="str">
        <f>IF(ISNUMBER('Real Structures'!C254),'Real Structures'!C254, "")</f>
        <v/>
      </c>
      <c r="C248" s="20" t="str">
        <f>IF(ISNUMBER('Real Structures'!D254),'Real Structures'!D254, "")</f>
        <v/>
      </c>
    </row>
    <row r="249" spans="1:3">
      <c r="A249" s="20" t="str">
        <f>TEXT(IF('Real Structures'!B255&lt;&gt;0,'Real Structures'!B255, ""), "d-mmm-yy")</f>
        <v/>
      </c>
      <c r="B249" s="20" t="str">
        <f>IF(ISNUMBER('Real Structures'!C255),'Real Structures'!C255, "")</f>
        <v/>
      </c>
      <c r="C249" s="20" t="str">
        <f>IF(ISNUMBER('Real Structures'!D255),'Real Structures'!D255, "")</f>
        <v/>
      </c>
    </row>
    <row r="250" spans="1:3">
      <c r="A250" s="20" t="str">
        <f>TEXT(IF('Real Structures'!B256&lt;&gt;0,'Real Structures'!B256, ""), "d-mmm-yy")</f>
        <v/>
      </c>
      <c r="B250" s="20" t="str">
        <f>IF(ISNUMBER('Real Structures'!C256),'Real Structures'!C256, "")</f>
        <v/>
      </c>
      <c r="C250" s="20" t="str">
        <f>IF(ISNUMBER('Real Structures'!D256),'Real Structures'!D256, "")</f>
        <v/>
      </c>
    </row>
    <row r="251" spans="1:3">
      <c r="A251" s="20" t="str">
        <f>TEXT(IF('Real Structures'!B257&lt;&gt;0,'Real Structures'!B257, ""), "d-mmm-yy")</f>
        <v/>
      </c>
      <c r="B251" s="20" t="str">
        <f>IF(ISNUMBER('Real Structures'!C257),'Real Structures'!C257, "")</f>
        <v/>
      </c>
      <c r="C251" s="20" t="str">
        <f>IF(ISNUMBER('Real Structures'!D257),'Real Structures'!D257, "")</f>
        <v/>
      </c>
    </row>
    <row r="252" spans="1:3">
      <c r="A252" s="20" t="str">
        <f>TEXT(IF('Real Structures'!B258&lt;&gt;0,'Real Structures'!B258, ""), "d-mmm-yy")</f>
        <v/>
      </c>
      <c r="B252" s="20" t="str">
        <f>IF(ISNUMBER('Real Structures'!C258),'Real Structures'!C258, "")</f>
        <v/>
      </c>
      <c r="C252" s="20" t="str">
        <f>IF(ISNUMBER('Real Structures'!D258),'Real Structures'!D258, "")</f>
        <v/>
      </c>
    </row>
    <row r="253" spans="1:3">
      <c r="A253" s="20" t="str">
        <f>TEXT(IF('Real Structures'!B259&lt;&gt;0,'Real Structures'!B259, ""), "d-mmm-yy")</f>
        <v/>
      </c>
      <c r="B253" s="20" t="str">
        <f>IF(ISNUMBER('Real Structures'!C259),'Real Structures'!C259, "")</f>
        <v/>
      </c>
      <c r="C253" s="20" t="str">
        <f>IF(ISNUMBER('Real Structures'!D259),'Real Structures'!D259, "")</f>
        <v/>
      </c>
    </row>
    <row r="254" spans="1:3">
      <c r="A254" s="20" t="str">
        <f>TEXT(IF('Real Structures'!B260&lt;&gt;0,'Real Structures'!B260, ""), "d-mmm-yy")</f>
        <v/>
      </c>
      <c r="B254" s="20" t="str">
        <f>IF(ISNUMBER('Real Structures'!C260),'Real Structures'!C260, "")</f>
        <v/>
      </c>
      <c r="C254" s="20" t="str">
        <f>IF(ISNUMBER('Real Structures'!D260),'Real Structures'!D260, "")</f>
        <v/>
      </c>
    </row>
    <row r="255" spans="1:3">
      <c r="A255" s="20" t="str">
        <f>TEXT(IF('Real Structures'!B261&lt;&gt;0,'Real Structures'!B261, ""), "d-mmm-yy")</f>
        <v/>
      </c>
      <c r="B255" s="20" t="str">
        <f>IF(ISNUMBER('Real Structures'!C261),'Real Structures'!C261, "")</f>
        <v/>
      </c>
      <c r="C255" s="20" t="str">
        <f>IF(ISNUMBER('Real Structures'!D261),'Real Structures'!D261, "")</f>
        <v/>
      </c>
    </row>
    <row r="256" spans="1:3">
      <c r="A256" s="20" t="str">
        <f>TEXT(IF('Real Structures'!B262&lt;&gt;0,'Real Structures'!B262, ""), "d-mmm-yy")</f>
        <v/>
      </c>
      <c r="B256" s="20" t="str">
        <f>IF(ISNUMBER('Real Structures'!C262),'Real Structures'!C262, "")</f>
        <v/>
      </c>
      <c r="C256" s="20" t="str">
        <f>IF(ISNUMBER('Real Structures'!D262),'Real Structures'!D262, "")</f>
        <v/>
      </c>
    </row>
    <row r="257" spans="1:3">
      <c r="A257" s="20" t="str">
        <f>TEXT(IF('Real Structures'!B263&lt;&gt;0,'Real Structures'!B263, ""), "d-mmm-yy")</f>
        <v/>
      </c>
      <c r="B257" s="20" t="str">
        <f>IF(ISNUMBER('Real Structures'!C263),'Real Structures'!C263, "")</f>
        <v/>
      </c>
      <c r="C257" s="20" t="str">
        <f>IF(ISNUMBER('Real Structures'!D263),'Real Structures'!D263, "")</f>
        <v/>
      </c>
    </row>
    <row r="258" spans="1:3">
      <c r="A258" s="20" t="str">
        <f>TEXT(IF('Real Structures'!B264&lt;&gt;0,'Real Structures'!B264, ""), "d-mmm-yy")</f>
        <v/>
      </c>
      <c r="B258" s="20" t="str">
        <f>IF(ISNUMBER('Real Structures'!C264),'Real Structures'!C264, "")</f>
        <v/>
      </c>
      <c r="C258" s="20" t="str">
        <f>IF(ISNUMBER('Real Structures'!D264),'Real Structures'!D264, "")</f>
        <v/>
      </c>
    </row>
    <row r="259" spans="1:3">
      <c r="A259" s="20" t="str">
        <f>TEXT(IF('Real Structures'!B265&lt;&gt;0,'Real Structures'!B265, ""), "d-mmm-yy")</f>
        <v/>
      </c>
      <c r="B259" s="20" t="str">
        <f>IF(ISNUMBER('Real Structures'!C265),'Real Structures'!C265, "")</f>
        <v/>
      </c>
      <c r="C259" s="20" t="str">
        <f>IF(ISNUMBER('Real Structures'!D265),'Real Structures'!D265, "")</f>
        <v/>
      </c>
    </row>
    <row r="260" spans="1:3">
      <c r="A260" s="20" t="str">
        <f>TEXT(IF('Real Structures'!B266&lt;&gt;0,'Real Structures'!B266, ""), "d-mmm-yy")</f>
        <v/>
      </c>
      <c r="B260" s="20" t="str">
        <f>IF(ISNUMBER('Real Structures'!C266),'Real Structures'!C266, "")</f>
        <v/>
      </c>
      <c r="C260" s="20" t="str">
        <f>IF(ISNUMBER('Real Structures'!D266),'Real Structures'!D266, "")</f>
        <v/>
      </c>
    </row>
    <row r="261" spans="1:3">
      <c r="A261" s="20" t="str">
        <f>TEXT(IF('Real Structures'!B267&lt;&gt;0,'Real Structures'!B267, ""), "d-mmm-yy")</f>
        <v/>
      </c>
      <c r="B261" s="20" t="str">
        <f>IF(ISNUMBER('Real Structures'!C267),'Real Structures'!C267, "")</f>
        <v/>
      </c>
      <c r="C261" s="20" t="str">
        <f>IF(ISNUMBER('Real Structures'!D267),'Real Structures'!D267, "")</f>
        <v/>
      </c>
    </row>
    <row r="262" spans="1:3">
      <c r="A262" s="20" t="str">
        <f>TEXT(IF('Real Structures'!B268&lt;&gt;0,'Real Structures'!B268, ""), "d-mmm-yy")</f>
        <v/>
      </c>
      <c r="B262" s="20" t="str">
        <f>IF(ISNUMBER('Real Structures'!C268),'Real Structures'!C268, "")</f>
        <v/>
      </c>
      <c r="C262" s="20" t="str">
        <f>IF(ISNUMBER('Real Structures'!D268),'Real Structures'!D268, "")</f>
        <v/>
      </c>
    </row>
    <row r="263" spans="1:3">
      <c r="A263" s="20" t="str">
        <f>TEXT(IF('Real Structures'!B269&lt;&gt;0,'Real Structures'!B269, ""), "d-mmm-yy")</f>
        <v/>
      </c>
      <c r="B263" s="20" t="str">
        <f>IF(ISNUMBER('Real Structures'!C269),'Real Structures'!C269, "")</f>
        <v/>
      </c>
      <c r="C263" s="20" t="str">
        <f>IF(ISNUMBER('Real Structures'!D269),'Real Structures'!D269, "")</f>
        <v/>
      </c>
    </row>
    <row r="264" spans="1:3">
      <c r="A264" s="20" t="str">
        <f>TEXT(IF('Real Structures'!B270&lt;&gt;0,'Real Structures'!B270, ""), "d-mmm-yy")</f>
        <v/>
      </c>
      <c r="B264" s="20" t="str">
        <f>IF(ISNUMBER('Real Structures'!C270),'Real Structures'!C270, "")</f>
        <v/>
      </c>
      <c r="C264" s="20" t="str">
        <f>IF(ISNUMBER('Real Structures'!D270),'Real Structures'!D270, "")</f>
        <v/>
      </c>
    </row>
    <row r="265" spans="1:3">
      <c r="A265" s="20" t="str">
        <f>TEXT(IF('Real Structures'!B271&lt;&gt;0,'Real Structures'!B271, ""), "d-mmm-yy")</f>
        <v/>
      </c>
      <c r="B265" s="20" t="str">
        <f>IF(ISNUMBER('Real Structures'!C271),'Real Structures'!C271, "")</f>
        <v/>
      </c>
      <c r="C265" s="20" t="str">
        <f>IF(ISNUMBER('Real Structures'!D271),'Real Structures'!D271, "")</f>
        <v/>
      </c>
    </row>
    <row r="266" spans="1:3">
      <c r="A266" s="20" t="str">
        <f>TEXT(IF('Real Structures'!B272&lt;&gt;0,'Real Structures'!B272, ""), "d-mmm-yy")</f>
        <v/>
      </c>
      <c r="B266" s="20" t="str">
        <f>IF(ISNUMBER('Real Structures'!C272),'Real Structures'!C272, "")</f>
        <v/>
      </c>
      <c r="C266" s="20" t="str">
        <f>IF(ISNUMBER('Real Structures'!D272),'Real Structures'!D272, "")</f>
        <v/>
      </c>
    </row>
    <row r="267" spans="1:3">
      <c r="A267" s="20" t="str">
        <f>TEXT(IF('Real Structures'!B273&lt;&gt;0,'Real Structures'!B273, ""), "d-mmm-yy")</f>
        <v/>
      </c>
      <c r="B267" s="20" t="str">
        <f>IF(ISNUMBER('Real Structures'!C273),'Real Structures'!C273, "")</f>
        <v/>
      </c>
      <c r="C267" s="20" t="str">
        <f>IF(ISNUMBER('Real Structures'!D273),'Real Structures'!D273, "")</f>
        <v/>
      </c>
    </row>
    <row r="268" spans="1:3">
      <c r="A268" s="20" t="str">
        <f>TEXT(IF('Real Structures'!B274&lt;&gt;0,'Real Structures'!B274, ""), "d-mmm-yy")</f>
        <v/>
      </c>
      <c r="B268" s="20" t="str">
        <f>IF(ISNUMBER('Real Structures'!C274),'Real Structures'!C274, "")</f>
        <v/>
      </c>
      <c r="C268" s="20" t="str">
        <f>IF(ISNUMBER('Real Structures'!D274),'Real Structures'!D274, "")</f>
        <v/>
      </c>
    </row>
    <row r="269" spans="1:3">
      <c r="A269" s="20" t="str">
        <f>TEXT(IF('Real Structures'!B275&lt;&gt;0,'Real Structures'!B275, ""), "d-mmm-yy")</f>
        <v/>
      </c>
      <c r="B269" s="20" t="str">
        <f>IF(ISNUMBER('Real Structures'!C275),'Real Structures'!C275, "")</f>
        <v/>
      </c>
      <c r="C269" s="20" t="str">
        <f>IF(ISNUMBER('Real Structures'!D275),'Real Structures'!D275, "")</f>
        <v/>
      </c>
    </row>
    <row r="270" spans="1:3">
      <c r="A270" s="20" t="str">
        <f>TEXT(IF('Real Structures'!B276&lt;&gt;0,'Real Structures'!B276, ""), "d-mmm-yy")</f>
        <v/>
      </c>
      <c r="B270" s="20" t="str">
        <f>IF(ISNUMBER('Real Structures'!C276),'Real Structures'!C276, "")</f>
        <v/>
      </c>
      <c r="C270" s="20" t="str">
        <f>IF(ISNUMBER('Real Structures'!D276),'Real Structures'!D276, "")</f>
        <v/>
      </c>
    </row>
    <row r="271" spans="1:3">
      <c r="A271" s="20" t="str">
        <f>TEXT(IF('Real Structures'!B277&lt;&gt;0,'Real Structures'!B277, ""), "d-mmm-yy")</f>
        <v/>
      </c>
      <c r="B271" s="20" t="str">
        <f>IF(ISNUMBER('Real Structures'!C277),'Real Structures'!C277, "")</f>
        <v/>
      </c>
      <c r="C271" s="20" t="str">
        <f>IF(ISNUMBER('Real Structures'!D277),'Real Structures'!D277, "")</f>
        <v/>
      </c>
    </row>
    <row r="272" spans="1:3">
      <c r="A272" s="20" t="str">
        <f>TEXT(IF('Real Structures'!B278&lt;&gt;0,'Real Structures'!B278, ""), "d-mmm-yy")</f>
        <v/>
      </c>
      <c r="B272" s="20" t="str">
        <f>IF(ISNUMBER('Real Structures'!C278),'Real Structures'!C278, "")</f>
        <v/>
      </c>
      <c r="C272" s="20" t="str">
        <f>IF(ISNUMBER('Real Structures'!D278),'Real Structures'!D278, "")</f>
        <v/>
      </c>
    </row>
    <row r="273" spans="1:3">
      <c r="A273" s="20" t="str">
        <f>TEXT(IF('Real Structures'!B279&lt;&gt;0,'Real Structures'!B279, ""), "d-mmm-yy")</f>
        <v/>
      </c>
      <c r="B273" s="20" t="str">
        <f>IF(ISNUMBER('Real Structures'!C279),'Real Structures'!C279, "")</f>
        <v/>
      </c>
      <c r="C273" s="20" t="str">
        <f>IF(ISNUMBER('Real Structures'!D279),'Real Structures'!D279, "")</f>
        <v/>
      </c>
    </row>
    <row r="274" spans="1:3">
      <c r="A274" s="20" t="str">
        <f>TEXT(IF('Real Structures'!B280&lt;&gt;0,'Real Structures'!B280, ""), "d-mmm-yy")</f>
        <v/>
      </c>
      <c r="B274" s="20" t="str">
        <f>IF(ISNUMBER('Real Structures'!C280),'Real Structures'!C280, "")</f>
        <v/>
      </c>
      <c r="C274" s="20" t="str">
        <f>IF(ISNUMBER('Real Structures'!D280),'Real Structures'!D280, "")</f>
        <v/>
      </c>
    </row>
    <row r="275" spans="1:3">
      <c r="A275" s="20" t="str">
        <f>TEXT(IF('Real Structures'!B281&lt;&gt;0,'Real Structures'!B281, ""), "d-mmm-yy")</f>
        <v/>
      </c>
      <c r="B275" s="20" t="str">
        <f>IF(ISNUMBER('Real Structures'!C281),'Real Structures'!C281, "")</f>
        <v/>
      </c>
      <c r="C275" s="20" t="str">
        <f>IF(ISNUMBER('Real Structures'!D281),'Real Structures'!D281, "")</f>
        <v/>
      </c>
    </row>
    <row r="276" spans="1:3">
      <c r="A276" s="20" t="str">
        <f>TEXT(IF('Real Structures'!B282&lt;&gt;0,'Real Structures'!B282, ""), "d-mmm-yy")</f>
        <v/>
      </c>
      <c r="B276" s="20" t="str">
        <f>IF(ISNUMBER('Real Structures'!C282),'Real Structures'!C282, "")</f>
        <v/>
      </c>
      <c r="C276" s="20" t="str">
        <f>IF(ISNUMBER('Real Structures'!D282),'Real Structures'!D282, "")</f>
        <v/>
      </c>
    </row>
    <row r="277" spans="1:3">
      <c r="A277" s="20" t="str">
        <f>TEXT(IF('Real Structures'!B283&lt;&gt;0,'Real Structures'!B283, ""), "d-mmm-yy")</f>
        <v/>
      </c>
      <c r="B277" s="20" t="str">
        <f>IF(ISNUMBER('Real Structures'!C283),'Real Structures'!C283, "")</f>
        <v/>
      </c>
      <c r="C277" s="20" t="str">
        <f>IF(ISNUMBER('Real Structures'!D283),'Real Structures'!D283, "")</f>
        <v/>
      </c>
    </row>
    <row r="278" spans="1:3">
      <c r="A278" s="20" t="str">
        <f>TEXT(IF('Real Structures'!B284&lt;&gt;0,'Real Structures'!B284, ""), "d-mmm-yy")</f>
        <v/>
      </c>
      <c r="B278" s="20" t="str">
        <f>IF(ISNUMBER('Real Structures'!C284),'Real Structures'!C284, "")</f>
        <v/>
      </c>
      <c r="C278" s="20" t="str">
        <f>IF(ISNUMBER('Real Structures'!D284),'Real Structures'!D284, "")</f>
        <v/>
      </c>
    </row>
    <row r="279" spans="1:3">
      <c r="A279" s="20" t="str">
        <f>TEXT(IF('Real Structures'!B285&lt;&gt;0,'Real Structures'!B285, ""), "d-mmm-yy")</f>
        <v/>
      </c>
      <c r="B279" s="20" t="str">
        <f>IF(ISNUMBER('Real Structures'!C285),'Real Structures'!C285, "")</f>
        <v/>
      </c>
      <c r="C279" s="20" t="str">
        <f>IF(ISNUMBER('Real Structures'!D285),'Real Structures'!D285, "")</f>
        <v/>
      </c>
    </row>
    <row r="280" spans="1:3">
      <c r="A280" s="20" t="str">
        <f>TEXT(IF('Real Structures'!B286&lt;&gt;0,'Real Structures'!B286, ""), "d-mmm-yy")</f>
        <v/>
      </c>
      <c r="B280" s="20" t="str">
        <f>IF(ISNUMBER('Real Structures'!C286),'Real Structures'!C286, "")</f>
        <v/>
      </c>
      <c r="C280" s="20" t="str">
        <f>IF(ISNUMBER('Real Structures'!D286),'Real Structures'!D286, "")</f>
        <v/>
      </c>
    </row>
    <row r="281" spans="1:3">
      <c r="A281" s="20" t="str">
        <f>TEXT(IF('Real Structures'!B287&lt;&gt;0,'Real Structures'!B287, ""), "d-mmm-yy")</f>
        <v/>
      </c>
      <c r="B281" s="20" t="str">
        <f>IF(ISNUMBER('Real Structures'!C287),'Real Structures'!C287, "")</f>
        <v/>
      </c>
      <c r="C281" s="20" t="str">
        <f>IF(ISNUMBER('Real Structures'!D287),'Real Structures'!D287, "")</f>
        <v/>
      </c>
    </row>
    <row r="282" spans="1:3">
      <c r="A282" s="20" t="str">
        <f>TEXT(IF('Real Structures'!B288&lt;&gt;0,'Real Structures'!B288, ""), "d-mmm-yy")</f>
        <v/>
      </c>
      <c r="B282" s="20" t="str">
        <f>IF(ISNUMBER('Real Structures'!C288),'Real Structures'!C288, "")</f>
        <v/>
      </c>
      <c r="C282" s="20" t="str">
        <f>IF(ISNUMBER('Real Structures'!D288),'Real Structures'!D288, "")</f>
        <v/>
      </c>
    </row>
    <row r="283" spans="1:3">
      <c r="A283" s="20" t="str">
        <f>TEXT(IF('Real Structures'!B289&lt;&gt;0,'Real Structures'!B289, ""), "d-mmm-yy")</f>
        <v/>
      </c>
      <c r="B283" s="20" t="str">
        <f>IF(ISNUMBER('Real Structures'!C289),'Real Structures'!C289, "")</f>
        <v/>
      </c>
      <c r="C283" s="20" t="str">
        <f>IF(ISNUMBER('Real Structures'!D289),'Real Structures'!D289, "")</f>
        <v/>
      </c>
    </row>
    <row r="284" spans="1:3">
      <c r="A284" s="20" t="str">
        <f>TEXT(IF('Real Structures'!B290&lt;&gt;0,'Real Structures'!B290, ""), "d-mmm-yy")</f>
        <v/>
      </c>
      <c r="B284" s="20" t="str">
        <f>IF(ISNUMBER('Real Structures'!C290),'Real Structures'!C290, "")</f>
        <v/>
      </c>
      <c r="C284" s="20" t="str">
        <f>IF(ISNUMBER('Real Structures'!D290),'Real Structures'!D290, "")</f>
        <v/>
      </c>
    </row>
    <row r="285" spans="1:3">
      <c r="A285" s="20" t="str">
        <f>TEXT(IF('Real Structures'!B291&lt;&gt;0,'Real Structures'!B291, ""), "d-mmm-yy")</f>
        <v/>
      </c>
      <c r="B285" s="20" t="str">
        <f>IF(ISNUMBER('Real Structures'!C291),'Real Structures'!C291, "")</f>
        <v/>
      </c>
      <c r="C285" s="20" t="str">
        <f>IF(ISNUMBER('Real Structures'!D291),'Real Structures'!D291, "")</f>
        <v/>
      </c>
    </row>
    <row r="286" spans="1:3">
      <c r="A286" s="20" t="str">
        <f>TEXT(IF('Real Structures'!B292&lt;&gt;0,'Real Structures'!B292, ""), "d-mmm-yy")</f>
        <v/>
      </c>
      <c r="B286" s="20" t="str">
        <f>IF(ISNUMBER('Real Structures'!C292),'Real Structures'!C292, "")</f>
        <v/>
      </c>
      <c r="C286" s="20" t="str">
        <f>IF(ISNUMBER('Real Structures'!D292),'Real Structures'!D292, "")</f>
        <v/>
      </c>
    </row>
    <row r="287" spans="1:3">
      <c r="A287" s="20" t="str">
        <f>TEXT(IF('Real Structures'!B293&lt;&gt;0,'Real Structures'!B293, ""), "d-mmm-yy")</f>
        <v/>
      </c>
      <c r="B287" s="20" t="str">
        <f>IF(ISNUMBER('Real Structures'!C293),'Real Structures'!C293, "")</f>
        <v/>
      </c>
      <c r="C287" s="20" t="str">
        <f>IF(ISNUMBER('Real Structures'!D293),'Real Structures'!D293, "")</f>
        <v/>
      </c>
    </row>
    <row r="288" spans="1:3">
      <c r="A288" s="20" t="str">
        <f>TEXT(IF('Real Structures'!B294&lt;&gt;0,'Real Structures'!B294, ""), "d-mmm-yy")</f>
        <v/>
      </c>
      <c r="B288" s="20" t="str">
        <f>IF(ISNUMBER('Real Structures'!C294),'Real Structures'!C294, "")</f>
        <v/>
      </c>
      <c r="C288" s="20" t="str">
        <f>IF(ISNUMBER('Real Structures'!D294),'Real Structures'!D294, "")</f>
        <v/>
      </c>
    </row>
    <row r="289" spans="1:3">
      <c r="A289" s="20" t="str">
        <f>TEXT(IF('Real Structures'!B295&lt;&gt;0,'Real Structures'!B295, ""), "d-mmm-yy")</f>
        <v/>
      </c>
      <c r="B289" s="20" t="str">
        <f>IF(ISNUMBER('Real Structures'!C295),'Real Structures'!C295, "")</f>
        <v/>
      </c>
      <c r="C289" s="20" t="str">
        <f>IF(ISNUMBER('Real Structures'!D295),'Real Structures'!D295, "")</f>
        <v/>
      </c>
    </row>
    <row r="290" spans="1:3">
      <c r="A290" s="20" t="str">
        <f>TEXT(IF('Real Structures'!B296&lt;&gt;0,'Real Structures'!B296, ""), "d-mmm-yy")</f>
        <v/>
      </c>
      <c r="B290" s="20" t="str">
        <f>IF(ISNUMBER('Real Structures'!C296),'Real Structures'!C296, "")</f>
        <v/>
      </c>
      <c r="C290" s="20" t="str">
        <f>IF(ISNUMBER('Real Structures'!D296),'Real Structures'!D296, "")</f>
        <v/>
      </c>
    </row>
    <row r="291" spans="1:3">
      <c r="A291" s="20" t="str">
        <f>TEXT(IF('Real Structures'!B297&lt;&gt;0,'Real Structures'!B297, ""), "d-mmm-yy")</f>
        <v/>
      </c>
      <c r="B291" s="20" t="str">
        <f>IF(ISNUMBER('Real Structures'!C297),'Real Structures'!C297, "")</f>
        <v/>
      </c>
      <c r="C291" s="20" t="str">
        <f>IF(ISNUMBER('Real Structures'!D297),'Real Structures'!D297, "")</f>
        <v/>
      </c>
    </row>
    <row r="292" spans="1:3">
      <c r="A292" s="20" t="str">
        <f>TEXT(IF('Real Structures'!B298&lt;&gt;0,'Real Structures'!B298, ""), "d-mmm-yy")</f>
        <v/>
      </c>
      <c r="B292" s="20" t="str">
        <f>IF(ISNUMBER('Real Structures'!C298),'Real Structures'!C298, "")</f>
        <v/>
      </c>
      <c r="C292" s="20" t="str">
        <f>IF(ISNUMBER('Real Structures'!D298),'Real Structures'!D298, "")</f>
        <v/>
      </c>
    </row>
    <row r="293" spans="1:3">
      <c r="A293" s="20" t="str">
        <f>TEXT(IF('Real Structures'!B299&lt;&gt;0,'Real Structures'!B299, ""), "d-mmm-yy")</f>
        <v/>
      </c>
      <c r="B293" s="20" t="str">
        <f>IF(ISNUMBER('Real Structures'!C299),'Real Structures'!C299, "")</f>
        <v/>
      </c>
      <c r="C293" s="20" t="str">
        <f>IF(ISNUMBER('Real Structures'!D299),'Real Structures'!D299, "")</f>
        <v/>
      </c>
    </row>
    <row r="294" spans="1:3">
      <c r="A294" s="20" t="str">
        <f>TEXT(IF('Real Structures'!B300&lt;&gt;0,'Real Structures'!B300, ""), "d-mmm-yy")</f>
        <v/>
      </c>
      <c r="B294" s="20" t="str">
        <f>IF(ISNUMBER('Real Structures'!C300),'Real Structures'!C300, "")</f>
        <v/>
      </c>
      <c r="C294" s="20" t="str">
        <f>IF(ISNUMBER('Real Structures'!D300),'Real Structures'!D300, "")</f>
        <v/>
      </c>
    </row>
    <row r="295" spans="1:3">
      <c r="A295" s="20" t="str">
        <f>TEXT(IF('Real Structures'!B301&lt;&gt;0,'Real Structures'!B301, ""), "d-mmm-yy")</f>
        <v/>
      </c>
      <c r="B295" s="20" t="str">
        <f>IF(ISNUMBER('Real Structures'!C301),'Real Structures'!C301, "")</f>
        <v/>
      </c>
      <c r="C295" s="20" t="str">
        <f>IF(ISNUMBER('Real Structures'!D301),'Real Structures'!D301, "")</f>
        <v/>
      </c>
    </row>
    <row r="296" spans="1:3">
      <c r="A296" s="20" t="str">
        <f>TEXT(IF('Real Structures'!B302&lt;&gt;0,'Real Structures'!B302, ""), "d-mmm-yy")</f>
        <v/>
      </c>
      <c r="B296" s="20" t="str">
        <f>IF(ISNUMBER('Real Structures'!C302),'Real Structures'!C302, "")</f>
        <v/>
      </c>
      <c r="C296" s="20" t="str">
        <f>IF(ISNUMBER('Real Structures'!D302),'Real Structures'!D302, "")</f>
        <v/>
      </c>
    </row>
    <row r="297" spans="1:3">
      <c r="A297" s="20" t="str">
        <f>TEXT(IF('Real Structures'!B303&lt;&gt;0,'Real Structures'!B303, ""), "d-mmm-yy")</f>
        <v/>
      </c>
      <c r="B297" s="20" t="str">
        <f>IF(ISNUMBER('Real Structures'!C303),'Real Structures'!C303, "")</f>
        <v/>
      </c>
      <c r="C297" s="20" t="str">
        <f>IF(ISNUMBER('Real Structures'!D303),'Real Structures'!D303, "")</f>
        <v/>
      </c>
    </row>
    <row r="298" spans="1:3">
      <c r="A298" s="20" t="str">
        <f>TEXT(IF('Real Structures'!B304&lt;&gt;0,'Real Structures'!B304, ""), "d-mmm-yy")</f>
        <v/>
      </c>
      <c r="B298" s="20" t="str">
        <f>IF(ISNUMBER('Real Structures'!C304),'Real Structures'!C304, "")</f>
        <v/>
      </c>
      <c r="C298" s="20" t="str">
        <f>IF(ISNUMBER('Real Structures'!D304),'Real Structures'!D304, "")</f>
        <v/>
      </c>
    </row>
    <row r="299" spans="1:3">
      <c r="A299" s="20" t="str">
        <f>TEXT(IF('Real Structures'!B305&lt;&gt;0,'Real Structures'!B305, ""), "d-mmm-yy")</f>
        <v/>
      </c>
      <c r="B299" s="20" t="str">
        <f>IF(ISNUMBER('Real Structures'!C305),'Real Structures'!C305, "")</f>
        <v/>
      </c>
      <c r="C299" s="20" t="str">
        <f>IF(ISNUMBER('Real Structures'!D305),'Real Structures'!D305, "")</f>
        <v/>
      </c>
    </row>
    <row r="300" spans="1:3">
      <c r="A300" s="20" t="str">
        <f>TEXT(IF('Real Structures'!B306&lt;&gt;0,'Real Structures'!B306, ""), "d-mmm-yy")</f>
        <v/>
      </c>
      <c r="B300" s="20" t="str">
        <f>IF(ISNUMBER('Real Structures'!C306),'Real Structures'!C306, "")</f>
        <v/>
      </c>
      <c r="C300" s="20" t="str">
        <f>IF(ISNUMBER('Real Structures'!D306),'Real Structures'!D306, "")</f>
        <v/>
      </c>
    </row>
    <row r="301" spans="1:3">
      <c r="A301" s="20" t="str">
        <f>TEXT(IF('Real Structures'!B307&lt;&gt;0,'Real Structures'!B307, ""), "d-mmm-yy")</f>
        <v/>
      </c>
      <c r="B301" s="20" t="str">
        <f>IF(ISNUMBER('Real Structures'!C307),'Real Structures'!C307, "")</f>
        <v/>
      </c>
      <c r="C301" s="20" t="str">
        <f>IF(ISNUMBER('Real Structures'!D307),'Real Structures'!D307, "")</f>
        <v/>
      </c>
    </row>
    <row r="302" spans="1:3">
      <c r="A302" s="20" t="str">
        <f>TEXT(IF('Real Structures'!B308&lt;&gt;0,'Real Structures'!B308, ""), "d-mmm-yy")</f>
        <v/>
      </c>
      <c r="B302" s="20" t="str">
        <f>IF(ISNUMBER('Real Structures'!C308),'Real Structures'!C308, "")</f>
        <v/>
      </c>
      <c r="C302" s="20" t="str">
        <f>IF(ISNUMBER('Real Structures'!D308),'Real Structures'!D308, "")</f>
        <v/>
      </c>
    </row>
    <row r="303" spans="1:3">
      <c r="A303" s="20" t="str">
        <f>TEXT(IF('Real Structures'!B309&lt;&gt;0,'Real Structures'!B309, ""), "d-mmm-yy")</f>
        <v/>
      </c>
      <c r="B303" s="20" t="str">
        <f>IF(ISNUMBER('Real Structures'!C309),'Real Structures'!C309, "")</f>
        <v/>
      </c>
      <c r="C303" s="20" t="str">
        <f>IF(ISNUMBER('Real Structures'!D309),'Real Structures'!D309, "")</f>
        <v/>
      </c>
    </row>
    <row r="304" spans="1:3">
      <c r="A304" s="20" t="str">
        <f>TEXT(IF('Real Structures'!B310&lt;&gt;0,'Real Structures'!B310, ""), "d-mmm-yy")</f>
        <v/>
      </c>
      <c r="B304" s="20" t="str">
        <f>IF(ISNUMBER('Real Structures'!C310),'Real Structures'!C310, "")</f>
        <v/>
      </c>
      <c r="C304" s="20" t="str">
        <f>IF(ISNUMBER('Real Structures'!D310),'Real Structures'!D310, "")</f>
        <v/>
      </c>
    </row>
    <row r="305" spans="1:3">
      <c r="A305" s="20" t="str">
        <f>TEXT(IF('Real Structures'!B311&lt;&gt;0,'Real Structures'!B311, ""), "d-mmm-yy")</f>
        <v/>
      </c>
      <c r="B305" s="20" t="str">
        <f>IF(ISNUMBER('Real Structures'!C311),'Real Structures'!C311, "")</f>
        <v/>
      </c>
      <c r="C305" s="20" t="str">
        <f>IF(ISNUMBER('Real Structures'!D311),'Real Structures'!D311, "")</f>
        <v/>
      </c>
    </row>
    <row r="306" spans="1:3">
      <c r="A306" s="20" t="str">
        <f>TEXT(IF('Real Structures'!B312&lt;&gt;0,'Real Structures'!B312, ""), "d-mmm-yy")</f>
        <v/>
      </c>
      <c r="B306" s="20" t="str">
        <f>IF(ISNUMBER('Real Structures'!C312),'Real Structures'!C312, "")</f>
        <v/>
      </c>
      <c r="C306" s="20" t="str">
        <f>IF(ISNUMBER('Real Structures'!D312),'Real Structures'!D312, "")</f>
        <v/>
      </c>
    </row>
    <row r="307" spans="1:3">
      <c r="A307" s="20" t="str">
        <f>TEXT(IF('Real Structures'!B313&lt;&gt;0,'Real Structures'!B313, ""), "d-mmm-yy")</f>
        <v/>
      </c>
      <c r="B307" s="20" t="str">
        <f>IF(ISNUMBER('Real Structures'!C313),'Real Structures'!C313, "")</f>
        <v/>
      </c>
      <c r="C307" s="20" t="str">
        <f>IF(ISNUMBER('Real Structures'!D313),'Real Structures'!D313, "")</f>
        <v/>
      </c>
    </row>
    <row r="308" spans="1:3">
      <c r="A308" s="20" t="str">
        <f>TEXT(IF('Real Structures'!B314&lt;&gt;0,'Real Structures'!B314, ""), "d-mmm-yy")</f>
        <v/>
      </c>
      <c r="B308" s="20" t="str">
        <f>IF(ISNUMBER('Real Structures'!C314),'Real Structures'!C314, "")</f>
        <v/>
      </c>
      <c r="C308" s="20" t="str">
        <f>IF(ISNUMBER('Real Structures'!D314),'Real Structures'!D314, "")</f>
        <v/>
      </c>
    </row>
    <row r="309" spans="1:3">
      <c r="A309" s="20" t="str">
        <f>TEXT(IF('Real Structures'!B315&lt;&gt;0,'Real Structures'!B315, ""), "d-mmm-yy")</f>
        <v/>
      </c>
      <c r="B309" s="20" t="str">
        <f>IF(ISNUMBER('Real Structures'!C315),'Real Structures'!C315, "")</f>
        <v/>
      </c>
      <c r="C309" s="20" t="str">
        <f>IF(ISNUMBER('Real Structures'!D315),'Real Structures'!D315, "")</f>
        <v/>
      </c>
    </row>
    <row r="310" spans="1:3">
      <c r="A310" s="20" t="str">
        <f>TEXT(IF('Real Structures'!B316&lt;&gt;0,'Real Structures'!B316, ""), "d-mmm-yy")</f>
        <v/>
      </c>
      <c r="B310" s="20" t="str">
        <f>IF(ISNUMBER('Real Structures'!C316),'Real Structures'!C316, "")</f>
        <v/>
      </c>
      <c r="C310" s="20" t="str">
        <f>IF(ISNUMBER('Real Structures'!D316),'Real Structures'!D316, "")</f>
        <v/>
      </c>
    </row>
    <row r="311" spans="1:3">
      <c r="A311" s="20" t="str">
        <f>TEXT(IF('Real Structures'!B317&lt;&gt;0,'Real Structures'!B317, ""), "d-mmm-yy")</f>
        <v/>
      </c>
      <c r="B311" s="20" t="str">
        <f>IF(ISNUMBER('Real Structures'!C317),'Real Structures'!C317, "")</f>
        <v/>
      </c>
      <c r="C311" s="20" t="str">
        <f>IF(ISNUMBER('Real Structures'!D317),'Real Structures'!D317, "")</f>
        <v/>
      </c>
    </row>
    <row r="312" spans="1:3">
      <c r="A312" s="20" t="str">
        <f>TEXT(IF('Real Structures'!B318&lt;&gt;0,'Real Structures'!B318, ""), "d-mmm-yy")</f>
        <v/>
      </c>
      <c r="B312" s="20" t="str">
        <f>IF(ISNUMBER('Real Structures'!C318),'Real Structures'!C318, "")</f>
        <v/>
      </c>
      <c r="C312" s="20" t="str">
        <f>IF(ISNUMBER('Real Structures'!D318),'Real Structures'!D318, "")</f>
        <v/>
      </c>
    </row>
    <row r="313" spans="1:3">
      <c r="A313" s="20" t="str">
        <f>TEXT(IF('Real Structures'!B319&lt;&gt;0,'Real Structures'!B319, ""), "d-mmm-yy")</f>
        <v/>
      </c>
      <c r="B313" s="20" t="str">
        <f>IF(ISNUMBER('Real Structures'!C319),'Real Structures'!C319, "")</f>
        <v/>
      </c>
      <c r="C313" s="20" t="str">
        <f>IF(ISNUMBER('Real Structures'!D319),'Real Structures'!D319, "")</f>
        <v/>
      </c>
    </row>
    <row r="314" spans="1:3">
      <c r="A314" s="20" t="str">
        <f>TEXT(IF('Real Structures'!B320&lt;&gt;0,'Real Structures'!B320, ""), "d-mmm-yy")</f>
        <v/>
      </c>
      <c r="B314" s="20" t="str">
        <f>IF(ISNUMBER('Real Structures'!C320),'Real Structures'!C320, "")</f>
        <v/>
      </c>
      <c r="C314" s="20" t="str">
        <f>IF(ISNUMBER('Real Structures'!D320),'Real Structures'!D320, "")</f>
        <v/>
      </c>
    </row>
    <row r="315" spans="1:3">
      <c r="A315" s="20" t="str">
        <f>TEXT(IF('Real Structures'!B321&lt;&gt;0,'Real Structures'!B321, ""), "d-mmm-yy")</f>
        <v/>
      </c>
      <c r="B315" s="20" t="str">
        <f>IF(ISNUMBER('Real Structures'!C321),'Real Structures'!C321, "")</f>
        <v/>
      </c>
      <c r="C315" s="20" t="str">
        <f>IF(ISNUMBER('Real Structures'!D321),'Real Structures'!D321, "")</f>
        <v/>
      </c>
    </row>
    <row r="316" spans="1:3">
      <c r="A316" s="20" t="str">
        <f>TEXT(IF('Real Structures'!B322&lt;&gt;0,'Real Structures'!B322, ""), "d-mmm-yy")</f>
        <v/>
      </c>
      <c r="B316" s="20" t="str">
        <f>IF(ISNUMBER('Real Structures'!C322),'Real Structures'!C322, "")</f>
        <v/>
      </c>
      <c r="C316" s="20" t="str">
        <f>IF(ISNUMBER('Real Structures'!D322),'Real Structures'!D322, "")</f>
        <v/>
      </c>
    </row>
    <row r="317" spans="1:3">
      <c r="A317" s="20" t="str">
        <f>TEXT(IF('Real Structures'!B323&lt;&gt;0,'Real Structures'!B323, ""), "d-mmm-yy")</f>
        <v/>
      </c>
      <c r="B317" s="20" t="str">
        <f>IF(ISNUMBER('Real Structures'!C323),'Real Structures'!C323, "")</f>
        <v/>
      </c>
      <c r="C317" s="20" t="str">
        <f>IF(ISNUMBER('Real Structures'!D323),'Real Structures'!D323, "")</f>
        <v/>
      </c>
    </row>
    <row r="318" spans="1:3">
      <c r="A318" s="20" t="str">
        <f>TEXT(IF('Real Structures'!B324&lt;&gt;0,'Real Structures'!B324, ""), "d-mmm-yy")</f>
        <v/>
      </c>
      <c r="B318" s="20" t="str">
        <f>IF(ISNUMBER('Real Structures'!C324),'Real Structures'!C324, "")</f>
        <v/>
      </c>
      <c r="C318" s="20" t="str">
        <f>IF(ISNUMBER('Real Structures'!D324),'Real Structures'!D324, "")</f>
        <v/>
      </c>
    </row>
    <row r="319" spans="1:3">
      <c r="A319" s="20" t="str">
        <f>TEXT(IF('Real Structures'!B325&lt;&gt;0,'Real Structures'!B325, ""), "d-mmm-yy")</f>
        <v/>
      </c>
      <c r="B319" s="20" t="str">
        <f>IF(ISNUMBER('Real Structures'!C325),'Real Structures'!C325, "")</f>
        <v/>
      </c>
      <c r="C319" s="20" t="str">
        <f>IF(ISNUMBER('Real Structures'!D325),'Real Structures'!D325, "")</f>
        <v/>
      </c>
    </row>
    <row r="320" spans="1:3">
      <c r="A320" s="20" t="str">
        <f>TEXT(IF('Real Structures'!B326&lt;&gt;0,'Real Structures'!B326, ""), "d-mmm-yy")</f>
        <v/>
      </c>
      <c r="B320" s="20" t="str">
        <f>IF(ISNUMBER('Real Structures'!C326),'Real Structures'!C326, "")</f>
        <v/>
      </c>
      <c r="C320" s="20" t="str">
        <f>IF(ISNUMBER('Real Structures'!D326),'Real Structures'!D326, "")</f>
        <v/>
      </c>
    </row>
    <row r="321" spans="1:3">
      <c r="A321" s="20" t="str">
        <f>TEXT(IF('Real Structures'!B327&lt;&gt;0,'Real Structures'!B327, ""), "d-mmm-yy")</f>
        <v/>
      </c>
      <c r="B321" s="20" t="str">
        <f>IF(ISNUMBER('Real Structures'!C327),'Real Structures'!C327, "")</f>
        <v/>
      </c>
      <c r="C321" s="20" t="str">
        <f>IF(ISNUMBER('Real Structures'!D327),'Real Structures'!D327, "")</f>
        <v/>
      </c>
    </row>
    <row r="322" spans="1:3">
      <c r="A322" s="20" t="str">
        <f>TEXT(IF('Real Structures'!B328&lt;&gt;0,'Real Structures'!B328, ""), "d-mmm-yy")</f>
        <v/>
      </c>
      <c r="B322" s="20" t="str">
        <f>IF(ISNUMBER('Real Structures'!C328),'Real Structures'!C328, "")</f>
        <v/>
      </c>
      <c r="C322" s="20" t="str">
        <f>IF(ISNUMBER('Real Structures'!D328),'Real Structures'!D328, "")</f>
        <v/>
      </c>
    </row>
    <row r="323" spans="1:3">
      <c r="A323" s="20" t="str">
        <f>TEXT(IF('Real Structures'!B329&lt;&gt;0,'Real Structures'!B329, ""), "d-mmm-yy")</f>
        <v/>
      </c>
      <c r="B323" s="20" t="str">
        <f>IF(ISNUMBER('Real Structures'!C329),'Real Structures'!C329, "")</f>
        <v/>
      </c>
      <c r="C323" s="20" t="str">
        <f>IF(ISNUMBER('Real Structures'!D329),'Real Structures'!D329, "")</f>
        <v/>
      </c>
    </row>
    <row r="324" spans="1:3">
      <c r="A324" s="20" t="str">
        <f>TEXT(IF('Real Structures'!B330&lt;&gt;0,'Real Structures'!B330, ""), "d-mmm-yy")</f>
        <v/>
      </c>
      <c r="B324" s="20" t="str">
        <f>IF(ISNUMBER('Real Structures'!C330),'Real Structures'!C330, "")</f>
        <v/>
      </c>
      <c r="C324" s="20" t="str">
        <f>IF(ISNUMBER('Real Structures'!D330),'Real Structures'!D330, "")</f>
        <v/>
      </c>
    </row>
    <row r="325" spans="1:3">
      <c r="A325" s="20" t="str">
        <f>TEXT(IF('Real Structures'!B331&lt;&gt;0,'Real Structures'!B331, ""), "d-mmm-yy")</f>
        <v/>
      </c>
      <c r="B325" s="20" t="str">
        <f>IF(ISNUMBER('Real Structures'!C331),'Real Structures'!C331, "")</f>
        <v/>
      </c>
      <c r="C325" s="20" t="str">
        <f>IF(ISNUMBER('Real Structures'!D331),'Real Structures'!D331, "")</f>
        <v/>
      </c>
    </row>
    <row r="326" spans="1:3">
      <c r="A326" s="20" t="str">
        <f>TEXT(IF('Real Structures'!B332&lt;&gt;0,'Real Structures'!B332, ""), "d-mmm-yy")</f>
        <v/>
      </c>
      <c r="B326" s="20" t="str">
        <f>IF(ISNUMBER('Real Structures'!C332),'Real Structures'!C332, "")</f>
        <v/>
      </c>
      <c r="C326" s="20" t="str">
        <f>IF(ISNUMBER('Real Structures'!D332),'Real Structures'!D332, "")</f>
        <v/>
      </c>
    </row>
    <row r="327" spans="1:3">
      <c r="A327" s="20" t="str">
        <f>TEXT(IF('Real Structures'!B333&lt;&gt;0,'Real Structures'!B333, ""), "d-mmm-yy")</f>
        <v/>
      </c>
      <c r="B327" s="20" t="str">
        <f>IF(ISNUMBER('Real Structures'!C333),'Real Structures'!C333, "")</f>
        <v/>
      </c>
      <c r="C327" s="20" t="str">
        <f>IF(ISNUMBER('Real Structures'!D333),'Real Structures'!D333, "")</f>
        <v/>
      </c>
    </row>
    <row r="328" spans="1:3">
      <c r="A328" s="20" t="str">
        <f>TEXT(IF('Real Structures'!B334&lt;&gt;0,'Real Structures'!B334, ""), "d-mmm-yy")</f>
        <v/>
      </c>
      <c r="B328" s="20" t="str">
        <f>IF(ISNUMBER('Real Structures'!C334),'Real Structures'!C334, "")</f>
        <v/>
      </c>
      <c r="C328" s="20" t="str">
        <f>IF(ISNUMBER('Real Structures'!D334),'Real Structures'!D334, "")</f>
        <v/>
      </c>
    </row>
    <row r="329" spans="1:3">
      <c r="A329" s="20" t="str">
        <f>TEXT(IF('Real Structures'!B335&lt;&gt;0,'Real Structures'!B335, ""), "d-mmm-yy")</f>
        <v/>
      </c>
      <c r="B329" s="20" t="str">
        <f>IF(ISNUMBER('Real Structures'!C335),'Real Structures'!C335, "")</f>
        <v/>
      </c>
      <c r="C329" s="20" t="str">
        <f>IF(ISNUMBER('Real Structures'!D335),'Real Structures'!D335, "")</f>
        <v/>
      </c>
    </row>
    <row r="330" spans="1:3">
      <c r="A330" s="20" t="str">
        <f>TEXT(IF('Real Structures'!B336&lt;&gt;0,'Real Structures'!B336, ""), "d-mmm-yy")</f>
        <v/>
      </c>
      <c r="B330" s="20" t="str">
        <f>IF(ISNUMBER('Real Structures'!C336),'Real Structures'!C336, "")</f>
        <v/>
      </c>
      <c r="C330" s="20" t="str">
        <f>IF(ISNUMBER('Real Structures'!D336),'Real Structures'!D336, "")</f>
        <v/>
      </c>
    </row>
    <row r="331" spans="1:3">
      <c r="A331" s="20" t="str">
        <f>TEXT(IF('Real Structures'!B337&lt;&gt;0,'Real Structures'!B337, ""), "d-mmm-yy")</f>
        <v/>
      </c>
      <c r="B331" s="20" t="str">
        <f>IF(ISNUMBER('Real Structures'!C337),'Real Structures'!C337, "")</f>
        <v/>
      </c>
      <c r="C331" s="20" t="str">
        <f>IF(ISNUMBER('Real Structures'!D337),'Real Structures'!D337, "")</f>
        <v/>
      </c>
    </row>
    <row r="332" spans="1:3">
      <c r="A332" s="20" t="str">
        <f>TEXT(IF('Real Structures'!B338&lt;&gt;0,'Real Structures'!B338, ""), "d-mmm-yy")</f>
        <v/>
      </c>
      <c r="B332" s="20" t="str">
        <f>IF(ISNUMBER('Real Structures'!C338),'Real Structures'!C338, "")</f>
        <v/>
      </c>
      <c r="C332" s="20" t="str">
        <f>IF(ISNUMBER('Real Structures'!D338),'Real Structures'!D338, "")</f>
        <v/>
      </c>
    </row>
    <row r="333" spans="1:3">
      <c r="A333" s="20" t="str">
        <f>TEXT(IF('Real Structures'!B339&lt;&gt;0,'Real Structures'!B339, ""), "d-mmm-yy")</f>
        <v/>
      </c>
      <c r="B333" s="20" t="str">
        <f>IF(ISNUMBER('Real Structures'!C339),'Real Structures'!C339, "")</f>
        <v/>
      </c>
      <c r="C333" s="20" t="str">
        <f>IF(ISNUMBER('Real Structures'!D339),'Real Structures'!D339, "")</f>
        <v/>
      </c>
    </row>
    <row r="334" spans="1:3">
      <c r="A334" s="20" t="str">
        <f>TEXT(IF('Real Structures'!B340&lt;&gt;0,'Real Structures'!B340, ""), "d-mmm-yy")</f>
        <v/>
      </c>
      <c r="B334" s="20" t="str">
        <f>IF(ISNUMBER('Real Structures'!C340),'Real Structures'!C340, "")</f>
        <v/>
      </c>
      <c r="C334" s="20" t="str">
        <f>IF(ISNUMBER('Real Structures'!D340),'Real Structures'!D340, "")</f>
        <v/>
      </c>
    </row>
    <row r="335" spans="1:3">
      <c r="A335" s="20" t="str">
        <f>TEXT(IF('Real Structures'!B341&lt;&gt;0,'Real Structures'!B341, ""), "d-mmm-yy")</f>
        <v/>
      </c>
      <c r="B335" s="20" t="str">
        <f>IF(ISNUMBER('Real Structures'!C341),'Real Structures'!C341, "")</f>
        <v/>
      </c>
      <c r="C335" s="20" t="str">
        <f>IF(ISNUMBER('Real Structures'!D341),'Real Structures'!D341, "")</f>
        <v/>
      </c>
    </row>
    <row r="336" spans="1:3">
      <c r="A336" s="20" t="str">
        <f>TEXT(IF('Real Structures'!B342&lt;&gt;0,'Real Structures'!B342, ""), "d-mmm-yy")</f>
        <v/>
      </c>
      <c r="B336" s="20" t="str">
        <f>IF(ISNUMBER('Real Structures'!C342),'Real Structures'!C342, "")</f>
        <v/>
      </c>
      <c r="C336" s="20" t="str">
        <f>IF(ISNUMBER('Real Structures'!D342),'Real Structures'!D342, "")</f>
        <v/>
      </c>
    </row>
    <row r="337" spans="1:3">
      <c r="A337" s="20" t="str">
        <f>TEXT(IF('Real Structures'!B343&lt;&gt;0,'Real Structures'!B343, ""), "d-mmm-yy")</f>
        <v/>
      </c>
      <c r="B337" s="20" t="str">
        <f>IF(ISNUMBER('Real Structures'!C343),'Real Structures'!C343, "")</f>
        <v/>
      </c>
      <c r="C337" s="20" t="str">
        <f>IF(ISNUMBER('Real Structures'!D343),'Real Structures'!D343, "")</f>
        <v/>
      </c>
    </row>
    <row r="338" spans="1:3">
      <c r="A338" s="20" t="str">
        <f>TEXT(IF('Real Structures'!B344&lt;&gt;0,'Real Structures'!B344, ""), "d-mmm-yy")</f>
        <v/>
      </c>
      <c r="B338" s="20" t="str">
        <f>IF(ISNUMBER('Real Structures'!C344),'Real Structures'!C344, "")</f>
        <v/>
      </c>
      <c r="C338" s="20" t="str">
        <f>IF(ISNUMBER('Real Structures'!D344),'Real Structures'!D344, "")</f>
        <v/>
      </c>
    </row>
    <row r="339" spans="1:3">
      <c r="A339" s="20" t="str">
        <f>TEXT(IF('Real Structures'!B345&lt;&gt;0,'Real Structures'!B345, ""), "d-mmm-yy")</f>
        <v/>
      </c>
      <c r="B339" s="20" t="str">
        <f>IF(ISNUMBER('Real Structures'!C345),'Real Structures'!C345, "")</f>
        <v/>
      </c>
      <c r="C339" s="20" t="str">
        <f>IF(ISNUMBER('Real Structures'!D345),'Real Structures'!D345, "")</f>
        <v/>
      </c>
    </row>
    <row r="340" spans="1:3">
      <c r="A340" s="20" t="str">
        <f>TEXT(IF('Real Structures'!B346&lt;&gt;0,'Real Structures'!B346, ""), "d-mmm-yy")</f>
        <v/>
      </c>
      <c r="B340" s="20" t="str">
        <f>IF(ISNUMBER('Real Structures'!C346),'Real Structures'!C346, "")</f>
        <v/>
      </c>
      <c r="C340" s="20" t="str">
        <f>IF(ISNUMBER('Real Structures'!D346),'Real Structures'!D346, "")</f>
        <v/>
      </c>
    </row>
    <row r="341" spans="1:3">
      <c r="A341" s="20" t="str">
        <f>TEXT(IF('Real Structures'!B347&lt;&gt;0,'Real Structures'!B347, ""), "d-mmm-yy")</f>
        <v/>
      </c>
      <c r="B341" s="20" t="str">
        <f>IF(ISNUMBER('Real Structures'!C347),'Real Structures'!C347, "")</f>
        <v/>
      </c>
      <c r="C341" s="20" t="str">
        <f>IF(ISNUMBER('Real Structures'!D347),'Real Structures'!D347, "")</f>
        <v/>
      </c>
    </row>
    <row r="342" spans="1:3">
      <c r="A342" s="20" t="str">
        <f>TEXT(IF('Real Structures'!B348&lt;&gt;0,'Real Structures'!B348, ""), "d-mmm-yy")</f>
        <v/>
      </c>
      <c r="B342" s="20" t="str">
        <f>IF(ISNUMBER('Real Structures'!C348),'Real Structures'!C348, "")</f>
        <v/>
      </c>
      <c r="C342" s="20" t="str">
        <f>IF(ISNUMBER('Real Structures'!D348),'Real Structures'!D348, "")</f>
        <v/>
      </c>
    </row>
    <row r="343" spans="1:3">
      <c r="A343" s="20" t="str">
        <f>TEXT(IF('Real Structures'!B349&lt;&gt;0,'Real Structures'!B349, ""), "d-mmm-yy")</f>
        <v/>
      </c>
      <c r="B343" s="20" t="str">
        <f>IF(ISNUMBER('Real Structures'!C349),'Real Structures'!C349, "")</f>
        <v/>
      </c>
      <c r="C343" s="20" t="str">
        <f>IF(ISNUMBER('Real Structures'!D349),'Real Structures'!D349, "")</f>
        <v/>
      </c>
    </row>
    <row r="344" spans="1:3">
      <c r="A344" s="20" t="str">
        <f>TEXT(IF('Real Structures'!B350&lt;&gt;0,'Real Structures'!B350, ""), "d-mmm-yy")</f>
        <v/>
      </c>
      <c r="B344" s="20" t="str">
        <f>IF(ISNUMBER('Real Structures'!C350),'Real Structures'!C350, "")</f>
        <v/>
      </c>
      <c r="C344" s="20" t="str">
        <f>IF(ISNUMBER('Real Structures'!D350),'Real Structures'!D350, "")</f>
        <v/>
      </c>
    </row>
    <row r="345" spans="1:3">
      <c r="A345" s="20" t="str">
        <f>TEXT(IF('Real Structures'!B351&lt;&gt;0,'Real Structures'!B351, ""), "d-mmm-yy")</f>
        <v/>
      </c>
      <c r="B345" s="20" t="str">
        <f>IF(ISNUMBER('Real Structures'!C351),'Real Structures'!C351, "")</f>
        <v/>
      </c>
      <c r="C345" s="20" t="str">
        <f>IF(ISNUMBER('Real Structures'!D351),'Real Structures'!D351, "")</f>
        <v/>
      </c>
    </row>
    <row r="346" spans="1:3">
      <c r="A346" s="20" t="str">
        <f>TEXT(IF('Real Structures'!B352&lt;&gt;0,'Real Structures'!B352, ""), "d-mmm-yy")</f>
        <v/>
      </c>
      <c r="B346" s="20" t="str">
        <f>IF(ISNUMBER('Real Structures'!C352),'Real Structures'!C352, "")</f>
        <v/>
      </c>
      <c r="C346" s="20" t="str">
        <f>IF(ISNUMBER('Real Structures'!D352),'Real Structures'!D352, "")</f>
        <v/>
      </c>
    </row>
    <row r="347" spans="1:3">
      <c r="A347" s="20" t="str">
        <f>TEXT(IF('Real Structures'!B353&lt;&gt;0,'Real Structures'!B353, ""), "d-mmm-yy")</f>
        <v/>
      </c>
      <c r="B347" s="20" t="str">
        <f>IF(ISNUMBER('Real Structures'!C353),'Real Structures'!C353, "")</f>
        <v/>
      </c>
      <c r="C347" s="20" t="str">
        <f>IF(ISNUMBER('Real Structures'!D353),'Real Structures'!D353, "")</f>
        <v/>
      </c>
    </row>
    <row r="348" spans="1:3">
      <c r="A348" s="20" t="str">
        <f>TEXT(IF('Real Structures'!B354&lt;&gt;0,'Real Structures'!B354, ""), "d-mmm-yy")</f>
        <v/>
      </c>
      <c r="B348" s="20" t="str">
        <f>IF(ISNUMBER('Real Structures'!C354),'Real Structures'!C354, "")</f>
        <v/>
      </c>
      <c r="C348" s="20" t="str">
        <f>IF(ISNUMBER('Real Structures'!D354),'Real Structures'!D354, "")</f>
        <v/>
      </c>
    </row>
    <row r="349" spans="1:3">
      <c r="A349" s="20" t="str">
        <f>TEXT(IF('Real Structures'!B355&lt;&gt;0,'Real Structures'!B355, ""), "d-mmm-yy")</f>
        <v/>
      </c>
      <c r="B349" s="20" t="str">
        <f>IF(ISNUMBER('Real Structures'!C355),'Real Structures'!C355, "")</f>
        <v/>
      </c>
      <c r="C349" s="20" t="str">
        <f>IF(ISNUMBER('Real Structures'!D355),'Real Structures'!D355, "")</f>
        <v/>
      </c>
    </row>
    <row r="350" spans="1:3">
      <c r="A350" s="20" t="str">
        <f>TEXT(IF('Real Structures'!B356&lt;&gt;0,'Real Structures'!B356, ""), "d-mmm-yy")</f>
        <v/>
      </c>
      <c r="B350" s="20" t="str">
        <f>IF(ISNUMBER('Real Structures'!C356),'Real Structures'!C356, "")</f>
        <v/>
      </c>
      <c r="C350" s="20" t="str">
        <f>IF(ISNUMBER('Real Structures'!D356),'Real Structures'!D356, "")</f>
        <v/>
      </c>
    </row>
    <row r="351" spans="1:3">
      <c r="A351" s="20" t="str">
        <f>TEXT(IF('Real Structures'!B357&lt;&gt;0,'Real Structures'!B357, ""), "d-mmm-yy")</f>
        <v/>
      </c>
      <c r="B351" s="20" t="str">
        <f>IF(ISNUMBER('Real Structures'!C357),'Real Structures'!C357, "")</f>
        <v/>
      </c>
      <c r="C351" s="20" t="str">
        <f>IF(ISNUMBER('Real Structures'!D357),'Real Structures'!D357, "")</f>
        <v/>
      </c>
    </row>
    <row r="352" spans="1:3">
      <c r="A352" s="20" t="str">
        <f>TEXT(IF('Real Structures'!B358&lt;&gt;0,'Real Structures'!B358, ""), "d-mmm-yy")</f>
        <v/>
      </c>
      <c r="B352" s="20" t="str">
        <f>IF(ISNUMBER('Real Structures'!C358),'Real Structures'!C358, "")</f>
        <v/>
      </c>
      <c r="C352" s="20" t="str">
        <f>IF(ISNUMBER('Real Structures'!D358),'Real Structures'!D358, "")</f>
        <v/>
      </c>
    </row>
    <row r="353" spans="1:3">
      <c r="A353" s="20" t="str">
        <f>TEXT(IF('Real Structures'!B359&lt;&gt;0,'Real Structures'!B359, ""), "d-mmm-yy")</f>
        <v/>
      </c>
      <c r="B353" s="20" t="str">
        <f>IF(ISNUMBER('Real Structures'!C359),'Real Structures'!C359, "")</f>
        <v/>
      </c>
      <c r="C353" s="20" t="str">
        <f>IF(ISNUMBER('Real Structures'!D359),'Real Structures'!D359, "")</f>
        <v/>
      </c>
    </row>
    <row r="354" spans="1:3">
      <c r="A354" s="20" t="str">
        <f>TEXT(IF('Real Structures'!B360&lt;&gt;0,'Real Structures'!B360, ""), "d-mmm-yy")</f>
        <v/>
      </c>
      <c r="B354" s="20" t="str">
        <f>IF(ISNUMBER('Real Structures'!C360),'Real Structures'!C360, "")</f>
        <v/>
      </c>
      <c r="C354" s="20" t="str">
        <f>IF(ISNUMBER('Real Structures'!D360),'Real Structures'!D360, "")</f>
        <v/>
      </c>
    </row>
    <row r="355" spans="1:3">
      <c r="A355" s="20" t="str">
        <f>TEXT(IF('Real Structures'!B361&lt;&gt;0,'Real Structures'!B361, ""), "d-mmm-yy")</f>
        <v/>
      </c>
      <c r="B355" s="20" t="str">
        <f>IF(ISNUMBER('Real Structures'!C361),'Real Structures'!C361, "")</f>
        <v/>
      </c>
      <c r="C355" s="20" t="str">
        <f>IF(ISNUMBER('Real Structures'!D361),'Real Structures'!D361, "")</f>
        <v/>
      </c>
    </row>
    <row r="356" spans="1:3">
      <c r="A356" s="20" t="str">
        <f>TEXT(IF('Real Structures'!B362&lt;&gt;0,'Real Structures'!B362, ""), "d-mmm-yy")</f>
        <v/>
      </c>
      <c r="B356" s="20" t="str">
        <f>IF(ISNUMBER('Real Structures'!C362),'Real Structures'!C362, "")</f>
        <v/>
      </c>
      <c r="C356" s="20" t="str">
        <f>IF(ISNUMBER('Real Structures'!D362),'Real Structures'!D362, "")</f>
        <v/>
      </c>
    </row>
    <row r="357" spans="1:3">
      <c r="A357" s="20" t="str">
        <f>TEXT(IF('Real Structures'!B363&lt;&gt;0,'Real Structures'!B363, ""), "d-mmm-yy")</f>
        <v/>
      </c>
      <c r="B357" s="20" t="str">
        <f>IF(ISNUMBER('Real Structures'!C363),'Real Structures'!C363, "")</f>
        <v/>
      </c>
      <c r="C357" s="20" t="str">
        <f>IF(ISNUMBER('Real Structures'!D363),'Real Structures'!D363, "")</f>
        <v/>
      </c>
    </row>
    <row r="358" spans="1:3">
      <c r="A358" s="20" t="str">
        <f>TEXT(IF('Real Structures'!B364&lt;&gt;0,'Real Structures'!B364, ""), "d-mmm-yy")</f>
        <v/>
      </c>
      <c r="B358" s="20" t="str">
        <f>IF(ISNUMBER('Real Structures'!C364),'Real Structures'!C364, "")</f>
        <v/>
      </c>
      <c r="C358" s="20" t="str">
        <f>IF(ISNUMBER('Real Structures'!D364),'Real Structures'!D364, "")</f>
        <v/>
      </c>
    </row>
    <row r="359" spans="1:3">
      <c r="A359" s="20" t="str">
        <f>TEXT(IF('Real Structures'!B365&lt;&gt;0,'Real Structures'!B365, ""), "d-mmm-yy")</f>
        <v/>
      </c>
      <c r="B359" s="20" t="str">
        <f>IF(ISNUMBER('Real Structures'!C365),'Real Structures'!C365, "")</f>
        <v/>
      </c>
      <c r="C359" s="20" t="str">
        <f>IF(ISNUMBER('Real Structures'!D365),'Real Structures'!D365, "")</f>
        <v/>
      </c>
    </row>
    <row r="360" spans="1:3">
      <c r="A360" s="20" t="str">
        <f>TEXT(IF('Real Structures'!B366&lt;&gt;0,'Real Structures'!B366, ""), "d-mmm-yy")</f>
        <v/>
      </c>
      <c r="B360" s="20" t="str">
        <f>IF(ISNUMBER('Real Structures'!C366),'Real Structures'!C366, "")</f>
        <v/>
      </c>
      <c r="C360" s="20" t="str">
        <f>IF(ISNUMBER('Real Structures'!D366),'Real Structures'!D366, "")</f>
        <v/>
      </c>
    </row>
    <row r="361" spans="1:3">
      <c r="A361" s="20" t="str">
        <f>TEXT(IF('Real Structures'!B367&lt;&gt;0,'Real Structures'!B367, ""), "d-mmm-yy")</f>
        <v/>
      </c>
      <c r="B361" s="20" t="str">
        <f>IF(ISNUMBER('Real Structures'!C367),'Real Structures'!C367, "")</f>
        <v/>
      </c>
      <c r="C361" s="20" t="str">
        <f>IF(ISNUMBER('Real Structures'!D367),'Real Structures'!D367, "")</f>
        <v/>
      </c>
    </row>
    <row r="362" spans="1:3">
      <c r="A362" s="20" t="str">
        <f>TEXT(IF('Real Structures'!B368&lt;&gt;0,'Real Structures'!B368, ""), "d-mmm-yy")</f>
        <v/>
      </c>
      <c r="B362" s="20" t="str">
        <f>IF(ISNUMBER('Real Structures'!C368),'Real Structures'!C368, "")</f>
        <v/>
      </c>
      <c r="C362" s="20" t="str">
        <f>IF(ISNUMBER('Real Structures'!D368),'Real Structures'!D368, "")</f>
        <v/>
      </c>
    </row>
    <row r="363" spans="1:3">
      <c r="A363" s="20" t="str">
        <f>TEXT(IF('Real Structures'!B369&lt;&gt;0,'Real Structures'!B369, ""), "d-mmm-yy")</f>
        <v/>
      </c>
      <c r="B363" s="20" t="str">
        <f>IF(ISNUMBER('Real Structures'!C369),'Real Structures'!C369, "")</f>
        <v/>
      </c>
      <c r="C363" s="20" t="str">
        <f>IF(ISNUMBER('Real Structures'!D369),'Real Structures'!D369, "")</f>
        <v/>
      </c>
    </row>
    <row r="364" spans="1:3">
      <c r="A364" s="20" t="str">
        <f>TEXT(IF('Real Structures'!B370&lt;&gt;0,'Real Structures'!B370, ""), "d-mmm-yy")</f>
        <v/>
      </c>
      <c r="B364" s="20" t="str">
        <f>IF(ISNUMBER('Real Structures'!C370),'Real Structures'!C370, "")</f>
        <v/>
      </c>
      <c r="C364" s="20" t="str">
        <f>IF(ISNUMBER('Real Structures'!D370),'Real Structures'!D370, "")</f>
        <v/>
      </c>
    </row>
    <row r="365" spans="1:3">
      <c r="A365" s="20" t="str">
        <f>TEXT(IF('Real Structures'!B371&lt;&gt;0,'Real Structures'!B371, ""), "d-mmm-yy")</f>
        <v/>
      </c>
      <c r="B365" s="20" t="str">
        <f>IF(ISNUMBER('Real Structures'!C371),'Real Structures'!C371, "")</f>
        <v/>
      </c>
      <c r="C365" s="20" t="str">
        <f>IF(ISNUMBER('Real Structures'!D371),'Real Structures'!D371, "")</f>
        <v/>
      </c>
    </row>
    <row r="366" spans="1:3">
      <c r="A366" s="20" t="str">
        <f>TEXT(IF('Real Structures'!B372&lt;&gt;0,'Real Structures'!B372, ""), "d-mmm-yy")</f>
        <v/>
      </c>
      <c r="B366" s="20" t="str">
        <f>IF(ISNUMBER('Real Structures'!C372),'Real Structures'!C372, "")</f>
        <v/>
      </c>
      <c r="C366" s="20" t="str">
        <f>IF(ISNUMBER('Real Structures'!D372),'Real Structures'!D372, "")</f>
        <v/>
      </c>
    </row>
    <row r="367" spans="1:3">
      <c r="A367" s="20" t="str">
        <f>TEXT(IF('Real Structures'!B373&lt;&gt;0,'Real Structures'!B373, ""), "d-mmm-yy")</f>
        <v/>
      </c>
      <c r="B367" s="20" t="str">
        <f>IF(ISNUMBER('Real Structures'!C373),'Real Structures'!C373, "")</f>
        <v/>
      </c>
      <c r="C367" s="20" t="str">
        <f>IF(ISNUMBER('Real Structures'!D373),'Real Structures'!D373, "")</f>
        <v/>
      </c>
    </row>
    <row r="368" spans="1:3">
      <c r="A368" s="20" t="str">
        <f>TEXT(IF('Real Structures'!B374&lt;&gt;0,'Real Structures'!B374, ""), "d-mmm-yy")</f>
        <v/>
      </c>
      <c r="B368" s="20" t="str">
        <f>IF(ISNUMBER('Real Structures'!C374),'Real Structures'!C374, "")</f>
        <v/>
      </c>
      <c r="C368" s="20" t="str">
        <f>IF(ISNUMBER('Real Structures'!D374),'Real Structures'!D374, "")</f>
        <v/>
      </c>
    </row>
    <row r="369" spans="1:3">
      <c r="A369" s="20" t="str">
        <f>TEXT(IF('Real Structures'!B375&lt;&gt;0,'Real Structures'!B375, ""), "d-mmm-yy")</f>
        <v/>
      </c>
      <c r="B369" s="20" t="str">
        <f>IF(ISNUMBER('Real Structures'!C375),'Real Structures'!C375, "")</f>
        <v/>
      </c>
      <c r="C369" s="20" t="str">
        <f>IF(ISNUMBER('Real Structures'!D375),'Real Structures'!D375, "")</f>
        <v/>
      </c>
    </row>
    <row r="370" spans="1:3">
      <c r="A370" s="20" t="str">
        <f>TEXT(IF('Real Structures'!B376&lt;&gt;0,'Real Structures'!B376, ""), "d-mmm-yy")</f>
        <v/>
      </c>
      <c r="B370" s="20" t="str">
        <f>IF(ISNUMBER('Real Structures'!C376),'Real Structures'!C376, "")</f>
        <v/>
      </c>
      <c r="C370" s="20" t="str">
        <f>IF(ISNUMBER('Real Structures'!D376),'Real Structures'!D376, "")</f>
        <v/>
      </c>
    </row>
    <row r="371" spans="1:3">
      <c r="A371" s="20" t="str">
        <f>TEXT(IF('Real Structures'!B377&lt;&gt;0,'Real Structures'!B377, ""), "d-mmm-yy")</f>
        <v/>
      </c>
      <c r="B371" s="20" t="str">
        <f>IF(ISNUMBER('Real Structures'!C377),'Real Structures'!C377, "")</f>
        <v/>
      </c>
      <c r="C371" s="20" t="str">
        <f>IF(ISNUMBER('Real Structures'!D377),'Real Structures'!D377, "")</f>
        <v/>
      </c>
    </row>
    <row r="372" spans="1:3">
      <c r="A372" s="20" t="str">
        <f>TEXT(IF('Real Structures'!B378&lt;&gt;0,'Real Structures'!B378, ""), "d-mmm-yy")</f>
        <v/>
      </c>
      <c r="B372" s="20" t="str">
        <f>IF(ISNUMBER('Real Structures'!C378),'Real Structures'!C378, "")</f>
        <v/>
      </c>
      <c r="C372" s="20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workbookViewId="0"/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129</v>
      </c>
      <c r="B1" t="s">
        <v>156</v>
      </c>
      <c r="C1" t="s">
        <v>379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0.032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0.037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0.033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0.044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0.059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0.059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0.049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0.034</v>
      </c>
      <c r="C43" s="20">
        <f>IF(ISNUMBER('State and Local Taxes'!J56),'State and Local Taxes'!J56, "")</f>
        <v>0</v>
      </c>
    </row>
    <row r="44" spans="1:3">
      <c r="A44" s="20" t="str">
        <f>TEXT(IF('State and Local Taxes'!B57&lt;&gt;0,DATE(YEAR('State and Local Taxes'!B57), MONTH('State and Local Taxes'!B57)-2, 1), ""), "mm/dd/yyyy")</f>
        <v>07/01/2014</v>
      </c>
      <c r="B44" s="20" t="str">
        <f>IF(ISNUMBER('State and Local Taxes'!I57),TEXT('State and Local Taxes'!I57, "0.000"), "")</f>
        <v>0.024</v>
      </c>
      <c r="C44" s="20">
        <f>IF(ISNUMBER('State and Local Taxes'!J57),'State and Local Taxes'!J57, "")</f>
        <v>0</v>
      </c>
    </row>
    <row r="45" spans="1:3">
      <c r="A45" s="20" t="str">
        <f>TEXT(IF('State and Local Taxes'!B58&lt;&gt;0,DATE(YEAR('State and Local Taxes'!B58), MONTH('State and Local Taxes'!B58)-2, 1), ""), "mm/dd/yyyy")</f>
        <v>10/01/2014</v>
      </c>
      <c r="B45" s="20" t="str">
        <f>IF(ISNUMBER('State and Local Taxes'!I58),TEXT('State and Local Taxes'!I58, "0.000"), "")</f>
        <v>0.027</v>
      </c>
      <c r="C45" s="20">
        <f>IF(ISNUMBER('State and Local Taxes'!J58),'State and Local Taxes'!J58, "")</f>
        <v>0</v>
      </c>
    </row>
    <row r="46" spans="1:3">
      <c r="A46" s="20" t="str">
        <f>TEXT(IF('State and Local Taxes'!B59&lt;&gt;0,DATE(YEAR('State and Local Taxes'!B59), MONTH('State and Local Taxes'!B59)-2, 1), ""), "mm/dd/yyyy")</f>
        <v>01/01/2015</v>
      </c>
      <c r="B46" s="20" t="str">
        <f>IF(ISNUMBER('State and Local Taxes'!I59),TEXT('State and Local Taxes'!I59, "0.000"), "")</f>
        <v/>
      </c>
      <c r="C46" s="20">
        <f>IF(ISNUMBER('State and Local Taxes'!J59),'State and Local Taxes'!J59, "")</f>
        <v>0</v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21" workbookViewId="0">
      <selection activeCell="C41" sqref="C41"/>
    </sheetView>
  </sheetViews>
  <sheetFormatPr defaultRowHeight="15"/>
  <cols>
    <col min="1" max="1" width="10.42578125" bestFit="1" customWidth="1"/>
  </cols>
  <sheetData>
    <row r="1" spans="1:6">
      <c r="A1" t="s">
        <v>129</v>
      </c>
      <c r="B1" t="s">
        <v>157</v>
      </c>
      <c r="C1" s="20" t="s">
        <v>158</v>
      </c>
      <c r="D1" t="s">
        <v>159</v>
      </c>
      <c r="E1" t="s">
        <v>160</v>
      </c>
      <c r="F1" s="20" t="s">
        <v>379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GDP'!G8),TEXT('Revenues &amp; Outlays in GDP'!G8, "0.00"),""), "")</f>
        <v>17.33</v>
      </c>
      <c r="C2" s="20" t="str">
        <f ca="1">IFERROR(IF(ISNUMBER('Revenues &amp; Outlays in GDP'!C8),TEXT('Revenues &amp; Outlays in GDP'!C8, "0.00"),""), "")</f>
        <v/>
      </c>
      <c r="D2" s="20" t="str">
        <f>IFERROR(IF(ISNUMBER('Revenues &amp; Outlays in GDP'!H8),TEXT('Revenues &amp; Outlays in GDP'!H8, "0.00"),""), "")</f>
        <v>20.63</v>
      </c>
      <c r="E2" s="20" t="str">
        <f ca="1">IFERROR(IF(ISNUMBER('Revenues &amp; Outlays in GDP'!D8),TEXT('Revenues &amp; Outlays in GDP'!D8, "0.00"),""), "")</f>
        <v/>
      </c>
      <c r="F2" s="20">
        <f>IFERROR(IF(ISNUMBER('Revenues &amp; Outlays in GDP'!B8), 'Revenues &amp; Outlays in GDP'!J8,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GDP'!G9),TEXT('Revenues &amp; Outlays in GDP'!G9, "0.00"),""), "")</f>
        <v>16.65</v>
      </c>
      <c r="C3" s="20" t="str">
        <f ca="1">IFERROR(IF(ISNUMBER('Revenues &amp; Outlays in GDP'!C9),TEXT('Revenues &amp; Outlays in GDP'!C9, "0.00"),""), "")</f>
        <v/>
      </c>
      <c r="D3" s="20" t="str">
        <f>IFERROR(IF(ISNUMBER('Revenues &amp; Outlays in GDP'!H9),TEXT('Revenues &amp; Outlays in GDP'!H9, "0.00"),""), "")</f>
        <v>20.77</v>
      </c>
      <c r="E3" s="20" t="str">
        <f ca="1">IFERROR(IF(ISNUMBER('Revenues &amp; Outlays in GDP'!D9),TEXT('Revenues &amp; Outlays in GDP'!D9, "0.00"),""), "")</f>
        <v/>
      </c>
      <c r="F3" s="20">
        <f>IFERROR(IF(ISNUMBER('Revenues &amp; Outlays in GDP'!B9), 'Revenues &amp; Outlays in GDP'!J9,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GDP'!G10),TEXT('Revenues &amp; Outlays in GDP'!G10, "0.00"),""), "")</f>
        <v>17.53</v>
      </c>
      <c r="C4" s="20" t="str">
        <f ca="1">IFERROR(IF(ISNUMBER('Revenues &amp; Outlays in GDP'!C10),TEXT('Revenues &amp; Outlays in GDP'!C10, "0.00"),""), "")</f>
        <v/>
      </c>
      <c r="D4" s="20" t="str">
        <f>IFERROR(IF(ISNUMBER('Revenues &amp; Outlays in GDP'!H10),TEXT('Revenues &amp; Outlays in GDP'!H10, "0.00"),""), "")</f>
        <v>20.18</v>
      </c>
      <c r="E4" s="20" t="str">
        <f ca="1">IFERROR(IF(ISNUMBER('Revenues &amp; Outlays in GDP'!D10),TEXT('Revenues &amp; Outlays in GDP'!D10, "0.00"),""), "")</f>
        <v/>
      </c>
      <c r="F4" s="20">
        <f>IFERROR(IF(ISNUMBER('Revenues &amp; Outlays in GDP'!B10), 'Revenues &amp; Outlays in GDP'!J10,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GDP'!G11),TEXT('Revenues &amp; Outlays in GDP'!G11, "0.00"),""), "")</f>
        <v>17.54</v>
      </c>
      <c r="C5" s="20" t="str">
        <f ca="1">IFERROR(IF(ISNUMBER('Revenues &amp; Outlays in GDP'!C11),TEXT('Revenues &amp; Outlays in GDP'!C11, "0.00"),""), "")</f>
        <v/>
      </c>
      <c r="D5" s="20" t="str">
        <f>IFERROR(IF(ISNUMBER('Revenues &amp; Outlays in GDP'!H11),TEXT('Revenues &amp; Outlays in GDP'!H11, "0.00"),""), "")</f>
        <v>20.14</v>
      </c>
      <c r="E5" s="20" t="str">
        <f ca="1">IFERROR(IF(ISNUMBER('Revenues &amp; Outlays in GDP'!D11),TEXT('Revenues &amp; Outlays in GDP'!D11, "0.00"),""), "")</f>
        <v/>
      </c>
      <c r="F5" s="20">
        <f>IFERROR(IF(ISNUMBER('Revenues &amp; Outlays in GDP'!B11), 'Revenues &amp; Outlays in GDP'!J11,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GDP'!G12),TEXT('Revenues &amp; Outlays in GDP'!G12, "0.00"),""), "")</f>
        <v>18.03</v>
      </c>
      <c r="C6" s="20" t="str">
        <f ca="1">IFERROR(IF(ISNUMBER('Revenues &amp; Outlays in GDP'!C12),TEXT('Revenues &amp; Outlays in GDP'!C12, "0.00"),""), "")</f>
        <v/>
      </c>
      <c r="D6" s="20" t="str">
        <f>IFERROR(IF(ISNUMBER('Revenues &amp; Outlays in GDP'!H12),TEXT('Revenues &amp; Outlays in GDP'!H12, "0.00"),""), "")</f>
        <v>19.61</v>
      </c>
      <c r="E6" s="20" t="str">
        <f ca="1">IFERROR(IF(ISNUMBER('Revenues &amp; Outlays in GDP'!D12),TEXT('Revenues &amp; Outlays in GDP'!D12, "0.00"),""), "")</f>
        <v/>
      </c>
      <c r="F6" s="20">
        <f>IFERROR(IF(ISNUMBER('Revenues &amp; Outlays in GDP'!B12), 'Revenues &amp; Outlays in GDP'!J12,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GDP'!G13),TEXT('Revenues &amp; Outlays in GDP'!G13, "0.00"),""), "")</f>
        <v>18.49</v>
      </c>
      <c r="C7" s="20" t="str">
        <f ca="1">IFERROR(IF(ISNUMBER('Revenues &amp; Outlays in GDP'!C13),TEXT('Revenues &amp; Outlays in GDP'!C13, "0.00"),""), "")</f>
        <v/>
      </c>
      <c r="D7" s="20" t="str">
        <f>IFERROR(IF(ISNUMBER('Revenues &amp; Outlays in GDP'!H13),TEXT('Revenues &amp; Outlays in GDP'!H13, "0.00"),""), "")</f>
        <v>21.13</v>
      </c>
      <c r="E7" s="20" t="str">
        <f ca="1">IFERROR(IF(ISNUMBER('Revenues &amp; Outlays in GDP'!D13),TEXT('Revenues &amp; Outlays in GDP'!D13, "0.00"),""), "")</f>
        <v/>
      </c>
      <c r="F7" s="20">
        <f>IFERROR(IF(ISNUMBER('Revenues &amp; Outlays in GDP'!B13), 'Revenues &amp; Outlays in GDP'!J13,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GDP'!G14),TEXT('Revenues &amp; Outlays in GDP'!G14, "0.00"),""), "")</f>
        <v>19.10</v>
      </c>
      <c r="C8" s="20" t="str">
        <f ca="1">IFERROR(IF(ISNUMBER('Revenues &amp; Outlays in GDP'!C14),TEXT('Revenues &amp; Outlays in GDP'!C14, "0.00"),""), "")</f>
        <v/>
      </c>
      <c r="D8" s="20" t="str">
        <f>IFERROR(IF(ISNUMBER('Revenues &amp; Outlays in GDP'!H14),TEXT('Revenues &amp; Outlays in GDP'!H14, "0.00"),""), "")</f>
        <v>21.61</v>
      </c>
      <c r="E8" s="20" t="str">
        <f ca="1">IFERROR(IF(ISNUMBER('Revenues &amp; Outlays in GDP'!D14),TEXT('Revenues &amp; Outlays in GDP'!D14, "0.00"),""), "")</f>
        <v/>
      </c>
      <c r="F8" s="20">
        <f>IFERROR(IF(ISNUMBER('Revenues &amp; Outlays in GDP'!B14), 'Revenues &amp; Outlays in GDP'!J14,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GDP'!G15),TEXT('Revenues &amp; Outlays in GDP'!G15, "0.00"),""), "")</f>
        <v>18.64</v>
      </c>
      <c r="C9" s="20" t="str">
        <f ca="1">IFERROR(IF(ISNUMBER('Revenues &amp; Outlays in GDP'!C15),TEXT('Revenues &amp; Outlays in GDP'!C15, "0.00"),""), "")</f>
        <v/>
      </c>
      <c r="D9" s="20" t="str">
        <f>IFERROR(IF(ISNUMBER('Revenues &amp; Outlays in GDP'!H15),TEXT('Revenues &amp; Outlays in GDP'!H15, "0.00"),""), "")</f>
        <v>22.50</v>
      </c>
      <c r="E9" s="20" t="str">
        <f ca="1">IFERROR(IF(ISNUMBER('Revenues &amp; Outlays in GDP'!D15),TEXT('Revenues &amp; Outlays in GDP'!D15, "0.00"),""), "")</f>
        <v/>
      </c>
      <c r="F9" s="20">
        <f>IFERROR(IF(ISNUMBER('Revenues &amp; Outlays in GDP'!B15), 'Revenues &amp; Outlays in GDP'!J15,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GDP'!G16),TEXT('Revenues &amp; Outlays in GDP'!G16, "0.00"),""), "")</f>
        <v>16.96</v>
      </c>
      <c r="C10" s="20" t="str">
        <f ca="1">IFERROR(IF(ISNUMBER('Revenues &amp; Outlays in GDP'!C16),TEXT('Revenues &amp; Outlays in GDP'!C16, "0.00"),""), "")</f>
        <v/>
      </c>
      <c r="D10" s="20" t="str">
        <f>IFERROR(IF(ISNUMBER('Revenues &amp; Outlays in GDP'!H16),TEXT('Revenues &amp; Outlays in GDP'!H16, "0.00"),""), "")</f>
        <v>22.83</v>
      </c>
      <c r="E10" s="20" t="str">
        <f ca="1">IFERROR(IF(ISNUMBER('Revenues &amp; Outlays in GDP'!D16),TEXT('Revenues &amp; Outlays in GDP'!D16, "0.00"),""), "")</f>
        <v/>
      </c>
      <c r="F10" s="20">
        <f>IFERROR(IF(ISNUMBER('Revenues &amp; Outlays in GDP'!B16), 'Revenues &amp; Outlays in GDP'!J16,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GDP'!G17),TEXT('Revenues &amp; Outlays in GDP'!G17, "0.00"),""), "")</f>
        <v>16.86</v>
      </c>
      <c r="C11" s="20" t="str">
        <f ca="1">IFERROR(IF(ISNUMBER('Revenues &amp; Outlays in GDP'!C17),TEXT('Revenues &amp; Outlays in GDP'!C17, "0.00"),""), "")</f>
        <v/>
      </c>
      <c r="D11" s="20" t="str">
        <f>IFERROR(IF(ISNUMBER('Revenues &amp; Outlays in GDP'!H17),TEXT('Revenues &amp; Outlays in GDP'!H17, "0.00"),""), "")</f>
        <v>21.55</v>
      </c>
      <c r="E11" s="20" t="str">
        <f ca="1">IFERROR(IF(ISNUMBER('Revenues &amp; Outlays in GDP'!D17),TEXT('Revenues &amp; Outlays in GDP'!D17, "0.00"),""), "")</f>
        <v/>
      </c>
      <c r="F11" s="20">
        <f>IFERROR(IF(ISNUMBER('Revenues &amp; Outlays in GDP'!B17), 'Revenues &amp; Outlays in GDP'!J17,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GDP'!G18),TEXT('Revenues &amp; Outlays in GDP'!G18, "0.00"),""), "")</f>
        <v>17.19</v>
      </c>
      <c r="C12" s="20" t="str">
        <f ca="1">IFERROR(IF(ISNUMBER('Revenues &amp; Outlays in GDP'!C18),TEXT('Revenues &amp; Outlays in GDP'!C18, "0.00"),""), "")</f>
        <v/>
      </c>
      <c r="D12" s="20" t="str">
        <f>IFERROR(IF(ISNUMBER('Revenues &amp; Outlays in GDP'!H18),TEXT('Revenues &amp; Outlays in GDP'!H18, "0.00"),""), "")</f>
        <v>22.16</v>
      </c>
      <c r="E12" s="20" t="str">
        <f ca="1">IFERROR(IF(ISNUMBER('Revenues &amp; Outlays in GDP'!D18),TEXT('Revenues &amp; Outlays in GDP'!D18, "0.00"),""), "")</f>
        <v/>
      </c>
      <c r="F12" s="20">
        <f>IFERROR(IF(ISNUMBER('Revenues &amp; Outlays in GDP'!B18), 'Revenues &amp; Outlays in GDP'!J18,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GDP'!G19),TEXT('Revenues &amp; Outlays in GDP'!G19, "0.00"),""), "")</f>
        <v>16.96</v>
      </c>
      <c r="C13" s="20" t="str">
        <f ca="1">IFERROR(IF(ISNUMBER('Revenues &amp; Outlays in GDP'!C19),TEXT('Revenues &amp; Outlays in GDP'!C19, "0.00"),""), "")</f>
        <v/>
      </c>
      <c r="D13" s="20" t="str">
        <f>IFERROR(IF(ISNUMBER('Revenues &amp; Outlays in GDP'!H19),TEXT('Revenues &amp; Outlays in GDP'!H19, "0.00"),""), "")</f>
        <v>21.83</v>
      </c>
      <c r="E13" s="20" t="str">
        <f ca="1">IFERROR(IF(ISNUMBER('Revenues &amp; Outlays in GDP'!D19),TEXT('Revenues &amp; Outlays in GDP'!D19, "0.00"),""), "")</f>
        <v/>
      </c>
      <c r="F13" s="20">
        <f>IFERROR(IF(ISNUMBER('Revenues &amp; Outlays in GDP'!B19), 'Revenues &amp; Outlays in GDP'!J19,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GDP'!G20),TEXT('Revenues &amp; Outlays in GDP'!G20, "0.00"),""), "")</f>
        <v>17.87</v>
      </c>
      <c r="C14" s="20" t="str">
        <f ca="1">IFERROR(IF(ISNUMBER('Revenues &amp; Outlays in GDP'!C20),TEXT('Revenues &amp; Outlays in GDP'!C20, "0.00"),""), "")</f>
        <v/>
      </c>
      <c r="D14" s="20" t="str">
        <f>IFERROR(IF(ISNUMBER('Revenues &amp; Outlays in GDP'!H20),TEXT('Revenues &amp; Outlays in GDP'!H20, "0.00"),""), "")</f>
        <v>21.00</v>
      </c>
      <c r="E14" s="20" t="str">
        <f ca="1">IFERROR(IF(ISNUMBER('Revenues &amp; Outlays in GDP'!D20),TEXT('Revenues &amp; Outlays in GDP'!D20, "0.00"),""), "")</f>
        <v/>
      </c>
      <c r="F14" s="20">
        <f>IFERROR(IF(ISNUMBER('Revenues &amp; Outlays in GDP'!B20), 'Revenues &amp; Outlays in GDP'!J20,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GDP'!G21),TEXT('Revenues &amp; Outlays in GDP'!G21, "0.00"),""), "")</f>
        <v>17.64</v>
      </c>
      <c r="C15" s="20" t="str">
        <f ca="1">IFERROR(IF(ISNUMBER('Revenues &amp; Outlays in GDP'!C21),TEXT('Revenues &amp; Outlays in GDP'!C21, "0.00"),""), "")</f>
        <v/>
      </c>
      <c r="D15" s="20" t="str">
        <f>IFERROR(IF(ISNUMBER('Revenues &amp; Outlays in GDP'!H21),TEXT('Revenues &amp; Outlays in GDP'!H21, "0.00"),""), "")</f>
        <v>20.65</v>
      </c>
      <c r="E15" s="20" t="str">
        <f ca="1">IFERROR(IF(ISNUMBER('Revenues &amp; Outlays in GDP'!D21),TEXT('Revenues &amp; Outlays in GDP'!D21, "0.00"),""), "")</f>
        <v/>
      </c>
      <c r="F15" s="20">
        <f>IFERROR(IF(ISNUMBER('Revenues &amp; Outlays in GDP'!B21), 'Revenues &amp; Outlays in GDP'!J21,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GDP'!G22),TEXT('Revenues &amp; Outlays in GDP'!G22, "0.00"),""), "")</f>
        <v>17.79</v>
      </c>
      <c r="C16" s="20" t="str">
        <f ca="1">IFERROR(IF(ISNUMBER('Revenues &amp; Outlays in GDP'!C22),TEXT('Revenues &amp; Outlays in GDP'!C22, "0.00"),""), "")</f>
        <v/>
      </c>
      <c r="D16" s="20" t="str">
        <f>IFERROR(IF(ISNUMBER('Revenues &amp; Outlays in GDP'!H22),TEXT('Revenues &amp; Outlays in GDP'!H22, "0.00"),""), "")</f>
        <v>20.53</v>
      </c>
      <c r="E16" s="20" t="str">
        <f ca="1">IFERROR(IF(ISNUMBER('Revenues &amp; Outlays in GDP'!D22),TEXT('Revenues &amp; Outlays in GDP'!D22, "0.00"),""), "")</f>
        <v/>
      </c>
      <c r="F16" s="20">
        <f>IFERROR(IF(ISNUMBER('Revenues &amp; Outlays in GDP'!B22), 'Revenues &amp; Outlays in GDP'!J22,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GDP'!G23),TEXT('Revenues &amp; Outlays in GDP'!G23, "0.00"),""), "")</f>
        <v>17.45</v>
      </c>
      <c r="C17" s="20" t="str">
        <f ca="1">IFERROR(IF(ISNUMBER('Revenues &amp; Outlays in GDP'!C23),TEXT('Revenues &amp; Outlays in GDP'!C23, "0.00"),""), "")</f>
        <v/>
      </c>
      <c r="D17" s="20" t="str">
        <f>IFERROR(IF(ISNUMBER('Revenues &amp; Outlays in GDP'!H23),TEXT('Revenues &amp; Outlays in GDP'!H23, "0.00"),""), "")</f>
        <v>21.19</v>
      </c>
      <c r="E17" s="20" t="str">
        <f ca="1">IFERROR(IF(ISNUMBER('Revenues &amp; Outlays in GDP'!D23),TEXT('Revenues &amp; Outlays in GDP'!D23, "0.00"),""), "")</f>
        <v/>
      </c>
      <c r="F17" s="20">
        <f>IFERROR(IF(ISNUMBER('Revenues &amp; Outlays in GDP'!B23), 'Revenues &amp; Outlays in GDP'!J23,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GDP'!G24),TEXT('Revenues &amp; Outlays in GDP'!G24, "0.00"),""), "")</f>
        <v>17.27</v>
      </c>
      <c r="C18" s="20" t="str">
        <f ca="1">IFERROR(IF(ISNUMBER('Revenues &amp; Outlays in GDP'!C24),TEXT('Revenues &amp; Outlays in GDP'!C24, "0.00"),""), "")</f>
        <v/>
      </c>
      <c r="D18" s="20" t="str">
        <f>IFERROR(IF(ISNUMBER('Revenues &amp; Outlays in GDP'!H24),TEXT('Revenues &amp; Outlays in GDP'!H24, "0.00"),""), "")</f>
        <v>21.67</v>
      </c>
      <c r="E18" s="20" t="str">
        <f ca="1">IFERROR(IF(ISNUMBER('Revenues &amp; Outlays in GDP'!D24),TEXT('Revenues &amp; Outlays in GDP'!D24, "0.00"),""), "")</f>
        <v/>
      </c>
      <c r="F18" s="20">
        <f>IFERROR(IF(ISNUMBER('Revenues &amp; Outlays in GDP'!B24), 'Revenues &amp; Outlays in GDP'!J24,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GDP'!G25),TEXT('Revenues &amp; Outlays in GDP'!G25, "0.00"),""), "")</f>
        <v>16.96</v>
      </c>
      <c r="C19" s="20" t="str">
        <f ca="1">IFERROR(IF(ISNUMBER('Revenues &amp; Outlays in GDP'!C25),TEXT('Revenues &amp; Outlays in GDP'!C25, "0.00"),""), "")</f>
        <v/>
      </c>
      <c r="D19" s="20" t="str">
        <f>IFERROR(IF(ISNUMBER('Revenues &amp; Outlays in GDP'!H25),TEXT('Revenues &amp; Outlays in GDP'!H25, "0.00"),""), "")</f>
        <v>21.47</v>
      </c>
      <c r="E19" s="20" t="str">
        <f ca="1">IFERROR(IF(ISNUMBER('Revenues &amp; Outlays in GDP'!D25),TEXT('Revenues &amp; Outlays in GDP'!D25, "0.00"),""), "")</f>
        <v/>
      </c>
      <c r="F19" s="20">
        <f>IFERROR(IF(ISNUMBER('Revenues &amp; Outlays in GDP'!B25), 'Revenues &amp; Outlays in GDP'!J25,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GDP'!G26),TEXT('Revenues &amp; Outlays in GDP'!G26, "0.00"),""), "")</f>
        <v>16.99</v>
      </c>
      <c r="C20" s="20" t="str">
        <f ca="1">IFERROR(IF(ISNUMBER('Revenues &amp; Outlays in GDP'!C26),TEXT('Revenues &amp; Outlays in GDP'!C26, "0.00"),""), "")</f>
        <v/>
      </c>
      <c r="D20" s="20" t="str">
        <f>IFERROR(IF(ISNUMBER('Revenues &amp; Outlays in GDP'!H26),TEXT('Revenues &amp; Outlays in GDP'!H26, "0.00"),""), "")</f>
        <v>20.74</v>
      </c>
      <c r="E20" s="20" t="str">
        <f ca="1">IFERROR(IF(ISNUMBER('Revenues &amp; Outlays in GDP'!D26),TEXT('Revenues &amp; Outlays in GDP'!D26, "0.00"),""), "")</f>
        <v/>
      </c>
      <c r="F20" s="20">
        <f>IFERROR(IF(ISNUMBER('Revenues &amp; Outlays in GDP'!B26), 'Revenues &amp; Outlays in GDP'!J26,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GDP'!G27),TEXT('Revenues &amp; Outlays in GDP'!G27, "0.00"),""), "")</f>
        <v>17.49</v>
      </c>
      <c r="C21" s="20" t="str">
        <f ca="1">IFERROR(IF(ISNUMBER('Revenues &amp; Outlays in GDP'!C27),TEXT('Revenues &amp; Outlays in GDP'!C27, "0.00"),""), "")</f>
        <v/>
      </c>
      <c r="D21" s="20" t="str">
        <f>IFERROR(IF(ISNUMBER('Revenues &amp; Outlays in GDP'!H27),TEXT('Revenues &amp; Outlays in GDP'!H27, "0.00"),""), "")</f>
        <v>20.31</v>
      </c>
      <c r="E21" s="20" t="str">
        <f ca="1">IFERROR(IF(ISNUMBER('Revenues &amp; Outlays in GDP'!D27),TEXT('Revenues &amp; Outlays in GDP'!D27, "0.00"),""), "")</f>
        <v/>
      </c>
      <c r="F21" s="20">
        <f>IFERROR(IF(ISNUMBER('Revenues &amp; Outlays in GDP'!B27), 'Revenues &amp; Outlays in GDP'!J27,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GDP'!G28),TEXT('Revenues &amp; Outlays in GDP'!G28, "0.00"),""), "")</f>
        <v>17.83</v>
      </c>
      <c r="C22" s="20" t="str">
        <f ca="1">IFERROR(IF(ISNUMBER('Revenues &amp; Outlays in GDP'!C28),TEXT('Revenues &amp; Outlays in GDP'!C28, "0.00"),""), "")</f>
        <v/>
      </c>
      <c r="D22" s="20" t="str">
        <f>IFERROR(IF(ISNUMBER('Revenues &amp; Outlays in GDP'!H28),TEXT('Revenues &amp; Outlays in GDP'!H28, "0.00"),""), "")</f>
        <v>19.99</v>
      </c>
      <c r="E22" s="20" t="str">
        <f ca="1">IFERROR(IF(ISNUMBER('Revenues &amp; Outlays in GDP'!D28),TEXT('Revenues &amp; Outlays in GDP'!D28, "0.00"),""), "")</f>
        <v/>
      </c>
      <c r="F22" s="20">
        <f>IFERROR(IF(ISNUMBER('Revenues &amp; Outlays in GDP'!B28), 'Revenues &amp; Outlays in GDP'!J28,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GDP'!G29),TEXT('Revenues &amp; Outlays in GDP'!G29, "0.00"),""), "")</f>
        <v>18.21</v>
      </c>
      <c r="C23" s="20" t="str">
        <f ca="1">IFERROR(IF(ISNUMBER('Revenues &amp; Outlays in GDP'!C29),TEXT('Revenues &amp; Outlays in GDP'!C29, "0.00"),""), "")</f>
        <v/>
      </c>
      <c r="D23" s="20" t="str">
        <f>IFERROR(IF(ISNUMBER('Revenues &amp; Outlays in GDP'!H29),TEXT('Revenues &amp; Outlays in GDP'!H29, "0.00"),""), "")</f>
        <v>19.56</v>
      </c>
      <c r="E23" s="20" t="str">
        <f ca="1">IFERROR(IF(ISNUMBER('Revenues &amp; Outlays in GDP'!D29),TEXT('Revenues &amp; Outlays in GDP'!D29, "0.00"),""), "")</f>
        <v/>
      </c>
      <c r="F23" s="20">
        <f>IFERROR(IF(ISNUMBER('Revenues &amp; Outlays in GDP'!B29), 'Revenues &amp; Outlays in GDP'!J29,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GDP'!G30),TEXT('Revenues &amp; Outlays in GDP'!G30, "0.00"),""), "")</f>
        <v>18.62</v>
      </c>
      <c r="C24" s="20" t="str">
        <f ca="1">IFERROR(IF(ISNUMBER('Revenues &amp; Outlays in GDP'!C30),TEXT('Revenues &amp; Outlays in GDP'!C30, "0.00"),""), "")</f>
        <v/>
      </c>
      <c r="D24" s="20" t="str">
        <f>IFERROR(IF(ISNUMBER('Revenues &amp; Outlays in GDP'!H30),TEXT('Revenues &amp; Outlays in GDP'!H30, "0.00"),""), "")</f>
        <v>18.87</v>
      </c>
      <c r="E24" s="20" t="str">
        <f ca="1">IFERROR(IF(ISNUMBER('Revenues &amp; Outlays in GDP'!D30),TEXT('Revenues &amp; Outlays in GDP'!D30, "0.00"),""), "")</f>
        <v/>
      </c>
      <c r="F24" s="20">
        <f>IFERROR(IF(ISNUMBER('Revenues &amp; Outlays in GDP'!B30), 'Revenues &amp; Outlays in GDP'!J30,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GDP'!G31),TEXT('Revenues &amp; Outlays in GDP'!G31, "0.00"),""), "")</f>
        <v>19.23</v>
      </c>
      <c r="C25" s="20" t="str">
        <f ca="1">IFERROR(IF(ISNUMBER('Revenues &amp; Outlays in GDP'!C31),TEXT('Revenues &amp; Outlays in GDP'!C31, "0.00"),""), "")</f>
        <v/>
      </c>
      <c r="D25" s="20" t="str">
        <f>IFERROR(IF(ISNUMBER('Revenues &amp; Outlays in GDP'!H31),TEXT('Revenues &amp; Outlays in GDP'!H31, "0.00"),""), "")</f>
        <v>18.45</v>
      </c>
      <c r="E25" s="20" t="str">
        <f ca="1">IFERROR(IF(ISNUMBER('Revenues &amp; Outlays in GDP'!D31),TEXT('Revenues &amp; Outlays in GDP'!D31, "0.00"),""), "")</f>
        <v/>
      </c>
      <c r="F25" s="20">
        <f>IFERROR(IF(ISNUMBER('Revenues &amp; Outlays in GDP'!B31), 'Revenues &amp; Outlays in GDP'!J31,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GDP'!G32),TEXT('Revenues &amp; Outlays in GDP'!G32, "0.00"),""), "")</f>
        <v>19.22</v>
      </c>
      <c r="C26" s="20" t="str">
        <f ca="1">IFERROR(IF(ISNUMBER('Revenues &amp; Outlays in GDP'!C32),TEXT('Revenues &amp; Outlays in GDP'!C32, "0.00"),""), "")</f>
        <v/>
      </c>
      <c r="D26" s="20" t="str">
        <f>IFERROR(IF(ISNUMBER('Revenues &amp; Outlays in GDP'!H32),TEXT('Revenues &amp; Outlays in GDP'!H32, "0.00"),""), "")</f>
        <v>17.89</v>
      </c>
      <c r="E26" s="20" t="str">
        <f ca="1">IFERROR(IF(ISNUMBER('Revenues &amp; Outlays in GDP'!D32),TEXT('Revenues &amp; Outlays in GDP'!D32, "0.00"),""), "")</f>
        <v/>
      </c>
      <c r="F26" s="20">
        <f>IFERROR(IF(ISNUMBER('Revenues &amp; Outlays in GDP'!B32), 'Revenues &amp; Outlays in GDP'!J32,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GDP'!G33),TEXT('Revenues &amp; Outlays in GDP'!G33, "0.00"),""), "")</f>
        <v>19.96</v>
      </c>
      <c r="C27" s="20" t="str">
        <f ca="1">IFERROR(IF(ISNUMBER('Revenues &amp; Outlays in GDP'!C33),TEXT('Revenues &amp; Outlays in GDP'!C33, "0.00"),""), "")</f>
        <v/>
      </c>
      <c r="D27" s="20" t="str">
        <f>IFERROR(IF(ISNUMBER('Revenues &amp; Outlays in GDP'!H33),TEXT('Revenues &amp; Outlays in GDP'!H33, "0.00"),""), "")</f>
        <v>17.63</v>
      </c>
      <c r="E27" s="20" t="str">
        <f ca="1">IFERROR(IF(ISNUMBER('Revenues &amp; Outlays in GDP'!D33),TEXT('Revenues &amp; Outlays in GDP'!D33, "0.00"),""), "")</f>
        <v/>
      </c>
      <c r="F27" s="20">
        <f>IFERROR(IF(ISNUMBER('Revenues &amp; Outlays in GDP'!B33), 'Revenues &amp; Outlays in GDP'!J33,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GDP'!G34),TEXT('Revenues &amp; Outlays in GDP'!G34, "0.00"),""), "")</f>
        <v>18.85</v>
      </c>
      <c r="C28" s="20" t="str">
        <f ca="1">IFERROR(IF(ISNUMBER('Revenues &amp; Outlays in GDP'!C34),TEXT('Revenues &amp; Outlays in GDP'!C34, "0.00"),""), "")</f>
        <v/>
      </c>
      <c r="D28" s="20" t="str">
        <f>IFERROR(IF(ISNUMBER('Revenues &amp; Outlays in GDP'!H34),TEXT('Revenues &amp; Outlays in GDP'!H34, "0.00"),""), "")</f>
        <v>17.63</v>
      </c>
      <c r="E28" s="20" t="str">
        <f ca="1">IFERROR(IF(ISNUMBER('Revenues &amp; Outlays in GDP'!D34),TEXT('Revenues &amp; Outlays in GDP'!D34, "0.00"),""), "")</f>
        <v/>
      </c>
      <c r="F28" s="20">
        <f>IFERROR(IF(ISNUMBER('Revenues &amp; Outlays in GDP'!B34), 'Revenues &amp; Outlays in GDP'!J34,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GDP'!G35),TEXT('Revenues &amp; Outlays in GDP'!G35, "0.00"),""), "")</f>
        <v>17.04</v>
      </c>
      <c r="C29" s="20" t="str">
        <f ca="1">IFERROR(IF(ISNUMBER('Revenues &amp; Outlays in GDP'!C35),TEXT('Revenues &amp; Outlays in GDP'!C35, "0.00"),""), "")</f>
        <v/>
      </c>
      <c r="D29" s="20" t="str">
        <f>IFERROR(IF(ISNUMBER('Revenues &amp; Outlays in GDP'!H35),TEXT('Revenues &amp; Outlays in GDP'!H35, "0.00"),""), "")</f>
        <v>18.49</v>
      </c>
      <c r="E29" s="20" t="str">
        <f ca="1">IFERROR(IF(ISNUMBER('Revenues &amp; Outlays in GDP'!D35),TEXT('Revenues &amp; Outlays in GDP'!D35, "0.00"),""), "")</f>
        <v/>
      </c>
      <c r="F29" s="20">
        <f>IFERROR(IF(ISNUMBER('Revenues &amp; Outlays in GDP'!B35), 'Revenues &amp; Outlays in GDP'!J35,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GDP'!G36),TEXT('Revenues &amp; Outlays in GDP'!G36, "0.00"),""), "")</f>
        <v>15.73</v>
      </c>
      <c r="C30" s="20" t="str">
        <f ca="1">IFERROR(IF(ISNUMBER('Revenues &amp; Outlays in GDP'!C36),TEXT('Revenues &amp; Outlays in GDP'!C36, "0.00"),""), "")</f>
        <v/>
      </c>
      <c r="D30" s="20" t="str">
        <f>IFERROR(IF(ISNUMBER('Revenues &amp; Outlays in GDP'!H36),TEXT('Revenues &amp; Outlays in GDP'!H36, "0.00"),""), "")</f>
        <v>19.06</v>
      </c>
      <c r="E30" s="20" t="str">
        <f ca="1">IFERROR(IF(ISNUMBER('Revenues &amp; Outlays in GDP'!D36),TEXT('Revenues &amp; Outlays in GDP'!D36, "0.00"),""), "")</f>
        <v/>
      </c>
      <c r="F30" s="20">
        <f>IFERROR(IF(ISNUMBER('Revenues &amp; Outlays in GDP'!B36), 'Revenues &amp; Outlays in GDP'!J36,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GDP'!G37),TEXT('Revenues &amp; Outlays in GDP'!G37, "0.00"),""), "")</f>
        <v>15.55</v>
      </c>
      <c r="C31" s="20" t="str">
        <f ca="1">IFERROR(IF(ISNUMBER('Revenues &amp; Outlays in GDP'!C37),TEXT('Revenues &amp; Outlays in GDP'!C37, "0.00"),""), "")</f>
        <v/>
      </c>
      <c r="D31" s="20" t="str">
        <f>IFERROR(IF(ISNUMBER('Revenues &amp; Outlays in GDP'!H37),TEXT('Revenues &amp; Outlays in GDP'!H37, "0.00"),""), "")</f>
        <v>18.97</v>
      </c>
      <c r="E31" s="20" t="str">
        <f ca="1">IFERROR(IF(ISNUMBER('Revenues &amp; Outlays in GDP'!D37),TEXT('Revenues &amp; Outlays in GDP'!D37, "0.00"),""), "")</f>
        <v/>
      </c>
      <c r="F31" s="20">
        <f>IFERROR(IF(ISNUMBER('Revenues &amp; Outlays in GDP'!B37), 'Revenues &amp; Outlays in GDP'!J37,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GDP'!G38),TEXT('Revenues &amp; Outlays in GDP'!G38, "0.00"),""), "")</f>
        <v>16.71</v>
      </c>
      <c r="C32" s="20" t="str">
        <f ca="1">IFERROR(IF(ISNUMBER('Revenues &amp; Outlays in GDP'!C38),TEXT('Revenues &amp; Outlays in GDP'!C38, "0.00"),""), "")</f>
        <v/>
      </c>
      <c r="D32" s="20" t="str">
        <f>IFERROR(IF(ISNUMBER('Revenues &amp; Outlays in GDP'!H38),TEXT('Revenues &amp; Outlays in GDP'!H38, "0.00"),""), "")</f>
        <v>19.18</v>
      </c>
      <c r="E32" s="20" t="str">
        <f ca="1">IFERROR(IF(ISNUMBER('Revenues &amp; Outlays in GDP'!D38),TEXT('Revenues &amp; Outlays in GDP'!D38, "0.00"),""), "")</f>
        <v/>
      </c>
      <c r="F32" s="20">
        <f>IFERROR(IF(ISNUMBER('Revenues &amp; Outlays in GDP'!B38), 'Revenues &amp; Outlays in GDP'!J38,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GDP'!G39),TEXT('Revenues &amp; Outlays in GDP'!G39, "0.00"),""), "")</f>
        <v>17.59</v>
      </c>
      <c r="C33" s="20" t="str">
        <f ca="1">IFERROR(IF(ISNUMBER('Revenues &amp; Outlays in GDP'!C39),TEXT('Revenues &amp; Outlays in GDP'!C39, "0.00"),""), "")</f>
        <v/>
      </c>
      <c r="D33" s="20" t="str">
        <f>IFERROR(IF(ISNUMBER('Revenues &amp; Outlays in GDP'!H39),TEXT('Revenues &amp; Outlays in GDP'!H39, "0.00"),""), "")</f>
        <v>19.40</v>
      </c>
      <c r="E33" s="20" t="str">
        <f ca="1">IFERROR(IF(ISNUMBER('Revenues &amp; Outlays in GDP'!D39),TEXT('Revenues &amp; Outlays in GDP'!D39, "0.00"),""), "")</f>
        <v/>
      </c>
      <c r="F33" s="20">
        <f>IFERROR(IF(ISNUMBER('Revenues &amp; Outlays in GDP'!B39), 'Revenues &amp; Outlays in GDP'!J39,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GDP'!G40),TEXT('Revenues &amp; Outlays in GDP'!G40, "0.00"),""), "")</f>
        <v>17.93</v>
      </c>
      <c r="C34" s="20" t="str">
        <f ca="1">IFERROR(IF(ISNUMBER('Revenues &amp; Outlays in GDP'!C40),TEXT('Revenues &amp; Outlays in GDP'!C40, "0.00"),""), "")</f>
        <v/>
      </c>
      <c r="D34" s="20" t="str">
        <f>IFERROR(IF(ISNUMBER('Revenues &amp; Outlays in GDP'!H40),TEXT('Revenues &amp; Outlays in GDP'!H40, "0.00"),""), "")</f>
        <v>19.05</v>
      </c>
      <c r="E34" s="20" t="str">
        <f ca="1">IFERROR(IF(ISNUMBER('Revenues &amp; Outlays in GDP'!D40),TEXT('Revenues &amp; Outlays in GDP'!D40, "0.00"),""), "")</f>
        <v/>
      </c>
      <c r="F34" s="20">
        <f>IFERROR(IF(ISNUMBER('Revenues &amp; Outlays in GDP'!B40), 'Revenues &amp; Outlays in GDP'!J40,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GDP'!G41),TEXT('Revenues &amp; Outlays in GDP'!G41, "0.00"),""), "")</f>
        <v>17.11</v>
      </c>
      <c r="C35" s="20" t="str">
        <f ca="1">IFERROR(IF(ISNUMBER('Revenues &amp; Outlays in GDP'!C41),TEXT('Revenues &amp; Outlays in GDP'!C41, "0.00"),""), "")</f>
        <v/>
      </c>
      <c r="D35" s="20" t="str">
        <f>IFERROR(IF(ISNUMBER('Revenues &amp; Outlays in GDP'!H41),TEXT('Revenues &amp; Outlays in GDP'!H41, "0.00"),""), "")</f>
        <v>20.22</v>
      </c>
      <c r="E35" s="20" t="str">
        <f ca="1">IFERROR(IF(ISNUMBER('Revenues &amp; Outlays in GDP'!D41),TEXT('Revenues &amp; Outlays in GDP'!D41, "0.00"),""), "")</f>
        <v/>
      </c>
      <c r="F35" s="20">
        <f>IFERROR(IF(ISNUMBER('Revenues &amp; Outlays in GDP'!B41), 'Revenues &amp; Outlays in GDP'!J41,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GDP'!G42),TEXT('Revenues &amp; Outlays in GDP'!G42, "0.00"),""), "")</f>
        <v>14.60</v>
      </c>
      <c r="C36" s="20" t="str">
        <f ca="1">IFERROR(IF(ISNUMBER('Revenues &amp; Outlays in GDP'!C42),TEXT('Revenues &amp; Outlays in GDP'!C42, "0.00"),""), "")</f>
        <v/>
      </c>
      <c r="D36" s="20" t="str">
        <f>IFERROR(IF(ISNUMBER('Revenues &amp; Outlays in GDP'!H42),TEXT('Revenues &amp; Outlays in GDP'!H42, "0.00"),""), "")</f>
        <v>24.40</v>
      </c>
      <c r="E36" s="20" t="str">
        <f ca="1">IFERROR(IF(ISNUMBER('Revenues &amp; Outlays in GDP'!D42),TEXT('Revenues &amp; Outlays in GDP'!D42, "0.00"),""), "")</f>
        <v/>
      </c>
      <c r="F36" s="20">
        <f>IFERROR(IF(ISNUMBER('Revenues &amp; Outlays in GDP'!B42), 'Revenues &amp; Outlays in GDP'!J42,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GDP'!G43),TEXT('Revenues &amp; Outlays in GDP'!G43, "0.00"),""), "")</f>
        <v>14.61</v>
      </c>
      <c r="C37" s="20" t="str">
        <f ca="1">IFERROR(IF(ISNUMBER('Revenues &amp; Outlays in GDP'!C43),TEXT('Revenues &amp; Outlays in GDP'!C43, "0.00"),""), "")</f>
        <v/>
      </c>
      <c r="D37" s="20" t="str">
        <f>IFERROR(IF(ISNUMBER('Revenues &amp; Outlays in GDP'!H43),TEXT('Revenues &amp; Outlays in GDP'!H43, "0.00"),""), "")</f>
        <v>23.36</v>
      </c>
      <c r="E37" s="20" t="str">
        <f ca="1">IFERROR(IF(ISNUMBER('Revenues &amp; Outlays in GDP'!D43),TEXT('Revenues &amp; Outlays in GDP'!D43, "0.00"),""), "")</f>
        <v/>
      </c>
      <c r="F37" s="20">
        <f>IFERROR(IF(ISNUMBER('Revenues &amp; Outlays in GDP'!B43), 'Revenues &amp; Outlays in GDP'!J43,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GDP'!G44),TEXT('Revenues &amp; Outlays in GDP'!G44, "0.00"),""), "")</f>
        <v>14.98</v>
      </c>
      <c r="C38" s="20" t="str">
        <f ca="1">IFERROR(IF(ISNUMBER('Revenues &amp; Outlays in GDP'!C44),TEXT('Revenues &amp; Outlays in GDP'!C44, "0.00"),""), "")</f>
        <v/>
      </c>
      <c r="D38" s="20" t="str">
        <f>IFERROR(IF(ISNUMBER('Revenues &amp; Outlays in GDP'!H44),TEXT('Revenues &amp; Outlays in GDP'!H44, "0.00"),""), "")</f>
        <v>23.43</v>
      </c>
      <c r="E38" s="20" t="str">
        <f ca="1">IFERROR(IF(ISNUMBER('Revenues &amp; Outlays in GDP'!D44),TEXT('Revenues &amp; Outlays in GDP'!D44, "0.00"),""), "")</f>
        <v/>
      </c>
      <c r="F38" s="20">
        <f>IFERROR(IF(ISNUMBER('Revenues &amp; Outlays in GDP'!B44), 'Revenues &amp; Outlays in GDP'!J44,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GDP'!G45),TEXT('Revenues &amp; Outlays in GDP'!G45, "0.00"),""), "")</f>
        <v>15.29</v>
      </c>
      <c r="C39" s="20" t="str">
        <f ca="1">IFERROR(IF(ISNUMBER('Revenues &amp; Outlays in GDP'!C45),TEXT('Revenues &amp; Outlays in GDP'!C45, "0.00"),""), "")</f>
        <v/>
      </c>
      <c r="D39" s="20" t="str">
        <f>IFERROR(IF(ISNUMBER('Revenues &amp; Outlays in GDP'!H45),TEXT('Revenues &amp; Outlays in GDP'!H45, "0.00"),""), "")</f>
        <v>22.07</v>
      </c>
      <c r="E39" s="20" t="str">
        <f ca="1">IFERROR(IF(ISNUMBER('Revenues &amp; Outlays in GDP'!D45),TEXT('Revenues &amp; Outlays in GDP'!D45, "0.00"),""), "")</f>
        <v/>
      </c>
      <c r="F39" s="20">
        <f>IFERROR(IF(ISNUMBER('Revenues &amp; Outlays in GDP'!B45), 'Revenues &amp; Outlays in GDP'!J45,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GDP'!G46),TEXT('Revenues &amp; Outlays in GDP'!G46, "0.00"),""), "")</f>
        <v>16.74</v>
      </c>
      <c r="C40" s="20" t="str">
        <f ca="1">IFERROR(IF(ISNUMBER('Revenues &amp; Outlays in GDP'!C46),TEXT('Revenues &amp; Outlays in GDP'!C46, "0.00"),""), "")</f>
        <v/>
      </c>
      <c r="D40" s="20" t="str">
        <f>IFERROR(IF(ISNUMBER('Revenues &amp; Outlays in GDP'!H46),TEXT('Revenues &amp; Outlays in GDP'!H46, "0.00"),""), "")</f>
        <v>20.83</v>
      </c>
      <c r="E40" s="20" t="str">
        <f ca="1">IFERROR(IF(ISNUMBER('Revenues &amp; Outlays in GDP'!D46),TEXT('Revenues &amp; Outlays in GDP'!D46, "0.00"),""), "")</f>
        <v/>
      </c>
      <c r="F40" s="20">
        <f>IFERROR(IF(ISNUMBER('Revenues &amp; Outlays in GDP'!B46), 'Revenues &amp; Outlays in GDP'!J46,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GDP'!G47),TEXT('Revenues &amp; Outlays in GDP'!G47, "0.00"),""), "")</f>
        <v>17.51</v>
      </c>
      <c r="C41" s="20" t="str">
        <f ca="1">IFERROR(IF(ISNUMBER('Revenues &amp; Outlays in GDP'!C47),TEXT('Revenues &amp; Outlays in GDP'!C47, "0.00"),""), "")</f>
        <v>17.50</v>
      </c>
      <c r="D41" s="20" t="str">
        <f>IFERROR(IF(ISNUMBER('Revenues &amp; Outlays in GDP'!H47),TEXT('Revenues &amp; Outlays in GDP'!H47, "0.00"),""), "")</f>
        <v>20.31</v>
      </c>
      <c r="E41" s="20" t="str">
        <f ca="1">IFERROR(IF(ISNUMBER('Revenues &amp; Outlays in GDP'!D47),TEXT('Revenues &amp; Outlays in GDP'!D47, "0.00"),""), "")</f>
        <v>20.30</v>
      </c>
      <c r="F41" s="20">
        <f>IFERROR(IF(ISNUMBER('Revenues &amp; Outlays in GDP'!B47), 'Revenues &amp; Outlays in GDP'!J47,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GDP'!G48),TEXT('Revenues &amp; Outlays in GDP'!G48, "0.00"),""), "")</f>
        <v/>
      </c>
      <c r="C42" s="20" t="str">
        <f ca="1">IFERROR(IF(ISNUMBER('Revenues &amp; Outlays in GDP'!C48),TEXT('Revenues &amp; Outlays in GDP'!C48, "0.00"),""), "")</f>
        <v>17.70</v>
      </c>
      <c r="D42" s="20" t="str">
        <f>IFERROR(IF(ISNUMBER('Revenues &amp; Outlays in GDP'!H48),TEXT('Revenues &amp; Outlays in GDP'!H48, "0.00"),""), "")</f>
        <v/>
      </c>
      <c r="E42" s="20" t="str">
        <f ca="1">IFERROR(IF(ISNUMBER('Revenues &amp; Outlays in GDP'!D48),TEXT('Revenues &amp; Outlays in GDP'!D48, "0.00"),""), "")</f>
        <v>20.40</v>
      </c>
      <c r="F42" s="20">
        <f>IFERROR(IF(ISNUMBER('Revenues &amp; Outlays in GDP'!B48), 'Revenues &amp; Outlays in GDP'!J48,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GDP'!G49),TEXT('Revenues &amp; Outlays in GDP'!G49, "0.00"),""), "")</f>
        <v/>
      </c>
      <c r="C43" s="20" t="str">
        <f ca="1">IFERROR(IF(ISNUMBER('Revenues &amp; Outlays in GDP'!C49),TEXT('Revenues &amp; Outlays in GDP'!C49, "0.00"),""), "")</f>
        <v>18.40</v>
      </c>
      <c r="D43" s="20" t="str">
        <f>IFERROR(IF(ISNUMBER('Revenues &amp; Outlays in GDP'!H49),TEXT('Revenues &amp; Outlays in GDP'!H49, "0.00"),""), "")</f>
        <v/>
      </c>
      <c r="E43" s="20" t="str">
        <f ca="1">IFERROR(IF(ISNUMBER('Revenues &amp; Outlays in GDP'!D49),TEXT('Revenues &amp; Outlays in GDP'!D49, "0.00"),""), "")</f>
        <v>20.80</v>
      </c>
      <c r="F43" s="20">
        <f>IFERROR(IF(ISNUMBER('Revenues &amp; Outlays in GDP'!B49), 'Revenues &amp; Outlays in GDP'!J49,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GDP'!G50),TEXT('Revenues &amp; Outlays in GDP'!G50, "0.00"),""), "")</f>
        <v/>
      </c>
      <c r="C44" s="20" t="str">
        <f ca="1">IFERROR(IF(ISNUMBER('Revenues &amp; Outlays in GDP'!C50),TEXT('Revenues &amp; Outlays in GDP'!C50, "0.00"),""), "")</f>
        <v>18.30</v>
      </c>
      <c r="D44" s="20" t="str">
        <f>IFERROR(IF(ISNUMBER('Revenues &amp; Outlays in GDP'!H50),TEXT('Revenues &amp; Outlays in GDP'!H50, "0.00"),""), "")</f>
        <v/>
      </c>
      <c r="E44" s="20" t="str">
        <f ca="1">IFERROR(IF(ISNUMBER('Revenues &amp; Outlays in GDP'!D50),TEXT('Revenues &amp; Outlays in GDP'!D50, "0.00"),""), "")</f>
        <v>20.60</v>
      </c>
      <c r="F44" s="20">
        <f>IFERROR(IF(ISNUMBER('Revenues &amp; Outlays in GDP'!B50), 'Revenues &amp; Outlays in GDP'!J50,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GDP'!G51),TEXT('Revenues &amp; Outlays in GDP'!G51, "0.00"),""), "")</f>
        <v/>
      </c>
      <c r="C45" s="20" t="str">
        <f ca="1">IFERROR(IF(ISNUMBER('Revenues &amp; Outlays in GDP'!C51),TEXT('Revenues &amp; Outlays in GDP'!C51, "0.00"),""), "")</f>
        <v>18.10</v>
      </c>
      <c r="D45" s="20" t="str">
        <f>IFERROR(IF(ISNUMBER('Revenues &amp; Outlays in GDP'!H51),TEXT('Revenues &amp; Outlays in GDP'!H51, "0.00"),""), "")</f>
        <v/>
      </c>
      <c r="E45" s="20" t="str">
        <f ca="1">IFERROR(IF(ISNUMBER('Revenues &amp; Outlays in GDP'!D51),TEXT('Revenues &amp; Outlays in GDP'!D51, "0.00"),""), "")</f>
        <v>20.50</v>
      </c>
      <c r="F45" s="20">
        <f>IFERROR(IF(ISNUMBER('Revenues &amp; Outlays in GDP'!B51), 'Revenues &amp; Outlays in GDP'!J51,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GDP'!G52),TEXT('Revenues &amp; Outlays in GDP'!G52, "0.00"),""), "")</f>
        <v/>
      </c>
      <c r="C46" s="20" t="str">
        <f ca="1">IFERROR(IF(ISNUMBER('Revenues &amp; Outlays in GDP'!C52),TEXT('Revenues &amp; Outlays in GDP'!C52, "0.00"),""), "")</f>
        <v>18.10</v>
      </c>
      <c r="D46" s="20" t="str">
        <f>IFERROR(IF(ISNUMBER('Revenues &amp; Outlays in GDP'!H52),TEXT('Revenues &amp; Outlays in GDP'!H52, "0.00"),""), "")</f>
        <v/>
      </c>
      <c r="E46" s="20" t="str">
        <f ca="1">IFERROR(IF(ISNUMBER('Revenues &amp; Outlays in GDP'!D52),TEXT('Revenues &amp; Outlays in GDP'!D52, "0.00"),""), "")</f>
        <v>20.90</v>
      </c>
      <c r="F46" s="20">
        <f>IFERROR(IF(ISNUMBER('Revenues &amp; Outlays in GDP'!B52), 'Revenues &amp; Outlays in GDP'!J52,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GDP'!G53),TEXT('Revenues &amp; Outlays in GDP'!G53, "0.00"),""), "")</f>
        <v/>
      </c>
      <c r="C47" s="20" t="str">
        <f ca="1">IFERROR(IF(ISNUMBER('Revenues &amp; Outlays in GDP'!C53),TEXT('Revenues &amp; Outlays in GDP'!C53, "0.00"),""), "")</f>
        <v>18.10</v>
      </c>
      <c r="D47" s="20" t="str">
        <f>IFERROR(IF(ISNUMBER('Revenues &amp; Outlays in GDP'!H53),TEXT('Revenues &amp; Outlays in GDP'!H53, "0.00"),""), "")</f>
        <v/>
      </c>
      <c r="E47" s="20" t="str">
        <f ca="1">IFERROR(IF(ISNUMBER('Revenues &amp; Outlays in GDP'!D53),TEXT('Revenues &amp; Outlays in GDP'!D53, "0.00"),""), "")</f>
        <v>21.20</v>
      </c>
      <c r="F47" s="20">
        <f>IFERROR(IF(ISNUMBER('Revenues &amp; Outlays in GDP'!B53), 'Revenues &amp; Outlays in GDP'!J53,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GDP'!G54),TEXT('Revenues &amp; Outlays in GDP'!G54, "0.00"),""), "")</f>
        <v/>
      </c>
      <c r="C48" s="20" t="str">
        <f ca="1">IFERROR(IF(ISNUMBER('Revenues &amp; Outlays in GDP'!C54),TEXT('Revenues &amp; Outlays in GDP'!C54, "0.00"),""), "")</f>
        <v>18.10</v>
      </c>
      <c r="D48" s="20" t="str">
        <f>IFERROR(IF(ISNUMBER('Revenues &amp; Outlays in GDP'!H54),TEXT('Revenues &amp; Outlays in GDP'!H54, "0.00"),""), "")</f>
        <v/>
      </c>
      <c r="E48" s="20" t="str">
        <f ca="1">IFERROR(IF(ISNUMBER('Revenues &amp; Outlays in GDP'!D54),TEXT('Revenues &amp; Outlays in GDP'!D54, "0.00"),""), "")</f>
        <v>21.40</v>
      </c>
      <c r="F48" s="20">
        <f>IFERROR(IF(ISNUMBER('Revenues &amp; Outlays in GDP'!B54), 'Revenues &amp; Outlays in GDP'!J54,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GDP'!G55),TEXT('Revenues &amp; Outlays in GDP'!G55, "0.00"),""), "")</f>
        <v/>
      </c>
      <c r="C49" s="20" t="str">
        <f ca="1">IFERROR(IF(ISNUMBER('Revenues &amp; Outlays in GDP'!C55),TEXT('Revenues &amp; Outlays in GDP'!C55, "0.00"),""), "")</f>
        <v>18.10</v>
      </c>
      <c r="D49" s="20" t="str">
        <f>IFERROR(IF(ISNUMBER('Revenues &amp; Outlays in GDP'!H55),TEXT('Revenues &amp; Outlays in GDP'!H55, "0.00"),""), "")</f>
        <v/>
      </c>
      <c r="E49" s="20" t="str">
        <f ca="1">IFERROR(IF(ISNUMBER('Revenues &amp; Outlays in GDP'!D55),TEXT('Revenues &amp; Outlays in GDP'!D55, "0.00"),""), "")</f>
        <v>21.80</v>
      </c>
      <c r="F49" s="20">
        <f>IFERROR(IF(ISNUMBER('Revenues &amp; Outlays in GDP'!B55), 'Revenues &amp; Outlays in GDP'!J55,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GDP'!G56),TEXT('Revenues &amp; Outlays in GDP'!G56, "0.00"),""), "")</f>
        <v/>
      </c>
      <c r="C50" s="20" t="str">
        <f ca="1">IFERROR(IF(ISNUMBER('Revenues &amp; Outlays in GDP'!C56),TEXT('Revenues &amp; Outlays in GDP'!C56, "0.00"),""), "")</f>
        <v>18.20</v>
      </c>
      <c r="D50" s="20" t="str">
        <f>IFERROR(IF(ISNUMBER('Revenues &amp; Outlays in GDP'!H56),TEXT('Revenues &amp; Outlays in GDP'!H56, "0.00"),""), "")</f>
        <v/>
      </c>
      <c r="E50" s="20" t="str">
        <f ca="1">IFERROR(IF(ISNUMBER('Revenues &amp; Outlays in GDP'!D56),TEXT('Revenues &amp; Outlays in GDP'!D56, "0.00"),""), "")</f>
        <v>21.80</v>
      </c>
      <c r="F50" s="20">
        <f>IFERROR(IF(ISNUMBER('Revenues &amp; Outlays in GDP'!B56), 'Revenues &amp; Outlays in GDP'!J56,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GDP'!G57),TEXT('Revenues &amp; Outlays in GDP'!G57, "0.00"),""), "")</f>
        <v/>
      </c>
      <c r="C51" s="20" t="str">
        <f ca="1">IFERROR(IF(ISNUMBER('Revenues &amp; Outlays in GDP'!C57),TEXT('Revenues &amp; Outlays in GDP'!C57, "0.00"),""), "")</f>
        <v>18.20</v>
      </c>
      <c r="D51" s="20" t="str">
        <f>IFERROR(IF(ISNUMBER('Revenues &amp; Outlays in GDP'!H57),TEXT('Revenues &amp; Outlays in GDP'!H57, "0.00"),""), "")</f>
        <v/>
      </c>
      <c r="E51" s="20" t="str">
        <f ca="1">IFERROR(IF(ISNUMBER('Revenues &amp; Outlays in GDP'!D57),TEXT('Revenues &amp; Outlays in GDP'!D57, "0.00"),""), "")</f>
        <v>21.70</v>
      </c>
      <c r="F51" s="20">
        <f>IFERROR(IF(ISNUMBER('Revenues &amp; Outlays in GDP'!B57), 'Revenues &amp; Outlays in GDP'!J57,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GDP'!G58),TEXT('Revenues &amp; Outlays in GDP'!G58,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GDP'!H58),TEXT('Revenues &amp; Outlays in GDP'!H58,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GDP'!J58,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GDP'!G59),TEXT('Revenues &amp; Outlays in GDP'!G59,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GDP'!H59),TEXT('Revenues &amp; Outlays in GDP'!H59,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GDP'!J59,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GDP'!G60),TEXT('Revenues &amp; Outlays in GDP'!G60,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GDP'!H60),TEXT('Revenues &amp; Outlays in GDP'!H60,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GDP'!J60,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GDP'!G61),TEXT('Revenues &amp; Outlays in GDP'!G61,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GDP'!H61),TEXT('Revenues &amp; Outlays in GDP'!H61,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GDP'!J61,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GDP'!G62),TEXT('Revenues &amp; Outlays in GDP'!G62,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GDP'!H62),TEXT('Revenues &amp; Outlays in GDP'!H62,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GDP'!J62,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GDP'!G63),TEXT('Revenues &amp; Outlays in GDP'!G63,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GDP'!H63),TEXT('Revenues &amp; Outlays in GDP'!H63,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GDP'!J63,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GDP'!G64),TEXT('Revenues &amp; Outlays in GDP'!G64,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GDP'!H64),TEXT('Revenues &amp; Outlays in GDP'!H64,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GDP'!J64,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GDP'!G65),TEXT('Revenues &amp; Outlays in GDP'!G65,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GDP'!H65),TEXT('Revenues &amp; Outlays in GDP'!H65,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GDP'!J65,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GDP'!G66),TEXT('Revenues &amp; Outlays in GDP'!G66,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GDP'!H66),TEXT('Revenues &amp; Outlays in GDP'!H66,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GDP'!J66,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GDP'!G67),TEXT('Revenues &amp; Outlays in GDP'!G67,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GDP'!H67),TEXT('Revenues &amp; Outlays in GDP'!H67,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GDP'!J67,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GDP'!G68),TEXT('Revenues &amp; Outlays in GDP'!G68,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GDP'!H68),TEXT('Revenues &amp; Outlays in GDP'!H68,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GDP'!J68,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GDP'!G69),TEXT('Revenues &amp; Outlays in GDP'!G69,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GDP'!H69),TEXT('Revenues &amp; Outlays in GDP'!H69,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GDP'!J69,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GDP'!G70),TEXT('Revenues &amp; Outlays in GDP'!G70,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GDP'!H70),TEXT('Revenues &amp; Outlays in GDP'!H70,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GDP'!J70,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GDP'!G71),TEXT('Revenues &amp; Outlays in GDP'!G71,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GDP'!H71),TEXT('Revenues &amp; Outlays in GDP'!H71,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GDP'!J71,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GDP'!G72),TEXT('Revenues &amp; Outlays in GDP'!G72,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GDP'!H72),TEXT('Revenues &amp; Outlays in GDP'!H72,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GDP'!J72,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GDP'!G73),TEXT('Revenues &amp; Outlays in GDP'!G73,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GDP'!H73),TEXT('Revenues &amp; Outlays in GDP'!H73,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GDP'!J73,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GDP'!G74),TEXT('Revenues &amp; Outlays in GDP'!G74,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GDP'!H74),TEXT('Revenues &amp; Outlays in GDP'!H74,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GDP'!J74,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GDP'!G75),TEXT('Revenues &amp; Outlays in GDP'!G75,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GDP'!H75),TEXT('Revenues &amp; Outlays in GDP'!H75,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GDP'!J75,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GDP'!G76),TEXT('Revenues &amp; Outlays in GDP'!G76,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GDP'!H76),TEXT('Revenues &amp; Outlays in GDP'!H76,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GDP'!J76,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GDP'!G77),TEXT('Revenues &amp; Outlays in GDP'!G77,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GDP'!H77),TEXT('Revenues &amp; Outlays in GDP'!H77,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GDP'!J77,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GDP'!G78),TEXT('Revenues &amp; Outlays in GDP'!G78,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GDP'!H78),TEXT('Revenues &amp; Outlays in GDP'!H78,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GDP'!J78,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GDP'!G79),TEXT('Revenues &amp; Outlays in GDP'!G79,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GDP'!H79),TEXT('Revenues &amp; Outlays in GDP'!H79,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GDP'!J79,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GDP'!G80),TEXT('Revenues &amp; Outlays in GDP'!G80,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GDP'!H80),TEXT('Revenues &amp; Outlays in GDP'!H80,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GDP'!J80,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GDP'!G81),TEXT('Revenues &amp; Outlays in GDP'!G81,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GDP'!H81),TEXT('Revenues &amp; Outlays in GDP'!H81,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GDP'!J81,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GDP'!G82),TEXT('Revenues &amp; Outlays in GDP'!G82,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GDP'!H82),TEXT('Revenues &amp; Outlays in GDP'!H82,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GDP'!J82,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GDP'!G83),TEXT('Revenues &amp; Outlays in GDP'!G83,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GDP'!H83),TEXT('Revenues &amp; Outlays in GDP'!H83,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GDP'!J83,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GDP'!G84),TEXT('Revenues &amp; Outlays in GDP'!G84,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GDP'!H84),TEXT('Revenues &amp; Outlays in GDP'!H84,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GDP'!J84,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GDP'!G85),TEXT('Revenues &amp; Outlays in GDP'!G85,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GDP'!H85),TEXT('Revenues &amp; Outlays in GDP'!H85,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GDP'!J85,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GDP'!G86),TEXT('Revenues &amp; Outlays in GDP'!G86,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GDP'!H86),TEXT('Revenues &amp; Outlays in GDP'!H86,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GDP'!J86,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GDP'!G87),TEXT('Revenues &amp; Outlays in GDP'!G87,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GDP'!H87),TEXT('Revenues &amp; Outlays in GDP'!H87,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GDP'!J87,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GDP'!G88),TEXT('Revenues &amp; Outlays in GDP'!G88,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GDP'!H88),TEXT('Revenues &amp; Outlays in GDP'!H88,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GDP'!J88,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GDP'!G89),TEXT('Revenues &amp; Outlays in GDP'!G89,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GDP'!H89),TEXT('Revenues &amp; Outlays in GDP'!H89,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GDP'!J89,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GDP'!G90),TEXT('Revenues &amp; Outlays in GDP'!G90,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GDP'!H90),TEXT('Revenues &amp; Outlays in GDP'!H90,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GDP'!J90,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GDP'!G91),TEXT('Revenues &amp; Outlays in GDP'!G91,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GDP'!H91),TEXT('Revenues &amp; Outlays in GDP'!H91,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GDP'!J91,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GDP'!G92),TEXT('Revenues &amp; Outlays in GDP'!G92,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GDP'!H92),TEXT('Revenues &amp; Outlays in GDP'!H92,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GDP'!J92,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GDP'!G93),TEXT('Revenues &amp; Outlays in GDP'!G93,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GDP'!H93),TEXT('Revenues &amp; Outlays in GDP'!H93,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GDP'!J93,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GDP'!G94),TEXT('Revenues &amp; Outlays in GDP'!G94,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GDP'!H94),TEXT('Revenues &amp; Outlays in GDP'!H94,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GDP'!J94,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GDP'!G95),TEXT('Revenues &amp; Outlays in GDP'!G95,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GDP'!H95),TEXT('Revenues &amp; Outlays in GDP'!H95,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GDP'!J95,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GDP'!G96),TEXT('Revenues &amp; Outlays in GDP'!G96,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GDP'!H96),TEXT('Revenues &amp; Outlays in GDP'!H96,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GDP'!J96,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GDP'!G97),TEXT('Revenues &amp; Outlays in GDP'!G97,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GDP'!H97),TEXT('Revenues &amp; Outlays in GDP'!H97,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GDP'!J97,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GDP'!G98),TEXT('Revenues &amp; Outlays in GDP'!G98,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GDP'!H98),TEXT('Revenues &amp; Outlays in GDP'!H98,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GDP'!J98,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GDP'!G99),TEXT('Revenues &amp; Outlays in GDP'!G99,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GDP'!H99),TEXT('Revenues &amp; Outlays in GDP'!H99,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GDP'!J99,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GDP'!G100),TEXT('Revenues &amp; Outlays in GDP'!G100,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GDP'!H100),TEXT('Revenues &amp; Outlays in GDP'!H100,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GDP'!J100,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GDP'!G101),TEXT('Revenues &amp; Outlays in GDP'!G101,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GDP'!H101),TEXT('Revenues &amp; Outlays in GDP'!H101,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GDP'!J101,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GDP'!G102),TEXT('Revenues &amp; Outlays in GDP'!G102,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GDP'!H102),TEXT('Revenues &amp; Outlays in GDP'!H102,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GDP'!J102,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GDP'!G103),TEXT('Revenues &amp; Outlays in GDP'!G103,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GDP'!H103),TEXT('Revenues &amp; Outlays in GDP'!H103,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GDP'!J103,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GDP'!G104),TEXT('Revenues &amp; Outlays in GDP'!G104,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GDP'!H104),TEXT('Revenues &amp; Outlays in GDP'!H104,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GDP'!J104,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GDP'!G105),TEXT('Revenues &amp; Outlays in GDP'!G105,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GDP'!H105),TEXT('Revenues &amp; Outlays in GDP'!H105,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GDP'!J105,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GDP'!G106),TEXT('Revenues &amp; Outlays in GDP'!G106,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GDP'!H106),TEXT('Revenues &amp; Outlays in GDP'!H106,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GDP'!J106,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GDP'!G107),TEXT('Revenues &amp; Outlays in GDP'!G107,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GDP'!H107),TEXT('Revenues &amp; Outlays in GDP'!H107,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GDP'!J107,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GDP'!G108),TEXT('Revenues &amp; Outlays in GDP'!G108,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GDP'!H108),TEXT('Revenues &amp; Outlays in GDP'!H108,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GDP'!J108,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GDP'!G109),TEXT('Revenues &amp; Outlays in GDP'!G109,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GDP'!H109),TEXT('Revenues &amp; Outlays in GDP'!H109,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GDP'!J109,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GDP'!G110),TEXT('Revenues &amp; Outlays in GDP'!G110,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GDP'!H110),TEXT('Revenues &amp; Outlays in GDP'!H110,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GDP'!J110,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GDP'!G111),TEXT('Revenues &amp; Outlays in GDP'!G111,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GDP'!H111),TEXT('Revenues &amp; Outlays in GDP'!H111,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GDP'!J111,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GDP'!G112),TEXT('Revenues &amp; Outlays in GDP'!G112,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GDP'!H112),TEXT('Revenues &amp; Outlays in GDP'!H112,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GDP'!J112,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GDP'!G113),TEXT('Revenues &amp; Outlays in GDP'!G113,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GDP'!H113),TEXT('Revenues &amp; Outlays in GDP'!H113,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GDP'!J113,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GDP'!G114),TEXT('Revenues &amp; Outlays in GDP'!G114,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GDP'!H114),TEXT('Revenues &amp; Outlays in GDP'!H114,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GDP'!J114,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GDP'!G115),TEXT('Revenues &amp; Outlays in GDP'!G115,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GDP'!H115),TEXT('Revenues &amp; Outlays in GDP'!H115,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GDP'!J115,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GDP'!G116),TEXT('Revenues &amp; Outlays in GDP'!G116,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GDP'!H116),TEXT('Revenues &amp; Outlays in GDP'!H116,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GDP'!J116,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GDP'!G117),TEXT('Revenues &amp; Outlays in GDP'!G117,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GDP'!H117),TEXT('Revenues &amp; Outlays in GDP'!H117,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GDP'!J117,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GDP'!G118),TEXT('Revenues &amp; Outlays in GDP'!G118,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GDP'!H118),TEXT('Revenues &amp; Outlays in GDP'!H118,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GDP'!J118,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GDP'!G119),TEXT('Revenues &amp; Outlays in GDP'!G119,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GDP'!H119),TEXT('Revenues &amp; Outlays in GDP'!H119,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GDP'!J119,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GDP'!G120),TEXT('Revenues &amp; Outlays in GDP'!G120,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GDP'!H120),TEXT('Revenues &amp; Outlays in GDP'!H120,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GDP'!J120,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GDP'!G121),TEXT('Revenues &amp; Outlays in GDP'!G121,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GDP'!H121),TEXT('Revenues &amp; Outlays in GDP'!H121,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GDP'!J121,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GDP'!G122),TEXT('Revenues &amp; Outlays in GDP'!G122,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GDP'!H122),TEXT('Revenues &amp; Outlays in GDP'!H122,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GDP'!J122,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GDP'!G123),TEXT('Revenues &amp; Outlays in GDP'!G123,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GDP'!H123),TEXT('Revenues &amp; Outlays in GDP'!H123,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GDP'!J123,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GDP'!G124),TEXT('Revenues &amp; Outlays in GDP'!G124,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GDP'!H124),TEXT('Revenues &amp; Outlays in GDP'!H124,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GDP'!J124,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GDP'!G125),TEXT('Revenues &amp; Outlays in GDP'!G125,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GDP'!H125),TEXT('Revenues &amp; Outlays in GDP'!H125,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GDP'!J125,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GDP'!G126),TEXT('Revenues &amp; Outlays in GDP'!G126,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GDP'!H126),TEXT('Revenues &amp; Outlays in GDP'!H126,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GDP'!J126,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GDP'!G127),TEXT('Revenues &amp; Outlays in GDP'!G127,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GDP'!H127),TEXT('Revenues &amp; Outlays in GDP'!H127,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GDP'!J127,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GDP'!G128),TEXT('Revenues &amp; Outlays in GDP'!G128,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GDP'!H128),TEXT('Revenues &amp; Outlays in GDP'!H128,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GDP'!J128,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GDP'!G129),TEXT('Revenues &amp; Outlays in GDP'!G129,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GDP'!H129),TEXT('Revenues &amp; Outlays in GDP'!H129,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GDP'!J129,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GDP'!G130),TEXT('Revenues &amp; Outlays in GDP'!G130,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GDP'!H130),TEXT('Revenues &amp; Outlays in GDP'!H130,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GDP'!J130,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GDP'!G131),TEXT('Revenues &amp; Outlays in GDP'!G131,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GDP'!H131),TEXT('Revenues &amp; Outlays in GDP'!H131,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GDP'!J131,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GDP'!G132),TEXT('Revenues &amp; Outlays in GDP'!G132,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GDP'!H132),TEXT('Revenues &amp; Outlays in GDP'!H132,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GDP'!J132,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GDP'!G133),TEXT('Revenues &amp; Outlays in GDP'!G133,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GDP'!H133),TEXT('Revenues &amp; Outlays in GDP'!H133,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GDP'!J133,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GDP'!G134),TEXT('Revenues &amp; Outlays in GDP'!G134,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GDP'!H134),TEXT('Revenues &amp; Outlays in GDP'!H134,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GDP'!J134,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GDP'!G135),TEXT('Revenues &amp; Outlays in GDP'!G135,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GDP'!H135),TEXT('Revenues &amp; Outlays in GDP'!H135,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GDP'!J135,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GDP'!G136),TEXT('Revenues &amp; Outlays in GDP'!G136,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GDP'!H136),TEXT('Revenues &amp; Outlays in GDP'!H136,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GDP'!J136,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GDP'!G137),TEXT('Revenues &amp; Outlays in GDP'!G137,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GDP'!H137),TEXT('Revenues &amp; Outlays in GDP'!H137,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GDP'!J137,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GDP'!G138),TEXT('Revenues &amp; Outlays in GDP'!G138,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GDP'!H138),TEXT('Revenues &amp; Outlays in GDP'!H138,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GDP'!J138,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GDP'!G139),TEXT('Revenues &amp; Outlays in GDP'!G139,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GDP'!H139),TEXT('Revenues &amp; Outlays in GDP'!H139,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GDP'!J139,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GDP'!G140),TEXT('Revenues &amp; Outlays in GDP'!G140,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GDP'!H140),TEXT('Revenues &amp; Outlays in GDP'!H140,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GDP'!J140,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GDP'!G141),TEXT('Revenues &amp; Outlays in GDP'!G141,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GDP'!H141),TEXT('Revenues &amp; Outlays in GDP'!H141,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GDP'!J141,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GDP'!G142),TEXT('Revenues &amp; Outlays in GDP'!G142,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GDP'!H142),TEXT('Revenues &amp; Outlays in GDP'!H142,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GDP'!J142,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GDP'!G143),TEXT('Revenues &amp; Outlays in GDP'!G143,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GDP'!H143),TEXT('Revenues &amp; Outlays in GDP'!H143,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GDP'!J143,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GDP'!G144),TEXT('Revenues &amp; Outlays in GDP'!G144,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GDP'!H144),TEXT('Revenues &amp; Outlays in GDP'!H144,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GDP'!J144,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GDP'!G145),TEXT('Revenues &amp; Outlays in GDP'!G145,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GDP'!H145),TEXT('Revenues &amp; Outlays in GDP'!H145,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GDP'!J145,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GDP'!G146),TEXT('Revenues &amp; Outlays in GDP'!G146,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GDP'!H146),TEXT('Revenues &amp; Outlays in GDP'!H146,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GDP'!J146,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GDP'!G147),TEXT('Revenues &amp; Outlays in GDP'!G147,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GDP'!H147),TEXT('Revenues &amp; Outlays in GDP'!H147,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GDP'!J147,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GDP'!G148),TEXT('Revenues &amp; Outlays in GDP'!G148,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GDP'!H148),TEXT('Revenues &amp; Outlays in GDP'!H148,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GDP'!J148,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GDP'!G149),TEXT('Revenues &amp; Outlays in GDP'!G149,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GDP'!H149),TEXT('Revenues &amp; Outlays in GDP'!H149,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GDP'!J149,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GDP'!G150),TEXT('Revenues &amp; Outlays in GDP'!G150,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GDP'!H150),TEXT('Revenues &amp; Outlays in GDP'!H150,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GDP'!J150,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GDP'!G151),TEXT('Revenues &amp; Outlays in GDP'!G151,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GDP'!H151),TEXT('Revenues &amp; Outlays in GDP'!H151,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GDP'!J151,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GDP'!G152),TEXT('Revenues &amp; Outlays in GDP'!G152,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GDP'!H152),TEXT('Revenues &amp; Outlays in GDP'!H152,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GDP'!J152,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GDP'!G153),TEXT('Revenues &amp; Outlays in GDP'!G153,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GDP'!H153),TEXT('Revenues &amp; Outlays in GDP'!H153,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GDP'!J153,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GDP'!G154),TEXT('Revenues &amp; Outlays in GDP'!G154,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GDP'!H154),TEXT('Revenues &amp; Outlays in GDP'!H154,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GDP'!J154,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GDP'!G155),TEXT('Revenues &amp; Outlays in GDP'!G155,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GDP'!H155),TEXT('Revenues &amp; Outlays in GDP'!H155,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GDP'!J155,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GDP'!G156),TEXT('Revenues &amp; Outlays in GDP'!G156,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GDP'!H156),TEXT('Revenues &amp; Outlays in GDP'!H156,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GDP'!J156,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GDP'!G157),TEXT('Revenues &amp; Outlays in GDP'!G157,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GDP'!H157),TEXT('Revenues &amp; Outlays in GDP'!H157,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GDP'!J157,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GDP'!G158),TEXT('Revenues &amp; Outlays in GDP'!G158,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GDP'!H158),TEXT('Revenues &amp; Outlays in GDP'!H158,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GDP'!J158,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GDP'!G159),TEXT('Revenues &amp; Outlays in GDP'!G159,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GDP'!H159),TEXT('Revenues &amp; Outlays in GDP'!H159,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GDP'!J159,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GDP'!G160),TEXT('Revenues &amp; Outlays in GDP'!G160,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GDP'!H160),TEXT('Revenues &amp; Outlays in GDP'!H160,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GDP'!J160,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GDP'!G161),TEXT('Revenues &amp; Outlays in GDP'!G161,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GDP'!H161),TEXT('Revenues &amp; Outlays in GDP'!H161,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GDP'!J161,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GDP'!G162),TEXT('Revenues &amp; Outlays in GDP'!G162,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GDP'!H162),TEXT('Revenues &amp; Outlays in GDP'!H162,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GDP'!J162,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GDP'!G163),TEXT('Revenues &amp; Outlays in GDP'!G163,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GDP'!H163),TEXT('Revenues &amp; Outlays in GDP'!H163,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GDP'!J163,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GDP'!G164),TEXT('Revenues &amp; Outlays in GDP'!G164,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GDP'!H164),TEXT('Revenues &amp; Outlays in GDP'!H164,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GDP'!J164,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GDP'!G165),TEXT('Revenues &amp; Outlays in GDP'!G165,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GDP'!H165),TEXT('Revenues &amp; Outlays in GDP'!H165,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GDP'!J165,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GDP'!G166),TEXT('Revenues &amp; Outlays in GDP'!G166,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GDP'!H166),TEXT('Revenues &amp; Outlays in GDP'!H166,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GDP'!J166,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GDP'!G167),TEXT('Revenues &amp; Outlays in GDP'!G167,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GDP'!H167),TEXT('Revenues &amp; Outlays in GDP'!H167,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GDP'!J167,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GDP'!G168),TEXT('Revenues &amp; Outlays in GDP'!G168,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GDP'!H168),TEXT('Revenues &amp; Outlays in GDP'!H168,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GDP'!J168,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GDP'!G169),TEXT('Revenues &amp; Outlays in GDP'!G169,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GDP'!H169),TEXT('Revenues &amp; Outlays in GDP'!H169,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GDP'!J169,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GDP'!G170),TEXT('Revenues &amp; Outlays in GDP'!G170,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GDP'!H170),TEXT('Revenues &amp; Outlays in GDP'!H170,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GDP'!J170,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GDP'!G171),TEXT('Revenues &amp; Outlays in GDP'!G171,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GDP'!H171),TEXT('Revenues &amp; Outlays in GDP'!H171,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GDP'!J171,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GDP'!G172),TEXT('Revenues &amp; Outlays in GDP'!G172,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GDP'!H172),TEXT('Revenues &amp; Outlays in GDP'!H172,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GDP'!J172,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GDP'!G173),TEXT('Revenues &amp; Outlays in GDP'!G173,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GDP'!H173),TEXT('Revenues &amp; Outlays in GDP'!H173,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GDP'!J173,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GDP'!G174),TEXT('Revenues &amp; Outlays in GDP'!G174,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GDP'!H174),TEXT('Revenues &amp; Outlays in GDP'!H174,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GDP'!J174,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GDP'!G175),TEXT('Revenues &amp; Outlays in GDP'!G175,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GDP'!H175),TEXT('Revenues &amp; Outlays in GDP'!H175,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GDP'!J175,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GDP'!G176),TEXT('Revenues &amp; Outlays in GDP'!G176,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GDP'!H176),TEXT('Revenues &amp; Outlays in GDP'!H176,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GDP'!J176,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GDP'!G177),TEXT('Revenues &amp; Outlays in GDP'!G177,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GDP'!H177),TEXT('Revenues &amp; Outlays in GDP'!H177,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GDP'!J177,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GDP'!G178),TEXT('Revenues &amp; Outlays in GDP'!G178,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GDP'!H178),TEXT('Revenues &amp; Outlays in GDP'!H178,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GDP'!J178,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GDP'!G179),TEXT('Revenues &amp; Outlays in GDP'!G179,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GDP'!H179),TEXT('Revenues &amp; Outlays in GDP'!H179,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GDP'!J179,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GDP'!G180),TEXT('Revenues &amp; Outlays in GDP'!G180,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GDP'!H180),TEXT('Revenues &amp; Outlays in GDP'!H180,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GDP'!J180,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GDP'!G181),TEXT('Revenues &amp; Outlays in GDP'!G181,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GDP'!H181),TEXT('Revenues &amp; Outlays in GDP'!H181,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GDP'!J181,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GDP'!G182),TEXT('Revenues &amp; Outlays in GDP'!G182,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GDP'!H182),TEXT('Revenues &amp; Outlays in GDP'!H182,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GDP'!J182,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GDP'!G183),TEXT('Revenues &amp; Outlays in GDP'!G183,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GDP'!H183),TEXT('Revenues &amp; Outlays in GDP'!H183,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GDP'!J183,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GDP'!G184),TEXT('Revenues &amp; Outlays in GDP'!G184,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GDP'!H184),TEXT('Revenues &amp; Outlays in GDP'!H184,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GDP'!J184,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GDP'!G185),TEXT('Revenues &amp; Outlays in GDP'!G185,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GDP'!H185),TEXT('Revenues &amp; Outlays in GDP'!H185,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GDP'!J185,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GDP'!G186),TEXT('Revenues &amp; Outlays in GDP'!G186,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GDP'!H186),TEXT('Revenues &amp; Outlays in GDP'!H186,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GDP'!J186,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GDP'!G187),TEXT('Revenues &amp; Outlays in GDP'!G187,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GDP'!H187),TEXT('Revenues &amp; Outlays in GDP'!H187,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GDP'!J187,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GDP'!G188),TEXT('Revenues &amp; Outlays in GDP'!G188,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GDP'!H188),TEXT('Revenues &amp; Outlays in GDP'!H188,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GDP'!J188,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GDP'!G189),TEXT('Revenues &amp; Outlays in GDP'!G189,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GDP'!H189),TEXT('Revenues &amp; Outlays in GDP'!H189,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GDP'!J189,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GDP'!G190),TEXT('Revenues &amp; Outlays in GDP'!G190,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GDP'!H190),TEXT('Revenues &amp; Outlays in GDP'!H190,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GDP'!J190,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GDP'!G191),TEXT('Revenues &amp; Outlays in GDP'!G191,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GDP'!H191),TEXT('Revenues &amp; Outlays in GDP'!H191,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GDP'!J191,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GDP'!G192),TEXT('Revenues &amp; Outlays in GDP'!G192,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GDP'!H192),TEXT('Revenues &amp; Outlays in GDP'!H192,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GDP'!J192,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GDP'!G193),TEXT('Revenues &amp; Outlays in GDP'!G193,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GDP'!H193),TEXT('Revenues &amp; Outlays in GDP'!H193,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GDP'!J193,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GDP'!G194),TEXT('Revenues &amp; Outlays in GDP'!G194,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GDP'!H194),TEXT('Revenues &amp; Outlays in GDP'!H194,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GDP'!J194,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GDP'!G195),TEXT('Revenues &amp; Outlays in GDP'!G195,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GDP'!H195),TEXT('Revenues &amp; Outlays in GDP'!H195,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GDP'!J195,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GDP'!G196),TEXT('Revenues &amp; Outlays in GDP'!G196,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GDP'!H196),TEXT('Revenues &amp; Outlays in GDP'!H196,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GDP'!J196,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GDP'!G197),TEXT('Revenues &amp; Outlays in GDP'!G197,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GDP'!H197),TEXT('Revenues &amp; Outlays in GDP'!H197,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GDP'!J197,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GDP'!G198),TEXT('Revenues &amp; Outlays in GDP'!G198,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GDP'!H198),TEXT('Revenues &amp; Outlays in GDP'!H198,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GDP'!J198,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GDP'!G199),TEXT('Revenues &amp; Outlays in GDP'!G199,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GDP'!H199),TEXT('Revenues &amp; Outlays in GDP'!H199,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GDP'!J199,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GDP'!G200),TEXT('Revenues &amp; Outlays in GDP'!G200,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GDP'!H200),TEXT('Revenues &amp; Outlays in GDP'!H200,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GDP'!J200,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GDP'!G201),TEXT('Revenues &amp; Outlays in GDP'!G201,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GDP'!H201),TEXT('Revenues &amp; Outlays in GDP'!H201,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GDP'!J201,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GDP'!G202),TEXT('Revenues &amp; Outlays in GDP'!G202,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GDP'!H202),TEXT('Revenues &amp; Outlays in GDP'!H202,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GDP'!J202,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GDP'!G203),TEXT('Revenues &amp; Outlays in GDP'!G203,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GDP'!H203),TEXT('Revenues &amp; Outlays in GDP'!H203,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GDP'!J203,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GDP'!G204),TEXT('Revenues &amp; Outlays in GDP'!G204,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GDP'!H204),TEXT('Revenues &amp; Outlays in GDP'!H204,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GDP'!J204,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GDP'!G205),TEXT('Revenues &amp; Outlays in GDP'!G205,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GDP'!H205),TEXT('Revenues &amp; Outlays in GDP'!H205,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GDP'!J205,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GDP'!G206),TEXT('Revenues &amp; Outlays in GDP'!G206,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GDP'!H206),TEXT('Revenues &amp; Outlays in GDP'!H206,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GDP'!J206,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GDP'!G207),TEXT('Revenues &amp; Outlays in GDP'!G207,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GDP'!H207),TEXT('Revenues &amp; Outlays in GDP'!H207,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GDP'!J207,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GDP'!G208),TEXT('Revenues &amp; Outlays in GDP'!G208,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GDP'!H208),TEXT('Revenues &amp; Outlays in GDP'!H208,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GDP'!J208,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GDP'!G209),TEXT('Revenues &amp; Outlays in GDP'!G209,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GDP'!H209),TEXT('Revenues &amp; Outlays in GDP'!H209,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GDP'!J209,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GDP'!G210),TEXT('Revenues &amp; Outlays in GDP'!G210,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GDP'!H210),TEXT('Revenues &amp; Outlays in GDP'!H210,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GDP'!J210,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GDP'!G211),TEXT('Revenues &amp; Outlays in GDP'!G211,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GDP'!H211),TEXT('Revenues &amp; Outlays in GDP'!H211,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GDP'!J211,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GDP'!G212),TEXT('Revenues &amp; Outlays in GDP'!G212,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GDP'!H212),TEXT('Revenues &amp; Outlays in GDP'!H212,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GDP'!J212,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GDP'!G213),TEXT('Revenues &amp; Outlays in GDP'!G213,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GDP'!H213),TEXT('Revenues &amp; Outlays in GDP'!H213,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GDP'!J213,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GDP'!G214),TEXT('Revenues &amp; Outlays in GDP'!G214,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GDP'!H214),TEXT('Revenues &amp; Outlays in GDP'!H214,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GDP'!J214,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GDP'!G215),TEXT('Revenues &amp; Outlays in GDP'!G215,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GDP'!H215),TEXT('Revenues &amp; Outlays in GDP'!H215,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GDP'!J215,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GDP'!G216),TEXT('Revenues &amp; Outlays in GDP'!G216,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GDP'!H216),TEXT('Revenues &amp; Outlays in GDP'!H216,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GDP'!J216,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GDP'!G217),TEXT('Revenues &amp; Outlays in GDP'!G217,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GDP'!H217),TEXT('Revenues &amp; Outlays in GDP'!H217,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GDP'!J217,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GDP'!G218),TEXT('Revenues &amp; Outlays in GDP'!G218,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GDP'!H218),TEXT('Revenues &amp; Outlays in GDP'!H218,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GDP'!J218,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GDP'!G219),TEXT('Revenues &amp; Outlays in GDP'!G219,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GDP'!H219),TEXT('Revenues &amp; Outlays in GDP'!H219,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GDP'!J219,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GDP'!G220),TEXT('Revenues &amp; Outlays in GDP'!G220,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GDP'!H220),TEXT('Revenues &amp; Outlays in GDP'!H220,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GDP'!J220,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GDP'!G221),TEXT('Revenues &amp; Outlays in GDP'!G221,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GDP'!H221),TEXT('Revenues &amp; Outlays in GDP'!H221,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GDP'!J221,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GDP'!G222),TEXT('Revenues &amp; Outlays in GDP'!G222,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GDP'!H222),TEXT('Revenues &amp; Outlays in GDP'!H222,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GDP'!J222,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GDP'!G223),TEXT('Revenues &amp; Outlays in GDP'!G223,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GDP'!H223),TEXT('Revenues &amp; Outlays in GDP'!H223,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GDP'!J223,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GDP'!G224),TEXT('Revenues &amp; Outlays in GDP'!G224,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GDP'!H224),TEXT('Revenues &amp; Outlays in GDP'!H224,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GDP'!J224,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GDP'!G225),TEXT('Revenues &amp; Outlays in GDP'!G225,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GDP'!H225),TEXT('Revenues &amp; Outlays in GDP'!H225,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GDP'!J225,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GDP'!G226),TEXT('Revenues &amp; Outlays in GDP'!G226,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GDP'!H226),TEXT('Revenues &amp; Outlays in GDP'!H226,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GDP'!J226,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GDP'!G227),TEXT('Revenues &amp; Outlays in GDP'!G227,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GDP'!H227),TEXT('Revenues &amp; Outlays in GDP'!H227,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GDP'!J227,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GDP'!G228),TEXT('Revenues &amp; Outlays in GDP'!G228,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GDP'!H228),TEXT('Revenues &amp; Outlays in GDP'!H228,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GDP'!J228,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GDP'!G229),TEXT('Revenues &amp; Outlays in GDP'!G229,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GDP'!H229),TEXT('Revenues &amp; Outlays in GDP'!H229,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GDP'!J229,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GDP'!G230),TEXT('Revenues &amp; Outlays in GDP'!G230,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GDP'!H230),TEXT('Revenues &amp; Outlays in GDP'!H230,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GDP'!J230,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GDP'!G231),TEXT('Revenues &amp; Outlays in GDP'!G231,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GDP'!H231),TEXT('Revenues &amp; Outlays in GDP'!H231,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GDP'!J231,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GDP'!G232),TEXT('Revenues &amp; Outlays in GDP'!G232,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GDP'!H232),TEXT('Revenues &amp; Outlays in GDP'!H232,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GDP'!J232,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GDP'!G233),TEXT('Revenues &amp; Outlays in GDP'!G233,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GDP'!H233),TEXT('Revenues &amp; Outlays in GDP'!H233,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GDP'!J233,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GDP'!G234),TEXT('Revenues &amp; Outlays in GDP'!G234,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GDP'!H234),TEXT('Revenues &amp; Outlays in GDP'!H234,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GDP'!J234,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GDP'!G235),TEXT('Revenues &amp; Outlays in GDP'!G235,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GDP'!H235),TEXT('Revenues &amp; Outlays in GDP'!H235,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GDP'!J235,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GDP'!G236),TEXT('Revenues &amp; Outlays in GDP'!G236,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GDP'!H236),TEXT('Revenues &amp; Outlays in GDP'!H236,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GDP'!J236,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GDP'!G237),TEXT('Revenues &amp; Outlays in GDP'!G237,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GDP'!H237),TEXT('Revenues &amp; Outlays in GDP'!H237,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GDP'!J237,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GDP'!G238),TEXT('Revenues &amp; Outlays in GDP'!G238,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GDP'!H238),TEXT('Revenues &amp; Outlays in GDP'!H238,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GDP'!J238,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GDP'!G239),TEXT('Revenues &amp; Outlays in GDP'!G239,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GDP'!H239),TEXT('Revenues &amp; Outlays in GDP'!H239,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GDP'!J239,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GDP'!G240),TEXT('Revenues &amp; Outlays in GDP'!G240,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GDP'!H240),TEXT('Revenues &amp; Outlays in GDP'!H240,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GDP'!J240,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GDP'!G241),TEXT('Revenues &amp; Outlays in GDP'!G241,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GDP'!H241),TEXT('Revenues &amp; Outlays in GDP'!H241,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GDP'!J241,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GDP'!G242),TEXT('Revenues &amp; Outlays in GDP'!G242,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GDP'!H242),TEXT('Revenues &amp; Outlays in GDP'!H242,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GDP'!J242,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GDP'!G243),TEXT('Revenues &amp; Outlays in GDP'!G243,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GDP'!H243),TEXT('Revenues &amp; Outlays in GDP'!H243,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GDP'!J243,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GDP'!G244),TEXT('Revenues &amp; Outlays in GDP'!G244,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GDP'!H244),TEXT('Revenues &amp; Outlays in GDP'!H244,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GDP'!J244,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GDP'!G245),TEXT('Revenues &amp; Outlays in GDP'!G245,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GDP'!H245),TEXT('Revenues &amp; Outlays in GDP'!H245,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GDP'!J245,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GDP'!G246),TEXT('Revenues &amp; Outlays in GDP'!G246,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GDP'!H246),TEXT('Revenues &amp; Outlays in GDP'!H246,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GDP'!J246,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GDP'!G247),TEXT('Revenues &amp; Outlays in GDP'!G247,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GDP'!H247),TEXT('Revenues &amp; Outlays in GDP'!H247,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GDP'!J247,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GDP'!G248),TEXT('Revenues &amp; Outlays in GDP'!G248,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GDP'!H248),TEXT('Revenues &amp; Outlays in GDP'!H248,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GDP'!J248,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GDP'!G249),TEXT('Revenues &amp; Outlays in GDP'!G249,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GDP'!H249),TEXT('Revenues &amp; Outlays in GDP'!H249,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GDP'!J249,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GDP'!G250),TEXT('Revenues &amp; Outlays in GDP'!G250,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GDP'!H250),TEXT('Revenues &amp; Outlays in GDP'!H250,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GDP'!J250,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GDP'!G251),TEXT('Revenues &amp; Outlays in GDP'!G251,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GDP'!H251),TEXT('Revenues &amp; Outlays in GDP'!H251,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GDP'!J251,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GDP'!G252),TEXT('Revenues &amp; Outlays in GDP'!G252,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GDP'!H252),TEXT('Revenues &amp; Outlays in GDP'!H252,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GDP'!J252,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GDP'!G253),TEXT('Revenues &amp; Outlays in GDP'!G253,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GDP'!H253),TEXT('Revenues &amp; Outlays in GDP'!H253,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GDP'!J253,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GDP'!G254),TEXT('Revenues &amp; Outlays in GDP'!G254,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GDP'!H254),TEXT('Revenues &amp; Outlays in GDP'!H254,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GDP'!J254,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GDP'!G255),TEXT('Revenues &amp; Outlays in GDP'!G255,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GDP'!H255),TEXT('Revenues &amp; Outlays in GDP'!H255,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GDP'!J255,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GDP'!G256),TEXT('Revenues &amp; Outlays in GDP'!G256,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GDP'!H256),TEXT('Revenues &amp; Outlays in GDP'!H256,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GDP'!J256,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GDP'!G257),TEXT('Revenues &amp; Outlays in GDP'!G257,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GDP'!H257),TEXT('Revenues &amp; Outlays in GDP'!H257,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GDP'!J257,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GDP'!G258),TEXT('Revenues &amp; Outlays in GDP'!G258,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GDP'!H258),TEXT('Revenues &amp; Outlays in GDP'!H258,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GDP'!J258,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GDP'!G259),TEXT('Revenues &amp; Outlays in GDP'!G259,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GDP'!H259),TEXT('Revenues &amp; Outlays in GDP'!H259,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GDP'!J259,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GDP'!G260),TEXT('Revenues &amp; Outlays in GDP'!G260,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GDP'!H260),TEXT('Revenues &amp; Outlays in GDP'!H260,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GDP'!J260,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GDP'!G261),TEXT('Revenues &amp; Outlays in GDP'!G261,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GDP'!H261),TEXT('Revenues &amp; Outlays in GDP'!H261,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GDP'!J261,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GDP'!G262),TEXT('Revenues &amp; Outlays in GDP'!G262,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GDP'!H262),TEXT('Revenues &amp; Outlays in GDP'!H262,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GDP'!J262,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GDP'!G263),TEXT('Revenues &amp; Outlays in GDP'!G263,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GDP'!H263),TEXT('Revenues &amp; Outlays in GDP'!H263,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GDP'!J263,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GDP'!G264),TEXT('Revenues &amp; Outlays in GDP'!G264,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GDP'!H264),TEXT('Revenues &amp; Outlays in GDP'!H264,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GDP'!J264,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GDP'!G265),TEXT('Revenues &amp; Outlays in GDP'!G265,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GDP'!H265),TEXT('Revenues &amp; Outlays in GDP'!H265,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GDP'!J265,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GDP'!G266),TEXT('Revenues &amp; Outlays in GDP'!G266,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GDP'!H266),TEXT('Revenues &amp; Outlays in GDP'!H266,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GDP'!J266,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GDP'!G267),TEXT('Revenues &amp; Outlays in GDP'!G267,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GDP'!H267),TEXT('Revenues &amp; Outlays in GDP'!H267,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GDP'!J267,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GDP'!G268),TEXT('Revenues &amp; Outlays in GDP'!G268,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GDP'!H268),TEXT('Revenues &amp; Outlays in GDP'!H268,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GDP'!J268,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GDP'!G269),TEXT('Revenues &amp; Outlays in GDP'!G269,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GDP'!H269),TEXT('Revenues &amp; Outlays in GDP'!H269,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GDP'!J269,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GDP'!G270),TEXT('Revenues &amp; Outlays in GDP'!G270,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GDP'!H270),TEXT('Revenues &amp; Outlays in GDP'!H270,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GDP'!J270,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GDP'!G271),TEXT('Revenues &amp; Outlays in GDP'!G271,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GDP'!H271),TEXT('Revenues &amp; Outlays in GDP'!H271,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GDP'!J271,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GDP'!G272),TEXT('Revenues &amp; Outlays in GDP'!G272,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GDP'!H272),TEXT('Revenues &amp; Outlays in GDP'!H272,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GDP'!J272,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GDP'!G273),TEXT('Revenues &amp; Outlays in GDP'!G273,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GDP'!H273),TEXT('Revenues &amp; Outlays in GDP'!H273,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GDP'!J273,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GDP'!G274),TEXT('Revenues &amp; Outlays in GDP'!G274,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GDP'!H274),TEXT('Revenues &amp; Outlays in GDP'!H274,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GDP'!J274,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GDP'!G275),TEXT('Revenues &amp; Outlays in GDP'!G275,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GDP'!H275),TEXT('Revenues &amp; Outlays in GDP'!H275,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GDP'!J275,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GDP'!G276),TEXT('Revenues &amp; Outlays in GDP'!G276,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GDP'!H276),TEXT('Revenues &amp; Outlays in GDP'!H276,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GDP'!J276,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GDP'!G277),TEXT('Revenues &amp; Outlays in GDP'!G277,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GDP'!H277),TEXT('Revenues &amp; Outlays in GDP'!H277,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GDP'!J277,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GDP'!G278),TEXT('Revenues &amp; Outlays in GDP'!G278,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GDP'!H278),TEXT('Revenues &amp; Outlays in GDP'!H278,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GDP'!J278,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GDP'!G279),TEXT('Revenues &amp; Outlays in GDP'!G279,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GDP'!H279),TEXT('Revenues &amp; Outlays in GDP'!H279,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GDP'!J279,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GDP'!G280),TEXT('Revenues &amp; Outlays in GDP'!G280,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GDP'!H280),TEXT('Revenues &amp; Outlays in GDP'!H280,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GDP'!J280,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GDP'!G281),TEXT('Revenues &amp; Outlays in GDP'!G281,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GDP'!H281),TEXT('Revenues &amp; Outlays in GDP'!H281,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GDP'!J281,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GDP'!G282),TEXT('Revenues &amp; Outlays in GDP'!G282,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GDP'!H282),TEXT('Revenues &amp; Outlays in GDP'!H282,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GDP'!J282,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GDP'!G283),TEXT('Revenues &amp; Outlays in GDP'!G283,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GDP'!H283),TEXT('Revenues &amp; Outlays in GDP'!H283,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GDP'!J283,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GDP'!G284),TEXT('Revenues &amp; Outlays in GDP'!G284,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GDP'!H284),TEXT('Revenues &amp; Outlays in GDP'!H284,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GDP'!J284,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GDP'!G285),TEXT('Revenues &amp; Outlays in GDP'!G285,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GDP'!H285),TEXT('Revenues &amp; Outlays in GDP'!H285,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GDP'!J285,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GDP'!G286),TEXT('Revenues &amp; Outlays in GDP'!G286,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GDP'!H286),TEXT('Revenues &amp; Outlays in GDP'!H286,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GDP'!J286,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GDP'!G287),TEXT('Revenues &amp; Outlays in GDP'!G287,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GDP'!H287),TEXT('Revenues &amp; Outlays in GDP'!H287,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GDP'!J287,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GDP'!G288),TEXT('Revenues &amp; Outlays in GDP'!G288,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GDP'!H288),TEXT('Revenues &amp; Outlays in GDP'!H288,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GDP'!J288,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GDP'!G289),TEXT('Revenues &amp; Outlays in GDP'!G289,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GDP'!H289),TEXT('Revenues &amp; Outlays in GDP'!H289,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GDP'!J289,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GDP'!G290),TEXT('Revenues &amp; Outlays in GDP'!G290,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GDP'!H290),TEXT('Revenues &amp; Outlays in GDP'!H290,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GDP'!J290,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GDP'!G291),TEXT('Revenues &amp; Outlays in GDP'!G291,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GDP'!H291),TEXT('Revenues &amp; Outlays in GDP'!H291,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GDP'!J291,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GDP'!G292),TEXT('Revenues &amp; Outlays in GDP'!G292,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GDP'!H292),TEXT('Revenues &amp; Outlays in GDP'!H292,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GDP'!J292,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GDP'!G293),TEXT('Revenues &amp; Outlays in GDP'!G293,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GDP'!H293),TEXT('Revenues &amp; Outlays in GDP'!H293,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GDP'!J293,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GDP'!G294),TEXT('Revenues &amp; Outlays in GDP'!G294,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GDP'!H294),TEXT('Revenues &amp; Outlays in GDP'!H294,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GDP'!J294,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GDP'!G295),TEXT('Revenues &amp; Outlays in GDP'!G295,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GDP'!H295),TEXT('Revenues &amp; Outlays in GDP'!H295,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GDP'!J295,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GDP'!G296),TEXT('Revenues &amp; Outlays in GDP'!G296,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GDP'!H296),TEXT('Revenues &amp; Outlays in GDP'!H296,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GDP'!J296,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GDP'!G297),TEXT('Revenues &amp; Outlays in GDP'!G297,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GDP'!H297),TEXT('Revenues &amp; Outlays in GDP'!H297,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GDP'!J297,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GDP'!G298),TEXT('Revenues &amp; Outlays in GDP'!G298,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GDP'!H298),TEXT('Revenues &amp; Outlays in GDP'!H298,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GDP'!J298,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GDP'!G299),TEXT('Revenues &amp; Outlays in GDP'!G299,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GDP'!H299),TEXT('Revenues &amp; Outlays in GDP'!H299,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GDP'!J299,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GDP'!G300),TEXT('Revenues &amp; Outlays in GDP'!G300,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GDP'!H300),TEXT('Revenues &amp; Outlays in GDP'!H300,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GDP'!J300,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GDP'!G301),TEXT('Revenues &amp; Outlays in GDP'!G301,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GDP'!H301),TEXT('Revenues &amp; Outlays in GDP'!H301,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GDP'!J301,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GDP'!G302),TEXT('Revenues &amp; Outlays in GDP'!G302,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GDP'!H302),TEXT('Revenues &amp; Outlays in GDP'!H302,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GDP'!J302,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GDP'!G303),TEXT('Revenues &amp; Outlays in GDP'!G303,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GDP'!H303),TEXT('Revenues &amp; Outlays in GDP'!H303,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GDP'!J303,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GDP'!G304),TEXT('Revenues &amp; Outlays in GDP'!G304,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GDP'!H304),TEXT('Revenues &amp; Outlays in GDP'!H304,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GDP'!J304,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GDP'!G305),TEXT('Revenues &amp; Outlays in GDP'!G305,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GDP'!H305),TEXT('Revenues &amp; Outlays in GDP'!H305,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GDP'!J305,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GDP'!G306),TEXT('Revenues &amp; Outlays in GDP'!G306,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GDP'!H306),TEXT('Revenues &amp; Outlays in GDP'!H306,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GDP'!J306,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GDP'!G307),TEXT('Revenues &amp; Outlays in GDP'!G307,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GDP'!H307),TEXT('Revenues &amp; Outlays in GDP'!H307,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GDP'!J307,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GDP'!G308),TEXT('Revenues &amp; Outlays in GDP'!G308,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GDP'!H308),TEXT('Revenues &amp; Outlays in GDP'!H308,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GDP'!J308,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GDP'!G309),TEXT('Revenues &amp; Outlays in GDP'!G309,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GDP'!H309),TEXT('Revenues &amp; Outlays in GDP'!H309,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GDP'!J309,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GDP'!G310),TEXT('Revenues &amp; Outlays in GDP'!G310,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GDP'!H310),TEXT('Revenues &amp; Outlays in GDP'!H310,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GDP'!J310,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GDP'!G311),TEXT('Revenues &amp; Outlays in GDP'!G311,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GDP'!H311),TEXT('Revenues &amp; Outlays in GDP'!H311,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GDP'!J311,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GDP'!G312),TEXT('Revenues &amp; Outlays in GDP'!G312,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GDP'!H312),TEXT('Revenues &amp; Outlays in GDP'!H312,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GDP'!J312,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GDP'!G313),TEXT('Revenues &amp; Outlays in GDP'!G313,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GDP'!H313),TEXT('Revenues &amp; Outlays in GDP'!H313,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GDP'!J313,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GDP'!G314),TEXT('Revenues &amp; Outlays in GDP'!G314,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GDP'!H314),TEXT('Revenues &amp; Outlays in GDP'!H314,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GDP'!J314,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GDP'!G315),TEXT('Revenues &amp; Outlays in GDP'!G315,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GDP'!H315),TEXT('Revenues &amp; Outlays in GDP'!H315,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GDP'!J315,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GDP'!G316),TEXT('Revenues &amp; Outlays in GDP'!G316,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GDP'!H316),TEXT('Revenues &amp; Outlays in GDP'!H316,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GDP'!J316,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GDP'!G317),TEXT('Revenues &amp; Outlays in GDP'!G317,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GDP'!H317),TEXT('Revenues &amp; Outlays in GDP'!H317,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GDP'!J317,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GDP'!G318),TEXT('Revenues &amp; Outlays in GDP'!G318,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GDP'!H318),TEXT('Revenues &amp; Outlays in GDP'!H318,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GDP'!J318,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GDP'!G319),TEXT('Revenues &amp; Outlays in GDP'!G319,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GDP'!H319),TEXT('Revenues &amp; Outlays in GDP'!H319,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GDP'!J319,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GDP'!G320),TEXT('Revenues &amp; Outlays in GDP'!G320,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GDP'!H320),TEXT('Revenues &amp; Outlays in GDP'!H320,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GDP'!J320,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GDP'!G321),TEXT('Revenues &amp; Outlays in GDP'!G321,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GDP'!H321),TEXT('Revenues &amp; Outlays in GDP'!H321,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GDP'!J321,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GDP'!G322),TEXT('Revenues &amp; Outlays in GDP'!G322,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GDP'!H322),TEXT('Revenues &amp; Outlays in GDP'!H322,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GDP'!J322,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GDP'!G323),TEXT('Revenues &amp; Outlays in GDP'!G323,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GDP'!H323),TEXT('Revenues &amp; Outlays in GDP'!H323,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GDP'!J323,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GDP'!G324),TEXT('Revenues &amp; Outlays in GDP'!G324,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GDP'!H324),TEXT('Revenues &amp; Outlays in GDP'!H324,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GDP'!J324,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GDP'!G325),TEXT('Revenues &amp; Outlays in GDP'!G325,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GDP'!H325),TEXT('Revenues &amp; Outlays in GDP'!H325,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GDP'!J325,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GDP'!G326),TEXT('Revenues &amp; Outlays in GDP'!G326,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GDP'!H326),TEXT('Revenues &amp; Outlays in GDP'!H326,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GDP'!J326,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GDP'!G327),TEXT('Revenues &amp; Outlays in GDP'!G327,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GDP'!H327),TEXT('Revenues &amp; Outlays in GDP'!H327,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GDP'!J327,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GDP'!G328),TEXT('Revenues &amp; Outlays in GDP'!G328,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GDP'!H328),TEXT('Revenues &amp; Outlays in GDP'!H328,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GDP'!J328,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GDP'!G329),TEXT('Revenues &amp; Outlays in GDP'!G329,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GDP'!H329),TEXT('Revenues &amp; Outlays in GDP'!H329,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GDP'!J329,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GDP'!G330),TEXT('Revenues &amp; Outlays in GDP'!G330,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GDP'!H330),TEXT('Revenues &amp; Outlays in GDP'!H330,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GDP'!J330,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GDP'!G331),TEXT('Revenues &amp; Outlays in GDP'!G331,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GDP'!H331),TEXT('Revenues &amp; Outlays in GDP'!H331,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GDP'!J331,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GDP'!G332),TEXT('Revenues &amp; Outlays in GDP'!G332,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GDP'!H332),TEXT('Revenues &amp; Outlays in GDP'!H332,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GDP'!J332,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GDP'!G333),TEXT('Revenues &amp; Outlays in GDP'!G333,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GDP'!H333),TEXT('Revenues &amp; Outlays in GDP'!H333,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GDP'!J333,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GDP'!G334),TEXT('Revenues &amp; Outlays in GDP'!G334,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GDP'!H334),TEXT('Revenues &amp; Outlays in GDP'!H334,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GDP'!J334,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GDP'!G335),TEXT('Revenues &amp; Outlays in GDP'!G335,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GDP'!H335),TEXT('Revenues &amp; Outlays in GDP'!H335,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GDP'!J335,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GDP'!G336),TEXT('Revenues &amp; Outlays in GDP'!G336,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GDP'!H336),TEXT('Revenues &amp; Outlays in GDP'!H336,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GDP'!J336,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GDP'!G337),TEXT('Revenues &amp; Outlays in GDP'!G337,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GDP'!H337),TEXT('Revenues &amp; Outlays in GDP'!H337,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GDP'!J337,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GDP'!G338),TEXT('Revenues &amp; Outlays in GDP'!G338,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GDP'!H338),TEXT('Revenues &amp; Outlays in GDP'!H338,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GDP'!J338,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GDP'!G339),TEXT('Revenues &amp; Outlays in GDP'!G339,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GDP'!H339),TEXT('Revenues &amp; Outlays in GDP'!H339,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GDP'!J339,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GDP'!G340),TEXT('Revenues &amp; Outlays in GDP'!G340,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GDP'!H340),TEXT('Revenues &amp; Outlays in GDP'!H340,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GDP'!J340,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GDP'!G341),TEXT('Revenues &amp; Outlays in GDP'!G341,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GDP'!H341),TEXT('Revenues &amp; Outlays in GDP'!H341,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GDP'!J341,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GDP'!G342),TEXT('Revenues &amp; Outlays in GDP'!G342,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GDP'!H342),TEXT('Revenues &amp; Outlays in GDP'!H342,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GDP'!J342,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GDP'!G343),TEXT('Revenues &amp; Outlays in GDP'!G343,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GDP'!H343),TEXT('Revenues &amp; Outlays in GDP'!H343,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GDP'!J343,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GDP'!G344),TEXT('Revenues &amp; Outlays in GDP'!G344,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GDP'!H344),TEXT('Revenues &amp; Outlays in GDP'!H344,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GDP'!J344,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GDP'!G345),TEXT('Revenues &amp; Outlays in GDP'!G345,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GDP'!H345),TEXT('Revenues &amp; Outlays in GDP'!H345,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GDP'!J345,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GDP'!G346),TEXT('Revenues &amp; Outlays in GDP'!G346,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GDP'!H346),TEXT('Revenues &amp; Outlays in GDP'!H346,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GDP'!J346,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GDP'!G347),TEXT('Revenues &amp; Outlays in GDP'!G347,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GDP'!H347),TEXT('Revenues &amp; Outlays in GDP'!H347,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GDP'!J347,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GDP'!G348),TEXT('Revenues &amp; Outlays in GDP'!G348,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GDP'!H348),TEXT('Revenues &amp; Outlays in GDP'!H348,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GDP'!J348,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GDP'!G349),TEXT('Revenues &amp; Outlays in GDP'!G349,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GDP'!H349),TEXT('Revenues &amp; Outlays in GDP'!H349,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GDP'!J349,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GDP'!G350),TEXT('Revenues &amp; Outlays in GDP'!G350,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GDP'!H350),TEXT('Revenues &amp; Outlays in GDP'!H350,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GDP'!J350,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GDP'!G351),TEXT('Revenues &amp; Outlays in GDP'!G351,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GDP'!H351),TEXT('Revenues &amp; Outlays in GDP'!H351,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GDP'!J351,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GDP'!G352),TEXT('Revenues &amp; Outlays in GDP'!G352,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GDP'!H352),TEXT('Revenues &amp; Outlays in GDP'!H352,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GDP'!J352,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GDP'!G353),TEXT('Revenues &amp; Outlays in GDP'!G353,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GDP'!H353),TEXT('Revenues &amp; Outlays in GDP'!H353,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GDP'!J353,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GDP'!G354),TEXT('Revenues &amp; Outlays in GDP'!G354,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GDP'!H354),TEXT('Revenues &amp; Outlays in GDP'!H354,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GDP'!J354,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GDP'!G355),TEXT('Revenues &amp; Outlays in GDP'!G355,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GDP'!H355),TEXT('Revenues &amp; Outlays in GDP'!H355,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GDP'!J355,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GDP'!G356),TEXT('Revenues &amp; Outlays in GDP'!G356,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GDP'!H356),TEXT('Revenues &amp; Outlays in GDP'!H356,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GDP'!J356,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GDP'!G357),TEXT('Revenues &amp; Outlays in GDP'!G357,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GDP'!H357),TEXT('Revenues &amp; Outlays in GDP'!H357,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GDP'!J357,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GDP'!G358),TEXT('Revenues &amp; Outlays in GDP'!G358,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GDP'!H358),TEXT('Revenues &amp; Outlays in GDP'!H358,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GDP'!J358,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GDP'!G359),TEXT('Revenues &amp; Outlays in GDP'!G359,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GDP'!H359),TEXT('Revenues &amp; Outlays in GDP'!H359,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GDP'!J359,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GDP'!G360),TEXT('Revenues &amp; Outlays in GDP'!G360,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GDP'!H360),TEXT('Revenues &amp; Outlays in GDP'!H360,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GDP'!J360,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GDP'!G361),TEXT('Revenues &amp; Outlays in GDP'!G361,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GDP'!H361),TEXT('Revenues &amp; Outlays in GDP'!H361,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GDP'!J361,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GDP'!G362),TEXT('Revenues &amp; Outlays in GDP'!G362,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GDP'!H362),TEXT('Revenues &amp; Outlays in GDP'!H362,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GDP'!J362,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GDP'!G363),TEXT('Revenues &amp; Outlays in GDP'!G363,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GDP'!H363),TEXT('Revenues &amp; Outlays in GDP'!H363,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GDP'!J363,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GDP'!G364),TEXT('Revenues &amp; Outlays in GDP'!G364,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GDP'!H364),TEXT('Revenues &amp; Outlays in GDP'!H364,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GDP'!J364,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GDP'!G365),TEXT('Revenues &amp; Outlays in GDP'!G365,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GDP'!H365),TEXT('Revenues &amp; Outlays in GDP'!H365,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GDP'!J365,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GDP'!G366),TEXT('Revenues &amp; Outlays in GDP'!G366,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GDP'!H366),TEXT('Revenues &amp; Outlays in GDP'!H366,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GDP'!J366,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GDP'!G367),TEXT('Revenues &amp; Outlays in GDP'!G367,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GDP'!H367),TEXT('Revenues &amp; Outlays in GDP'!H367,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GDP'!J367,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GDP'!G368),TEXT('Revenues &amp; Outlays in GDP'!G368,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GDP'!H368),TEXT('Revenues &amp; Outlays in GDP'!H368,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GDP'!J368,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GDP'!G369),TEXT('Revenues &amp; Outlays in GDP'!G369,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GDP'!H369),TEXT('Revenues &amp; Outlays in GDP'!H369,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GDP'!J369,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GDP'!G370),TEXT('Revenues &amp; Outlays in GDP'!G370,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GDP'!H370),TEXT('Revenues &amp; Outlays in GDP'!H370,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GDP'!J370,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GDP'!G371),TEXT('Revenues &amp; Outlays in GDP'!G371,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GDP'!H371),TEXT('Revenues &amp; Outlays in GDP'!H371,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GDP'!J371,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GDP'!G372),TEXT('Revenues &amp; Outlays in GDP'!G372,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GDP'!H372),TEXT('Revenues &amp; Outlays in GDP'!H372,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GDP'!J372,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GDP'!G373),TEXT('Revenues &amp; Outlays in GDP'!G373,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GDP'!H373),TEXT('Revenues &amp; Outlays in GDP'!H373,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GDP'!J373,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GDP'!G374),TEXT('Revenues &amp; Outlays in GDP'!G374,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GDP'!H374),TEXT('Revenues &amp; Outlays in GDP'!H374,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GDP'!J374,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GDP'!G375),TEXT('Revenues &amp; Outlays in GDP'!G375,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GDP'!H375),TEXT('Revenues &amp; Outlays in GDP'!H375,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GDP'!J375,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GDP'!G376),TEXT('Revenues &amp; Outlays in GDP'!G376,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GDP'!H376),TEXT('Revenues &amp; Outlays in GDP'!H376,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GDP'!J376,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GDP'!G377),TEXT('Revenues &amp; Outlays in GDP'!G377,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GDP'!H377),TEXT('Revenues &amp; Outlays in GDP'!H377,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GDP'!J377,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GDP'!G378),TEXT('Revenues &amp; Outlays in GDP'!G378,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GDP'!H378),TEXT('Revenues &amp; Outlays in GDP'!H378,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GDP'!J378,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GDP'!G379),TEXT('Revenues &amp; Outlays in GDP'!G379,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GDP'!H379),TEXT('Revenues &amp; Outlays in GDP'!H379,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GDP'!J379,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GDP'!G380),TEXT('Revenues &amp; Outlays in GDP'!G380,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GDP'!H380),TEXT('Revenues &amp; Outlays in GDP'!H380,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GDP'!J380,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GDP'!G381),TEXT('Revenues &amp; Outlays in GDP'!G381,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GDP'!H381),TEXT('Revenues &amp; Outlays in GDP'!H381,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GDP'!J381,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GDP'!G382),TEXT('Revenues &amp; Outlays in GDP'!G382,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GDP'!H382),TEXT('Revenues &amp; Outlays in GDP'!H382,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GDP'!J382,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GDP'!G383),TEXT('Revenues &amp; Outlays in GDP'!G383,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GDP'!H383),TEXT('Revenues &amp; Outlays in GDP'!H383,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GDP'!J383,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GDP'!G384),TEXT('Revenues &amp; Outlays in GDP'!G384,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GDP'!H384),TEXT('Revenues &amp; Outlays in GDP'!H384,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GDP'!J384,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GDP'!G385),TEXT('Revenues &amp; Outlays in GDP'!G385,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GDP'!H385),TEXT('Revenues &amp; Outlays in GDP'!H385,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GDP'!J385,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GDP'!G386),TEXT('Revenues &amp; Outlays in GDP'!G386,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GDP'!H386),TEXT('Revenues &amp; Outlays in GDP'!H386,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GDP'!J386,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GDP'!G387),TEXT('Revenues &amp; Outlays in GDP'!G387,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GDP'!H387),TEXT('Revenues &amp; Outlays in GDP'!H387,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GDP'!J387,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GDP'!G388),TEXT('Revenues &amp; Outlays in GDP'!G388,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GDP'!H388),TEXT('Revenues &amp; Outlays in GDP'!H388,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GDP'!J388,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GDP'!G389),TEXT('Revenues &amp; Outlays in GDP'!G389,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GDP'!H389),TEXT('Revenues &amp; Outlays in GDP'!H389,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GDP'!J389,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GDP'!G390),TEXT('Revenues &amp; Outlays in GDP'!G390,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GDP'!H390),TEXT('Revenues &amp; Outlays in GDP'!H390,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GDP'!J390,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GDP'!G391),TEXT('Revenues &amp; Outlays in GDP'!G391,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GDP'!H391),TEXT('Revenues &amp; Outlays in GDP'!H391,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GDP'!J391,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GDP'!G392),TEXT('Revenues &amp; Outlays in GDP'!G392,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GDP'!H392),TEXT('Revenues &amp; Outlays in GDP'!H392,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GDP'!J392,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GDP'!G393),TEXT('Revenues &amp; Outlays in GDP'!G393,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GDP'!H393),TEXT('Revenues &amp; Outlays in GDP'!H393,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GDP'!J393,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GDP'!G394),TEXT('Revenues &amp; Outlays in GDP'!G394,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GDP'!H394),TEXT('Revenues &amp; Outlays in GDP'!H394,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GDP'!J394,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GDP'!G395),TEXT('Revenues &amp; Outlays in GDP'!G395,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GDP'!H395),TEXT('Revenues &amp; Outlays in GDP'!H395,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GDP'!J395,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GDP'!G396),TEXT('Revenues &amp; Outlays in GDP'!G396,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GDP'!H396),TEXT('Revenues &amp; Outlays in GDP'!H396,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GDP'!J396,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GDP'!G397),TEXT('Revenues &amp; Outlays in GDP'!G397,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GDP'!H397),TEXT('Revenues &amp; Outlays in GDP'!H397,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GDP'!J397,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GDP'!G398),TEXT('Revenues &amp; Outlays in GDP'!G398,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GDP'!H398),TEXT('Revenues &amp; Outlays in GDP'!H398,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GDP'!J398,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GDP'!G399),TEXT('Revenues &amp; Outlays in GDP'!G399,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GDP'!H399),TEXT('Revenues &amp; Outlays in GDP'!H399,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GDP'!J399,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GDP'!G400),TEXT('Revenues &amp; Outlays in GDP'!G400,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GDP'!H400),TEXT('Revenues &amp; Outlays in GDP'!H400,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GDP'!J400,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GDP'!G401),TEXT('Revenues &amp; Outlays in GDP'!G401,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GDP'!H401),TEXT('Revenues &amp; Outlays in GDP'!H401,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GDP'!J401,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GDP'!G402),TEXT('Revenues &amp; Outlays in GDP'!G402,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GDP'!H402),TEXT('Revenues &amp; Outlays in GDP'!H402,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GDP'!J402,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GDP'!G403),TEXT('Revenues &amp; Outlays in GDP'!G403,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GDP'!H403),TEXT('Revenues &amp; Outlays in GDP'!H403,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GDP'!J403,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GDP'!G404),TEXT('Revenues &amp; Outlays in GDP'!G404,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GDP'!H404),TEXT('Revenues &amp; Outlays in GDP'!H404,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GDP'!J404,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GDP'!G405),TEXT('Revenues &amp; Outlays in GDP'!G405,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GDP'!H405),TEXT('Revenues &amp; Outlays in GDP'!H405,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GDP'!J405,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GDP'!G406),TEXT('Revenues &amp; Outlays in GDP'!G406,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GDP'!H406),TEXT('Revenues &amp; Outlays in GDP'!H406,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GDP'!J406,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GDP'!G407),TEXT('Revenues &amp; Outlays in GDP'!G407,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GDP'!H407),TEXT('Revenues &amp; Outlays in GDP'!H407,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GDP'!J407,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GDP'!G408),TEXT('Revenues &amp; Outlays in GDP'!G408,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GDP'!H408),TEXT('Revenues &amp; Outlays in GDP'!H408,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GDP'!J408,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GDP'!G409),TEXT('Revenues &amp; Outlays in GDP'!G409,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GDP'!H409),TEXT('Revenues &amp; Outlays in GDP'!H409,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GDP'!J409,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GDP'!G410),TEXT('Revenues &amp; Outlays in GDP'!G410,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GDP'!H410),TEXT('Revenues &amp; Outlays in GDP'!H410,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GDP'!J410,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GDP'!G411),TEXT('Revenues &amp; Outlays in GDP'!G411,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GDP'!H411),TEXT('Revenues &amp; Outlays in GDP'!H411,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GDP'!J411,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GDP'!G412),TEXT('Revenues &amp; Outlays in GDP'!G412,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GDP'!H412),TEXT('Revenues &amp; Outlays in GDP'!H412,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GDP'!J412,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GDP'!G413),TEXT('Revenues &amp; Outlays in GDP'!G413,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GDP'!H413),TEXT('Revenues &amp; Outlays in GDP'!H413,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GDP'!J413,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GDP'!G414),TEXT('Revenues &amp; Outlays in GDP'!G414,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GDP'!H414),TEXT('Revenues &amp; Outlays in GDP'!H414,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GDP'!J414,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GDP'!G415),TEXT('Revenues &amp; Outlays in GDP'!G415,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GDP'!H415),TEXT('Revenues &amp; Outlays in GDP'!H415,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GDP'!J415,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GDP'!G416),TEXT('Revenues &amp; Outlays in GDP'!G416,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GDP'!H416),TEXT('Revenues &amp; Outlays in GDP'!H416,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GDP'!J416,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GDP'!G417),TEXT('Revenues &amp; Outlays in GDP'!G417,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GDP'!H417),TEXT('Revenues &amp; Outlays in GDP'!H417,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GDP'!J417,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GDP'!G418),TEXT('Revenues &amp; Outlays in GDP'!G418,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GDP'!H418),TEXT('Revenues &amp; Outlays in GDP'!H418,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GDP'!J418,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GDP'!G419),TEXT('Revenues &amp; Outlays in GDP'!G419,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GDP'!H419),TEXT('Revenues &amp; Outlays in GDP'!H419,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GDP'!J419,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GDP'!G420),TEXT('Revenues &amp; Outlays in GDP'!G420,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GDP'!H420),TEXT('Revenues &amp; Outlays in GDP'!H420,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GDP'!J420,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GDP'!G421),TEXT('Revenues &amp; Outlays in GDP'!G421,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GDP'!H421),TEXT('Revenues &amp; Outlays in GDP'!H421,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GDP'!J421,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GDP'!G422),TEXT('Revenues &amp; Outlays in GDP'!G422,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GDP'!H422),TEXT('Revenues &amp; Outlays in GDP'!H422,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GDP'!J422,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GDP'!G423),TEXT('Revenues &amp; Outlays in GDP'!G423,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GDP'!H423),TEXT('Revenues &amp; Outlays in GDP'!H423,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GDP'!J423,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GDP'!G424),TEXT('Revenues &amp; Outlays in GDP'!G424,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GDP'!H424),TEXT('Revenues &amp; Outlays in GDP'!H424,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GDP'!J424,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GDP'!G425),TEXT('Revenues &amp; Outlays in GDP'!G425,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GDP'!H425),TEXT('Revenues &amp; Outlays in GDP'!H425,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GDP'!J425,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GDP'!G426),TEXT('Revenues &amp; Outlays in GDP'!G426,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GDP'!H426),TEXT('Revenues &amp; Outlays in GDP'!H426,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GDP'!J426,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GDP'!G427),TEXT('Revenues &amp; Outlays in GDP'!G427,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GDP'!H427),TEXT('Revenues &amp; Outlays in GDP'!H427,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GDP'!J427,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GDP'!G428),TEXT('Revenues &amp; Outlays in GDP'!G428,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GDP'!H428),TEXT('Revenues &amp; Outlays in GDP'!H428,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GDP'!J428,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GDP'!G429),TEXT('Revenues &amp; Outlays in GDP'!G429,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GDP'!H429),TEXT('Revenues &amp; Outlays in GDP'!H429,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GDP'!J429,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GDP'!G430),TEXT('Revenues &amp; Outlays in GDP'!G430,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GDP'!H430),TEXT('Revenues &amp; Outlays in GDP'!H430,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GDP'!J430,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GDP'!G431),TEXT('Revenues &amp; Outlays in GDP'!G431,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GDP'!H431),TEXT('Revenues &amp; Outlays in GDP'!H431,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GDP'!J431,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GDP'!G432),TEXT('Revenues &amp; Outlays in GDP'!G432,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GDP'!H432),TEXT('Revenues &amp; Outlays in GDP'!H432,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GDP'!J432,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GDP'!G433),TEXT('Revenues &amp; Outlays in GDP'!G433,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GDP'!H433),TEXT('Revenues &amp; Outlays in GDP'!H433,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GDP'!J433,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GDP'!G434),TEXT('Revenues &amp; Outlays in GDP'!G434,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GDP'!H434),TEXT('Revenues &amp; Outlays in GDP'!H434,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GDP'!J434,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GDP'!G435),TEXT('Revenues &amp; Outlays in GDP'!G435,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GDP'!H435),TEXT('Revenues &amp; Outlays in GDP'!H435,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GDP'!J435,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GDP'!G436),TEXT('Revenues &amp; Outlays in GDP'!G436,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GDP'!H436),TEXT('Revenues &amp; Outlays in GDP'!H436,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GDP'!J436,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GDP'!G437),TEXT('Revenues &amp; Outlays in GDP'!G437,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GDP'!H437),TEXT('Revenues &amp; Outlays in GDP'!H437,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GDP'!J437,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GDP'!G438),TEXT('Revenues &amp; Outlays in GDP'!G438,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GDP'!H438),TEXT('Revenues &amp; Outlays in GDP'!H438,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GDP'!J438,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GDP'!G439),TEXT('Revenues &amp; Outlays in GDP'!G439,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GDP'!H439),TEXT('Revenues &amp; Outlays in GDP'!H439,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GDP'!J439,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GDP'!G440),TEXT('Revenues &amp; Outlays in GDP'!G440,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GDP'!H440),TEXT('Revenues &amp; Outlays in GDP'!H440,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GDP'!J440,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GDP'!G441),TEXT('Revenues &amp; Outlays in GDP'!G441,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GDP'!H441),TEXT('Revenues &amp; Outlays in GDP'!H441,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GDP'!J441,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GDP'!G442),TEXT('Revenues &amp; Outlays in GDP'!G442,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GDP'!H442),TEXT('Revenues &amp; Outlays in GDP'!H442,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GDP'!J442,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GDP'!G443),TEXT('Revenues &amp; Outlays in GDP'!G443,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GDP'!H443),TEXT('Revenues &amp; Outlays in GDP'!H443,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GDP'!J443,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GDP'!G444),TEXT('Revenues &amp; Outlays in GDP'!G444,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GDP'!H444),TEXT('Revenues &amp; Outlays in GDP'!H444,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GDP'!J444,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GDP'!G445),TEXT('Revenues &amp; Outlays in GDP'!G445,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GDP'!H445),TEXT('Revenues &amp; Outlays in GDP'!H445,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GDP'!J445,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GDP'!G446),TEXT('Revenues &amp; Outlays in GDP'!G446,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GDP'!H446),TEXT('Revenues &amp; Outlays in GDP'!H446,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GDP'!J446,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GDP'!G447),TEXT('Revenues &amp; Outlays in GDP'!G447,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GDP'!H447),TEXT('Revenues &amp; Outlays in GDP'!H447,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GDP'!J447,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GDP'!G448),TEXT('Revenues &amp; Outlays in GDP'!G448,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GDP'!H448),TEXT('Revenues &amp; Outlays in GDP'!H448,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GDP'!J448,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GDP'!G449),TEXT('Revenues &amp; Outlays in GDP'!G449,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GDP'!H449),TEXT('Revenues &amp; Outlays in GDP'!H449,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GDP'!J449,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GDP'!G450),TEXT('Revenues &amp; Outlays in GDP'!G450,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GDP'!H450),TEXT('Revenues &amp; Outlays in GDP'!H450,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GDP'!J450,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GDP'!G451),TEXT('Revenues &amp; Outlays in GDP'!G451,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GDP'!H451),TEXT('Revenues &amp; Outlays in GDP'!H451,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GDP'!J451,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GDP'!G452),TEXT('Revenues &amp; Outlays in GDP'!G452,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GDP'!H452),TEXT('Revenues &amp; Outlays in GDP'!H452,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GDP'!J452,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GDP'!G453),TEXT('Revenues &amp; Outlays in GDP'!G453,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GDP'!H453),TEXT('Revenues &amp; Outlays in GDP'!H453,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GDP'!J453,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GDP'!G454),TEXT('Revenues &amp; Outlays in GDP'!G454,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GDP'!H454),TEXT('Revenues &amp; Outlays in GDP'!H454,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GDP'!J454,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GDP'!G455),TEXT('Revenues &amp; Outlays in GDP'!G455,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GDP'!H455),TEXT('Revenues &amp; Outlays in GDP'!H455,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GDP'!J455,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GDP'!G456),TEXT('Revenues &amp; Outlays in GDP'!G456,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GDP'!H456),TEXT('Revenues &amp; Outlays in GDP'!H456,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GDP'!J456,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GDP'!G457),TEXT('Revenues &amp; Outlays in GDP'!G457,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GDP'!H457),TEXT('Revenues &amp; Outlays in GDP'!H457,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GDP'!J457,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GDP'!G458),TEXT('Revenues &amp; Outlays in GDP'!G458,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GDP'!H458),TEXT('Revenues &amp; Outlays in GDP'!H458,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GDP'!J458,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GDP'!G459),TEXT('Revenues &amp; Outlays in GDP'!G459,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GDP'!H459),TEXT('Revenues &amp; Outlays in GDP'!H459,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GDP'!J459,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GDP'!G460),TEXT('Revenues &amp; Outlays in GDP'!G460,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GDP'!H460),TEXT('Revenues &amp; Outlays in GDP'!H460,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GDP'!J460,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GDP'!G461),TEXT('Revenues &amp; Outlays in GDP'!G461,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GDP'!H461),TEXT('Revenues &amp; Outlays in GDP'!H461,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GDP'!J461,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GDP'!G462),TEXT('Revenues &amp; Outlays in GDP'!G462,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GDP'!H462),TEXT('Revenues &amp; Outlays in GDP'!H462,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GDP'!J462,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GDP'!G463),TEXT('Revenues &amp; Outlays in GDP'!G463,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GDP'!H463),TEXT('Revenues &amp; Outlays in GDP'!H463,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GDP'!J463,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GDP'!G464),TEXT('Revenues &amp; Outlays in GDP'!G464,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GDP'!H464),TEXT('Revenues &amp; Outlays in GDP'!H464,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GDP'!J464,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GDP'!G465),TEXT('Revenues &amp; Outlays in GDP'!G465,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GDP'!H465),TEXT('Revenues &amp; Outlays in GDP'!H465,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GDP'!J465,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GDP'!G466),TEXT('Revenues &amp; Outlays in GDP'!G466,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GDP'!H466),TEXT('Revenues &amp; Outlays in GDP'!H466,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GDP'!J466,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GDP'!G467),TEXT('Revenues &amp; Outlays in GDP'!G467,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GDP'!H467),TEXT('Revenues &amp; Outlays in GDP'!H467,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GDP'!J467,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GDP'!G468),TEXT('Revenues &amp; Outlays in GDP'!G468,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GDP'!H468),TEXT('Revenues &amp; Outlays in GDP'!H468,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GDP'!J468,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GDP'!G469),TEXT('Revenues &amp; Outlays in GDP'!G469,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GDP'!H469),TEXT('Revenues &amp; Outlays in GDP'!H469,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GDP'!J469,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GDP'!G470),TEXT('Revenues &amp; Outlays in GDP'!G470,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GDP'!H470),TEXT('Revenues &amp; Outlays in GDP'!H470,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GDP'!J470,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GDP'!G471),TEXT('Revenues &amp; Outlays in GDP'!G471,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GDP'!H471),TEXT('Revenues &amp; Outlays in GDP'!H471,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GDP'!J471,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GDP'!G472),TEXT('Revenues &amp; Outlays in GDP'!G472,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GDP'!H472),TEXT('Revenues &amp; Outlays in GDP'!H472,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GDP'!J472,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GDP'!G473),TEXT('Revenues &amp; Outlays in GDP'!G473,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GDP'!H473),TEXT('Revenues &amp; Outlays in GDP'!H473,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GDP'!J473,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GDP'!G474),TEXT('Revenues &amp; Outlays in GDP'!G474,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GDP'!H474),TEXT('Revenues &amp; Outlays in GDP'!H474,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GDP'!J474,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GDP'!G475),TEXT('Revenues &amp; Outlays in GDP'!G475,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GDP'!H475),TEXT('Revenues &amp; Outlays in GDP'!H475,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GDP'!J475,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GDP'!G476),TEXT('Revenues &amp; Outlays in GDP'!G476,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GDP'!H476),TEXT('Revenues &amp; Outlays in GDP'!H476,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GDP'!J476,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GDP'!G477),TEXT('Revenues &amp; Outlays in GDP'!G477,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GDP'!H477),TEXT('Revenues &amp; Outlays in GDP'!H477,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GDP'!J477,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GDP'!G478),TEXT('Revenues &amp; Outlays in GDP'!G478,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GDP'!H478),TEXT('Revenues &amp; Outlays in GDP'!H478,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GDP'!J478,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GDP'!G479),TEXT('Revenues &amp; Outlays in GDP'!G479,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GDP'!H479),TEXT('Revenues &amp; Outlays in GDP'!H479,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GDP'!J479,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GDP'!G480),TEXT('Revenues &amp; Outlays in GDP'!G480,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GDP'!H480),TEXT('Revenues &amp; Outlays in GDP'!H480,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GDP'!J480,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GDP'!G481),TEXT('Revenues &amp; Outlays in GDP'!G481,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GDP'!H481),TEXT('Revenues &amp; Outlays in GDP'!H481,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GDP'!J481,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GDP'!G482),TEXT('Revenues &amp; Outlays in GDP'!G482,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GDP'!H482),TEXT('Revenues &amp; Outlays in GDP'!H482,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GDP'!J482,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GDP'!G483),TEXT('Revenues &amp; Outlays in GDP'!G483,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GDP'!H483),TEXT('Revenues &amp; Outlays in GDP'!H483,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GDP'!J483,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GDP'!G484),TEXT('Revenues &amp; Outlays in GDP'!G484,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GDP'!H484),TEXT('Revenues &amp; Outlays in GDP'!H484,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GDP'!J484,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GDP'!G485),TEXT('Revenues &amp; Outlays in GDP'!G485,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GDP'!H485),TEXT('Revenues &amp; Outlays in GDP'!H485,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GDP'!J485,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GDP'!G486),TEXT('Revenues &amp; Outlays in GDP'!G486,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GDP'!H486),TEXT('Revenues &amp; Outlays in GDP'!H486,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GDP'!J486,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GDP'!G487),TEXT('Revenues &amp; Outlays in GDP'!G487,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GDP'!H487),TEXT('Revenues &amp; Outlays in GDP'!H487,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GDP'!J487,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GDP'!G488),TEXT('Revenues &amp; Outlays in GDP'!G488,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GDP'!H488),TEXT('Revenues &amp; Outlays in GDP'!H488,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GDP'!J488,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GDP'!G489),TEXT('Revenues &amp; Outlays in GDP'!G489,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GDP'!H489),TEXT('Revenues &amp; Outlays in GDP'!H489,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GDP'!J489,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GDP'!G490),TEXT('Revenues &amp; Outlays in GDP'!G490,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GDP'!H490),TEXT('Revenues &amp; Outlays in GDP'!H490,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GDP'!J490,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GDP'!G491),TEXT('Revenues &amp; Outlays in GDP'!G491,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GDP'!H491),TEXT('Revenues &amp; Outlays in GDP'!H491,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GDP'!J491,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GDP'!G492),TEXT('Revenues &amp; Outlays in GDP'!G492,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GDP'!H492),TEXT('Revenues &amp; Outlays in GDP'!H492,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GDP'!J492,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GDP'!G493),TEXT('Revenues &amp; Outlays in GDP'!G493,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GDP'!H493),TEXT('Revenues &amp; Outlays in GDP'!H493,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GDP'!J493,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GDP'!G494),TEXT('Revenues &amp; Outlays in GDP'!G494,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GDP'!H494),TEXT('Revenues &amp; Outlays in GDP'!H494,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GDP'!J494,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GDP'!G495),TEXT('Revenues &amp; Outlays in GDP'!G495,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GDP'!H495),TEXT('Revenues &amp; Outlays in GDP'!H495,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GDP'!J495,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GDP'!G496),TEXT('Revenues &amp; Outlays in GDP'!G496,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GDP'!H496),TEXT('Revenues &amp; Outlays in GDP'!H496,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GDP'!J496,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GDP'!G497),TEXT('Revenues &amp; Outlays in GDP'!G497,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GDP'!H497),TEXT('Revenues &amp; Outlays in GDP'!H497,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GDP'!J497,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GDP'!G498),TEXT('Revenues &amp; Outlays in GDP'!G498,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GDP'!H498),TEXT('Revenues &amp; Outlays in GDP'!H498,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GDP'!J498,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GDP'!G499),TEXT('Revenues &amp; Outlays in GDP'!G499,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GDP'!H499),TEXT('Revenues &amp; Outlays in GDP'!H499,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GDP'!J499,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GDP'!G500),TEXT('Revenues &amp; Outlays in GDP'!G500,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GDP'!H500),TEXT('Revenues &amp; Outlays in GDP'!H500,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GDP'!J500,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GDP'!G501),TEXT('Revenues &amp; Outlays in GDP'!G501,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GDP'!H501),TEXT('Revenues &amp; Outlays in GDP'!H501,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GDP'!J501,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GDP'!G502),TEXT('Revenues &amp; Outlays in GDP'!G502,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GDP'!H502),TEXT('Revenues &amp; Outlays in GDP'!H502,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GDP'!J502,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GDP'!G503),TEXT('Revenues &amp; Outlays in GDP'!G503,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GDP'!H503),TEXT('Revenues &amp; Outlays in GDP'!H503,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GDP'!J503,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GDP'!G504),TEXT('Revenues &amp; Outlays in GDP'!G504,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GDP'!H504),TEXT('Revenues &amp; Outlays in GDP'!H504,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GDP'!J504,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GDP'!G505),TEXT('Revenues &amp; Outlays in GDP'!G505,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GDP'!H505),TEXT('Revenues &amp; Outlays in GDP'!H505,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GDP'!J505,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GDP'!G506),TEXT('Revenues &amp; Outlays in GDP'!G506,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GDP'!H506),TEXT('Revenues &amp; Outlays in GDP'!H506,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GDP'!J506,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GDP'!G507),TEXT('Revenues &amp; Outlays in GDP'!G507,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GDP'!H507),TEXT('Revenues &amp; Outlays in GDP'!H507,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GDP'!J507,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GDP'!G508),TEXT('Revenues &amp; Outlays in GDP'!G508,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GDP'!H508),TEXT('Revenues &amp; Outlays in GDP'!H508,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GDP'!J508,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GDP'!G509),TEXT('Revenues &amp; Outlays in GDP'!G509,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GDP'!H509),TEXT('Revenues &amp; Outlays in GDP'!H509,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GDP'!J509,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GDP'!G510),TEXT('Revenues &amp; Outlays in GDP'!G510,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GDP'!H510),TEXT('Revenues &amp; Outlays in GDP'!H510,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GDP'!J510,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GDP'!G511),TEXT('Revenues &amp; Outlays in GDP'!G511,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GDP'!H511),TEXT('Revenues &amp; Outlays in GDP'!H511,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GDP'!J511,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GDP'!G512),TEXT('Revenues &amp; Outlays in GDP'!G512,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GDP'!H512),TEXT('Revenues &amp; Outlays in GDP'!H512,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GDP'!J512,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GDP'!G513),TEXT('Revenues &amp; Outlays in GDP'!G513,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GDP'!H513),TEXT('Revenues &amp; Outlays in GDP'!H513,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GDP'!J513,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GDP'!G514),TEXT('Revenues &amp; Outlays in GDP'!G514,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GDP'!H514),TEXT('Revenues &amp; Outlays in GDP'!H514,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GDP'!J514,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GDP'!G515),TEXT('Revenues &amp; Outlays in GDP'!G515,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GDP'!H515),TEXT('Revenues &amp; Outlays in GDP'!H515,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GDP'!J515,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GDP'!G516),TEXT('Revenues &amp; Outlays in GDP'!G516,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GDP'!H516),TEXT('Revenues &amp; Outlays in GDP'!H516,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GDP'!J516,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GDP'!G517),TEXT('Revenues &amp; Outlays in GDP'!G517,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GDP'!H517),TEXT('Revenues &amp; Outlays in GDP'!H517,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GDP'!J517,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GDP'!G518),TEXT('Revenues &amp; Outlays in GDP'!G518,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GDP'!H518),TEXT('Revenues &amp; Outlays in GDP'!H518,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GDP'!J518,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GDP'!G519),TEXT('Revenues &amp; Outlays in GDP'!G519,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GDP'!H519),TEXT('Revenues &amp; Outlays in GDP'!H519,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GDP'!J519,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GDP'!G520),TEXT('Revenues &amp; Outlays in GDP'!G520,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GDP'!H520),TEXT('Revenues &amp; Outlays in GDP'!H520,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GDP'!J520,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GDP'!G521),TEXT('Revenues &amp; Outlays in GDP'!G521,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GDP'!H521),TEXT('Revenues &amp; Outlays in GDP'!H521,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GDP'!J521,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GDP'!G522),TEXT('Revenues &amp; Outlays in GDP'!G522,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GDP'!H522),TEXT('Revenues &amp; Outlays in GDP'!H522,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GDP'!J522,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GDP'!G523),TEXT('Revenues &amp; Outlays in GDP'!G523,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GDP'!H523),TEXT('Revenues &amp; Outlays in GDP'!H523,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GDP'!J523,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GDP'!G524),TEXT('Revenues &amp; Outlays in GDP'!G524,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GDP'!H524),TEXT('Revenues &amp; Outlays in GDP'!H524,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GDP'!J524,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GDP'!G525),TEXT('Revenues &amp; Outlays in GDP'!G525,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GDP'!H525),TEXT('Revenues &amp; Outlays in GDP'!H525,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GDP'!J525,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GDP'!G526),TEXT('Revenues &amp; Outlays in GDP'!G526,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GDP'!H526),TEXT('Revenues &amp; Outlays in GDP'!H526,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GDP'!J526,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GDP'!G527),TEXT('Revenues &amp; Outlays in GDP'!G527,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GDP'!H527),TEXT('Revenues &amp; Outlays in GDP'!H527,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GDP'!J527,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GDP'!G528),TEXT('Revenues &amp; Outlays in GDP'!G528,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GDP'!H528),TEXT('Revenues &amp; Outlays in GDP'!H528,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GDP'!J528,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GDP'!G529),TEXT('Revenues &amp; Outlays in GDP'!G529,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GDP'!H529),TEXT('Revenues &amp; Outlays in GDP'!H529,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GDP'!J529,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GDP'!G530),TEXT('Revenues &amp; Outlays in GDP'!G530,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GDP'!H530),TEXT('Revenues &amp; Outlays in GDP'!H530,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GDP'!J530,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GDP'!G531),TEXT('Revenues &amp; Outlays in GDP'!G531,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GDP'!H531),TEXT('Revenues &amp; Outlays in GDP'!H531,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GDP'!J531,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GDP'!G532),TEXT('Revenues &amp; Outlays in GDP'!G532,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GDP'!H532),TEXT('Revenues &amp; Outlays in GDP'!H532,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GDP'!J532,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GDP'!G533),TEXT('Revenues &amp; Outlays in GDP'!G533,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GDP'!H533),TEXT('Revenues &amp; Outlays in GDP'!H533,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GDP'!J533,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GDP'!G534),TEXT('Revenues &amp; Outlays in GDP'!G534,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GDP'!H534),TEXT('Revenues &amp; Outlays in GDP'!H534,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GDP'!J534,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GDP'!G535),TEXT('Revenues &amp; Outlays in GDP'!G535,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GDP'!H535),TEXT('Revenues &amp; Outlays in GDP'!H535,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GDP'!J535,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GDP'!G536),TEXT('Revenues &amp; Outlays in GDP'!G536,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GDP'!H536),TEXT('Revenues &amp; Outlays in GDP'!H536,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GDP'!J536,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GDP'!G537),TEXT('Revenues &amp; Outlays in GDP'!G537,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GDP'!H537),TEXT('Revenues &amp; Outlays in GDP'!H537,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GDP'!J537,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GDP'!G538),TEXT('Revenues &amp; Outlays in GDP'!G538,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GDP'!H538),TEXT('Revenues &amp; Outlays in GDP'!H538,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GDP'!J538,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GDP'!G539),TEXT('Revenues &amp; Outlays in GDP'!G539,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GDP'!H539),TEXT('Revenues &amp; Outlays in GDP'!H539,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GDP'!J539,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GDP'!G540),TEXT('Revenues &amp; Outlays in GDP'!G540,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GDP'!H540),TEXT('Revenues &amp; Outlays in GDP'!H540,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GDP'!J540,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GDP'!G541),TEXT('Revenues &amp; Outlays in GDP'!G541,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GDP'!H541),TEXT('Revenues &amp; Outlays in GDP'!H541,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GDP'!J541,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GDP'!G542),TEXT('Revenues &amp; Outlays in GDP'!G542,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GDP'!H542),TEXT('Revenues &amp; Outlays in GDP'!H542,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GDP'!J542,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GDP'!G543),TEXT('Revenues &amp; Outlays in GDP'!G543,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GDP'!H543),TEXT('Revenues &amp; Outlays in GDP'!H543,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GDP'!J543,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GDP'!G544),TEXT('Revenues &amp; Outlays in GDP'!G544,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GDP'!H544),TEXT('Revenues &amp; Outlays in GDP'!H544,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GDP'!J544,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GDP'!G545),TEXT('Revenues &amp; Outlays in GDP'!G545,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GDP'!H545),TEXT('Revenues &amp; Outlays in GDP'!H545,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GDP'!J545,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GDP'!G546),TEXT('Revenues &amp; Outlays in GDP'!G546,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GDP'!H546),TEXT('Revenues &amp; Outlays in GDP'!H546,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GDP'!J546,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GDP'!G547),TEXT('Revenues &amp; Outlays in GDP'!G547,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GDP'!H547),TEXT('Revenues &amp; Outlays in GDP'!H547,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GDP'!J547,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GDP'!G548),TEXT('Revenues &amp; Outlays in GDP'!G548,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GDP'!H548),TEXT('Revenues &amp; Outlays in GDP'!H548,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GDP'!J548,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GDP'!G549),TEXT('Revenues &amp; Outlays in GDP'!G549,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GDP'!H549),TEXT('Revenues &amp; Outlays in GDP'!H549,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GDP'!J549,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GDP'!G550),TEXT('Revenues &amp; Outlays in GDP'!G550,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GDP'!H550),TEXT('Revenues &amp; Outlays in GDP'!H550,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GDP'!J550,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GDP'!G551),TEXT('Revenues &amp; Outlays in GDP'!G551,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GDP'!H551),TEXT('Revenues &amp; Outlays in GDP'!H551,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GDP'!J551,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GDP'!G552),TEXT('Revenues &amp; Outlays in GDP'!G552,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GDP'!H552),TEXT('Revenues &amp; Outlays in GDP'!H552,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GDP'!J552,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GDP'!G553),TEXT('Revenues &amp; Outlays in GDP'!G553,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GDP'!H553),TEXT('Revenues &amp; Outlays in GDP'!H553,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GDP'!J553,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GDP'!G554),TEXT('Revenues &amp; Outlays in GDP'!G554,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GDP'!H554),TEXT('Revenues &amp; Outlays in GDP'!H554,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GDP'!J554,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GDP'!G555),TEXT('Revenues &amp; Outlays in GDP'!G555,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GDP'!H555),TEXT('Revenues &amp; Outlays in GDP'!H555,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GDP'!J555,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GDP'!G556),TEXT('Revenues &amp; Outlays in GDP'!G556,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GDP'!H556),TEXT('Revenues &amp; Outlays in GDP'!H556,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GDP'!J556,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GDP'!G557),TEXT('Revenues &amp; Outlays in GDP'!G557,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GDP'!H557),TEXT('Revenues &amp; Outlays in GDP'!H557,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GDP'!J557,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GDP'!G558),TEXT('Revenues &amp; Outlays in GDP'!G558,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GDP'!H558),TEXT('Revenues &amp; Outlays in GDP'!H558,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GDP'!J558,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GDP'!G559),TEXT('Revenues &amp; Outlays in GDP'!G559,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GDP'!H559),TEXT('Revenues &amp; Outlays in GDP'!H559,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GDP'!J559,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GDP'!G560),TEXT('Revenues &amp; Outlays in GDP'!G560,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GDP'!H560),TEXT('Revenues &amp; Outlays in GDP'!H560,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GDP'!J560,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GDP'!G561),TEXT('Revenues &amp; Outlays in GDP'!G561,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GDP'!H561),TEXT('Revenues &amp; Outlays in GDP'!H561,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GDP'!J561,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GDP'!G562),TEXT('Revenues &amp; Outlays in GDP'!G562,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GDP'!H562),TEXT('Revenues &amp; Outlays in GDP'!H562,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GDP'!J562,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GDP'!G563),TEXT('Revenues &amp; Outlays in GDP'!G563,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GDP'!H563),TEXT('Revenues &amp; Outlays in GDP'!H563,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GDP'!J563,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GDP'!G564),TEXT('Revenues &amp; Outlays in GDP'!G564,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GDP'!H564),TEXT('Revenues &amp; Outlays in GDP'!H564,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GDP'!J564,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GDP'!G565),TEXT('Revenues &amp; Outlays in GDP'!G565,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GDP'!H565),TEXT('Revenues &amp; Outlays in GDP'!H565,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GDP'!J565,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GDP'!G566),TEXT('Revenues &amp; Outlays in GDP'!G566,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GDP'!H566),TEXT('Revenues &amp; Outlays in GDP'!H566,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GDP'!J566,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GDP'!G567),TEXT('Revenues &amp; Outlays in GDP'!G567,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GDP'!H567),TEXT('Revenues &amp; Outlays in GDP'!H567,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GDP'!J567,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GDP'!G568),TEXT('Revenues &amp; Outlays in GDP'!G568,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GDP'!H568),TEXT('Revenues &amp; Outlays in GDP'!H568,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GDP'!J568,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GDP'!G569),TEXT('Revenues &amp; Outlays in GDP'!G569,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GDP'!H569),TEXT('Revenues &amp; Outlays in GDP'!H569,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GDP'!J569,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GDP'!G570),TEXT('Revenues &amp; Outlays in GDP'!G570,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GDP'!H570),TEXT('Revenues &amp; Outlays in GDP'!H570,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GDP'!J570,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GDP'!G571),TEXT('Revenues &amp; Outlays in GDP'!G571,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GDP'!H571),TEXT('Revenues &amp; Outlays in GDP'!H571,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GDP'!J571,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GDP'!G572),TEXT('Revenues &amp; Outlays in GDP'!G572,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GDP'!H572),TEXT('Revenues &amp; Outlays in GDP'!H572,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GDP'!J572,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GDP'!G573),TEXT('Revenues &amp; Outlays in GDP'!G573,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GDP'!H573),TEXT('Revenues &amp; Outlays in GDP'!H573,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GDP'!J573,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GDP'!G574),TEXT('Revenues &amp; Outlays in GDP'!G574,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GDP'!H574),TEXT('Revenues &amp; Outlays in GDP'!H574,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GDP'!J574,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GDP'!G575),TEXT('Revenues &amp; Outlays in GDP'!G575,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GDP'!H575),TEXT('Revenues &amp; Outlays in GDP'!H575,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GDP'!J575,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GDP'!G576),TEXT('Revenues &amp; Outlays in GDP'!G576,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GDP'!H576),TEXT('Revenues &amp; Outlays in GDP'!H576,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GDP'!J576,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GDP'!G577),TEXT('Revenues &amp; Outlays in GDP'!G577,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GDP'!H577),TEXT('Revenues &amp; Outlays in GDP'!H577,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GDP'!J577,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GDP'!G578),TEXT('Revenues &amp; Outlays in GDP'!G578,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GDP'!H578),TEXT('Revenues &amp; Outlays in GDP'!H578,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GDP'!J578,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GDP'!G579),TEXT('Revenues &amp; Outlays in GDP'!G579,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GDP'!H579),TEXT('Revenues &amp; Outlays in GDP'!H579,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GDP'!J579,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GDP'!G580),TEXT('Revenues &amp; Outlays in GDP'!G580,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GDP'!H580),TEXT('Revenues &amp; Outlays in GDP'!H580,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GDP'!J580,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GDP'!G581),TEXT('Revenues &amp; Outlays in GDP'!G581,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GDP'!H581),TEXT('Revenues &amp; Outlays in GDP'!H581,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GDP'!J581,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GDP'!G582),TEXT('Revenues &amp; Outlays in GDP'!G582,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GDP'!H582),TEXT('Revenues &amp; Outlays in GDP'!H582,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GDP'!J582,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GDP'!G583),TEXT('Revenues &amp; Outlays in GDP'!G583,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GDP'!H583),TEXT('Revenues &amp; Outlays in GDP'!H583,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GDP'!J583,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GDP'!G584),TEXT('Revenues &amp; Outlays in GDP'!G584,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GDP'!H584),TEXT('Revenues &amp; Outlays in GDP'!H584,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GDP'!J584,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GDP'!G585),TEXT('Revenues &amp; Outlays in GDP'!G585,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GDP'!H585),TEXT('Revenues &amp; Outlays in GDP'!H585,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GDP'!J585,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GDP'!G586),TEXT('Revenues &amp; Outlays in GDP'!G586,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GDP'!H586),TEXT('Revenues &amp; Outlays in GDP'!H586,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GDP'!J586,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GDP'!G587),TEXT('Revenues &amp; Outlays in GDP'!G587,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GDP'!H587),TEXT('Revenues &amp; Outlays in GDP'!H587,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GDP'!J587,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GDP'!G588),TEXT('Revenues &amp; Outlays in GDP'!G588,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GDP'!H588),TEXT('Revenues &amp; Outlays in GDP'!H588,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GDP'!J588,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GDP'!G589),TEXT('Revenues &amp; Outlays in GDP'!G589,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GDP'!H589),TEXT('Revenues &amp; Outlays in GDP'!H589,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GDP'!J589,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GDP'!G590),TEXT('Revenues &amp; Outlays in GDP'!G590,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GDP'!H590),TEXT('Revenues &amp; Outlays in GDP'!H590,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GDP'!J590,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GDP'!G591),TEXT('Revenues &amp; Outlays in GDP'!G591,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GDP'!H591),TEXT('Revenues &amp; Outlays in GDP'!H591,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GDP'!J591,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GDP'!G592),TEXT('Revenues &amp; Outlays in GDP'!G592,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GDP'!H592),TEXT('Revenues &amp; Outlays in GDP'!H592,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GDP'!J592,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GDP'!G593),TEXT('Revenues &amp; Outlays in GDP'!G593,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GDP'!H593),TEXT('Revenues &amp; Outlays in GDP'!H593,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GDP'!J593,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GDP'!G594),TEXT('Revenues &amp; Outlays in GDP'!G594,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GDP'!H594),TEXT('Revenues &amp; Outlays in GDP'!H594,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GDP'!J594,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GDP'!G595),TEXT('Revenues &amp; Outlays in GDP'!G595,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GDP'!H595),TEXT('Revenues &amp; Outlays in GDP'!H595,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GDP'!J595,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GDP'!G596),TEXT('Revenues &amp; Outlays in GDP'!G596,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GDP'!H596),TEXT('Revenues &amp; Outlays in GDP'!H596,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GDP'!J596,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GDP'!G597),TEXT('Revenues &amp; Outlays in GDP'!G597,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GDP'!H597),TEXT('Revenues &amp; Outlays in GDP'!H597,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GDP'!J597,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GDP'!G598),TEXT('Revenues &amp; Outlays in GDP'!G598,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GDP'!H598),TEXT('Revenues &amp; Outlays in GDP'!H598,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GDP'!J598,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GDP'!G599),TEXT('Revenues &amp; Outlays in GDP'!G599,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GDP'!H599),TEXT('Revenues &amp; Outlays in GDP'!H599,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GDP'!J599,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GDP'!G600),TEXT('Revenues &amp; Outlays in GDP'!G600,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GDP'!H600),TEXT('Revenues &amp; Outlays in GDP'!H600,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GDP'!J600,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GDP'!G601),TEXT('Revenues &amp; Outlays in GDP'!G601,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GDP'!H601),TEXT('Revenues &amp; Outlays in GDP'!H601,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GDP'!J601,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GDP'!G602),TEXT('Revenues &amp; Outlays in GDP'!G602,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GDP'!H602),TEXT('Revenues &amp; Outlays in GDP'!H602,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GDP'!J602,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GDP'!G603),TEXT('Revenues &amp; Outlays in GDP'!G603,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GDP'!H603),TEXT('Revenues &amp; Outlays in GDP'!H603,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GDP'!J603,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GDP'!G604),TEXT('Revenues &amp; Outlays in GDP'!G604,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GDP'!H604),TEXT('Revenues &amp; Outlays in GDP'!H604,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GDP'!J604,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GDP'!G605),TEXT('Revenues &amp; Outlays in GDP'!G605,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GDP'!H605),TEXT('Revenues &amp; Outlays in GDP'!H605,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GDP'!J605,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GDP'!G606),TEXT('Revenues &amp; Outlays in GDP'!G606,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GDP'!H606),TEXT('Revenues &amp; Outlays in GDP'!H606,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GDP'!J606,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GDP'!G607),TEXT('Revenues &amp; Outlays in GDP'!G607,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GDP'!H607),TEXT('Revenues &amp; Outlays in GDP'!H607,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GDP'!J607,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GDP'!G608),TEXT('Revenues &amp; Outlays in GDP'!G608,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GDP'!H608),TEXT('Revenues &amp; Outlays in GDP'!H608,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GDP'!J608,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GDP'!G609),TEXT('Revenues &amp; Outlays in GDP'!G609,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GDP'!H609),TEXT('Revenues &amp; Outlays in GDP'!H609,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GDP'!J609,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GDP'!G610),TEXT('Revenues &amp; Outlays in GDP'!G610,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GDP'!H610),TEXT('Revenues &amp; Outlays in GDP'!H610,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GDP'!J610,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GDP'!G611),TEXT('Revenues &amp; Outlays in GDP'!G611,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GDP'!H611),TEXT('Revenues &amp; Outlays in GDP'!H611,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GDP'!J611,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GDP'!G612),TEXT('Revenues &amp; Outlays in GDP'!G612,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GDP'!H612),TEXT('Revenues &amp; Outlays in GDP'!H612,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GDP'!J612,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GDP'!G613),TEXT('Revenues &amp; Outlays in GDP'!G613,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GDP'!H613),TEXT('Revenues &amp; Outlays in GDP'!H613,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GDP'!J613,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GDP'!G614),TEXT('Revenues &amp; Outlays in GDP'!G614,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GDP'!H614),TEXT('Revenues &amp; Outlays in GDP'!H614,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GDP'!J614,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GDP'!G615),TEXT('Revenues &amp; Outlays in GDP'!G615,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GDP'!H615),TEXT('Revenues &amp; Outlays in GDP'!H615,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GDP'!J615,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GDP'!G616),TEXT('Revenues &amp; Outlays in GDP'!G616,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GDP'!H616),TEXT('Revenues &amp; Outlays in GDP'!H616,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GDP'!J616,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GDP'!G617),TEXT('Revenues &amp; Outlays in GDP'!G617,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GDP'!H617),TEXT('Revenues &amp; Outlays in GDP'!H617,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GDP'!J617,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GDP'!G618),TEXT('Revenues &amp; Outlays in GDP'!G618,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GDP'!H618),TEXT('Revenues &amp; Outlays in GDP'!H618,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GDP'!J618,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GDP'!G619),TEXT('Revenues &amp; Outlays in GDP'!G619,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GDP'!H619),TEXT('Revenues &amp; Outlays in GDP'!H619,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GDP'!J619,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GDP'!G620),TEXT('Revenues &amp; Outlays in GDP'!G620,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GDP'!H620),TEXT('Revenues &amp; Outlays in GDP'!H620,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GDP'!J620,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GDP'!G621),TEXT('Revenues &amp; Outlays in GDP'!G621,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GDP'!H621),TEXT('Revenues &amp; Outlays in GDP'!H621,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GDP'!J621,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GDP'!G622),TEXT('Revenues &amp; Outlays in GDP'!G622,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GDP'!H622),TEXT('Revenues &amp; Outlays in GDP'!H622,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GDP'!J622,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GDP'!G623),TEXT('Revenues &amp; Outlays in GDP'!G623,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GDP'!H623),TEXT('Revenues &amp; Outlays in GDP'!H623,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GDP'!J623,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GDP'!G624),TEXT('Revenues &amp; Outlays in GDP'!G624,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GDP'!H624),TEXT('Revenues &amp; Outlays in GDP'!H624,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GDP'!J624,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GDP'!G625),TEXT('Revenues &amp; Outlays in GDP'!G625,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GDP'!H625),TEXT('Revenues &amp; Outlays in GDP'!H625,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GDP'!J625,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GDP'!G626),TEXT('Revenues &amp; Outlays in GDP'!G626,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GDP'!H626),TEXT('Revenues &amp; Outlays in GDP'!H626,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GDP'!J626,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GDP'!G627),TEXT('Revenues &amp; Outlays in GDP'!G627,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GDP'!H627),TEXT('Revenues &amp; Outlays in GDP'!H627,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GDP'!J627,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GDP'!G628),TEXT('Revenues &amp; Outlays in GDP'!G628,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GDP'!H628),TEXT('Revenues &amp; Outlays in GDP'!H628,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GDP'!J628,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GDP'!G629),TEXT('Revenues &amp; Outlays in GDP'!G629,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GDP'!H629),TEXT('Revenues &amp; Outlays in GDP'!H629,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GDP'!J629,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GDP'!G630),TEXT('Revenues &amp; Outlays in GDP'!G630,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GDP'!H630),TEXT('Revenues &amp; Outlays in GDP'!H630,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GDP'!J630,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GDP'!G631),TEXT('Revenues &amp; Outlays in GDP'!G631,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GDP'!H631),TEXT('Revenues &amp; Outlays in GDP'!H631,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GDP'!J631,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GDP'!G632),TEXT('Revenues &amp; Outlays in GDP'!G632,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GDP'!H632),TEXT('Revenues &amp; Outlays in GDP'!H632,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GDP'!J632,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GDP'!G633),TEXT('Revenues &amp; Outlays in GDP'!G633,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GDP'!H633),TEXT('Revenues &amp; Outlays in GDP'!H633,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GDP'!J633,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GDP'!G634),TEXT('Revenues &amp; Outlays in GDP'!G634,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GDP'!H634),TEXT('Revenues &amp; Outlays in GDP'!H634,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GDP'!J634,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GDP'!G635),TEXT('Revenues &amp; Outlays in GDP'!G635,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GDP'!H635),TEXT('Revenues &amp; Outlays in GDP'!H635,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GDP'!J635,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GDP'!G636),TEXT('Revenues &amp; Outlays in GDP'!G636,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GDP'!H636),TEXT('Revenues &amp; Outlays in GDP'!H636,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GDP'!J636,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GDP'!G637),TEXT('Revenues &amp; Outlays in GDP'!G637,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GDP'!H637),TEXT('Revenues &amp; Outlays in GDP'!H637,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GDP'!J637,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GDP'!G638),TEXT('Revenues &amp; Outlays in GDP'!G638,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GDP'!H638),TEXT('Revenues &amp; Outlays in GDP'!H638,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GDP'!J638,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GDP'!G639),TEXT('Revenues &amp; Outlays in GDP'!G639,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GDP'!H639),TEXT('Revenues &amp; Outlays in GDP'!H639,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GDP'!J639,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GDP'!G640),TEXT('Revenues &amp; Outlays in GDP'!G640,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GDP'!H640),TEXT('Revenues &amp; Outlays in GDP'!H640,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GDP'!J640,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GDP'!G641),TEXT('Revenues &amp; Outlays in GDP'!G641,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GDP'!H641),TEXT('Revenues &amp; Outlays in GDP'!H641,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GDP'!J641,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GDP'!G642),TEXT('Revenues &amp; Outlays in GDP'!G642,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GDP'!H642),TEXT('Revenues &amp; Outlays in GDP'!H642,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GDP'!J642,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GDP'!G643),TEXT('Revenues &amp; Outlays in GDP'!G643,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GDP'!H643),TEXT('Revenues &amp; Outlays in GDP'!H643,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GDP'!J643,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GDP'!G644),TEXT('Revenues &amp; Outlays in GDP'!G644,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GDP'!H644),TEXT('Revenues &amp; Outlays in GDP'!H644,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GDP'!J644,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GDP'!G645),TEXT('Revenues &amp; Outlays in GDP'!G645,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GDP'!H645),TEXT('Revenues &amp; Outlays in GDP'!H645,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GDP'!J645,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GDP'!G646),TEXT('Revenues &amp; Outlays in GDP'!G646,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GDP'!H646),TEXT('Revenues &amp; Outlays in GDP'!H646,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GDP'!J646,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GDP'!G647),TEXT('Revenues &amp; Outlays in GDP'!G647,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GDP'!H647),TEXT('Revenues &amp; Outlays in GDP'!H647,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GDP'!J647,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GDP'!G648),TEXT('Revenues &amp; Outlays in GDP'!G648,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GDP'!H648),TEXT('Revenues &amp; Outlays in GDP'!H648,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GDP'!J648,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GDP'!G649),TEXT('Revenues &amp; Outlays in GDP'!G649,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GDP'!H649),TEXT('Revenues &amp; Outlays in GDP'!H649,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GDP'!J649,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GDP'!G650),TEXT('Revenues &amp; Outlays in GDP'!G650,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GDP'!H650),TEXT('Revenues &amp; Outlays in GDP'!H650,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GDP'!J650,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GDP'!G651),TEXT('Revenues &amp; Outlays in GDP'!G651,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GDP'!H651),TEXT('Revenues &amp; Outlays in GDP'!H651,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GDP'!J651,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GDP'!G652),TEXT('Revenues &amp; Outlays in GDP'!G652,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GDP'!H652),TEXT('Revenues &amp; Outlays in GDP'!H652,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GDP'!J652,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GDP'!G653),TEXT('Revenues &amp; Outlays in GDP'!G653,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GDP'!H653),TEXT('Revenues &amp; Outlays in GDP'!H653,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GDP'!J653,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GDP'!G654),TEXT('Revenues &amp; Outlays in GDP'!G654,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GDP'!H654),TEXT('Revenues &amp; Outlays in GDP'!H654,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GDP'!J654,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GDP'!G655),TEXT('Revenues &amp; Outlays in GDP'!G655,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GDP'!H655),TEXT('Revenues &amp; Outlays in GDP'!H655,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GDP'!J655,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GDP'!G656),TEXT('Revenues &amp; Outlays in GDP'!G656,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GDP'!H656),TEXT('Revenues &amp; Outlays in GDP'!H656,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GDP'!J656,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GDP'!G657),TEXT('Revenues &amp; Outlays in GDP'!G657,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GDP'!H657),TEXT('Revenues &amp; Outlays in GDP'!H657,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GDP'!J657,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GDP'!G658),TEXT('Revenues &amp; Outlays in GDP'!G658,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GDP'!H658),TEXT('Revenues &amp; Outlays in GDP'!H658,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GDP'!J658,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GDP'!G659),TEXT('Revenues &amp; Outlays in GDP'!G659,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GDP'!H659),TEXT('Revenues &amp; Outlays in GDP'!H659,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GDP'!J659,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GDP'!G660),TEXT('Revenues &amp; Outlays in GDP'!G660,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GDP'!H660),TEXT('Revenues &amp; Outlays in GDP'!H660,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GDP'!J660,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GDP'!G661),TEXT('Revenues &amp; Outlays in GDP'!G661,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GDP'!H661),TEXT('Revenues &amp; Outlays in GDP'!H661,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GDP'!J661,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GDP'!G662),TEXT('Revenues &amp; Outlays in GDP'!G662,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GDP'!H662),TEXT('Revenues &amp; Outlays in GDP'!H662,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GDP'!J662,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GDP'!G663),TEXT('Revenues &amp; Outlays in GDP'!G663,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GDP'!H663),TEXT('Revenues &amp; Outlays in GDP'!H663,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GDP'!J663,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GDP'!G664),TEXT('Revenues &amp; Outlays in GDP'!G664,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GDP'!H664),TEXT('Revenues &amp; Outlays in GDP'!H664,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GDP'!J664,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GDP'!G665),TEXT('Revenues &amp; Outlays in GDP'!G665,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GDP'!H665),TEXT('Revenues &amp; Outlays in GDP'!H665,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GDP'!J665,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GDP'!G666),TEXT('Revenues &amp; Outlays in GDP'!G666,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GDP'!H666),TEXT('Revenues &amp; Outlays in GDP'!H666,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GDP'!J666,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GDP'!G667),TEXT('Revenues &amp; Outlays in GDP'!G667,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GDP'!H667),TEXT('Revenues &amp; Outlays in GDP'!H667,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GDP'!J667,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GDP'!G668),TEXT('Revenues &amp; Outlays in GDP'!G668,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GDP'!H668),TEXT('Revenues &amp; Outlays in GDP'!H668,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GDP'!J668,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GDP'!G669),TEXT('Revenues &amp; Outlays in GDP'!G669,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GDP'!H669),TEXT('Revenues &amp; Outlays in GDP'!H669,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GDP'!J669,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GDP'!G670),TEXT('Revenues &amp; Outlays in GDP'!G670,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GDP'!H670),TEXT('Revenues &amp; Outlays in GDP'!H670,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GDP'!J670,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GDP'!G671),TEXT('Revenues &amp; Outlays in GDP'!G671,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GDP'!H671),TEXT('Revenues &amp; Outlays in GDP'!H671,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GDP'!J671,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GDP'!G672),TEXT('Revenues &amp; Outlays in GDP'!G672,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GDP'!H672),TEXT('Revenues &amp; Outlays in GDP'!H672,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GDP'!J672,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GDP'!G673),TEXT('Revenues &amp; Outlays in GDP'!G673,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GDP'!H673),TEXT('Revenues &amp; Outlays in GDP'!H673,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GDP'!J673,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GDP'!G674),TEXT('Revenues &amp; Outlays in GDP'!G674,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GDP'!H674),TEXT('Revenues &amp; Outlays in GDP'!H674,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GDP'!J674,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GDP'!G675),TEXT('Revenues &amp; Outlays in GDP'!G675,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GDP'!H675),TEXT('Revenues &amp; Outlays in GDP'!H675,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GDP'!J675,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GDP'!G676),TEXT('Revenues &amp; Outlays in GDP'!G676,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GDP'!H676),TEXT('Revenues &amp; Outlays in GDP'!H676,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GDP'!J676,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GDP'!G677),TEXT('Revenues &amp; Outlays in GDP'!G677,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GDP'!H677),TEXT('Revenues &amp; Outlays in GDP'!H677,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GDP'!J677,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GDP'!G678),TEXT('Revenues &amp; Outlays in GDP'!G678,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GDP'!H678),TEXT('Revenues &amp; Outlays in GDP'!H678,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GDP'!J678,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GDP'!G679),TEXT('Revenues &amp; Outlays in GDP'!G679,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GDP'!H679),TEXT('Revenues &amp; Outlays in GDP'!H679,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GDP'!J679,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GDP'!G680),TEXT('Revenues &amp; Outlays in GDP'!G680,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GDP'!H680),TEXT('Revenues &amp; Outlays in GDP'!H680,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GDP'!J680,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GDP'!G681),TEXT('Revenues &amp; Outlays in GDP'!G681,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GDP'!H681),TEXT('Revenues &amp; Outlays in GDP'!H681,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GDP'!J681,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GDP'!G682),TEXT('Revenues &amp; Outlays in GDP'!G682,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GDP'!H682),TEXT('Revenues &amp; Outlays in GDP'!H682,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GDP'!J682,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GDP'!G683),TEXT('Revenues &amp; Outlays in GDP'!G683,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GDP'!H683),TEXT('Revenues &amp; Outlays in GDP'!H683,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GDP'!J683,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GDP'!G684),TEXT('Revenues &amp; Outlays in GDP'!G684,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GDP'!H684),TEXT('Revenues &amp; Outlays in GDP'!H684,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GDP'!J684,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GDP'!G685),TEXT('Revenues &amp; Outlays in GDP'!G685,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GDP'!H685),TEXT('Revenues &amp; Outlays in GDP'!H685,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GDP'!J685,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GDP'!G686),TEXT('Revenues &amp; Outlays in GDP'!G686,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GDP'!H686),TEXT('Revenues &amp; Outlays in GDP'!H686,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GDP'!J686,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GDP'!G687),TEXT('Revenues &amp; Outlays in GDP'!G687,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GDP'!H687),TEXT('Revenues &amp; Outlays in GDP'!H687,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GDP'!J687,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GDP'!G688),TEXT('Revenues &amp; Outlays in GDP'!G688,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GDP'!H688),TEXT('Revenues &amp; Outlays in GDP'!H688,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GDP'!J688,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GDP'!G689),TEXT('Revenues &amp; Outlays in GDP'!G689,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GDP'!H689),TEXT('Revenues &amp; Outlays in GDP'!H689,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GDP'!J689,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GDP'!G690),TEXT('Revenues &amp; Outlays in GDP'!G690,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GDP'!H690),TEXT('Revenues &amp; Outlays in GDP'!H690,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GDP'!J690,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GDP'!G691),TEXT('Revenues &amp; Outlays in GDP'!G691,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GDP'!H691),TEXT('Revenues &amp; Outlays in GDP'!H691,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GDP'!J691,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GDP'!G692),TEXT('Revenues &amp; Outlays in GDP'!G692,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GDP'!H692),TEXT('Revenues &amp; Outlays in GDP'!H692,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GDP'!J692,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GDP'!G693),TEXT('Revenues &amp; Outlays in GDP'!G693,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GDP'!H693),TEXT('Revenues &amp; Outlays in GDP'!H693,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GDP'!J693,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GDP'!G694),TEXT('Revenues &amp; Outlays in GDP'!G694,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GDP'!H694),TEXT('Revenues &amp; Outlays in GDP'!H694,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GDP'!J694,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GDP'!G695),TEXT('Revenues &amp; Outlays in GDP'!G695,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GDP'!H695),TEXT('Revenues &amp; Outlays in GDP'!H695,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GDP'!J695,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GDP'!G696),TEXT('Revenues &amp; Outlays in GDP'!G696,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GDP'!H696),TEXT('Revenues &amp; Outlays in GDP'!H696,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GDP'!J696,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GDP'!G697),TEXT('Revenues &amp; Outlays in GDP'!G697,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GDP'!H697),TEXT('Revenues &amp; Outlays in GDP'!H697,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GDP'!J697,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GDP'!G698),TEXT('Revenues &amp; Outlays in GDP'!G698,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GDP'!H698),TEXT('Revenues &amp; Outlays in GDP'!H698,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GDP'!J698,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GDP'!G699),TEXT('Revenues &amp; Outlays in GDP'!G699,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GDP'!H699),TEXT('Revenues &amp; Outlays in GDP'!H699,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GDP'!J699,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GDP'!G700),TEXT('Revenues &amp; Outlays in GDP'!G700,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GDP'!H700),TEXT('Revenues &amp; Outlays in GDP'!H700,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GDP'!J700,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GDP'!G701),TEXT('Revenues &amp; Outlays in GDP'!G701,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GDP'!H701),TEXT('Revenues &amp; Outlays in GDP'!H701,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GDP'!J701,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GDP'!G702),TEXT('Revenues &amp; Outlays in GDP'!G702,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GDP'!H702),TEXT('Revenues &amp; Outlays in GDP'!H702,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GDP'!J702,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GDP'!G703),TEXT('Revenues &amp; Outlays in GDP'!G703,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GDP'!H703),TEXT('Revenues &amp; Outlays in GDP'!H703,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GDP'!J703,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GDP'!G704),TEXT('Revenues &amp; Outlays in GDP'!G704,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GDP'!H704),TEXT('Revenues &amp; Outlays in GDP'!H704,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GDP'!J704,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GDP'!G705),TEXT('Revenues &amp; Outlays in GDP'!G705,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GDP'!H705),TEXT('Revenues &amp; Outlays in GDP'!H705,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GDP'!J705,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GDP'!G706),TEXT('Revenues &amp; Outlays in GDP'!G706,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GDP'!H706),TEXT('Revenues &amp; Outlays in GDP'!H706,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GDP'!J706,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GDP'!G707),TEXT('Revenues &amp; Outlays in GDP'!G707,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GDP'!H707),TEXT('Revenues &amp; Outlays in GDP'!H707,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GDP'!J707,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GDP'!G708),TEXT('Revenues &amp; Outlays in GDP'!G708,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GDP'!H708),TEXT('Revenues &amp; Outlays in GDP'!H708,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GDP'!J708,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GDP'!G709),TEXT('Revenues &amp; Outlays in GDP'!G709,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GDP'!H709),TEXT('Revenues &amp; Outlays in GDP'!H709,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GDP'!J709,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GDP'!G710),TEXT('Revenues &amp; Outlays in GDP'!G710,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GDP'!H710),TEXT('Revenues &amp; Outlays in GDP'!H710,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GDP'!J710,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GDP'!G711),TEXT('Revenues &amp; Outlays in GDP'!G711,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GDP'!H711),TEXT('Revenues &amp; Outlays in GDP'!H711,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GDP'!J711,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GDP'!G712),TEXT('Revenues &amp; Outlays in GDP'!G712,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GDP'!H712),TEXT('Revenues &amp; Outlays in GDP'!H712,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GDP'!J712,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GDP'!G713),TEXT('Revenues &amp; Outlays in GDP'!G713,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GDP'!H713),TEXT('Revenues &amp; Outlays in GDP'!H713,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GDP'!J713,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GDP'!G714),TEXT('Revenues &amp; Outlays in GDP'!G714,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GDP'!H714),TEXT('Revenues &amp; Outlays in GDP'!H714,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GDP'!J714,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GDP'!G715),TEXT('Revenues &amp; Outlays in GDP'!G715,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GDP'!H715),TEXT('Revenues &amp; Outlays in GDP'!H715,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GDP'!J715,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GDP'!G716),TEXT('Revenues &amp; Outlays in GDP'!G716,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GDP'!H716),TEXT('Revenues &amp; Outlays in GDP'!H716,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GDP'!J716,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GDP'!G717),TEXT('Revenues &amp; Outlays in GDP'!G717,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GDP'!H717),TEXT('Revenues &amp; Outlays in GDP'!H717,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GDP'!J717,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GDP'!G718),TEXT('Revenues &amp; Outlays in GDP'!G718,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GDP'!H718),TEXT('Revenues &amp; Outlays in GDP'!H718,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GDP'!J718,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GDP'!G719),TEXT('Revenues &amp; Outlays in GDP'!G719,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GDP'!H719),TEXT('Revenues &amp; Outlays in GDP'!H719,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GDP'!J719,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GDP'!G720),TEXT('Revenues &amp; Outlays in GDP'!G720,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GDP'!H720),TEXT('Revenues &amp; Outlays in GDP'!H720,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GDP'!J720,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GDP'!G721),TEXT('Revenues &amp; Outlays in GDP'!G721,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GDP'!H721),TEXT('Revenues &amp; Outlays in GDP'!H721,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GDP'!J721,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GDP'!G722),TEXT('Revenues &amp; Outlays in GDP'!G722,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GDP'!H722),TEXT('Revenues &amp; Outlays in GDP'!H722,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GDP'!J722,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GDP'!G723),TEXT('Revenues &amp; Outlays in GDP'!G723,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GDP'!H723),TEXT('Revenues &amp; Outlays in GDP'!H723,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GDP'!J723,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GDP'!G724),TEXT('Revenues &amp; Outlays in GDP'!G724,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GDP'!H724),TEXT('Revenues &amp; Outlays in GDP'!H724,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GDP'!J724,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GDP'!G725),TEXT('Revenues &amp; Outlays in GDP'!G725,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GDP'!H725),TEXT('Revenues &amp; Outlays in GDP'!H725,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GDP'!J725,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GDP'!G726),TEXT('Revenues &amp; Outlays in GDP'!G726,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GDP'!H726),TEXT('Revenues &amp; Outlays in GDP'!H726,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GDP'!J726,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GDP'!G727),TEXT('Revenues &amp; Outlays in GDP'!G727,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GDP'!H727),TEXT('Revenues &amp; Outlays in GDP'!H727,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GDP'!J727,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GDP'!G728),TEXT('Revenues &amp; Outlays in GDP'!G728,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GDP'!H728),TEXT('Revenues &amp; Outlays in GDP'!H728,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GDP'!J728,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GDP'!G729),TEXT('Revenues &amp; Outlays in GDP'!G729,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GDP'!H729),TEXT('Revenues &amp; Outlays in GDP'!H729,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GDP'!J729,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GDP'!G730),TEXT('Revenues &amp; Outlays in GDP'!G730,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GDP'!H730),TEXT('Revenues &amp; Outlays in GDP'!H730,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GDP'!J730,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GDP'!G731),TEXT('Revenues &amp; Outlays in GDP'!G731,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GDP'!H731),TEXT('Revenues &amp; Outlays in GDP'!H731,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GDP'!J731,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GDP'!G732),TEXT('Revenues &amp; Outlays in GDP'!G732,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GDP'!H732),TEXT('Revenues &amp; Outlays in GDP'!H732,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GDP'!J732,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GDP'!G733),TEXT('Revenues &amp; Outlays in GDP'!G733,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GDP'!H733),TEXT('Revenues &amp; Outlays in GDP'!H733,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GDP'!J733,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GDP'!G734),TEXT('Revenues &amp; Outlays in GDP'!G734,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GDP'!H734),TEXT('Revenues &amp; Outlays in GDP'!H734,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GDP'!J734,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GDP'!G735),TEXT('Revenues &amp; Outlays in GDP'!G735,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GDP'!H735),TEXT('Revenues &amp; Outlays in GDP'!H735,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GDP'!J735,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GDP'!G736),TEXT('Revenues &amp; Outlays in GDP'!G736,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GDP'!H736),TEXT('Revenues &amp; Outlays in GDP'!H736,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GDP'!J736,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GDP'!G737),TEXT('Revenues &amp; Outlays in GDP'!G737,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GDP'!H737),TEXT('Revenues &amp; Outlays in GDP'!H737,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GDP'!J737,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GDP'!G738),TEXT('Revenues &amp; Outlays in GDP'!G738,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GDP'!H738),TEXT('Revenues &amp; Outlays in GDP'!H738,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GDP'!J738,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GDP'!G739),TEXT('Revenues &amp; Outlays in GDP'!G739,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GDP'!H739),TEXT('Revenues &amp; Outlays in GDP'!H739,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GDP'!J739,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GDP'!G740),TEXT('Revenues &amp; Outlays in GDP'!G740,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GDP'!H740),TEXT('Revenues &amp; Outlays in GDP'!H740,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GDP'!J740,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GDP'!G741),TEXT('Revenues &amp; Outlays in GDP'!G741,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GDP'!H741),TEXT('Revenues &amp; Outlays in GDP'!H741,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GDP'!J741,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GDP'!G742),TEXT('Revenues &amp; Outlays in GDP'!G742,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GDP'!H742),TEXT('Revenues &amp; Outlays in GDP'!H742,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GDP'!J742,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GDP'!G743),TEXT('Revenues &amp; Outlays in GDP'!G743,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GDP'!H743),TEXT('Revenues &amp; Outlays in GDP'!H743,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GDP'!J743,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GDP'!G744),TEXT('Revenues &amp; Outlays in GDP'!G744,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GDP'!H744),TEXT('Revenues &amp; Outlays in GDP'!H744,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GDP'!J744,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GDP'!G745),TEXT('Revenues &amp; Outlays in GDP'!G745,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GDP'!H745),TEXT('Revenues &amp; Outlays in GDP'!H745,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GDP'!J745,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GDP'!G746),TEXT('Revenues &amp; Outlays in GDP'!G746,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GDP'!H746),TEXT('Revenues &amp; Outlays in GDP'!H746,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GDP'!J746,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GDP'!G747),TEXT('Revenues &amp; Outlays in GDP'!G747,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GDP'!H747),TEXT('Revenues &amp; Outlays in GDP'!H747,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GDP'!J747,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GDP'!G748),TEXT('Revenues &amp; Outlays in GDP'!G748,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GDP'!H748),TEXT('Revenues &amp; Outlays in GDP'!H748,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GDP'!J748,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GDP'!G749),TEXT('Revenues &amp; Outlays in GDP'!G749,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GDP'!H749),TEXT('Revenues &amp; Outlays in GDP'!H749,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GDP'!J749,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GDP'!G750),TEXT('Revenues &amp; Outlays in GDP'!G750,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GDP'!H750),TEXT('Revenues &amp; Outlays in GDP'!H750,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GDP'!J750,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GDP'!G751),TEXT('Revenues &amp; Outlays in GDP'!G751,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GDP'!H751),TEXT('Revenues &amp; Outlays in GDP'!H751,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GDP'!J751,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GDP'!G752),TEXT('Revenues &amp; Outlays in GDP'!G752,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GDP'!H752),TEXT('Revenues &amp; Outlays in GDP'!H752,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GDP'!J752,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GDP'!G753),TEXT('Revenues &amp; Outlays in GDP'!G753,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GDP'!H753),TEXT('Revenues &amp; Outlays in GDP'!H753,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GDP'!J753,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GDP'!G754),TEXT('Revenues &amp; Outlays in GDP'!G754,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GDP'!H754),TEXT('Revenues &amp; Outlays in GDP'!H754,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GDP'!J754,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GDP'!G755),TEXT('Revenues &amp; Outlays in GDP'!G755,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GDP'!H755),TEXT('Revenues &amp; Outlays in GDP'!H755,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GDP'!J755,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GDP'!G756),TEXT('Revenues &amp; Outlays in GDP'!G756,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GDP'!H756),TEXT('Revenues &amp; Outlays in GDP'!H756,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GDP'!J756,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GDP'!G757),TEXT('Revenues &amp; Outlays in GDP'!G757,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GDP'!H757),TEXT('Revenues &amp; Outlays in GDP'!H757,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GDP'!J757,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GDP'!G758),TEXT('Revenues &amp; Outlays in GDP'!G758,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GDP'!H758),TEXT('Revenues &amp; Outlays in GDP'!H758,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GDP'!J758,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GDP'!G759),TEXT('Revenues &amp; Outlays in GDP'!G759,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GDP'!H759),TEXT('Revenues &amp; Outlays in GDP'!H759,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GDP'!J759,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GDP'!G760),TEXT('Revenues &amp; Outlays in GDP'!G760,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GDP'!H760),TEXT('Revenues &amp; Outlays in GDP'!H760,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GDP'!J760,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GDP'!G761),TEXT('Revenues &amp; Outlays in GDP'!G761,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GDP'!H761),TEXT('Revenues &amp; Outlays in GDP'!H761,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GDP'!J761,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GDP'!G762),TEXT('Revenues &amp; Outlays in GDP'!G762,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GDP'!H762),TEXT('Revenues &amp; Outlays in GDP'!H762,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GDP'!J762,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GDP'!G763),TEXT('Revenues &amp; Outlays in GDP'!G763,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GDP'!H763),TEXT('Revenues &amp; Outlays in GDP'!H763,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GDP'!J763,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GDP'!G764),TEXT('Revenues &amp; Outlays in GDP'!G764,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GDP'!H764),TEXT('Revenues &amp; Outlays in GDP'!H764,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GDP'!J764,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GDP'!G765),TEXT('Revenues &amp; Outlays in GDP'!G765,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GDP'!H765),TEXT('Revenues &amp; Outlays in GDP'!H765,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GDP'!J765,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GDP'!G766),TEXT('Revenues &amp; Outlays in GDP'!G766,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GDP'!H766),TEXT('Revenues &amp; Outlays in GDP'!H766,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GDP'!J766,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GDP'!G767),TEXT('Revenues &amp; Outlays in GDP'!G767,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GDP'!H767),TEXT('Revenues &amp; Outlays in GDP'!H767,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GDP'!J767,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GDP'!G768),TEXT('Revenues &amp; Outlays in GDP'!G768,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GDP'!H768),TEXT('Revenues &amp; Outlays in GDP'!H768,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GDP'!J768,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GDP'!G769),TEXT('Revenues &amp; Outlays in GDP'!G769,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GDP'!H769),TEXT('Revenues &amp; Outlays in GDP'!H769,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GDP'!J769,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GDP'!G770),TEXT('Revenues &amp; Outlays in GDP'!G770,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GDP'!H770),TEXT('Revenues &amp; Outlays in GDP'!H770,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GDP'!J770,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GDP'!G771),TEXT('Revenues &amp; Outlays in GDP'!G771,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GDP'!H771),TEXT('Revenues &amp; Outlays in GDP'!H771,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GDP'!J771,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GDP'!G772),TEXT('Revenues &amp; Outlays in GDP'!G772,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GDP'!H772),TEXT('Revenues &amp; Outlays in GDP'!H772,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GDP'!J772,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GDP'!G773),TEXT('Revenues &amp; Outlays in GDP'!G773,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GDP'!H773),TEXT('Revenues &amp; Outlays in GDP'!H773,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GDP'!J773,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GDP'!G774),TEXT('Revenues &amp; Outlays in GDP'!G774,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GDP'!H774),TEXT('Revenues &amp; Outlays in GDP'!H774,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GDP'!J774,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GDP'!G775),TEXT('Revenues &amp; Outlays in GDP'!G775,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GDP'!H775),TEXT('Revenues &amp; Outlays in GDP'!H775,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GDP'!J775,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GDP'!G776),TEXT('Revenues &amp; Outlays in GDP'!G776,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GDP'!H776),TEXT('Revenues &amp; Outlays in GDP'!H776,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GDP'!J776,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GDP'!G777),TEXT('Revenues &amp; Outlays in GDP'!G777,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GDP'!H777),TEXT('Revenues &amp; Outlays in GDP'!H777,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GDP'!J777,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GDP'!G778),TEXT('Revenues &amp; Outlays in GDP'!G778,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GDP'!H778),TEXT('Revenues &amp; Outlays in GDP'!H778,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GDP'!J778,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GDP'!G779),TEXT('Revenues &amp; Outlays in GDP'!G779,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GDP'!H779),TEXT('Revenues &amp; Outlays in GDP'!H779,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GDP'!J779,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GDP'!G780),TEXT('Revenues &amp; Outlays in GDP'!G780,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GDP'!H780),TEXT('Revenues &amp; Outlays in GDP'!H780,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GDP'!J780,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GDP'!G781),TEXT('Revenues &amp; Outlays in GDP'!G781,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GDP'!H781),TEXT('Revenues &amp; Outlays in GDP'!H781,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GDP'!J781,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GDP'!G782),TEXT('Revenues &amp; Outlays in GDP'!G782,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GDP'!H782),TEXT('Revenues &amp; Outlays in GDP'!H782,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GDP'!J782,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GDP'!G783),TEXT('Revenues &amp; Outlays in GDP'!G783,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GDP'!H783),TEXT('Revenues &amp; Outlays in GDP'!H783,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GDP'!J783,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GDP'!G784),TEXT('Revenues &amp; Outlays in GDP'!G784,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GDP'!H784),TEXT('Revenues &amp; Outlays in GDP'!H784,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GDP'!J784,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GDP'!G785),TEXT('Revenues &amp; Outlays in GDP'!G785,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GDP'!H785),TEXT('Revenues &amp; Outlays in GDP'!H785,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GDP'!J785,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GDP'!G786),TEXT('Revenues &amp; Outlays in GDP'!G786,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GDP'!H786),TEXT('Revenues &amp; Outlays in GDP'!H786,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GDP'!J786,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GDP'!G787),TEXT('Revenues &amp; Outlays in GDP'!G787,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GDP'!H787),TEXT('Revenues &amp; Outlays in GDP'!H787,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GDP'!J787,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GDP'!G788),TEXT('Revenues &amp; Outlays in GDP'!G788,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GDP'!H788),TEXT('Revenues &amp; Outlays in GDP'!H788,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GDP'!J788,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GDP'!G789),TEXT('Revenues &amp; Outlays in GDP'!G789,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GDP'!H789),TEXT('Revenues &amp; Outlays in GDP'!H789,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GDP'!J789,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GDP'!G790),TEXT('Revenues &amp; Outlays in GDP'!G790,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GDP'!H790),TEXT('Revenues &amp; Outlays in GDP'!H790,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GDP'!J790,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GDP'!G791),TEXT('Revenues &amp; Outlays in GDP'!G791,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GDP'!H791),TEXT('Revenues &amp; Outlays in GDP'!H791,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GDP'!J791,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GDP'!G792),TEXT('Revenues &amp; Outlays in GDP'!G792,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GDP'!H792),TEXT('Revenues &amp; Outlays in GDP'!H792,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GDP'!J792,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GDP'!G793),TEXT('Revenues &amp; Outlays in GDP'!G793,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GDP'!H793),TEXT('Revenues &amp; Outlays in GDP'!H793,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GDP'!J793,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GDP'!G794),TEXT('Revenues &amp; Outlays in GDP'!G794,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GDP'!H794),TEXT('Revenues &amp; Outlays in GDP'!H794,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GDP'!J794,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GDP'!G795),TEXT('Revenues &amp; Outlays in GDP'!G795,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GDP'!H795),TEXT('Revenues &amp; Outlays in GDP'!H795,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GDP'!J795,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GDP'!G796),TEXT('Revenues &amp; Outlays in GDP'!G796,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GDP'!H796),TEXT('Revenues &amp; Outlays in GDP'!H796,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GDP'!J796,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GDP'!G797),TEXT('Revenues &amp; Outlays in GDP'!G797,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GDP'!H797),TEXT('Revenues &amp; Outlays in GDP'!H797,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GDP'!J797,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GDP'!G798),TEXT('Revenues &amp; Outlays in GDP'!G798,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GDP'!H798),TEXT('Revenues &amp; Outlays in GDP'!H798,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GDP'!J798,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GDP'!G799),TEXT('Revenues &amp; Outlays in GDP'!G799,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GDP'!H799),TEXT('Revenues &amp; Outlays in GDP'!H799,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GDP'!J799,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GDP'!G800),TEXT('Revenues &amp; Outlays in GDP'!G800,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GDP'!H800),TEXT('Revenues &amp; Outlays in GDP'!H800,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GDP'!J800,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GDP'!G801),TEXT('Revenues &amp; Outlays in GDP'!G801,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GDP'!H801),TEXT('Revenues &amp; Outlays in GDP'!H801,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GDP'!J801,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GDP'!G802),TEXT('Revenues &amp; Outlays in GDP'!G802,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GDP'!H802),TEXT('Revenues &amp; Outlays in GDP'!H802,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GDP'!J802,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GDP'!G803),TEXT('Revenues &amp; Outlays in GDP'!G803,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GDP'!H803),TEXT('Revenues &amp; Outlays in GDP'!H803,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GDP'!J803,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GDP'!G804),TEXT('Revenues &amp; Outlays in GDP'!G804,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GDP'!H804),TEXT('Revenues &amp; Outlays in GDP'!H804,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GDP'!J804,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GDP'!G805),TEXT('Revenues &amp; Outlays in GDP'!G805,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GDP'!H805),TEXT('Revenues &amp; Outlays in GDP'!H805,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GDP'!J805,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GDP'!G806),TEXT('Revenues &amp; Outlays in GDP'!G806,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GDP'!H806),TEXT('Revenues &amp; Outlays in GDP'!H806,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GDP'!J806,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GDP'!G807),TEXT('Revenues &amp; Outlays in GDP'!G807,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GDP'!H807),TEXT('Revenues &amp; Outlays in GDP'!H807,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GDP'!J807,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GDP'!G808),TEXT('Revenues &amp; Outlays in GDP'!G808,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GDP'!H808),TEXT('Revenues &amp; Outlays in GDP'!H808,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GDP'!J808,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GDP'!G809),TEXT('Revenues &amp; Outlays in GDP'!G809,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GDP'!H809),TEXT('Revenues &amp; Outlays in GDP'!H809,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GDP'!J809,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GDP'!G810),TEXT('Revenues &amp; Outlays in GDP'!G810,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GDP'!H810),TEXT('Revenues &amp; Outlays in GDP'!H810,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GDP'!J810,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GDP'!G811),TEXT('Revenues &amp; Outlays in GDP'!G811,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GDP'!H811),TEXT('Revenues &amp; Outlays in GDP'!H811,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GDP'!J811,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GDP'!G812),TEXT('Revenues &amp; Outlays in GDP'!G812,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GDP'!H812),TEXT('Revenues &amp; Outlays in GDP'!H812,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GDP'!J812,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GDP'!G813),TEXT('Revenues &amp; Outlays in GDP'!G813,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GDP'!H813),TEXT('Revenues &amp; Outlays in GDP'!H813,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GDP'!J813,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GDP'!G814),TEXT('Revenues &amp; Outlays in GDP'!G814,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GDP'!H814),TEXT('Revenues &amp; Outlays in GDP'!H814,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GDP'!J814,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GDP'!G815),TEXT('Revenues &amp; Outlays in GDP'!G815,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GDP'!H815),TEXT('Revenues &amp; Outlays in GDP'!H815,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GDP'!J815,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GDP'!G816),TEXT('Revenues &amp; Outlays in GDP'!G816,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GDP'!H816),TEXT('Revenues &amp; Outlays in GDP'!H816,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GDP'!J816,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GDP'!G817),TEXT('Revenues &amp; Outlays in GDP'!G817,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GDP'!H817),TEXT('Revenues &amp; Outlays in GDP'!H817,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GDP'!J817,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GDP'!G818),TEXT('Revenues &amp; Outlays in GDP'!G818,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GDP'!H818),TEXT('Revenues &amp; Outlays in GDP'!H818,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GDP'!J818,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GDP'!G819),TEXT('Revenues &amp; Outlays in GDP'!G819,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GDP'!H819),TEXT('Revenues &amp; Outlays in GDP'!H819,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GDP'!J819,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GDP'!G820),TEXT('Revenues &amp; Outlays in GDP'!G820,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GDP'!H820),TEXT('Revenues &amp; Outlays in GDP'!H820,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GDP'!J820,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GDP'!G821),TEXT('Revenues &amp; Outlays in GDP'!G821,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GDP'!H821),TEXT('Revenues &amp; Outlays in GDP'!H821,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GDP'!J821,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GDP'!G822),TEXT('Revenues &amp; Outlays in GDP'!G822,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GDP'!H822),TEXT('Revenues &amp; Outlays in GDP'!H822,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GDP'!J822,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GDP'!G823),TEXT('Revenues &amp; Outlays in GDP'!G823,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GDP'!H823),TEXT('Revenues &amp; Outlays in GDP'!H823,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GDP'!J823,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GDP'!G824),TEXT('Revenues &amp; Outlays in GDP'!G824,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GDP'!H824),TEXT('Revenues &amp; Outlays in GDP'!H824,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GDP'!J824,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GDP'!G825),TEXT('Revenues &amp; Outlays in GDP'!G825,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GDP'!H825),TEXT('Revenues &amp; Outlays in GDP'!H825,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GDP'!J825,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GDP'!G826),TEXT('Revenues &amp; Outlays in GDP'!G826,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GDP'!H826),TEXT('Revenues &amp; Outlays in GDP'!H826,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GDP'!J826,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GDP'!G827),TEXT('Revenues &amp; Outlays in GDP'!G827,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GDP'!H827),TEXT('Revenues &amp; Outlays in GDP'!H827,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GDP'!J827,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GDP'!G828),TEXT('Revenues &amp; Outlays in GDP'!G828,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GDP'!H828),TEXT('Revenues &amp; Outlays in GDP'!H828,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GDP'!J828,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GDP'!G829),TEXT('Revenues &amp; Outlays in GDP'!G829,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GDP'!H829),TEXT('Revenues &amp; Outlays in GDP'!H829,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GDP'!J829,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GDP'!G830),TEXT('Revenues &amp; Outlays in GDP'!G830,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GDP'!H830),TEXT('Revenues &amp; Outlays in GDP'!H830,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GDP'!J830,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GDP'!G831),TEXT('Revenues &amp; Outlays in GDP'!G831,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GDP'!H831),TEXT('Revenues &amp; Outlays in GDP'!H831,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GDP'!J831,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GDP'!G832),TEXT('Revenues &amp; Outlays in GDP'!G832,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GDP'!H832),TEXT('Revenues &amp; Outlays in GDP'!H832,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GDP'!J832,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GDP'!G833),TEXT('Revenues &amp; Outlays in GDP'!G833,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GDP'!H833),TEXT('Revenues &amp; Outlays in GDP'!H833,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GDP'!J833,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GDP'!G834),TEXT('Revenues &amp; Outlays in GDP'!G834,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GDP'!H834),TEXT('Revenues &amp; Outlays in GDP'!H834,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GDP'!J834,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GDP'!G835),TEXT('Revenues &amp; Outlays in GDP'!G835,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GDP'!H835),TEXT('Revenues &amp; Outlays in GDP'!H835,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GDP'!J835,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GDP'!G836),TEXT('Revenues &amp; Outlays in GDP'!G836,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GDP'!H836),TEXT('Revenues &amp; Outlays in GDP'!H836,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GDP'!J836,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GDP'!G837),TEXT('Revenues &amp; Outlays in GDP'!G837,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GDP'!H837),TEXT('Revenues &amp; Outlays in GDP'!H837,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GDP'!J837,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GDP'!G838),TEXT('Revenues &amp; Outlays in GDP'!G838,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GDP'!H838),TEXT('Revenues &amp; Outlays in GDP'!H838,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GDP'!J838,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GDP'!G839),TEXT('Revenues &amp; Outlays in GDP'!G839,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GDP'!H839),TEXT('Revenues &amp; Outlays in GDP'!H839,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GDP'!J839,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GDP'!G840),TEXT('Revenues &amp; Outlays in GDP'!G840,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GDP'!H840),TEXT('Revenues &amp; Outlays in GDP'!H840,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GDP'!J840,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GDP'!G841),TEXT('Revenues &amp; Outlays in GDP'!G841,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GDP'!H841),TEXT('Revenues &amp; Outlays in GDP'!H841,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GDP'!J841,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GDP'!G842),TEXT('Revenues &amp; Outlays in GDP'!G842,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GDP'!H842),TEXT('Revenues &amp; Outlays in GDP'!H842,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GDP'!J842,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GDP'!G843),TEXT('Revenues &amp; Outlays in GDP'!G843,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GDP'!H843),TEXT('Revenues &amp; Outlays in GDP'!H843,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GDP'!J843,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GDP'!G844),TEXT('Revenues &amp; Outlays in GDP'!G844,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GDP'!H844),TEXT('Revenues &amp; Outlays in GDP'!H844,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GDP'!J844,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GDP'!G845),TEXT('Revenues &amp; Outlays in GDP'!G845,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GDP'!H845),TEXT('Revenues &amp; Outlays in GDP'!H845,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GDP'!J845,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GDP'!G846),TEXT('Revenues &amp; Outlays in GDP'!G846,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GDP'!H846),TEXT('Revenues &amp; Outlays in GDP'!H846,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GDP'!J846,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GDP'!G847),TEXT('Revenues &amp; Outlays in GDP'!G847,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GDP'!H847),TEXT('Revenues &amp; Outlays in GDP'!H847,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GDP'!J847,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GDP'!G848),TEXT('Revenues &amp; Outlays in GDP'!G848,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GDP'!H848),TEXT('Revenues &amp; Outlays in GDP'!H848,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GDP'!J848,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GDP'!G849),TEXT('Revenues &amp; Outlays in GDP'!G849,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GDP'!H849),TEXT('Revenues &amp; Outlays in GDP'!H849,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7" workbookViewId="0">
      <selection activeCell="C41" sqref="C41"/>
    </sheetView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129</v>
      </c>
      <c r="B1" s="20" t="s">
        <v>161</v>
      </c>
      <c r="C1" s="20" t="s">
        <v>162</v>
      </c>
      <c r="D1" s="20" t="s">
        <v>379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 ca="1"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 ca="1"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 ca="1"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 ca="1"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 ca="1"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 ca="1"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 ca="1"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 ca="1"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 ca="1"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 ca="1"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 ca="1"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 ca="1"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 ca="1"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 ca="1"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 ca="1"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 ca="1"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 ca="1"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 ca="1"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 ca="1"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 ca="1"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 ca="1"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 ca="1"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 ca="1"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 ca="1"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 ca="1"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 ca="1"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 ca="1"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 ca="1"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 ca="1"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 ca="1"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 ca="1"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 ca="1"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 ca="1"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 ca="1"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 ca="1"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 ca="1"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 ca="1"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-6.78</v>
      </c>
      <c r="C39" s="14" t="str">
        <f ca="1"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-4.10</v>
      </c>
      <c r="C40" s="14" t="str">
        <f ca="1">IFERROR(IF(ISNUMBER('Deficit to GDP'!F45),TEXT('Deficit to GDP'!F45,"0.00"), ""), "")</f>
        <v/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>-2.80</v>
      </c>
      <c r="C41" s="14" t="str">
        <f ca="1">IFERROR(IF(ISNUMBER('Deficit to GDP'!F46),TEXT('Deficit to GDP'!F46,"0.00"), ""), "")</f>
        <v>-2.80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 ca="1">IFERROR(IF(ISNUMBER('Deficit to GDP'!F47),TEXT('Deficit to GDP'!F47,"0.00"), ""), "")</f>
        <v>-2.70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 ca="1">IFERROR(IF(ISNUMBER('Deficit to GDP'!F48),TEXT('Deficit to GDP'!F48,"0.00"), ""), "")</f>
        <v>-2.40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 ca="1">IFERROR(IF(ISNUMBER('Deficit to GDP'!F49),TEXT('Deficit to GDP'!F49,"0.00"), ""), "")</f>
        <v>-2.30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 ca="1">IFERROR(IF(ISNUMBER('Deficit to GDP'!F50),TEXT('Deficit to GDP'!F50,"0.00"), ""), "")</f>
        <v>-2.40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 ca="1">IFERROR(IF(ISNUMBER('Deficit to GDP'!F51),TEXT('Deficit to GDP'!F51,"0.00"), ""), "")</f>
        <v>-2.80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 ca="1">IFERROR(IF(ISNUMBER('Deficit to GDP'!F52),TEXT('Deficit to GDP'!F52,"0.00"), ""), "")</f>
        <v>-3.10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 ca="1">IFERROR(IF(ISNUMBER('Deficit to GDP'!F53),TEXT('Deficit to GDP'!F53,"0.00"), ""), "")</f>
        <v>-3.30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 ca="1">IFERROR(IF(ISNUMBER('Deficit to GDP'!F54),TEXT('Deficit to GDP'!F54,"0.00"), ""), "")</f>
        <v>-3.70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 ca="1">IFERROR(IF(ISNUMBER('Deficit to GDP'!F55),TEXT('Deficit to GDP'!F55,"0.00"), ""), "")</f>
        <v>-3.60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 ca="1">IFERROR(IF(ISNUMBER('Deficit to GDP'!F56),TEXT('Deficit to GDP'!F56,"0.00"), ""), "")</f>
        <v>-3.40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A42" sqref="A42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129</v>
      </c>
      <c r="B1" s="20" t="s">
        <v>163</v>
      </c>
      <c r="C1" s="20" t="s">
        <v>337</v>
      </c>
      <c r="D1" t="s">
        <v>379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 ca="1"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 ca="1"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 ca="1"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 ca="1"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 ca="1"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 ca="1"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 ca="1"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 ca="1"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 ca="1"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 ca="1"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 ca="1"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 ca="1"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 ca="1"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 ca="1"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 ca="1"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 ca="1"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 ca="1"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 ca="1"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 ca="1"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 ca="1"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 ca="1"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 ca="1"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 ca="1"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 ca="1"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 ca="1"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 ca="1"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 ca="1"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32.60</v>
      </c>
      <c r="C29" s="20" t="str">
        <f ca="1"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 ca="1"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 ca="1"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 ca="1"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 ca="1"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35.20</v>
      </c>
      <c r="C34" s="20" t="str">
        <f ca="1"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 ca="1"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 ca="1"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60.90</v>
      </c>
      <c r="C37" s="20" t="str">
        <f ca="1"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65.90</v>
      </c>
      <c r="C38" s="20" t="str">
        <f ca="1"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70.40</v>
      </c>
      <c r="C39" s="20" t="str">
        <f ca="1"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72.30</v>
      </c>
      <c r="C40" s="20" t="str">
        <f ca="1"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74.00</v>
      </c>
      <c r="C41" s="20" t="str">
        <f ca="1">IFERROR(IF(ISNUMBER('Debt to GDP Ratio'!E45),TEXT('Debt to GDP Ratio'!E45,"0.00"), ""), "")</f>
        <v>74.00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 ca="1">IFERROR(IF(ISNUMBER('Debt to GDP Ratio'!E46),TEXT('Debt to GDP Ratio'!E46,"0.00"), ""), "")</f>
        <v>74.00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 ca="1">IFERROR(IF(ISNUMBER('Debt to GDP Ratio'!E47),TEXT('Debt to GDP Ratio'!E47,"0.00"), ""), "")</f>
        <v>74.00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 ca="1">IFERROR(IF(ISNUMBER('Debt to GDP Ratio'!E48),TEXT('Debt to GDP Ratio'!E48,"0.00"), ""), "")</f>
        <v>73.00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 ca="1">IFERROR(IF(ISNUMBER('Debt to GDP Ratio'!E49),TEXT('Debt to GDP Ratio'!E49,"0.00"), ""), "")</f>
        <v>73.00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 ca="1">IFERROR(IF(ISNUMBER('Debt to GDP Ratio'!E50),TEXT('Debt to GDP Ratio'!E50,"0.00"), ""), "")</f>
        <v>73.00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 ca="1">IFERROR(IF(ISNUMBER('Debt to GDP Ratio'!E51),TEXT('Debt to GDP Ratio'!E51,"0.00"), ""), "")</f>
        <v>74.00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 ca="1">IFERROR(IF(ISNUMBER('Debt to GDP Ratio'!E52),TEXT('Debt to GDP Ratio'!E52,"0.00"), ""), "")</f>
        <v>74.00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 ca="1">IFERROR(IF(ISNUMBER('Debt to GDP Ratio'!E53),TEXT('Debt to GDP Ratio'!E53,"0.00"), ""), "")</f>
        <v>75.00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 ca="1">IFERROR(IF(ISNUMBER('Debt to GDP Ratio'!E54),TEXT('Debt to GDP Ratio'!E54,"0.00"), ""), "")</f>
        <v>76.00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 ca="1">IFERROR(IF(ISNUMBER('Debt to GDP Ratio'!E55),TEXT('Debt to GDP Ratio'!E55,"0.00"), ""), "")</f>
        <v>76.00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28" workbookViewId="0">
      <selection activeCell="I41" sqref="I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129</v>
      </c>
      <c r="B1" s="20" t="s">
        <v>164</v>
      </c>
      <c r="C1" s="20" t="s">
        <v>168</v>
      </c>
      <c r="D1" s="20" t="s">
        <v>171</v>
      </c>
      <c r="E1" s="20" t="s">
        <v>166</v>
      </c>
      <c r="F1" s="20" t="s">
        <v>172</v>
      </c>
      <c r="G1" s="20" t="s">
        <v>167</v>
      </c>
      <c r="H1" s="20" t="s">
        <v>173</v>
      </c>
      <c r="I1" s="20" t="s">
        <v>165</v>
      </c>
      <c r="J1" t="s">
        <v>379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4.03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3.98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4.79</v>
      </c>
      <c r="H39" s="20" t="str">
        <f>IFERROR(IF(ISNUMBER('Spending by Category'!I45),TEXT('Spending by Category'!I45,"0.00"), ""), "")</f>
        <v>1.38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4.87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4.90</v>
      </c>
      <c r="H41" s="20" t="str">
        <f>IFERROR(IF(ISNUMBER('Spending by Category'!I47),TEXT('Spending by Category'!I47,"0.00"), ""), "")</f>
        <v>1.33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4A3FA5-B407-434B-9D58-0A855067542B}"/>
</file>

<file path=customXml/itemProps2.xml><?xml version="1.0" encoding="utf-8"?>
<ds:datastoreItem xmlns:ds="http://schemas.openxmlformats.org/officeDocument/2006/customXml" ds:itemID="{DCD7F023-248E-4005-B5C9-5EB913630109}"/>
</file>

<file path=customXml/itemProps3.xml><?xml version="1.0" encoding="utf-8"?>
<ds:datastoreItem xmlns:ds="http://schemas.openxmlformats.org/officeDocument/2006/customXml" ds:itemID="{0ED60E13-AF3C-4EFD-A0DE-0B22075367E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2015-04-29T15:06:19Z</cp:lastPrinted>
  <dcterms:created xsi:type="dcterms:W3CDTF">2014-07-22T13:55:17Z</dcterms:created>
  <dcterms:modified xsi:type="dcterms:W3CDTF">2015-04-29T15:08:56Z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