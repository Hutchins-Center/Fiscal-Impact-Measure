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13" activeTab="14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58" i="4" l="1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C81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J87" i="3" s="1"/>
  <c r="C80" i="17" s="1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88" i="3"/>
  <c r="C81" i="17" s="1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79" i="17" l="1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B28" i="21" s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<sst xmlns="http://schemas.openxmlformats.org/spreadsheetml/2006/main" count="763" uniqueCount="431">
  <si>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</si>
  <si>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</si>
  <si>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</si>
  <si>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</si>
  <si>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</si>
  <si>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</si>
  <si>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</si>
  <si>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</si>
  <si>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</si>
  <si>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</si>
  <si>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</si>
  <si>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</si>
  <si>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</si>
  <si>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</si>
  <si>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</si>
  <si>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</si>
  <si>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</si>
  <si>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</si>
  <si>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</si>
  <si>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</si>
  <si>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</si>
  <si>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</si>
  <si>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</si>
  <si>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</si>
  <si>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</si>
  <si>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</si>
  <si>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</si>
  <si>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</si>
  <si>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</si>
  <si>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</si>
  <si>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</si>
  <si>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</si>
  <si>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</si>
  <si>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</si>
  <si>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</si>
  <si>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</si>
  <si>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</si>
  <si>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</si>
  <si>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</si>
  <si>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</si>
  <si>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</si>
  <si>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</si>
  <si>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</si>
  <si>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</si>
  <si>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</si>
  <si>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</si>
  <si>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</si>
  <si>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</si>
  <si>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</si>
  <si>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</si>
  <si>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</si>
  <si>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</si>
  <si>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</si>
  <si>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</si>
  <si>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</si>
  <si>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</si>
  <si>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</si>
  <si>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</si>
  <si>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</si>
  <si>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</si>
  <si>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</si>
  <si>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</si>
  <si>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</si>
  <si>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</si>
  <si>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</si>
  <si>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</si>
  <si>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</si>
  <si>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</si>
  <si>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</si>
  <si>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</si>
  <si>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</si>
  <si>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</si>
  <si>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</si>
  <si>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</si>
  <si>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</si>
  <si>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</si>
  <si>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</si>
  <si>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</si>
  <si>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</si>
  <si>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</si>
  <si>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</si>
  <si>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</si>
  <si>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</si>
  <si>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</si>
  <si>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</si>
  <si>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</si>
  <si>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</si>
  <si>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</si>
  <si>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</si>
  <si>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</si>
  <si>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</si>
  <si>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</si>
  <si>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</si>
  <si>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</si>
  <si>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</si>
  <si>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</si>
  <si>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</si>
  <si>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</si>
  <si>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</si>
  <si>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</si>
  <si>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</si>
  <si>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</si>
  <si>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</si>
  <si>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</si>
  <si>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</si>
  <si>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</si>
  <si>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</si>
  <si>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</si>
  <si>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</si>
  <si>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</si>
  <si>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</si>
  <si>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</si>
  <si>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</si>
  <si>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</si>
  <si>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</si>
  <si>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</si>
  <si>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</si>
  <si>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</si>
  <si>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</si>
  <si>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</si>
  <si>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</si>
  <si>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</si>
  <si>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</si>
  <si>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</si>
  <si>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</si>
  <si>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</si>
  <si>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</si>
  <si>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</si>
  <si>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</si>
  <si>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</si>
  <si>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</si>
  <si>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</si>
  <si>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</si>
  <si>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</si>
  <si>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</si>
  <si>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</si>
  <si>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</si>
  <si>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</si>
  <si>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</si>
  <si>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</si>
  <si>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</si>
  <si>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</si>
  <si>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</si>
  <si>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</si>
  <si>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</si>
  <si>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</si>
  <si>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</si>
  <si>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</si>
  <si>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</si>
  <si>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</si>
  <si>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</si>
  <si>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</si>
  <si>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</si>
  <si>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</si>
  <si>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</si>
  <si>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</si>
  <si>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</si>
  <si>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</si>
  <si>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</si>
  <si>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</si>
  <si>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</si>
  <si>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</si>
  <si>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</si>
  <si>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</si>
  <si>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</si>
  <si>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</si>
  <si>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</si>
  <si>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</si>
  <si>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</si>
  <si>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</si>
  <si>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</si>
  <si>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</si>
  <si>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</si>
  <si>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</si>
  <si>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</si>
  <si>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</si>
  <si>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</si>
  <si>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</si>
  <si>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</si>
  <si>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</si>
  <si>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</si>
  <si>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</si>
  <si>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</si>
  <si>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</si>
  <si>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</si>
  <si>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</si>
  <si>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</si>
  <si>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</si>
  <si>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</si>
  <si>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</si>
  <si>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</si>
  <si>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</si>
  <si>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</si>
  <si>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</si>
  <si>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</si>
  <si>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</si>
  <si>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</si>
  <si>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</si>
  <si>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</si>
  <si>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</si>
  <si>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</si>
  <si>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</si>
  <si>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</si>
  <si>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</si>
  <si>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</si>
  <si>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</si>
  <si>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</si>
  <si>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</si>
  <si>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</si>
  <si>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</si>
  <si>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</si>
  <si>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</si>
  <si>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</si>
  <si>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</si>
  <si>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</si>
  <si>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</si>
  <si>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</si>
  <si>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</si>
  <si>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</si>
  <si>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</si>
  <si>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</si>
  <si>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</si>
  <si>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</si>
  <si>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</si>
  <si>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</si>
  <si>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</si>
  <si>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</si>
  <si>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</si>
  <si>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</si>
  <si>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</si>
  <si>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</si>
  <si>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</si>
  <si>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</si>
  <si>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</si>
  <si>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</si>
  <si>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</si>
  <si>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</si>
  <si>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</si>
  <si>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</si>
  <si>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</si>
  <si>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</si>
  <si>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</si>
  <si>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</si>
  <si>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</si>
  <si>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</si>
  <si>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</si>
  <si>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</si>
  <si>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</si>
  <si>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</si>
  <si>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</si>
  <si>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</si>
  <si>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</si>
  <si>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</si>
  <si>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</si>
  <si>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</si>
  <si>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</si>
  <si>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</si>
  <si>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</si>
  <si>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</si>
  <si>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</si>
  <si>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</si>
  <si>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</si>
  <si>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</si>
  <si>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</si>
  <si>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</si>
  <si>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</si>
  <si>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</si>
  <si>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</si>
  <si>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</si>
  <si>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</si>
  <si>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</si>
  <si>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</si>
  <si>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</si>
  <si>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</si>
  <si>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</si>
  <si>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</si>
  <si>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</si>
  <si>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</si>
  <si>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</si>
  <si>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</si>
  <si>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</si>
  <si>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</si>
  <si>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</si>
  <si>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</si>
  <si>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</si>
  <si>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</si>
  <si>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</si>
  <si>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</si>
  <si>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</si>
  <si>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</si>
  <si>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</si>
  <si>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</si>
  <si>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</si>
  <si>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</si>
  <si>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</si>
  <si>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</si>
  <si>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</si>
  <si>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</si>
  <si>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</si>
  <si>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</si>
  <si>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</si>
  <si>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</si>
  <si>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</si>
  <si>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</si>
  <si>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</si>
  <si>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</si>
  <si>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</si>
  <si>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</si>
  <si>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</si>
  <si>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</si>
  <si>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</si>
  <si>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</si>
  <si>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</si>
  <si>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</si>
  <si>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</si>
  <si>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</si>
  <si>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</si>
  <si>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</si>
  <si>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</si>
  <si>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</si>
  <si>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</si>
  <si>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</si>
  <si>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</si>
  <si>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</si>
  <si>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</si>
  <si>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</si>
  <si>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</si>
  <si>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</si>
  <si>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</si>
  <si>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</si>
  <si>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</si>
  <si>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</si>
  <si>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</si>
  <si>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</si>
  <si>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</si>
  <si>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</si>
  <si>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</si>
  <si>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</si>
  <si>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</si>
  <si>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</si>
  <si>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</si>
  <si>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</si>
  <si>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</si>
  <si>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</si>
  <si>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</si>
  <si>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</si>
  <si>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</si>
  <si>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</si>
  <si>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</si>
  <si>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</si>
  <si>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</si>
  <si>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</si>
  <si>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</si>
  <si>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</si>
  <si>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</si>
  <si>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</si>
  <si>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</si>
  <si>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</si>
  <si>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</si>
  <si>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</si>
  <si>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</si>
  <si>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</si>
  <si>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</si>
  <si>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</si>
  <si>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</si>
  <si>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</si>
  <si>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</si>
  <si>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</si>
  <si>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</si>
  <si>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</si>
  <si>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</si>
  <si>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</si>
  <si>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</si>
  <si>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</si>
  <si>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</si>
  <si>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</si>
  <si>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</si>
  <si>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</si>
  <si>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</si>
  <si>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</si>
  <si>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</si>
  <si>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</si>
  <si>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</si>
  <si>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</si>
  <si>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</si>
  <si>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</si>
  <si>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</si>
  <si>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</si>
  <si>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</si>
  <si>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</si>
  <si>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</si>
  <si>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</si>
  <si>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</si>
  <si>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</si>
  <si>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</si>
  <si>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</si>
  <si>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</si>
  <si>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</si>
  <si>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</si>
  <si>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</si>
  <si>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</si>
  <si>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</si>
  <si>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</si>
  <si>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</si>
  <si>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</si>
  <si>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</si>
  <si>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</si>
  <si>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</si>
  <si>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</si>
  <si>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</si>
  <si>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</si>
  <si>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</si>
  <si>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</si>
  <si>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</si>
  <si>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</si>
  <si>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</si>
  <si>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 xml:space="preserve">May-08-2015 08:31 </t>
  </si>
  <si>
    <t xml:space="preserve">May-08-2015 08:34 </t>
  </si>
  <si>
    <t xml:space="preserve">May-01-2015 08:41 </t>
  </si>
  <si>
    <t>201504</t>
  </si>
  <si>
    <t>9.1</t>
  </si>
  <si>
    <t>7.8</t>
  </si>
  <si>
    <t>14.2</t>
  </si>
  <si>
    <t>6.8</t>
  </si>
  <si>
    <t>-4.1</t>
  </si>
  <si>
    <t>4.4</t>
  </si>
  <si>
    <t>7.0</t>
  </si>
  <si>
    <t>21.1</t>
  </si>
  <si>
    <t>0.0</t>
  </si>
  <si>
    <t>13.0</t>
  </si>
  <si>
    <t>Recession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</si>
</sst>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-8000</c:v>
                </c:pt>
                <c:pt idx="78">
                  <c:v>8000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4550400"/>
        <c:axId val="21464204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-1000</c:v>
                </c:pt>
                <c:pt idx="78">
                  <c:v>666.66666666666663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50400"/>
        <c:axId val="214642048"/>
      </c:lineChart>
      <c:dateAx>
        <c:axId val="2145504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4642048"/>
        <c:crosses val="autoZero"/>
        <c:auto val="1"/>
        <c:lblOffset val="100"/>
        <c:baseTimeUnit val="months"/>
        <c:majorUnit val="1"/>
        <c:majorTimeUnit val="years"/>
      </c:dateAx>
      <c:valAx>
        <c:axId val="21464204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45504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-699.9999999998181</c:v>
                </c:pt>
                <c:pt idx="78">
                  <c:v>699.9999999998181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49655680"/>
        <c:axId val="24965721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233.33333333342429</c:v>
                </c:pt>
                <c:pt idx="78" formatCode="0.00">
                  <c:v>-233.33333333327269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655680"/>
        <c:axId val="249657216"/>
      </c:lineChart>
      <c:dateAx>
        <c:axId val="2496556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49657216"/>
        <c:crosses val="autoZero"/>
        <c:auto val="1"/>
        <c:lblOffset val="100"/>
        <c:baseTimeUnit val="months"/>
        <c:majorUnit val="1"/>
        <c:majorTimeUnit val="years"/>
      </c:dateAx>
      <c:valAx>
        <c:axId val="24965721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4965568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51424"/>
        <c:axId val="203752960"/>
      </c:lineChart>
      <c:dateAx>
        <c:axId val="203751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752960"/>
        <c:crosses val="autoZero"/>
        <c:auto val="1"/>
        <c:lblOffset val="100"/>
        <c:baseTimeUnit val="months"/>
        <c:majorUnit val="1"/>
        <c:majorTimeUnit val="years"/>
      </c:dateAx>
      <c:valAx>
        <c:axId val="20375296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75142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72032"/>
        <c:axId val="214173568"/>
      </c:lineChart>
      <c:dateAx>
        <c:axId val="21417203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173568"/>
        <c:crossesAt val="0"/>
        <c:auto val="1"/>
        <c:lblOffset val="100"/>
        <c:baseTimeUnit val="months"/>
        <c:majorUnit val="1"/>
        <c:majorTimeUnit val="years"/>
      </c:dateAx>
      <c:valAx>
        <c:axId val="21417356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17203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60096"/>
        <c:axId val="217061632"/>
      </c:lineChart>
      <c:dateAx>
        <c:axId val="21706009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1632"/>
        <c:crosses val="autoZero"/>
        <c:auto val="1"/>
        <c:lblOffset val="100"/>
        <c:baseTimeUnit val="months"/>
        <c:majorUnit val="10"/>
        <c:majorTimeUnit val="years"/>
      </c:dateAx>
      <c:valAx>
        <c:axId val="21706163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009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95168"/>
        <c:axId val="217101056"/>
      </c:lineChart>
      <c:dateAx>
        <c:axId val="2170951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01056"/>
        <c:crosses val="autoZero"/>
        <c:auto val="1"/>
        <c:lblOffset val="100"/>
        <c:baseTimeUnit val="months"/>
        <c:majorUnit val="5"/>
        <c:majorTimeUnit val="years"/>
      </c:dateAx>
      <c:valAx>
        <c:axId val="21710105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9516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19744"/>
        <c:axId val="217318144"/>
      </c:lineChart>
      <c:dateAx>
        <c:axId val="2171197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18144"/>
        <c:crossesAt val="0"/>
        <c:auto val="1"/>
        <c:lblOffset val="100"/>
        <c:baseTimeUnit val="months"/>
        <c:majorUnit val="5"/>
        <c:majorTimeUnit val="years"/>
      </c:dateAx>
      <c:valAx>
        <c:axId val="21731814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9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31200"/>
        <c:axId val="217332736"/>
      </c:lineChart>
      <c:dateAx>
        <c:axId val="217331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32736"/>
        <c:crosses val="autoZero"/>
        <c:auto val="1"/>
        <c:lblOffset val="100"/>
        <c:baseTimeUnit val="months"/>
        <c:majorUnit val="5"/>
        <c:majorTimeUnit val="years"/>
      </c:dateAx>
      <c:valAx>
        <c:axId val="21733273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312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4" sqref="A4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400</v>
      </c>
    </row>
    <row r="3" spans="1:2">
      <c r="A3" s="25" t="s">
        <v>399</v>
      </c>
    </row>
    <row r="4" spans="1:2">
      <c r="A4" s="25" t="s">
        <v>346</v>
      </c>
    </row>
    <row r="5" spans="1:2">
      <c r="A5" s="25" t="s">
        <v>367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274</v>
      </c>
      <c r="E9" s="119"/>
      <c r="F9" s="119"/>
      <c r="G9" s="119" t="s">
        <v>328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122</v>
      </c>
      <c r="B11" s="69"/>
      <c r="C11" s="69"/>
      <c r="D11" s="69"/>
      <c r="E11" s="105">
        <v>3170</v>
      </c>
      <c r="F11" s="71"/>
      <c r="G11" s="94"/>
      <c r="H11" s="98" t="s">
        <v>420</v>
      </c>
      <c r="I11" s="95"/>
    </row>
    <row r="12" spans="1:9">
      <c r="A12" s="73" t="s">
        <v>123</v>
      </c>
      <c r="B12" s="69"/>
      <c r="C12" s="69"/>
      <c r="D12" s="69"/>
      <c r="E12" s="105">
        <v>2543</v>
      </c>
      <c r="F12" s="71"/>
      <c r="G12" s="72"/>
      <c r="H12" s="98" t="s">
        <v>421</v>
      </c>
      <c r="I12" s="95"/>
    </row>
    <row r="13" spans="1:9">
      <c r="A13" s="73" t="s">
        <v>124</v>
      </c>
      <c r="B13" s="69"/>
      <c r="C13" s="69"/>
      <c r="D13" s="69"/>
      <c r="E13" s="105">
        <v>626</v>
      </c>
      <c r="F13" s="71"/>
      <c r="G13" s="72"/>
      <c r="H13" s="98" t="s">
        <v>422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3640</v>
      </c>
      <c r="F15" s="71"/>
      <c r="G15" s="72"/>
      <c r="H15" s="98" t="s">
        <v>423</v>
      </c>
      <c r="I15" s="95"/>
    </row>
    <row r="16" spans="1:9">
      <c r="A16" s="73" t="s">
        <v>128</v>
      </c>
      <c r="B16" s="69"/>
      <c r="C16" s="69"/>
      <c r="D16" s="69"/>
      <c r="E16" s="105">
        <v>565</v>
      </c>
      <c r="F16" s="71"/>
      <c r="G16" s="72"/>
      <c r="H16" s="98" t="s">
        <v>424</v>
      </c>
      <c r="I16" s="95"/>
    </row>
    <row r="17" spans="1:9">
      <c r="A17" s="73" t="s">
        <v>126</v>
      </c>
      <c r="B17" s="69"/>
      <c r="C17" s="69"/>
      <c r="D17" s="69"/>
      <c r="E17" s="105">
        <v>862</v>
      </c>
      <c r="F17" s="71"/>
      <c r="G17" s="72"/>
      <c r="H17" s="98" t="s">
        <v>425</v>
      </c>
      <c r="I17" s="95"/>
    </row>
    <row r="18" spans="1:9">
      <c r="A18" s="73" t="s">
        <v>125</v>
      </c>
      <c r="B18" s="69"/>
      <c r="C18" s="69"/>
      <c r="D18" s="69"/>
      <c r="E18" s="105">
        <v>532</v>
      </c>
      <c r="F18" s="71"/>
      <c r="G18" s="72"/>
      <c r="H18" s="98" t="s">
        <v>426</v>
      </c>
      <c r="I18" s="95"/>
    </row>
    <row r="19" spans="1:9">
      <c r="A19" s="73" t="s">
        <v>120</v>
      </c>
      <c r="B19" s="69"/>
      <c r="C19" s="69"/>
      <c r="D19" s="69"/>
      <c r="E19" s="105">
        <v>338</v>
      </c>
      <c r="F19" s="71"/>
      <c r="G19" s="72"/>
      <c r="H19" s="98" t="s">
        <v>427</v>
      </c>
      <c r="I19" s="95"/>
    </row>
    <row r="20" spans="1:9">
      <c r="A20" s="73" t="s">
        <v>121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127</v>
      </c>
      <c r="B21" s="76"/>
      <c r="C21" s="76"/>
      <c r="D21" s="76"/>
      <c r="E21" s="107">
        <v>1088</v>
      </c>
      <c r="F21" s="78"/>
      <c r="G21" s="79"/>
      <c r="H21" s="100" t="s">
        <v>429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6" zoomScale="85" zoomScaleNormal="85" workbookViewId="0">
      <selection activeCell="B7" sqref="B7:B85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201505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361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362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357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355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403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404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406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412</v>
      </c>
      <c r="B84" s="13">
        <v>42094</v>
      </c>
      <c r="C84" s="14">
        <v>5082</v>
      </c>
      <c r="D84" s="14">
        <v>14085</v>
      </c>
      <c r="E84" s="23">
        <v>2135.3000000000002</v>
      </c>
      <c r="F84" s="14">
        <v>0</v>
      </c>
      <c r="G84" s="14">
        <v>0</v>
      </c>
      <c r="H84" s="14"/>
      <c r="I84" s="31">
        <f t="shared" si="4"/>
        <v>-8000</v>
      </c>
      <c r="J84" s="31">
        <f t="shared" si="5"/>
        <v>-1000</v>
      </c>
      <c r="K84" s="35"/>
      <c r="L84" s="38">
        <f t="shared" si="6"/>
        <v>-699.9999999998181</v>
      </c>
      <c r="M84" s="63">
        <f t="shared" si="7"/>
        <v>233.33333333342429</v>
      </c>
      <c r="N84" s="15"/>
      <c r="R84" s="23"/>
    </row>
    <row r="85" spans="1:18">
      <c r="A85" s="8" t="s">
        <v>419</v>
      </c>
      <c r="B85" s="13">
        <v>42124</v>
      </c>
      <c r="C85" s="14">
        <v>5083</v>
      </c>
      <c r="D85" s="14">
        <v>14092</v>
      </c>
      <c r="E85" s="23">
        <v>2136</v>
      </c>
      <c r="F85" s="14">
        <v>0</v>
      </c>
      <c r="G85" s="14">
        <v>0</v>
      </c>
      <c r="H85" s="14"/>
      <c r="I85" s="31">
        <f t="shared" si="4"/>
        <v>8000</v>
      </c>
      <c r="J85" s="31">
        <f t="shared" si="5"/>
        <v>666.66666666666663</v>
      </c>
      <c r="K85" s="35"/>
      <c r="L85" s="38">
        <f t="shared" si="6"/>
        <v>699.9999999998181</v>
      </c>
      <c r="M85" s="63">
        <f t="shared" si="7"/>
        <v>-233.33333333327269</v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372</v>
      </c>
      <c r="B3" s="26" t="s">
        <v>358</v>
      </c>
      <c r="C3" s="23" t="s">
        <v>371</v>
      </c>
      <c r="D3" s="21" t="s">
        <v>360</v>
      </c>
      <c r="K3" s="20"/>
      <c r="L3" s="20"/>
      <c r="M3" s="20"/>
    </row>
    <row r="4" spans="1:13">
      <c r="A4" s="20" t="s">
        <v>7</v>
      </c>
      <c r="C4" s="23" t="s">
        <v>398</v>
      </c>
      <c r="D4" s="26" t="s">
        <v>363</v>
      </c>
      <c r="K4" s="20"/>
      <c r="L4" s="20"/>
      <c r="M4" s="20"/>
    </row>
    <row r="5" spans="1:13">
      <c r="A5" s="20" t="s">
        <v>16</v>
      </c>
      <c r="B5" s="27"/>
      <c r="C5" s="28" t="s">
        <v>397</v>
      </c>
      <c r="D5" s="27" t="s">
        <v>359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409</v>
      </c>
      <c r="D6" s="26" t="s">
        <v>409</v>
      </c>
      <c r="L6" s="108"/>
      <c r="M6" s="14"/>
    </row>
    <row r="7" spans="1:13">
      <c r="A7" s="20" t="s">
        <v>353</v>
      </c>
      <c r="C7" s="23" t="s">
        <v>396</v>
      </c>
      <c r="D7" s="26" t="s">
        <v>354</v>
      </c>
      <c r="L7" s="108"/>
      <c r="M7" s="14"/>
    </row>
    <row r="8" spans="1:13">
      <c r="A8" s="20" t="s">
        <v>373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374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375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376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377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378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379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380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381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382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383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384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385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386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387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388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389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390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391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392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393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394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395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405</v>
      </c>
      <c r="B31" s="26">
        <v>41913</v>
      </c>
      <c r="C31" s="23">
        <v>235.6</v>
      </c>
      <c r="D31" s="14">
        <v>0</v>
      </c>
    </row>
    <row r="32" spans="1:13">
      <c r="A32" s="20" t="s">
        <v>414</v>
      </c>
      <c r="B32" s="26">
        <v>42005</v>
      </c>
      <c r="C32" s="23">
        <v>225.6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F2" zoomScale="70" zoomScaleNormal="70" workbookViewId="0">
      <selection activeCell="K26" sqref="K26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  <col min="15" max="15" width="10.7109375" customWidth="1"/>
  </cols>
  <sheetData>
    <row r="2" spans="1:16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/>
    </row>
    <row r="3" spans="1:16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/>
    </row>
    <row r="4" spans="1:16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/>
    </row>
    <row r="5" spans="1:16">
      <c r="A5" s="11" t="s">
        <v>24</v>
      </c>
      <c r="C5" t="s">
        <v>407</v>
      </c>
      <c r="D5" t="s">
        <v>407</v>
      </c>
      <c r="E5" t="s">
        <v>407</v>
      </c>
      <c r="F5" t="s">
        <v>407</v>
      </c>
      <c r="H5" s="56" t="s">
        <v>152</v>
      </c>
      <c r="J5" s="19"/>
    </row>
    <row r="6" spans="1:16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</row>
    <row r="7" spans="1:16">
      <c r="A7" s="11" t="s">
        <v>17</v>
      </c>
      <c r="B7" s="13"/>
      <c r="C7" s="14" t="s">
        <v>368</v>
      </c>
      <c r="D7" s="14" t="s">
        <v>368</v>
      </c>
      <c r="E7" s="14" t="s">
        <v>368</v>
      </c>
      <c r="F7" t="s">
        <v>368</v>
      </c>
      <c r="J7" t="s">
        <v>430</v>
      </c>
    </row>
    <row r="8" spans="1:16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f>VLOOKUP($B8, $O$13:$P$64, 2, FALSE)</f>
        <v>0</v>
      </c>
    </row>
    <row r="9" spans="1:16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f t="shared" ref="J9:J59" si="1">VLOOKUP($B9, $O$13:$P$64, 2, FALSE)</f>
        <v>0</v>
      </c>
    </row>
    <row r="10" spans="1:16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f t="shared" si="1"/>
        <v>0</v>
      </c>
    </row>
    <row r="11" spans="1:16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f t="shared" si="1"/>
        <v>0</v>
      </c>
    </row>
    <row r="12" spans="1:16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2">IFERROR(G12/G8-1, "")</f>
        <v>-1.9107870469654897E-2</v>
      </c>
      <c r="J12" s="14">
        <f t="shared" si="1"/>
        <v>0</v>
      </c>
      <c r="N12" s="22" t="s">
        <v>309</v>
      </c>
      <c r="O12" s="22" t="s">
        <v>0</v>
      </c>
      <c r="P12" s="21" t="s">
        <v>360</v>
      </c>
    </row>
    <row r="13" spans="1:16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2"/>
        <v>8.9863594915979617E-2</v>
      </c>
      <c r="J13" s="14">
        <f t="shared" si="1"/>
        <v>0</v>
      </c>
      <c r="N13" t="s">
        <v>308</v>
      </c>
      <c r="O13" s="13">
        <v>37437</v>
      </c>
      <c r="P13" s="14">
        <v>0</v>
      </c>
    </row>
    <row r="14" spans="1:16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2"/>
        <v>6.9464660403395051E-2</v>
      </c>
      <c r="J14" s="14">
        <f t="shared" si="1"/>
        <v>0</v>
      </c>
      <c r="N14" t="s">
        <v>310</v>
      </c>
      <c r="O14" s="13">
        <v>37529</v>
      </c>
      <c r="P14" s="14">
        <v>0</v>
      </c>
    </row>
    <row r="15" spans="1:16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2"/>
        <v>7.456238959370487E-2</v>
      </c>
      <c r="I15" s="29">
        <f t="shared" ref="I15:I57" si="3">IFERROR(IF(H12&lt;&gt;-1, IF(H13&lt;&gt;-1, IF(H14&lt;&gt;-1, IF(H15&lt;&gt;-1, AVERAGE(H12:H15), ""), ""), ""), ""), "")</f>
        <v>5.369569361085616E-2</v>
      </c>
      <c r="J15" s="14">
        <f t="shared" si="1"/>
        <v>0</v>
      </c>
      <c r="N15" t="s">
        <v>311</v>
      </c>
      <c r="O15" s="13">
        <v>37621</v>
      </c>
      <c r="P15" s="14">
        <v>0</v>
      </c>
    </row>
    <row r="16" spans="1:16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2"/>
        <v>0.10478475699075207</v>
      </c>
      <c r="I16" s="29">
        <f t="shared" si="3"/>
        <v>8.4668850475957902E-2</v>
      </c>
      <c r="J16" s="14">
        <f t="shared" si="1"/>
        <v>0</v>
      </c>
      <c r="N16" t="s">
        <v>312</v>
      </c>
      <c r="O16" s="13">
        <v>37711</v>
      </c>
      <c r="P16" s="14">
        <v>0</v>
      </c>
    </row>
    <row r="17" spans="1:16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2"/>
        <v>6.0609682523420805E-2</v>
      </c>
      <c r="I17" s="29">
        <f t="shared" si="3"/>
        <v>7.7355372377818199E-2</v>
      </c>
      <c r="J17" s="14">
        <f t="shared" si="1"/>
        <v>0</v>
      </c>
      <c r="N17" t="s">
        <v>313</v>
      </c>
      <c r="O17" s="13">
        <v>37802</v>
      </c>
      <c r="P17" s="14">
        <v>0</v>
      </c>
    </row>
    <row r="18" spans="1:16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2"/>
        <v>0.10866404775897798</v>
      </c>
      <c r="I18" s="29">
        <f t="shared" si="3"/>
        <v>8.7155219216713931E-2</v>
      </c>
      <c r="J18" s="14">
        <f t="shared" si="1"/>
        <v>0</v>
      </c>
      <c r="N18" t="s">
        <v>314</v>
      </c>
      <c r="O18" s="13">
        <v>37894</v>
      </c>
      <c r="P18" s="14">
        <v>0</v>
      </c>
    </row>
    <row r="19" spans="1:16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2"/>
        <v>9.350948246230173E-2</v>
      </c>
      <c r="I19" s="29">
        <f t="shared" si="3"/>
        <v>9.1891992433863146E-2</v>
      </c>
      <c r="J19" s="14">
        <f t="shared" si="1"/>
        <v>0</v>
      </c>
      <c r="N19" t="s">
        <v>315</v>
      </c>
      <c r="O19" s="13">
        <v>37986</v>
      </c>
      <c r="P19" s="14">
        <v>0</v>
      </c>
    </row>
    <row r="20" spans="1:16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2"/>
        <v>0.15938988853542568</v>
      </c>
      <c r="I20" s="29">
        <f t="shared" si="3"/>
        <v>0.10554327532003155</v>
      </c>
      <c r="J20" s="14">
        <f t="shared" si="1"/>
        <v>0</v>
      </c>
      <c r="N20" t="s">
        <v>316</v>
      </c>
      <c r="O20" s="13">
        <v>38077</v>
      </c>
      <c r="P20" s="14">
        <v>0</v>
      </c>
    </row>
    <row r="21" spans="1:16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2"/>
        <v>8.989143908944075E-2</v>
      </c>
      <c r="I21" s="29">
        <f t="shared" si="3"/>
        <v>0.11286371446153654</v>
      </c>
      <c r="J21" s="14">
        <f t="shared" si="1"/>
        <v>0</v>
      </c>
      <c r="N21" t="s">
        <v>317</v>
      </c>
      <c r="O21" s="13">
        <v>38168</v>
      </c>
      <c r="P21" s="14">
        <v>0</v>
      </c>
    </row>
    <row r="22" spans="1:16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2"/>
        <v>8.5745374540642461E-2</v>
      </c>
      <c r="I22" s="29">
        <f t="shared" si="3"/>
        <v>0.10713404615695266</v>
      </c>
      <c r="J22" s="14">
        <f t="shared" si="1"/>
        <v>0</v>
      </c>
      <c r="N22" t="s">
        <v>318</v>
      </c>
      <c r="O22" s="13">
        <v>38260</v>
      </c>
      <c r="P22" s="14">
        <v>0</v>
      </c>
    </row>
    <row r="23" spans="1:16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2"/>
        <v>8.2119265637100813E-2</v>
      </c>
      <c r="I23" s="29">
        <f t="shared" si="3"/>
        <v>0.10428649195065243</v>
      </c>
      <c r="J23" s="14">
        <f t="shared" si="1"/>
        <v>0</v>
      </c>
      <c r="N23" t="s">
        <v>319</v>
      </c>
      <c r="O23" s="13">
        <v>38352</v>
      </c>
      <c r="P23" s="14">
        <v>0</v>
      </c>
    </row>
    <row r="24" spans="1:16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2"/>
        <v>0.10154729798928086</v>
      </c>
      <c r="I24" s="29">
        <f t="shared" si="3"/>
        <v>8.9825844314116221E-2</v>
      </c>
      <c r="J24" s="14">
        <f t="shared" si="1"/>
        <v>0</v>
      </c>
      <c r="N24" t="s">
        <v>320</v>
      </c>
      <c r="O24" s="13">
        <v>38442</v>
      </c>
      <c r="P24" s="14">
        <v>0</v>
      </c>
    </row>
    <row r="25" spans="1:16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2"/>
        <v>5.6549055135944215E-2</v>
      </c>
      <c r="I25" s="29">
        <f t="shared" si="3"/>
        <v>8.1490248325742087E-2</v>
      </c>
      <c r="J25" s="14">
        <f t="shared" si="1"/>
        <v>0</v>
      </c>
      <c r="N25" t="s">
        <v>321</v>
      </c>
      <c r="O25" s="13">
        <v>38533</v>
      </c>
      <c r="P25" s="14">
        <v>0</v>
      </c>
    </row>
    <row r="26" spans="1:16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2"/>
        <v>7.228154929939401E-2</v>
      </c>
      <c r="I26" s="29">
        <f t="shared" si="3"/>
        <v>7.8124292015429975E-2</v>
      </c>
      <c r="J26" s="14">
        <f t="shared" si="1"/>
        <v>0</v>
      </c>
      <c r="N26" t="s">
        <v>322</v>
      </c>
      <c r="O26" s="13">
        <v>38625</v>
      </c>
      <c r="P26" s="14">
        <v>0</v>
      </c>
    </row>
    <row r="27" spans="1:16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2"/>
        <v>6.7299272531321508E-2</v>
      </c>
      <c r="I27" s="29">
        <f t="shared" si="3"/>
        <v>7.4419293738985148E-2</v>
      </c>
      <c r="J27" s="14">
        <f t="shared" si="1"/>
        <v>0</v>
      </c>
      <c r="N27" t="s">
        <v>323</v>
      </c>
      <c r="O27" s="13">
        <v>38717</v>
      </c>
      <c r="P27" s="14">
        <v>0</v>
      </c>
    </row>
    <row r="28" spans="1:16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2"/>
        <v>7.2534002734939484E-2</v>
      </c>
      <c r="I28" s="29">
        <f t="shared" si="3"/>
        <v>6.7165969925399804E-2</v>
      </c>
      <c r="J28" s="14">
        <f t="shared" si="1"/>
        <v>0</v>
      </c>
      <c r="N28" t="s">
        <v>324</v>
      </c>
      <c r="O28" s="13">
        <v>38807</v>
      </c>
      <c r="P28" s="14">
        <v>0</v>
      </c>
    </row>
    <row r="29" spans="1:16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2"/>
        <v>3.3763159243742624E-2</v>
      </c>
      <c r="I29" s="29">
        <f t="shared" si="3"/>
        <v>6.1469495952349407E-2</v>
      </c>
      <c r="J29" s="14">
        <f t="shared" si="1"/>
        <v>0</v>
      </c>
      <c r="N29" t="s">
        <v>325</v>
      </c>
      <c r="O29" s="13">
        <v>38898</v>
      </c>
      <c r="P29" s="14">
        <v>0</v>
      </c>
    </row>
    <row r="30" spans="1:16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2"/>
        <v>4.9374009318822187E-2</v>
      </c>
      <c r="I30" s="29">
        <f t="shared" si="3"/>
        <v>5.5742610957206451E-2</v>
      </c>
      <c r="J30" s="14">
        <f t="shared" si="1"/>
        <v>0</v>
      </c>
      <c r="N30" t="s">
        <v>326</v>
      </c>
      <c r="O30" s="13">
        <v>38990</v>
      </c>
      <c r="P30" s="14">
        <v>0</v>
      </c>
    </row>
    <row r="31" spans="1:16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2"/>
        <v>1.5655446075685697E-2</v>
      </c>
      <c r="I31" s="29">
        <f t="shared" si="3"/>
        <v>4.2831654343297498E-2</v>
      </c>
      <c r="J31" s="14">
        <f t="shared" si="1"/>
        <v>1</v>
      </c>
      <c r="N31" t="s">
        <v>327</v>
      </c>
      <c r="O31" s="13">
        <v>39082</v>
      </c>
      <c r="P31" s="14">
        <v>0</v>
      </c>
    </row>
    <row r="32" spans="1:16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2"/>
        <v>3.1231827786105004E-2</v>
      </c>
      <c r="I32" s="29">
        <f t="shared" si="3"/>
        <v>3.2506110606088878E-2</v>
      </c>
      <c r="J32" s="14">
        <f t="shared" si="1"/>
        <v>1</v>
      </c>
      <c r="N32" t="s">
        <v>300</v>
      </c>
      <c r="O32" s="13">
        <v>39172</v>
      </c>
      <c r="P32" s="14">
        <v>0</v>
      </c>
    </row>
    <row r="33" spans="1:16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2"/>
        <v>4.0188794922191962E-2</v>
      </c>
      <c r="I33" s="29">
        <f t="shared" si="3"/>
        <v>3.4112519525701213E-2</v>
      </c>
      <c r="J33" s="14">
        <f t="shared" si="1"/>
        <v>1</v>
      </c>
      <c r="N33" t="s">
        <v>301</v>
      </c>
      <c r="O33" s="13">
        <v>39263</v>
      </c>
      <c r="P33" s="14">
        <v>0</v>
      </c>
    </row>
    <row r="34" spans="1:16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2"/>
        <v>4.0359651440856847E-2</v>
      </c>
      <c r="I34" s="29">
        <f t="shared" si="3"/>
        <v>3.1858930056209878E-2</v>
      </c>
      <c r="J34" s="14">
        <f t="shared" si="1"/>
        <v>1</v>
      </c>
      <c r="N34" t="s">
        <v>302</v>
      </c>
      <c r="O34" s="13">
        <v>39355</v>
      </c>
      <c r="P34" s="14">
        <v>0</v>
      </c>
    </row>
    <row r="35" spans="1:16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2"/>
        <v>-1.2641218528026243E-2</v>
      </c>
      <c r="I35" s="29">
        <f t="shared" si="3"/>
        <v>2.4784763905281892E-2</v>
      </c>
      <c r="J35" s="14">
        <f t="shared" si="1"/>
        <v>1</v>
      </c>
      <c r="N35" t="s">
        <v>303</v>
      </c>
      <c r="O35" s="13">
        <v>39447</v>
      </c>
      <c r="P35" s="14">
        <v>0</v>
      </c>
    </row>
    <row r="36" spans="1:16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2"/>
        <v>-0.10901818487489146</v>
      </c>
      <c r="I36" s="29">
        <f t="shared" si="3"/>
        <v>-1.0277739259967222E-2</v>
      </c>
      <c r="J36" s="14">
        <f t="shared" si="1"/>
        <v>1</v>
      </c>
      <c r="N36" t="s">
        <v>304</v>
      </c>
      <c r="O36" s="13">
        <v>39538</v>
      </c>
      <c r="P36" s="14">
        <v>1</v>
      </c>
    </row>
    <row r="37" spans="1:16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2"/>
        <v>-4.0837641878626929E-2</v>
      </c>
      <c r="I37" s="29">
        <f t="shared" si="3"/>
        <v>-3.0534348460171945E-2</v>
      </c>
      <c r="J37" s="14">
        <f t="shared" si="1"/>
        <v>0</v>
      </c>
      <c r="N37" t="s">
        <v>305</v>
      </c>
      <c r="O37" s="13">
        <v>39629</v>
      </c>
      <c r="P37" s="14">
        <v>1</v>
      </c>
    </row>
    <row r="38" spans="1:16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2"/>
        <v>7.3003229953902959E-3</v>
      </c>
      <c r="I38" s="29">
        <f t="shared" si="3"/>
        <v>-3.8799180571538583E-2</v>
      </c>
      <c r="J38" s="14">
        <f t="shared" si="1"/>
        <v>0</v>
      </c>
      <c r="N38" t="s">
        <v>306</v>
      </c>
      <c r="O38" s="13">
        <v>39721</v>
      </c>
      <c r="P38" s="14">
        <v>1</v>
      </c>
    </row>
    <row r="39" spans="1:16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2"/>
        <v>-1.0950455482307775E-2</v>
      </c>
      <c r="I39" s="29">
        <f t="shared" si="3"/>
        <v>-3.8376489810108966E-2</v>
      </c>
      <c r="J39" s="14">
        <f t="shared" si="1"/>
        <v>0</v>
      </c>
      <c r="N39" t="s">
        <v>307</v>
      </c>
      <c r="O39" s="13">
        <v>39813</v>
      </c>
      <c r="P39" s="14">
        <v>1</v>
      </c>
    </row>
    <row r="40" spans="1:16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2"/>
        <v>2.1164686735905214E-2</v>
      </c>
      <c r="I40" s="29">
        <f t="shared" si="3"/>
        <v>-5.8307719074097986E-3</v>
      </c>
      <c r="J40" s="14">
        <f t="shared" si="1"/>
        <v>0</v>
      </c>
      <c r="N40" t="s">
        <v>277</v>
      </c>
      <c r="O40" s="13">
        <v>39903</v>
      </c>
      <c r="P40" s="14">
        <v>1</v>
      </c>
    </row>
    <row r="41" spans="1:16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2"/>
        <v>3.4999096331104429E-2</v>
      </c>
      <c r="I41" s="29">
        <f t="shared" si="3"/>
        <v>1.3128412645023041E-2</v>
      </c>
      <c r="J41" s="14">
        <f t="shared" si="1"/>
        <v>0</v>
      </c>
      <c r="N41" t="s">
        <v>278</v>
      </c>
      <c r="O41" s="13">
        <v>39994</v>
      </c>
      <c r="P41" s="14">
        <v>1</v>
      </c>
    </row>
    <row r="42" spans="1:16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2"/>
        <v>1.9363796549383139E-3</v>
      </c>
      <c r="I42" s="29">
        <f t="shared" si="3"/>
        <v>1.1787426809910045E-2</v>
      </c>
      <c r="J42" s="14">
        <f t="shared" si="1"/>
        <v>0</v>
      </c>
      <c r="N42" t="s">
        <v>279</v>
      </c>
      <c r="O42" s="13">
        <v>40086</v>
      </c>
      <c r="P42" s="14">
        <v>0</v>
      </c>
    </row>
    <row r="43" spans="1:16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2"/>
        <v>5.0331673639501862E-2</v>
      </c>
      <c r="I43" s="29">
        <f t="shared" si="3"/>
        <v>2.7107959090362455E-2</v>
      </c>
      <c r="J43" s="14">
        <f t="shared" si="1"/>
        <v>0</v>
      </c>
      <c r="N43" t="s">
        <v>280</v>
      </c>
      <c r="O43" s="13">
        <v>40178</v>
      </c>
      <c r="P43" s="14">
        <v>0</v>
      </c>
    </row>
    <row r="44" spans="1:16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2"/>
        <v>8.2934903953497452E-2</v>
      </c>
      <c r="I44" s="29">
        <f t="shared" si="3"/>
        <v>4.2550513394760514E-2</v>
      </c>
      <c r="J44" s="14">
        <f t="shared" si="1"/>
        <v>0</v>
      </c>
      <c r="N44" t="s">
        <v>281</v>
      </c>
      <c r="O44" s="13">
        <v>40268</v>
      </c>
      <c r="P44" s="14">
        <v>0</v>
      </c>
    </row>
    <row r="45" spans="1:16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2"/>
        <v>3.145818235792297E-2</v>
      </c>
      <c r="I45" s="29">
        <f t="shared" si="3"/>
        <v>4.1665284901465149E-2</v>
      </c>
      <c r="J45" s="14">
        <f t="shared" si="1"/>
        <v>0</v>
      </c>
      <c r="N45" t="s">
        <v>282</v>
      </c>
      <c r="O45" s="13">
        <v>40359</v>
      </c>
      <c r="P45" s="14">
        <v>0</v>
      </c>
    </row>
    <row r="46" spans="1:16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2"/>
        <v>4.2421700223713721E-2</v>
      </c>
      <c r="I46" s="29">
        <f t="shared" si="3"/>
        <v>5.1786615043659001E-2</v>
      </c>
      <c r="J46" s="14">
        <f t="shared" si="1"/>
        <v>0</v>
      </c>
      <c r="N46" t="s">
        <v>283</v>
      </c>
      <c r="O46" s="13">
        <v>40451</v>
      </c>
      <c r="P46" s="14">
        <v>0</v>
      </c>
    </row>
    <row r="47" spans="1:16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2"/>
        <v>2.3335150771654156E-2</v>
      </c>
      <c r="I47" s="29">
        <f t="shared" si="3"/>
        <v>4.5037484326697075E-2</v>
      </c>
      <c r="J47" s="14">
        <f t="shared" si="1"/>
        <v>0</v>
      </c>
      <c r="N47" t="s">
        <v>284</v>
      </c>
      <c r="O47" s="13">
        <v>40543</v>
      </c>
      <c r="P47" s="14">
        <v>0</v>
      </c>
    </row>
    <row r="48" spans="1:16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2"/>
        <v>3.2348194544174813E-2</v>
      </c>
      <c r="I48" s="29">
        <f t="shared" si="3"/>
        <v>3.2390806974366415E-2</v>
      </c>
      <c r="J48" s="14">
        <f t="shared" si="1"/>
        <v>0</v>
      </c>
      <c r="N48" t="s">
        <v>285</v>
      </c>
      <c r="O48" s="13">
        <v>40633</v>
      </c>
      <c r="P48" s="14">
        <v>0</v>
      </c>
    </row>
    <row r="49" spans="1:16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2"/>
        <v>4.8604997629850377E-2</v>
      </c>
      <c r="I49" s="29">
        <f t="shared" si="3"/>
        <v>3.6677510792348267E-2</v>
      </c>
      <c r="J49" s="14">
        <f t="shared" si="1"/>
        <v>0</v>
      </c>
      <c r="N49" t="s">
        <v>286</v>
      </c>
      <c r="O49" s="13">
        <v>40724</v>
      </c>
      <c r="P49" s="14">
        <v>0</v>
      </c>
    </row>
    <row r="50" spans="1:16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2"/>
        <v>2.7598191318447762E-2</v>
      </c>
      <c r="I50" s="29">
        <f t="shared" si="3"/>
        <v>3.2971633566031777E-2</v>
      </c>
      <c r="J50" s="14">
        <f t="shared" si="1"/>
        <v>0</v>
      </c>
      <c r="N50" t="s">
        <v>287</v>
      </c>
      <c r="O50" s="13">
        <v>40816</v>
      </c>
      <c r="P50" s="14">
        <v>0</v>
      </c>
    </row>
    <row r="51" spans="1:16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2"/>
        <v>6.7321318232440808E-2</v>
      </c>
      <c r="I51" s="29">
        <f t="shared" si="3"/>
        <v>4.396817543122844E-2</v>
      </c>
      <c r="J51" s="14">
        <f t="shared" si="1"/>
        <v>0</v>
      </c>
      <c r="N51" t="s">
        <v>288</v>
      </c>
      <c r="O51" s="13">
        <v>40908</v>
      </c>
      <c r="P51" s="14">
        <v>0</v>
      </c>
    </row>
    <row r="52" spans="1:16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2"/>
        <v>7.0161906795127127E-2</v>
      </c>
      <c r="I52" s="29">
        <f t="shared" si="3"/>
        <v>5.3421603493966519E-2</v>
      </c>
      <c r="J52" s="14">
        <f t="shared" si="1"/>
        <v>0</v>
      </c>
      <c r="N52" t="s">
        <v>289</v>
      </c>
      <c r="O52" s="13">
        <v>40999</v>
      </c>
      <c r="P52" s="14">
        <v>0</v>
      </c>
    </row>
    <row r="53" spans="1:16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2"/>
        <v>7.1735901451428052E-2</v>
      </c>
      <c r="I53" s="29">
        <f t="shared" si="3"/>
        <v>5.9204329449360937E-2</v>
      </c>
      <c r="J53" s="14">
        <f t="shared" si="1"/>
        <v>0</v>
      </c>
      <c r="N53" t="s">
        <v>290</v>
      </c>
      <c r="O53" s="13">
        <v>41090</v>
      </c>
      <c r="P53" s="14">
        <v>0</v>
      </c>
    </row>
    <row r="54" spans="1:16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2"/>
        <v>2.7506729475101022E-2</v>
      </c>
      <c r="I54" s="29">
        <f t="shared" si="3"/>
        <v>5.9181463988524252E-2</v>
      </c>
      <c r="J54" s="14">
        <f t="shared" si="1"/>
        <v>0</v>
      </c>
      <c r="N54" t="s">
        <v>291</v>
      </c>
      <c r="O54" s="13">
        <v>41182</v>
      </c>
      <c r="P54" s="14">
        <v>0</v>
      </c>
    </row>
    <row r="55" spans="1:16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2"/>
        <v>2.5833200446499838E-2</v>
      </c>
      <c r="I55" s="29">
        <f t="shared" si="3"/>
        <v>4.880943454203901E-2</v>
      </c>
      <c r="J55" s="14">
        <f t="shared" si="1"/>
        <v>0</v>
      </c>
      <c r="N55" t="s">
        <v>292</v>
      </c>
      <c r="O55" s="13">
        <v>41274</v>
      </c>
      <c r="P55" s="14">
        <v>0</v>
      </c>
    </row>
    <row r="56" spans="1:16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2"/>
        <v>1.0177290131599959E-2</v>
      </c>
      <c r="I56" s="29">
        <f t="shared" si="3"/>
        <v>3.3813280376157218E-2</v>
      </c>
      <c r="J56" s="14">
        <f t="shared" si="1"/>
        <v>0</v>
      </c>
      <c r="N56" t="s">
        <v>293</v>
      </c>
      <c r="O56" s="13">
        <v>41364</v>
      </c>
      <c r="P56" s="14">
        <v>0</v>
      </c>
    </row>
    <row r="57" spans="1:16">
      <c r="A57" s="11" t="s">
        <v>401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2"/>
        <v>3.0806427923127044E-2</v>
      </c>
      <c r="I57" s="29">
        <f t="shared" si="3"/>
        <v>2.3580911994081966E-2</v>
      </c>
      <c r="J57" s="14">
        <f t="shared" si="1"/>
        <v>0</v>
      </c>
      <c r="N57" t="s">
        <v>294</v>
      </c>
      <c r="O57" s="13">
        <v>41455</v>
      </c>
      <c r="P57" s="14">
        <v>0</v>
      </c>
    </row>
    <row r="58" spans="1:16">
      <c r="A58" s="11" t="s">
        <v>402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4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f t="shared" si="1"/>
        <v>0</v>
      </c>
      <c r="N58" t="s">
        <v>295</v>
      </c>
      <c r="O58" s="13">
        <v>41547</v>
      </c>
      <c r="P58" s="14">
        <v>0</v>
      </c>
    </row>
    <row r="59" spans="1:16">
      <c r="B59" s="13"/>
      <c r="G59" s="41">
        <f t="shared" si="4"/>
        <v>0</v>
      </c>
      <c r="H59" s="20">
        <f t="shared" ref="H59:H122" si="5">IFERROR(G59/G55-1, "")</f>
        <v>-1</v>
      </c>
      <c r="I59" s="29" t="str">
        <f t="shared" ref="I59:I122" si="6">IFERROR(IF(H56&lt;&gt;-1, IF(H57&lt;&gt;-1, IF(H58&lt;&gt;-1, IF(H59&lt;&gt;-1, AVERAGE(H56:H59), ""), ""), ""), ""), "")</f>
        <v/>
      </c>
      <c r="J59" s="14"/>
      <c r="K59" t="str">
        <f>IF(I81&lt;&gt;"", IF(I82&lt;&gt;"", (AVERAGE(I80:I82)), ""), "")</f>
        <v/>
      </c>
      <c r="N59" t="s">
        <v>296</v>
      </c>
      <c r="O59" s="13">
        <v>41639</v>
      </c>
      <c r="P59" s="14">
        <v>0</v>
      </c>
    </row>
    <row r="60" spans="1:16">
      <c r="B60" s="13"/>
      <c r="G60" s="41">
        <f t="shared" si="4"/>
        <v>0</v>
      </c>
      <c r="H60" s="20">
        <f t="shared" si="5"/>
        <v>-1</v>
      </c>
      <c r="I60" s="29" t="str">
        <f t="shared" si="6"/>
        <v/>
      </c>
      <c r="N60" t="s">
        <v>297</v>
      </c>
      <c r="O60" s="13">
        <v>41729</v>
      </c>
      <c r="P60" s="14">
        <v>0</v>
      </c>
    </row>
    <row r="61" spans="1:16">
      <c r="G61" s="41">
        <f t="shared" si="4"/>
        <v>0</v>
      </c>
      <c r="H61" s="20">
        <f t="shared" si="5"/>
        <v>-1</v>
      </c>
      <c r="I61" s="29" t="str">
        <f t="shared" si="6"/>
        <v/>
      </c>
      <c r="N61" t="s">
        <v>298</v>
      </c>
      <c r="O61" s="13">
        <v>41820</v>
      </c>
      <c r="P61" s="14">
        <v>0</v>
      </c>
    </row>
    <row r="62" spans="1:16">
      <c r="G62" s="41">
        <f t="shared" si="4"/>
        <v>0</v>
      </c>
      <c r="H62" s="20">
        <f t="shared" si="5"/>
        <v>-1</v>
      </c>
      <c r="I62" s="29" t="str">
        <f t="shared" si="6"/>
        <v/>
      </c>
      <c r="N62" t="s">
        <v>401</v>
      </c>
      <c r="O62" s="13">
        <v>41912</v>
      </c>
      <c r="P62" s="14">
        <v>0</v>
      </c>
    </row>
    <row r="63" spans="1:16">
      <c r="G63" s="41">
        <f t="shared" si="4"/>
        <v>0</v>
      </c>
      <c r="H63" s="20" t="str">
        <f t="shared" si="5"/>
        <v/>
      </c>
      <c r="I63" s="29" t="str">
        <f t="shared" si="6"/>
        <v/>
      </c>
      <c r="N63" t="s">
        <v>402</v>
      </c>
      <c r="O63" s="13">
        <v>42004</v>
      </c>
      <c r="P63" s="14">
        <v>0</v>
      </c>
    </row>
    <row r="64" spans="1:16">
      <c r="G64" s="41">
        <f t="shared" si="4"/>
        <v>0</v>
      </c>
      <c r="H64" s="20" t="str">
        <f t="shared" si="5"/>
        <v/>
      </c>
      <c r="I64" s="29" t="str">
        <f t="shared" si="6"/>
        <v/>
      </c>
      <c r="N64" t="s">
        <v>411</v>
      </c>
      <c r="O64" s="13">
        <v>42094</v>
      </c>
      <c r="P64" s="14">
        <v>0</v>
      </c>
    </row>
    <row r="65" spans="7:9">
      <c r="G65" s="41">
        <f t="shared" si="4"/>
        <v>0</v>
      </c>
      <c r="H65" s="20" t="str">
        <f t="shared" si="5"/>
        <v/>
      </c>
      <c r="I65" s="29" t="str">
        <f t="shared" si="6"/>
        <v/>
      </c>
    </row>
    <row r="66" spans="7:9">
      <c r="G66" s="41">
        <f t="shared" si="4"/>
        <v>0</v>
      </c>
      <c r="H66" s="20" t="str">
        <f t="shared" si="5"/>
        <v/>
      </c>
      <c r="I66" s="29" t="str">
        <f t="shared" si="6"/>
        <v/>
      </c>
    </row>
    <row r="67" spans="7:9">
      <c r="G67" s="41">
        <f t="shared" si="4"/>
        <v>0</v>
      </c>
      <c r="H67" s="20" t="str">
        <f t="shared" si="5"/>
        <v/>
      </c>
      <c r="I67" s="29" t="str">
        <f t="shared" si="6"/>
        <v/>
      </c>
    </row>
    <row r="68" spans="7:9">
      <c r="G68" s="41">
        <f t="shared" si="4"/>
        <v>0</v>
      </c>
      <c r="H68" s="20" t="str">
        <f t="shared" si="5"/>
        <v/>
      </c>
      <c r="I68" s="29" t="str">
        <f t="shared" si="6"/>
        <v/>
      </c>
    </row>
    <row r="69" spans="7:9">
      <c r="G69" s="41">
        <f t="shared" si="4"/>
        <v>0</v>
      </c>
      <c r="H69" s="20" t="str">
        <f t="shared" si="5"/>
        <v/>
      </c>
      <c r="I69" s="29" t="str">
        <f t="shared" si="6"/>
        <v/>
      </c>
    </row>
    <row r="70" spans="7:9">
      <c r="G70" s="41">
        <f t="shared" si="4"/>
        <v>0</v>
      </c>
      <c r="H70" s="20" t="str">
        <f t="shared" si="5"/>
        <v/>
      </c>
      <c r="I70" s="29" t="str">
        <f t="shared" si="6"/>
        <v/>
      </c>
    </row>
    <row r="71" spans="7:9">
      <c r="G71" s="41">
        <f t="shared" si="4"/>
        <v>0</v>
      </c>
      <c r="H71" s="20" t="str">
        <f t="shared" si="5"/>
        <v/>
      </c>
      <c r="I71" s="29" t="str">
        <f t="shared" si="6"/>
        <v/>
      </c>
    </row>
    <row r="72" spans="7:9">
      <c r="G72" s="41">
        <f t="shared" si="4"/>
        <v>0</v>
      </c>
      <c r="H72" s="20" t="str">
        <f t="shared" si="5"/>
        <v/>
      </c>
      <c r="I72" s="29" t="str">
        <f t="shared" si="6"/>
        <v/>
      </c>
    </row>
    <row r="73" spans="7:9">
      <c r="G73" s="41">
        <f t="shared" si="4"/>
        <v>0</v>
      </c>
      <c r="H73" s="20" t="str">
        <f t="shared" si="5"/>
        <v/>
      </c>
      <c r="I73" s="29" t="str">
        <f t="shared" si="6"/>
        <v/>
      </c>
    </row>
    <row r="74" spans="7:9">
      <c r="G74" s="41">
        <f t="shared" si="4"/>
        <v>0</v>
      </c>
      <c r="H74" s="20" t="str">
        <f t="shared" si="5"/>
        <v/>
      </c>
      <c r="I74" s="29" t="str">
        <f t="shared" si="6"/>
        <v/>
      </c>
    </row>
    <row r="75" spans="7:9">
      <c r="G75" s="41">
        <f t="shared" si="4"/>
        <v>0</v>
      </c>
      <c r="H75" s="20" t="str">
        <f t="shared" si="5"/>
        <v/>
      </c>
      <c r="I75" s="29" t="str">
        <f t="shared" si="6"/>
        <v/>
      </c>
    </row>
    <row r="76" spans="7:9">
      <c r="G76" s="41">
        <f t="shared" si="4"/>
        <v>0</v>
      </c>
      <c r="H76" s="20" t="str">
        <f t="shared" si="5"/>
        <v/>
      </c>
      <c r="I76" s="29" t="str">
        <f t="shared" si="6"/>
        <v/>
      </c>
    </row>
    <row r="77" spans="7:9">
      <c r="G77" s="41">
        <f t="shared" si="4"/>
        <v>0</v>
      </c>
      <c r="H77" s="20" t="str">
        <f t="shared" si="5"/>
        <v/>
      </c>
      <c r="I77" s="29" t="str">
        <f t="shared" si="6"/>
        <v/>
      </c>
    </row>
    <row r="78" spans="7:9">
      <c r="G78" s="41">
        <f t="shared" si="4"/>
        <v>0</v>
      </c>
      <c r="H78" s="20" t="str">
        <f t="shared" si="5"/>
        <v/>
      </c>
      <c r="I78" s="29" t="str">
        <f t="shared" si="6"/>
        <v/>
      </c>
    </row>
    <row r="79" spans="7:9">
      <c r="G79" s="41">
        <f t="shared" si="4"/>
        <v>0</v>
      </c>
      <c r="H79" s="20" t="str">
        <f t="shared" si="5"/>
        <v/>
      </c>
      <c r="I79" s="29" t="str">
        <f t="shared" si="6"/>
        <v/>
      </c>
    </row>
    <row r="80" spans="7:9">
      <c r="G80" s="41">
        <f t="shared" si="4"/>
        <v>0</v>
      </c>
      <c r="H80" s="20" t="str">
        <f t="shared" si="5"/>
        <v/>
      </c>
      <c r="I80" s="29" t="str">
        <f t="shared" si="6"/>
        <v/>
      </c>
    </row>
    <row r="81" spans="7:9">
      <c r="G81" s="41">
        <f t="shared" si="4"/>
        <v>0</v>
      </c>
      <c r="H81" s="20" t="str">
        <f t="shared" si="5"/>
        <v/>
      </c>
      <c r="I81" s="29" t="str">
        <f t="shared" si="6"/>
        <v/>
      </c>
    </row>
    <row r="82" spans="7:9">
      <c r="G82" s="41">
        <f t="shared" si="4"/>
        <v>0</v>
      </c>
      <c r="H82" s="20" t="str">
        <f t="shared" si="5"/>
        <v/>
      </c>
      <c r="I82" s="29" t="str">
        <f t="shared" si="6"/>
        <v/>
      </c>
    </row>
    <row r="83" spans="7:9">
      <c r="G83" s="41">
        <f t="shared" si="4"/>
        <v>0</v>
      </c>
      <c r="H83" s="20" t="str">
        <f t="shared" si="5"/>
        <v/>
      </c>
      <c r="I83" s="29" t="str">
        <f t="shared" si="6"/>
        <v/>
      </c>
    </row>
    <row r="84" spans="7:9">
      <c r="G84" s="41">
        <f t="shared" si="4"/>
        <v>0</v>
      </c>
      <c r="H84" s="20" t="str">
        <f t="shared" si="5"/>
        <v/>
      </c>
      <c r="I84" s="29" t="str">
        <f t="shared" si="6"/>
        <v/>
      </c>
    </row>
    <row r="85" spans="7:9">
      <c r="G85" s="41">
        <f t="shared" si="4"/>
        <v>0</v>
      </c>
      <c r="H85" s="20" t="str">
        <f t="shared" si="5"/>
        <v/>
      </c>
      <c r="I85" s="29" t="str">
        <f t="shared" si="6"/>
        <v/>
      </c>
    </row>
    <row r="86" spans="7:9">
      <c r="G86" s="41">
        <f t="shared" si="4"/>
        <v>0</v>
      </c>
      <c r="H86" s="20" t="str">
        <f t="shared" si="5"/>
        <v/>
      </c>
      <c r="I86" s="29" t="str">
        <f t="shared" si="6"/>
        <v/>
      </c>
    </row>
    <row r="87" spans="7:9">
      <c r="G87" s="41">
        <f t="shared" si="4"/>
        <v>0</v>
      </c>
      <c r="H87" s="20" t="str">
        <f t="shared" si="5"/>
        <v/>
      </c>
      <c r="I87" s="29" t="str">
        <f t="shared" si="6"/>
        <v/>
      </c>
    </row>
    <row r="88" spans="7:9">
      <c r="G88" s="41">
        <f t="shared" si="4"/>
        <v>0</v>
      </c>
      <c r="H88" s="20" t="str">
        <f t="shared" si="5"/>
        <v/>
      </c>
      <c r="I88" s="29" t="str">
        <f t="shared" si="6"/>
        <v/>
      </c>
    </row>
    <row r="89" spans="7:9">
      <c r="G89" s="41">
        <f t="shared" si="4"/>
        <v>0</v>
      </c>
      <c r="H89" s="20" t="str">
        <f t="shared" si="5"/>
        <v/>
      </c>
      <c r="I89" s="29" t="str">
        <f t="shared" si="6"/>
        <v/>
      </c>
    </row>
    <row r="90" spans="7:9">
      <c r="G90" s="41">
        <f t="shared" si="4"/>
        <v>0</v>
      </c>
      <c r="H90" s="20" t="str">
        <f t="shared" si="5"/>
        <v/>
      </c>
      <c r="I90" s="29" t="str">
        <f t="shared" si="6"/>
        <v/>
      </c>
    </row>
    <row r="91" spans="7:9">
      <c r="G91" s="41">
        <f t="shared" si="4"/>
        <v>0</v>
      </c>
      <c r="H91" s="20" t="str">
        <f t="shared" si="5"/>
        <v/>
      </c>
      <c r="I91" s="29" t="str">
        <f t="shared" si="6"/>
        <v/>
      </c>
    </row>
    <row r="92" spans="7:9">
      <c r="G92" s="41">
        <f t="shared" si="4"/>
        <v>0</v>
      </c>
      <c r="H92" s="20" t="str">
        <f t="shared" si="5"/>
        <v/>
      </c>
      <c r="I92" s="29" t="str">
        <f t="shared" si="6"/>
        <v/>
      </c>
    </row>
    <row r="93" spans="7:9">
      <c r="G93" s="41">
        <f t="shared" si="4"/>
        <v>0</v>
      </c>
      <c r="H93" s="20" t="str">
        <f t="shared" si="5"/>
        <v/>
      </c>
      <c r="I93" s="29" t="str">
        <f t="shared" si="6"/>
        <v/>
      </c>
    </row>
    <row r="94" spans="7:9">
      <c r="G94" s="41">
        <f t="shared" si="4"/>
        <v>0</v>
      </c>
      <c r="H94" s="20" t="str">
        <f t="shared" si="5"/>
        <v/>
      </c>
      <c r="I94" s="29" t="str">
        <f t="shared" si="6"/>
        <v/>
      </c>
    </row>
    <row r="95" spans="7:9">
      <c r="G95" s="41">
        <f t="shared" si="4"/>
        <v>0</v>
      </c>
      <c r="H95" s="20" t="str">
        <f t="shared" si="5"/>
        <v/>
      </c>
      <c r="I95" s="29" t="str">
        <f t="shared" si="6"/>
        <v/>
      </c>
    </row>
    <row r="96" spans="7:9">
      <c r="G96" s="41">
        <f t="shared" si="4"/>
        <v>0</v>
      </c>
      <c r="H96" s="20" t="str">
        <f t="shared" si="5"/>
        <v/>
      </c>
      <c r="I96" s="29" t="str">
        <f t="shared" si="6"/>
        <v/>
      </c>
    </row>
    <row r="97" spans="7:9">
      <c r="G97" s="41">
        <f t="shared" si="4"/>
        <v>0</v>
      </c>
      <c r="H97" s="20" t="str">
        <f t="shared" si="5"/>
        <v/>
      </c>
      <c r="I97" s="29" t="str">
        <f t="shared" si="6"/>
        <v/>
      </c>
    </row>
    <row r="98" spans="7:9">
      <c r="G98" s="41">
        <f t="shared" si="4"/>
        <v>0</v>
      </c>
      <c r="H98" s="20" t="str">
        <f t="shared" si="5"/>
        <v/>
      </c>
      <c r="I98" s="29" t="str">
        <f t="shared" si="6"/>
        <v/>
      </c>
    </row>
    <row r="99" spans="7:9">
      <c r="G99" s="41">
        <f t="shared" si="4"/>
        <v>0</v>
      </c>
      <c r="H99" s="20" t="str">
        <f t="shared" si="5"/>
        <v/>
      </c>
      <c r="I99" s="29" t="str">
        <f t="shared" si="6"/>
        <v/>
      </c>
    </row>
    <row r="100" spans="7:9">
      <c r="G100" s="41">
        <f t="shared" si="4"/>
        <v>0</v>
      </c>
      <c r="H100" s="20" t="str">
        <f t="shared" si="5"/>
        <v/>
      </c>
      <c r="I100" s="29" t="str">
        <f t="shared" si="6"/>
        <v/>
      </c>
    </row>
    <row r="101" spans="7:9">
      <c r="G101" s="41">
        <f t="shared" si="4"/>
        <v>0</v>
      </c>
      <c r="H101" s="20" t="str">
        <f t="shared" si="5"/>
        <v/>
      </c>
      <c r="I101" s="29" t="str">
        <f t="shared" si="6"/>
        <v/>
      </c>
    </row>
    <row r="102" spans="7:9">
      <c r="G102" s="41">
        <f t="shared" si="4"/>
        <v>0</v>
      </c>
      <c r="H102" s="20" t="str">
        <f t="shared" si="5"/>
        <v/>
      </c>
      <c r="I102" s="29" t="str">
        <f t="shared" si="6"/>
        <v/>
      </c>
    </row>
    <row r="103" spans="7:9">
      <c r="G103" s="41">
        <f t="shared" si="4"/>
        <v>0</v>
      </c>
      <c r="H103" s="20" t="str">
        <f t="shared" si="5"/>
        <v/>
      </c>
      <c r="I103" s="29" t="str">
        <f t="shared" si="6"/>
        <v/>
      </c>
    </row>
    <row r="104" spans="7:9">
      <c r="G104" s="41">
        <f t="shared" si="4"/>
        <v>0</v>
      </c>
      <c r="H104" s="20" t="str">
        <f t="shared" si="5"/>
        <v/>
      </c>
      <c r="I104" s="29" t="str">
        <f t="shared" si="6"/>
        <v/>
      </c>
    </row>
    <row r="105" spans="7:9">
      <c r="G105" s="41">
        <f t="shared" si="4"/>
        <v>0</v>
      </c>
      <c r="H105" s="20" t="str">
        <f t="shared" si="5"/>
        <v/>
      </c>
      <c r="I105" s="29" t="str">
        <f t="shared" si="6"/>
        <v/>
      </c>
    </row>
    <row r="106" spans="7:9">
      <c r="G106" s="41">
        <f t="shared" si="4"/>
        <v>0</v>
      </c>
      <c r="H106" s="20" t="str">
        <f t="shared" si="5"/>
        <v/>
      </c>
      <c r="I106" s="29" t="str">
        <f t="shared" si="6"/>
        <v/>
      </c>
    </row>
    <row r="107" spans="7:9">
      <c r="G107" s="41">
        <f t="shared" si="4"/>
        <v>0</v>
      </c>
      <c r="H107" s="20" t="str">
        <f t="shared" si="5"/>
        <v/>
      </c>
      <c r="I107" s="29" t="str">
        <f t="shared" si="6"/>
        <v/>
      </c>
    </row>
    <row r="108" spans="7:9">
      <c r="G108" s="41">
        <f t="shared" si="4"/>
        <v>0</v>
      </c>
      <c r="H108" s="20" t="str">
        <f t="shared" si="5"/>
        <v/>
      </c>
      <c r="I108" s="29" t="str">
        <f t="shared" si="6"/>
        <v/>
      </c>
    </row>
    <row r="109" spans="7:9">
      <c r="G109" s="41">
        <f t="shared" si="4"/>
        <v>0</v>
      </c>
      <c r="H109" s="20" t="str">
        <f t="shared" si="5"/>
        <v/>
      </c>
      <c r="I109" s="29" t="str">
        <f t="shared" si="6"/>
        <v/>
      </c>
    </row>
    <row r="110" spans="7:9">
      <c r="G110" s="41">
        <f t="shared" si="4"/>
        <v>0</v>
      </c>
      <c r="H110" s="20" t="str">
        <f t="shared" si="5"/>
        <v/>
      </c>
      <c r="I110" s="29" t="str">
        <f t="shared" si="6"/>
        <v/>
      </c>
    </row>
    <row r="111" spans="7:9">
      <c r="G111" s="41">
        <f t="shared" si="4"/>
        <v>0</v>
      </c>
      <c r="H111" s="20" t="str">
        <f t="shared" si="5"/>
        <v/>
      </c>
      <c r="I111" s="29" t="str">
        <f t="shared" si="6"/>
        <v/>
      </c>
    </row>
    <row r="112" spans="7:9">
      <c r="G112" s="41">
        <f t="shared" si="4"/>
        <v>0</v>
      </c>
      <c r="H112" s="20" t="str">
        <f t="shared" si="5"/>
        <v/>
      </c>
      <c r="I112" s="29" t="str">
        <f t="shared" si="6"/>
        <v/>
      </c>
    </row>
    <row r="113" spans="7:9">
      <c r="G113" s="41">
        <f t="shared" si="4"/>
        <v>0</v>
      </c>
      <c r="H113" s="20" t="str">
        <f t="shared" si="5"/>
        <v/>
      </c>
      <c r="I113" s="29" t="str">
        <f t="shared" si="6"/>
        <v/>
      </c>
    </row>
    <row r="114" spans="7:9">
      <c r="G114" s="41">
        <f t="shared" si="4"/>
        <v>0</v>
      </c>
      <c r="H114" s="20" t="str">
        <f t="shared" si="5"/>
        <v/>
      </c>
      <c r="I114" s="29" t="str">
        <f t="shared" si="6"/>
        <v/>
      </c>
    </row>
    <row r="115" spans="7:9">
      <c r="G115" s="41">
        <f t="shared" si="4"/>
        <v>0</v>
      </c>
      <c r="H115" s="20" t="str">
        <f t="shared" si="5"/>
        <v/>
      </c>
      <c r="I115" s="29" t="str">
        <f t="shared" si="6"/>
        <v/>
      </c>
    </row>
    <row r="116" spans="7:9">
      <c r="G116" s="41">
        <f t="shared" si="4"/>
        <v>0</v>
      </c>
      <c r="H116" s="20" t="str">
        <f t="shared" si="5"/>
        <v/>
      </c>
      <c r="I116" s="29" t="str">
        <f t="shared" si="6"/>
        <v/>
      </c>
    </row>
    <row r="117" spans="7:9">
      <c r="G117" s="41">
        <f t="shared" si="4"/>
        <v>0</v>
      </c>
      <c r="H117" s="20" t="str">
        <f t="shared" si="5"/>
        <v/>
      </c>
      <c r="I117" s="29" t="str">
        <f t="shared" si="6"/>
        <v/>
      </c>
    </row>
    <row r="118" spans="7:9">
      <c r="G118" s="41">
        <f t="shared" si="4"/>
        <v>0</v>
      </c>
      <c r="H118" s="20" t="str">
        <f t="shared" si="5"/>
        <v/>
      </c>
      <c r="I118" s="29" t="str">
        <f t="shared" si="6"/>
        <v/>
      </c>
    </row>
    <row r="119" spans="7:9">
      <c r="G119" s="41">
        <f t="shared" si="4"/>
        <v>0</v>
      </c>
      <c r="H119" s="20" t="str">
        <f t="shared" si="5"/>
        <v/>
      </c>
      <c r="I119" s="29" t="str">
        <f t="shared" si="6"/>
        <v/>
      </c>
    </row>
    <row r="120" spans="7:9">
      <c r="G120" s="41">
        <f t="shared" si="4"/>
        <v>0</v>
      </c>
      <c r="H120" s="20" t="str">
        <f t="shared" si="5"/>
        <v/>
      </c>
      <c r="I120" s="29" t="str">
        <f t="shared" si="6"/>
        <v/>
      </c>
    </row>
    <row r="121" spans="7:9">
      <c r="G121" s="41">
        <f t="shared" si="4"/>
        <v>0</v>
      </c>
      <c r="H121" s="20" t="str">
        <f t="shared" si="5"/>
        <v/>
      </c>
      <c r="I121" s="29" t="str">
        <f t="shared" si="6"/>
        <v/>
      </c>
    </row>
    <row r="122" spans="7:9">
      <c r="G122" s="41">
        <f t="shared" ref="G122:G126" si="7">SUM(C122:F122)/1000</f>
        <v>0</v>
      </c>
      <c r="H122" s="20" t="str">
        <f t="shared" si="5"/>
        <v/>
      </c>
      <c r="I122" s="29" t="str">
        <f t="shared" si="6"/>
        <v/>
      </c>
    </row>
    <row r="123" spans="7:9">
      <c r="G123" s="41">
        <f t="shared" si="7"/>
        <v>0</v>
      </c>
      <c r="H123" s="20" t="str">
        <f t="shared" ref="H123:H126" si="8">IFERROR(G123/G119-1, "")</f>
        <v/>
      </c>
      <c r="I123" s="29" t="str">
        <f t="shared" ref="I123:I126" si="9">IFERROR(IF(H120&lt;&gt;-1, IF(H121&lt;&gt;-1, IF(H122&lt;&gt;-1, IF(H123&lt;&gt;-1, AVERAGE(H120:H123), ""), ""), ""), ""), "")</f>
        <v/>
      </c>
    </row>
    <row r="124" spans="7:9">
      <c r="G124" s="41">
        <f t="shared" si="7"/>
        <v>0</v>
      </c>
      <c r="H124" s="20" t="str">
        <f t="shared" si="8"/>
        <v/>
      </c>
      <c r="I124" s="29" t="str">
        <f t="shared" si="9"/>
        <v/>
      </c>
    </row>
    <row r="125" spans="7:9">
      <c r="G125" s="41">
        <f t="shared" si="7"/>
        <v>0</v>
      </c>
      <c r="H125" s="20" t="str">
        <f t="shared" si="8"/>
        <v/>
      </c>
      <c r="I125" s="29" t="str">
        <f t="shared" si="9"/>
        <v/>
      </c>
    </row>
    <row r="126" spans="7:9">
      <c r="G126" s="41">
        <f t="shared" si="7"/>
        <v>0</v>
      </c>
      <c r="H126" s="20" t="str">
        <f t="shared" si="8"/>
        <v/>
      </c>
      <c r="I126" s="29" t="str">
        <f t="shared" si="9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I5" sqref="I5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105</v>
      </c>
    </row>
    <row r="2" spans="1:16">
      <c r="C2" s="115" t="s">
        <v>107</v>
      </c>
      <c r="E2" s="20" t="s">
        <v>107</v>
      </c>
      <c r="G2" s="16" t="s">
        <v>106</v>
      </c>
      <c r="H2" s="16"/>
    </row>
    <row r="3" spans="1:16">
      <c r="C3" s="115" t="s">
        <v>108</v>
      </c>
      <c r="D3" s="115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358</v>
      </c>
      <c r="C4" s="116"/>
      <c r="D4" s="116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365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364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357</v>
      </c>
    </row>
    <row r="7" spans="1:16">
      <c r="A7" s="16" t="s">
        <v>24</v>
      </c>
      <c r="E7" s="20" t="s">
        <v>408</v>
      </c>
      <c r="F7" s="20" t="s">
        <v>408</v>
      </c>
      <c r="G7" t="s">
        <v>369</v>
      </c>
      <c r="H7" t="s">
        <v>369</v>
      </c>
      <c r="I7" t="s">
        <v>410</v>
      </c>
    </row>
    <row r="8" spans="1:16">
      <c r="A8" s="16" t="s">
        <v>28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358</v>
      </c>
      <c r="C3" s="45" t="s">
        <v>340</v>
      </c>
      <c r="D3" s="21" t="s">
        <v>342</v>
      </c>
      <c r="E3" s="21"/>
      <c r="F3" s="17"/>
      <c r="G3" s="111" t="s">
        <v>365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364</v>
      </c>
    </row>
    <row r="5" spans="1:10">
      <c r="A5" s="16" t="s">
        <v>20</v>
      </c>
      <c r="C5" s="19" t="s">
        <v>22</v>
      </c>
      <c r="D5" s="19" t="s">
        <v>22</v>
      </c>
      <c r="G5" t="s">
        <v>357</v>
      </c>
    </row>
    <row r="6" spans="1:10">
      <c r="A6" s="16" t="s">
        <v>24</v>
      </c>
      <c r="C6" s="19" t="s">
        <v>369</v>
      </c>
      <c r="D6" s="19" t="s">
        <v>415</v>
      </c>
      <c r="E6" s="20" t="s">
        <v>135</v>
      </c>
      <c r="F6" t="s">
        <v>136</v>
      </c>
      <c r="G6" t="s">
        <v>410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4">
        <f ca="1">YEAR(TODAY())</f>
        <v>2015</v>
      </c>
    </row>
    <row r="2" spans="1:7">
      <c r="A2" s="22" t="s">
        <v>276</v>
      </c>
      <c r="B2" s="22" t="s">
        <v>358</v>
      </c>
      <c r="C2" s="21" t="s">
        <v>118</v>
      </c>
      <c r="F2" s="111" t="s">
        <v>365</v>
      </c>
    </row>
    <row r="3" spans="1:7" ht="60">
      <c r="A3" s="20" t="s">
        <v>7</v>
      </c>
      <c r="C3" s="113" t="s">
        <v>119</v>
      </c>
      <c r="F3" t="s">
        <v>364</v>
      </c>
    </row>
    <row r="4" spans="1:7">
      <c r="A4" s="20" t="s">
        <v>20</v>
      </c>
      <c r="C4" t="s">
        <v>22</v>
      </c>
      <c r="F4" t="s">
        <v>357</v>
      </c>
    </row>
    <row r="5" spans="1:7">
      <c r="A5" s="20" t="s">
        <v>24</v>
      </c>
      <c r="C5" t="s">
        <v>415</v>
      </c>
      <c r="D5" t="s">
        <v>137</v>
      </c>
      <c r="E5" t="s">
        <v>138</v>
      </c>
      <c r="F5" t="s">
        <v>410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358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365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364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370</v>
      </c>
      <c r="I3" s="7" t="s">
        <v>370</v>
      </c>
      <c r="M3" s="2" t="s">
        <v>366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413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357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369</v>
      </c>
      <c r="I6" s="7" t="s">
        <v>369</v>
      </c>
      <c r="M6" s="2" t="s">
        <v>410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356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-8000</v>
      </c>
      <c r="C77" s="22" t="str">
        <f>IF(ISNUMBER('Change in Employment'!J84),TEXT('Change in Employment'!J84, "0"),"")</f>
        <v>-1000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8000</v>
      </c>
      <c r="C78" s="22" t="str">
        <f>IF(ISNUMBER('Change in Employment'!J85),TEXT('Change in Employment'!J85, "0"),"")</f>
        <v>667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356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-699.9999999998181</v>
      </c>
      <c r="C77" s="20" t="str">
        <f>IFERROR(IF(ISNUMBER('Change in Employment'!M84),TEXT('Change in Employment'!M84, "0"), ""), "")</f>
        <v>233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699.9999999998181</v>
      </c>
      <c r="C78" s="20" t="str">
        <f>IFERROR(IF(ISNUMBER('Change in Employment'!M85),TEXT('Change in Employment'!M85, "0"), ""), "")</f>
        <v>-233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356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225.6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abSelected="1" workbookViewId="0">
      <selection activeCell="B8" sqref="B8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356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356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356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356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356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A2BE32C-0D7B-4B27-8305-DF0B1A2C1BF3}"/>
</file>

<file path=customXml/itemProps2.xml><?xml version="1.0" encoding="utf-8"?>
<ds:datastoreItem xmlns:ds="http://schemas.openxmlformats.org/officeDocument/2006/customXml" ds:itemID="{0D1FC676-8E50-442F-B091-3E31A6B28220}"/>
</file>

<file path=customXml/itemProps3.xml><?xml version="1.0" encoding="utf-8"?>
<ds:datastoreItem xmlns:ds="http://schemas.openxmlformats.org/officeDocument/2006/customXml" ds:itemID="{F2FE6EB6-94AF-4AB2-A52B-2E42CC1515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2015-05-29T13:16:31Z</cp:lastPrinted>
  <dcterms:created xsi:type="dcterms:W3CDTF">2014-07-22T13:55:17Z</dcterms:created>
  <dcterms:modified xsi:type="dcterms:W3CDTF">2015-05-29T14:14:47Z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