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5" activeTab="10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F47" i="11" l="1"/>
  <c r="E47" i="11"/>
  <c r="D47" i="11"/>
  <c r="C47" i="11"/>
  <c r="J58" i="4" l="1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H63" i="4" s="1"/>
  <c r="I66" i="4" s="1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C82" i="18" s="1"/>
  <c r="L87" i="3"/>
  <c r="B80" i="18" s="1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J88" i="3" s="1"/>
  <c r="C81" i="17" s="1"/>
  <c r="I86" i="3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95" i="3"/>
  <c r="J103" i="3"/>
  <c r="J111" i="3"/>
  <c r="J119" i="3"/>
  <c r="J127" i="3"/>
  <c r="M91" i="3"/>
  <c r="M99" i="3"/>
  <c r="M107" i="3"/>
  <c r="M115" i="3"/>
  <c r="M123" i="3"/>
  <c r="M131" i="3"/>
  <c r="J96" i="3"/>
  <c r="J104" i="3"/>
  <c r="M116" i="3"/>
  <c r="J89" i="3"/>
  <c r="C82" i="17" s="1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80" i="17" l="1"/>
  <c r="M88" i="3"/>
  <c r="C81" i="18" s="1"/>
  <c r="J87" i="3"/>
  <c r="C80" i="17" s="1"/>
  <c r="B79" i="17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62" i="4" l="1"/>
  <c r="B49" i="21" s="1"/>
  <c r="I41" i="4"/>
  <c r="B28" i="21" s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<sst xmlns="http://schemas.openxmlformats.org/spreadsheetml/2006/main" count="765" uniqueCount="430">
  <si>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</si>
  <si>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</si>
  <si>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</si>
  <si>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</si>
  <si>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</si>
  <si>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</si>
  <si>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</si>
  <si>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</si>
  <si>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</si>
  <si>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</si>
  <si>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</si>
  <si>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</si>
  <si>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</si>
  <si>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</si>
  <si>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</si>
  <si>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</si>
  <si>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</si>
  <si>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</si>
  <si>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>.SOURCE</t>
  </si>
  <si>
    <t xml:space="preserve">FJBLMDP: CBO FJBLMCP: CBO </t>
  </si>
  <si>
    <t xml:space="preserve">CBO </t>
  </si>
  <si>
    <t>CBO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</si>
  <si>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</si>
  <si>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</si>
  <si>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</si>
  <si>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</si>
  <si>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</si>
  <si>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</si>
  <si>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</si>
  <si>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</si>
  <si>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</si>
  <si>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</si>
  <si>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</si>
  <si>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</si>
  <si>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</si>
  <si>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</si>
  <si>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</si>
  <si>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</si>
  <si>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</si>
  <si>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</si>
  <si>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</si>
  <si>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</si>
  <si>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</si>
  <si>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</si>
  <si>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</si>
  <si>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</si>
  <si>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</si>
  <si>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</si>
  <si>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</si>
  <si>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</si>
  <si>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</si>
  <si>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</si>
  <si>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</si>
  <si>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</si>
  <si>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</si>
  <si>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</si>
  <si>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</si>
  <si>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</si>
  <si>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</si>
  <si>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</si>
  <si>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</si>
  <si>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</si>
  <si>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</si>
  <si>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</si>
  <si>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</si>
  <si>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</si>
  <si>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</si>
  <si>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</si>
  <si>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</si>
  <si>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</si>
  <si>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</si>
  <si>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</si>
  <si>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</si>
  <si>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</si>
  <si>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</si>
  <si>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</si>
  <si>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</si>
  <si>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</si>
  <si>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</si>
  <si>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</si>
  <si>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</si>
  <si>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</si>
  <si>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</si>
  <si>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</si>
  <si>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</si>
  <si>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</si>
  <si>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</si>
  <si>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</si>
  <si>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</si>
  <si>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</si>
  <si>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</si>
  <si>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</si>
  <si>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</si>
  <si>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</si>
  <si>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</si>
  <si>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</si>
  <si>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</si>
  <si>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</si>
  <si>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</si>
  <si>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</si>
  <si>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</si>
  <si>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</si>
  <si>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</si>
  <si>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</si>
  <si>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</si>
  <si>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</si>
  <si>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</si>
  <si>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</si>
  <si>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</si>
  <si>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</si>
  <si>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</si>
  <si>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</si>
  <si>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</si>
  <si>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</si>
  <si>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</si>
  <si>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</si>
  <si>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</si>
  <si>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</si>
  <si>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</si>
  <si>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</si>
  <si>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</si>
  <si>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</si>
  <si>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</si>
  <si>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</si>
  <si>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</si>
  <si>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</si>
  <si>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</si>
  <si>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</si>
  <si>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</si>
  <si>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</si>
  <si>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</si>
  <si>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</si>
  <si>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</si>
  <si>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</si>
  <si>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</si>
  <si>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</si>
  <si>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</si>
  <si>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</si>
  <si>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</si>
  <si>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</si>
  <si>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</si>
  <si>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</si>
  <si>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</si>
  <si>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</si>
  <si>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</si>
  <si>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</si>
  <si>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</si>
  <si>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</si>
  <si>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</si>
  <si>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</si>
  <si>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</si>
  <si>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</si>
  <si>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</si>
  <si>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</si>
  <si>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</si>
  <si>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</si>
  <si>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</si>
  <si>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</si>
  <si>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</si>
  <si>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</si>
  <si>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</si>
  <si>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</si>
  <si>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</si>
  <si>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</si>
  <si>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</si>
  <si>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</si>
  <si>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</si>
  <si>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</si>
  <si>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</si>
  <si>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</si>
  <si>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</si>
  <si>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</si>
  <si>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</si>
  <si>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</si>
  <si>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</si>
  <si>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</si>
  <si>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</si>
  <si>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</si>
  <si>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</si>
  <si>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</si>
  <si>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</si>
  <si>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</si>
  <si>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</si>
  <si>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</si>
  <si>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</si>
  <si>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</si>
  <si>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</si>
  <si>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</si>
  <si>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</si>
  <si>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</si>
  <si>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</si>
  <si>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</si>
  <si>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</si>
  <si>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</si>
  <si>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</si>
  <si>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</si>
  <si>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</si>
  <si>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</si>
  <si>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</si>
  <si>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</si>
  <si>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</si>
  <si>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</si>
  <si>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</si>
  <si>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</si>
  <si>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</si>
  <si>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</si>
  <si>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</si>
  <si>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</si>
  <si>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</si>
  <si>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</si>
  <si>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</si>
  <si>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</si>
  <si>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</si>
  <si>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</si>
  <si>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</si>
  <si>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</si>
  <si>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</si>
  <si>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</si>
  <si>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</si>
  <si>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</si>
  <si>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</si>
  <si>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</si>
  <si>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</si>
  <si>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</si>
  <si>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</si>
  <si>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</si>
  <si>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</si>
  <si>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</si>
  <si>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</si>
  <si>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</si>
  <si>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</si>
  <si>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</si>
  <si>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</si>
  <si>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</si>
  <si>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</si>
  <si>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</si>
  <si>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</si>
  <si>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</si>
  <si>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</si>
  <si>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</si>
  <si>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</si>
  <si>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</si>
  <si>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</si>
  <si>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</si>
  <si>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</si>
  <si>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</si>
  <si>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</si>
  <si>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</si>
  <si>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</si>
  <si>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</si>
  <si>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</si>
  <si>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</si>
  <si>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</si>
  <si>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</si>
  <si>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</si>
  <si>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</si>
  <si>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</si>
  <si>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</si>
  <si>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</si>
  <si>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</si>
  <si>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</si>
  <si>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</si>
  <si>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</si>
  <si>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</si>
  <si>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</si>
  <si>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</si>
  <si>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</si>
  <si>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</si>
  <si>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</si>
  <si>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</si>
  <si>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</si>
  <si>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</si>
  <si>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</si>
  <si>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</si>
  <si>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</si>
  <si>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</si>
  <si>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</si>
  <si>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</si>
  <si>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</si>
  <si>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</si>
  <si>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</si>
  <si>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</si>
  <si>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</si>
  <si>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</si>
  <si>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</si>
  <si>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</si>
  <si>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</si>
  <si>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</si>
  <si>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</si>
  <si>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</si>
  <si>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</si>
  <si>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</si>
  <si>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</si>
  <si>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</si>
  <si>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</si>
  <si>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</si>
  <si>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</si>
  <si>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</si>
  <si>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</si>
  <si>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</si>
  <si>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</si>
  <si>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</si>
  <si>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</si>
  <si>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</si>
  <si>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</si>
  <si>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</si>
  <si>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</si>
  <si>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</si>
  <si>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</si>
  <si>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</si>
  <si>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</si>
  <si>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</si>
  <si>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</si>
  <si>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</si>
  <si>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</si>
  <si>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</si>
  <si>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</si>
  <si>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</si>
  <si>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</si>
  <si>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</si>
  <si>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</si>
  <si>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</si>
  <si>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</si>
  <si>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</si>
  <si>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</si>
  <si>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</si>
  <si>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</si>
  <si>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</si>
  <si>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</si>
  <si>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</si>
  <si>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</si>
  <si>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</si>
  <si>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</si>
  <si>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</si>
  <si>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</si>
  <si>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</si>
  <si>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</si>
  <si>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</si>
  <si>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</si>
  <si>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</si>
  <si>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</si>
  <si>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</si>
  <si>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</si>
  <si>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</si>
  <si>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</si>
  <si>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</si>
  <si>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</si>
  <si>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</si>
  <si>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</si>
  <si>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</si>
  <si>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 xml:space="preserve">National Bureau of Economic Research </t>
  </si>
  <si>
    <t>201411</t>
  </si>
  <si>
    <t>RecessionDummy</t>
  </si>
  <si>
    <t xml:space="preserve">NBER 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</si>
  <si>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</si>
  <si>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</si>
  <si>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</si>
  <si>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</si>
  <si>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</si>
  <si>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</si>
  <si>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</si>
  <si>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</si>
  <si>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</si>
  <si>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</si>
  <si>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</si>
  <si>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</si>
  <si>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</si>
  <si>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</si>
  <si>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</si>
  <si>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</si>
  <si>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</si>
  <si>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</si>
  <si>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</si>
  <si>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</si>
  <si>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</si>
  <si>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</si>
  <si>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</si>
  <si>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</si>
  <si>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</si>
  <si>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</si>
  <si>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</si>
  <si>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</si>
  <si>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</si>
  <si>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</si>
  <si>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</si>
  <si>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</si>
  <si>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</si>
  <si>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</si>
  <si>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</si>
  <si>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</si>
  <si>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</si>
  <si>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</si>
  <si>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</si>
  <si>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</si>
  <si>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</si>
  <si>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</si>
  <si>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</si>
  <si>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</si>
  <si>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</si>
  <si>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</si>
  <si>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</si>
  <si>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</si>
  <si>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Mar-09-2015 12:08 </t>
  </si>
  <si>
    <t xml:space="preserve">Q1-2015 </t>
  </si>
  <si>
    <t xml:space="preserve">Apr-08-2015 17:57 </t>
  </si>
  <si>
    <t>Q1-2015</t>
  </si>
  <si>
    <t>201503</t>
  </si>
  <si>
    <t xml:space="preserve">2015 [Q1-2015] </t>
  </si>
  <si>
    <t>2015-Q1</t>
  </si>
  <si>
    <t xml:space="preserve">Apr-29-2015 10:29 </t>
  </si>
  <si>
    <t>201504</t>
  </si>
  <si>
    <t>Recession</t>
  </si>
  <si>
    <t xml:space="preserve">Jun-23-2015 12:19 </t>
  </si>
  <si>
    <t xml:space="preserve">Jun-05-2015 08:30 </t>
  </si>
  <si>
    <t xml:space="preserve">Jun-05-2015 08:32 </t>
  </si>
  <si>
    <t xml:space="preserve">Jun-01-2015 08:37 </t>
  </si>
  <si>
    <t>201505</t>
  </si>
  <si>
    <t xml:space="preserve">FJBLMDP: Jun-16-2015 11:25 FJBLMCP: Jun-16-2015 11:25 </t>
  </si>
  <si>
    <t xml:space="preserve">RESULT: 2090 FJBLMDP: 2090 FJBLMCP: 2090 </t>
  </si>
  <si>
    <t xml:space="preserve">Jun-16-2015 11:25 </t>
  </si>
  <si>
    <t xml:space="preserve">2090 </t>
  </si>
  <si>
    <t>9.4</t>
  </si>
  <si>
    <t>8.4</t>
  </si>
  <si>
    <t>13.6</t>
  </si>
  <si>
    <t>6.9</t>
  </si>
  <si>
    <t>-2.8</t>
  </si>
  <si>
    <t>4.3</t>
  </si>
  <si>
    <t>21.8</t>
  </si>
  <si>
    <t>-2.3</t>
  </si>
  <si>
    <t>12.7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</si>
</sst>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2000</c:v>
                </c:pt>
                <c:pt idx="77">
                  <c:v>0</c:v>
                </c:pt>
                <c:pt idx="78">
                  <c:v>13000</c:v>
                </c:pt>
                <c:pt idx="79">
                  <c:v>15000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2829312"/>
        <c:axId val="19283084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4000</c:v>
                </c:pt>
                <c:pt idx="77">
                  <c:v>1666.6666666666667</c:v>
                </c:pt>
                <c:pt idx="78">
                  <c:v>5000</c:v>
                </c:pt>
                <c:pt idx="79">
                  <c:v>9333.3333333333339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29312"/>
        <c:axId val="192830848"/>
      </c:lineChart>
      <c:dateAx>
        <c:axId val="19282931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2830848"/>
        <c:crosses val="autoZero"/>
        <c:auto val="1"/>
        <c:lblOffset val="100"/>
        <c:baseTimeUnit val="months"/>
        <c:majorUnit val="1"/>
        <c:majorTimeUnit val="years"/>
      </c:dateAx>
      <c:valAx>
        <c:axId val="19283084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282931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-699.9999999998181</c:v>
                </c:pt>
                <c:pt idx="77">
                  <c:v>1699.9999999998181</c:v>
                </c:pt>
                <c:pt idx="78">
                  <c:v>1600.0000000003638</c:v>
                </c:pt>
                <c:pt idx="79">
                  <c:v>3599.9999999999091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4790912"/>
        <c:axId val="1947924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733.33333333327266</c:v>
                </c:pt>
                <c:pt idx="77" formatCode="0.00">
                  <c:v>1033.333333333303</c:v>
                </c:pt>
                <c:pt idx="78" formatCode="0.00">
                  <c:v>866.66666666678793</c:v>
                </c:pt>
                <c:pt idx="79" formatCode="0.00">
                  <c:v>2300.0000000000305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90912"/>
        <c:axId val="194792448"/>
      </c:lineChart>
      <c:dateAx>
        <c:axId val="19479091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4792448"/>
        <c:crosses val="autoZero"/>
        <c:auto val="1"/>
        <c:lblOffset val="100"/>
        <c:baseTimeUnit val="months"/>
        <c:majorUnit val="1"/>
        <c:majorTimeUnit val="years"/>
      </c:dateAx>
      <c:valAx>
        <c:axId val="1947924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479091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14560"/>
        <c:axId val="194916352"/>
      </c:lineChart>
      <c:dateAx>
        <c:axId val="1949145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916352"/>
        <c:crosses val="autoZero"/>
        <c:auto val="1"/>
        <c:lblOffset val="100"/>
        <c:baseTimeUnit val="months"/>
        <c:majorUnit val="1"/>
        <c:majorTimeUnit val="years"/>
      </c:dateAx>
      <c:valAx>
        <c:axId val="19491635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91456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6.3059837618039072E-2</c:v>
                </c:pt>
                <c:pt idx="39">
                  <c:v>6.2744733098400673E-2</c:v>
                </c:pt>
                <c:pt idx="40">
                  <c:v>5.113858940621574E-2</c:v>
                </c:pt>
                <c:pt idx="41">
                  <c:v>3.1524764832940255E-2</c:v>
                </c:pt>
                <c:pt idx="42">
                  <c:v>1.9385242308670281E-2</c:v>
                </c:pt>
                <c:pt idx="43">
                  <c:v>2.6312154670314891E-2</c:v>
                </c:pt>
                <c:pt idx="44">
                  <c:v>3.1492255479160569E-2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637568"/>
        <c:axId val="192672128"/>
      </c:lineChart>
      <c:dateAx>
        <c:axId val="19263756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2672128"/>
        <c:crossesAt val="0"/>
        <c:auto val="1"/>
        <c:lblOffset val="100"/>
        <c:baseTimeUnit val="months"/>
        <c:majorUnit val="1"/>
        <c:majorTimeUnit val="years"/>
      </c:dateAx>
      <c:valAx>
        <c:axId val="1926721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263756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5.2</c:v>
                </c:pt>
                <c:pt idx="41">
                  <c:v>5.4</c:v>
                </c:pt>
                <c:pt idx="42">
                  <c:v>5.3</c:v>
                </c:pt>
                <c:pt idx="43">
                  <c:v>5.1999999999999993</c:v>
                </c:pt>
                <c:pt idx="44">
                  <c:v>5.4</c:v>
                </c:pt>
                <c:pt idx="45">
                  <c:v>5.5</c:v>
                </c:pt>
                <c:pt idx="46">
                  <c:v>5.6</c:v>
                </c:pt>
                <c:pt idx="47">
                  <c:v>5.9</c:v>
                </c:pt>
                <c:pt idx="48">
                  <c:v>5.9</c:v>
                </c:pt>
                <c:pt idx="49">
                  <c:v>5.8</c:v>
                </c:pt>
                <c:pt idx="50">
                  <c:v>6.1</c:v>
                </c:pt>
                <c:pt idx="51">
                  <c:v>6.2</c:v>
                </c:pt>
                <c:pt idx="52">
                  <c:v>6.3</c:v>
                </c:pt>
                <c:pt idx="53">
                  <c:v>6.4</c:v>
                </c:pt>
                <c:pt idx="54">
                  <c:v>6.6</c:v>
                </c:pt>
                <c:pt idx="55">
                  <c:v>6.8000000000000007</c:v>
                </c:pt>
                <c:pt idx="56">
                  <c:v>6.9</c:v>
                </c:pt>
                <c:pt idx="57">
                  <c:v>7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4.8979999999999997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5.9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6.2</c:v>
                </c:pt>
                <c:pt idx="60">
                  <c:v>6.3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1.329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2.2000000000000002</c:v>
                </c:pt>
                <c:pt idx="45">
                  <c:v>2.4</c:v>
                </c:pt>
                <c:pt idx="46">
                  <c:v>2.6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3</c:v>
                </c:pt>
                <c:pt idx="51">
                  <c:v>3.1</c:v>
                </c:pt>
                <c:pt idx="52">
                  <c:v>3.2</c:v>
                </c:pt>
                <c:pt idx="53">
                  <c:v>3.3</c:v>
                </c:pt>
                <c:pt idx="54">
                  <c:v>3.4</c:v>
                </c:pt>
                <c:pt idx="55">
                  <c:v>3.5</c:v>
                </c:pt>
                <c:pt idx="56">
                  <c:v>3.6</c:v>
                </c:pt>
                <c:pt idx="57">
                  <c:v>3.7</c:v>
                </c:pt>
                <c:pt idx="58">
                  <c:v>3.7</c:v>
                </c:pt>
                <c:pt idx="59">
                  <c:v>3.8</c:v>
                </c:pt>
                <c:pt idx="60">
                  <c:v>3.9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9.1</c:v>
                </c:pt>
                <c:pt idx="41">
                  <c:v>9.1999999999999993</c:v>
                </c:pt>
                <c:pt idx="42">
                  <c:v>8.8000000000000007</c:v>
                </c:pt>
                <c:pt idx="43">
                  <c:v>8.4</c:v>
                </c:pt>
                <c:pt idx="44">
                  <c:v>8.1999999999999993</c:v>
                </c:pt>
                <c:pt idx="45">
                  <c:v>8.1</c:v>
                </c:pt>
                <c:pt idx="46">
                  <c:v>7.9</c:v>
                </c:pt>
                <c:pt idx="47">
                  <c:v>7.9</c:v>
                </c:pt>
                <c:pt idx="48">
                  <c:v>7.6</c:v>
                </c:pt>
                <c:pt idx="49">
                  <c:v>7.4</c:v>
                </c:pt>
                <c:pt idx="50">
                  <c:v>7.4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80320"/>
        <c:axId val="193094400"/>
      </c:lineChart>
      <c:dateAx>
        <c:axId val="19308032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3094400"/>
        <c:crosses val="autoZero"/>
        <c:auto val="1"/>
        <c:lblOffset val="100"/>
        <c:baseTimeUnit val="months"/>
        <c:majorUnit val="10"/>
        <c:majorTimeUnit val="years"/>
      </c:dateAx>
      <c:valAx>
        <c:axId val="1930944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308032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73.2</c:v>
                </c:pt>
                <c:pt idx="43">
                  <c:v>72.900000000000006</c:v>
                </c:pt>
                <c:pt idx="44">
                  <c:v>73.099999999999994</c:v>
                </c:pt>
                <c:pt idx="45">
                  <c:v>73.5</c:v>
                </c:pt>
                <c:pt idx="46">
                  <c:v>74</c:v>
                </c:pt>
                <c:pt idx="47">
                  <c:v>74.900000000000006</c:v>
                </c:pt>
                <c:pt idx="48">
                  <c:v>75.7</c:v>
                </c:pt>
                <c:pt idx="49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85728"/>
        <c:axId val="194587264"/>
      </c:lineChart>
      <c:dateAx>
        <c:axId val="1945857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587264"/>
        <c:crosses val="autoZero"/>
        <c:auto val="1"/>
        <c:lblOffset val="100"/>
        <c:baseTimeUnit val="months"/>
        <c:majorUnit val="5"/>
        <c:majorTimeUnit val="years"/>
      </c:dateAx>
      <c:valAx>
        <c:axId val="19458726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5857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34880"/>
        <c:axId val="194636416"/>
      </c:lineChart>
      <c:dateAx>
        <c:axId val="1946348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36416"/>
        <c:crossesAt val="0"/>
        <c:auto val="1"/>
        <c:lblOffset val="100"/>
        <c:baseTimeUnit val="months"/>
        <c:majorUnit val="5"/>
        <c:majorTimeUnit val="years"/>
      </c:dateAx>
      <c:valAx>
        <c:axId val="19463641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34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76992"/>
        <c:axId val="194686976"/>
      </c:lineChart>
      <c:dateAx>
        <c:axId val="1946769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86976"/>
        <c:crosses val="autoZero"/>
        <c:auto val="1"/>
        <c:lblOffset val="100"/>
        <c:baseTimeUnit val="months"/>
        <c:majorUnit val="5"/>
        <c:majorTimeUnit val="years"/>
      </c:dateAx>
      <c:valAx>
        <c:axId val="19468697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7699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8" sqref="A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245</v>
      </c>
    </row>
    <row r="2" spans="1:2">
      <c r="A2" s="25" t="s">
        <v>395</v>
      </c>
    </row>
    <row r="3" spans="1:2">
      <c r="A3" s="25" t="s">
        <v>394</v>
      </c>
    </row>
    <row r="4" spans="1:2">
      <c r="A4" s="25" t="s">
        <v>342</v>
      </c>
    </row>
    <row r="5" spans="1:2">
      <c r="A5" s="25" t="s">
        <v>363</v>
      </c>
    </row>
    <row r="6" spans="1:2">
      <c r="A6" s="25" t="s">
        <v>343</v>
      </c>
    </row>
    <row r="7" spans="1:2">
      <c r="A7" s="25" t="s">
        <v>344</v>
      </c>
    </row>
    <row r="8" spans="1:2">
      <c r="A8" s="25" t="s">
        <v>345</v>
      </c>
    </row>
    <row r="9" spans="1:2">
      <c r="A9" s="25" t="s">
        <v>346</v>
      </c>
    </row>
    <row r="10" spans="1:2">
      <c r="A10" s="25" t="s">
        <v>347</v>
      </c>
    </row>
    <row r="16" spans="1:2">
      <c r="B16" s="65" t="s">
        <v>246</v>
      </c>
    </row>
    <row r="17" spans="1:3">
      <c r="B17" s="25" t="s">
        <v>251</v>
      </c>
      <c r="C17" s="25" t="s">
        <v>252</v>
      </c>
    </row>
    <row r="18" spans="1:3">
      <c r="B18" s="25" t="s">
        <v>253</v>
      </c>
      <c r="C18" s="25" t="s">
        <v>254</v>
      </c>
    </row>
    <row r="19" spans="1:3">
      <c r="B19" s="25" t="s">
        <v>255</v>
      </c>
      <c r="C19" s="25" t="s">
        <v>256</v>
      </c>
    </row>
    <row r="20" spans="1:3">
      <c r="B20" s="25" t="s">
        <v>257</v>
      </c>
      <c r="C20" s="25" t="s">
        <v>264</v>
      </c>
    </row>
    <row r="21" spans="1:3">
      <c r="B21" s="25" t="s">
        <v>258</v>
      </c>
      <c r="C21" s="25" t="s">
        <v>170</v>
      </c>
    </row>
    <row r="22" spans="1:3">
      <c r="B22" s="25" t="s">
        <v>259</v>
      </c>
      <c r="C22" s="25" t="s">
        <v>265</v>
      </c>
    </row>
    <row r="23" spans="1:3">
      <c r="B23" s="25" t="s">
        <v>260</v>
      </c>
      <c r="C23" s="25" t="s">
        <v>267</v>
      </c>
    </row>
    <row r="24" spans="1:3">
      <c r="B24" s="25" t="s">
        <v>261</v>
      </c>
      <c r="C24" s="25" t="s">
        <v>266</v>
      </c>
    </row>
    <row r="25" spans="1:3">
      <c r="B25" s="25" t="s">
        <v>263</v>
      </c>
      <c r="C25" s="25" t="s">
        <v>268</v>
      </c>
    </row>
    <row r="26" spans="1:3">
      <c r="B26" s="25" t="s">
        <v>262</v>
      </c>
      <c r="C26" s="25" t="s">
        <v>269</v>
      </c>
    </row>
    <row r="30" spans="1:3">
      <c r="A30" s="66" t="s">
        <v>247</v>
      </c>
    </row>
    <row r="31" spans="1:3">
      <c r="A31" s="25" t="s">
        <v>248</v>
      </c>
      <c r="B31" s="25" t="s">
        <v>249</v>
      </c>
      <c r="C31" s="25" t="s">
        <v>250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325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326</v>
      </c>
      <c r="B3" s="92"/>
      <c r="C3" s="92" t="s">
        <v>327</v>
      </c>
      <c r="D3" s="92"/>
      <c r="E3" s="92"/>
      <c r="F3" s="93" t="s">
        <v>328</v>
      </c>
      <c r="G3" s="92"/>
      <c r="H3" s="93" t="s">
        <v>329</v>
      </c>
      <c r="I3" s="92"/>
    </row>
    <row r="9" spans="1:9" ht="105">
      <c r="D9" s="90" t="s">
        <v>270</v>
      </c>
      <c r="G9" s="90" t="s">
        <v>324</v>
      </c>
    </row>
    <row r="12" spans="1:9">
      <c r="F12" s="103" t="s">
        <v>341</v>
      </c>
    </row>
    <row r="26" spans="6:6">
      <c r="F26" s="103" t="s">
        <v>341</v>
      </c>
    </row>
    <row r="40" spans="6:7">
      <c r="F40" s="103" t="s">
        <v>341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8" t="s">
        <v>325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326</v>
      </c>
      <c r="B3" s="92"/>
      <c r="C3" s="93" t="s">
        <v>327</v>
      </c>
      <c r="D3" s="92"/>
      <c r="E3" s="92"/>
      <c r="F3" s="92" t="s">
        <v>328</v>
      </c>
      <c r="G3" s="92"/>
      <c r="H3" s="93" t="s">
        <v>329</v>
      </c>
      <c r="I3" s="92"/>
    </row>
    <row r="7" spans="1:9">
      <c r="A7" s="86" t="s">
        <v>170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271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9" t="s">
        <v>270</v>
      </c>
      <c r="E9" s="119"/>
      <c r="F9" s="119"/>
      <c r="G9" s="119" t="s">
        <v>324</v>
      </c>
      <c r="H9" s="119"/>
      <c r="I9" s="120"/>
    </row>
    <row r="10" spans="1:9">
      <c r="A10" s="80"/>
      <c r="B10" s="81"/>
      <c r="C10" s="81"/>
      <c r="D10" s="119"/>
      <c r="E10" s="119"/>
      <c r="F10" s="119"/>
      <c r="G10" s="119"/>
      <c r="H10" s="119"/>
      <c r="I10" s="120"/>
    </row>
    <row r="11" spans="1:9">
      <c r="A11" s="74" t="s">
        <v>118</v>
      </c>
      <c r="B11" s="69"/>
      <c r="C11" s="69"/>
      <c r="D11" s="69"/>
      <c r="E11" s="105">
        <v>3181</v>
      </c>
      <c r="F11" s="71"/>
      <c r="G11" s="94"/>
      <c r="H11" s="98" t="s">
        <v>421</v>
      </c>
      <c r="I11" s="95"/>
    </row>
    <row r="12" spans="1:9">
      <c r="A12" s="73" t="s">
        <v>119</v>
      </c>
      <c r="B12" s="69"/>
      <c r="C12" s="69"/>
      <c r="D12" s="69"/>
      <c r="E12" s="105">
        <v>2554</v>
      </c>
      <c r="F12" s="71"/>
      <c r="G12" s="72"/>
      <c r="H12" s="98" t="s">
        <v>422</v>
      </c>
      <c r="I12" s="95"/>
    </row>
    <row r="13" spans="1:9">
      <c r="A13" s="73" t="s">
        <v>120</v>
      </c>
      <c r="B13" s="69"/>
      <c r="C13" s="69"/>
      <c r="D13" s="69"/>
      <c r="E13" s="105">
        <v>626</v>
      </c>
      <c r="F13" s="71"/>
      <c r="G13" s="72"/>
      <c r="H13" s="98" t="s">
        <v>423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171</v>
      </c>
      <c r="B15" s="69"/>
      <c r="C15" s="69"/>
      <c r="D15" s="69"/>
      <c r="E15" s="105">
        <v>3596</v>
      </c>
      <c r="F15" s="71"/>
      <c r="G15" s="72"/>
      <c r="H15" s="98" t="s">
        <v>424</v>
      </c>
      <c r="I15" s="95"/>
    </row>
    <row r="16" spans="1:9">
      <c r="A16" s="73" t="s">
        <v>124</v>
      </c>
      <c r="B16" s="69"/>
      <c r="C16" s="69"/>
      <c r="D16" s="69"/>
      <c r="E16" s="105">
        <v>562</v>
      </c>
      <c r="F16" s="71"/>
      <c r="G16" s="72"/>
      <c r="H16" s="98" t="s">
        <v>425</v>
      </c>
      <c r="I16" s="95"/>
    </row>
    <row r="17" spans="1:9">
      <c r="A17" s="73" t="s">
        <v>122</v>
      </c>
      <c r="B17" s="69"/>
      <c r="C17" s="69"/>
      <c r="D17" s="69"/>
      <c r="E17" s="105">
        <v>865</v>
      </c>
      <c r="F17" s="71"/>
      <c r="G17" s="72"/>
      <c r="H17" s="98" t="s">
        <v>426</v>
      </c>
      <c r="I17" s="95"/>
    </row>
    <row r="18" spans="1:9">
      <c r="A18" s="73" t="s">
        <v>121</v>
      </c>
      <c r="B18" s="69"/>
      <c r="C18" s="69"/>
      <c r="D18" s="69"/>
      <c r="E18" s="105">
        <v>519</v>
      </c>
      <c r="F18" s="71"/>
      <c r="G18" s="72"/>
      <c r="H18" s="98" t="s">
        <v>422</v>
      </c>
      <c r="I18" s="95"/>
    </row>
    <row r="19" spans="1:9">
      <c r="A19" s="73" t="s">
        <v>116</v>
      </c>
      <c r="B19" s="69"/>
      <c r="C19" s="69"/>
      <c r="D19" s="69"/>
      <c r="E19" s="105">
        <v>341</v>
      </c>
      <c r="F19" s="71"/>
      <c r="G19" s="72"/>
      <c r="H19" s="98" t="s">
        <v>427</v>
      </c>
      <c r="I19" s="95"/>
    </row>
    <row r="20" spans="1:9">
      <c r="A20" s="73" t="s">
        <v>117</v>
      </c>
      <c r="B20" s="69"/>
      <c r="C20" s="69"/>
      <c r="D20" s="69"/>
      <c r="E20" s="105">
        <v>255</v>
      </c>
      <c r="F20" s="71"/>
      <c r="G20" s="72"/>
      <c r="H20" s="98" t="s">
        <v>428</v>
      </c>
      <c r="I20" s="95"/>
    </row>
    <row r="21" spans="1:9">
      <c r="A21" s="75" t="s">
        <v>123</v>
      </c>
      <c r="B21" s="76"/>
      <c r="C21" s="76"/>
      <c r="D21" s="76"/>
      <c r="E21" s="107">
        <v>1054</v>
      </c>
      <c r="F21" s="78"/>
      <c r="G21" s="79"/>
      <c r="H21" s="100" t="s">
        <v>429</v>
      </c>
      <c r="I21" s="97"/>
    </row>
    <row r="22" spans="1:9">
      <c r="A22" s="69" t="s">
        <v>172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135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335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151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341</v>
      </c>
    </row>
    <row r="45" spans="1:9">
      <c r="G45" s="103" t="s">
        <v>341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19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325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326</v>
      </c>
      <c r="B3" s="93"/>
      <c r="C3" s="93" t="s">
        <v>327</v>
      </c>
      <c r="D3" s="93"/>
      <c r="E3" s="93"/>
      <c r="F3" s="93" t="s">
        <v>328</v>
      </c>
      <c r="G3" s="93"/>
      <c r="H3" s="92" t="s">
        <v>329</v>
      </c>
      <c r="I3" s="92"/>
    </row>
    <row r="9" spans="1:9">
      <c r="D9" s="90"/>
      <c r="G9" s="90"/>
    </row>
    <row r="14" spans="1:9">
      <c r="F14" s="103" t="s">
        <v>341</v>
      </c>
    </row>
    <row r="25" spans="6:6">
      <c r="F25" s="103" t="s">
        <v>341</v>
      </c>
    </row>
    <row r="36" spans="6:6">
      <c r="F36" s="103" t="s">
        <v>341</v>
      </c>
    </row>
    <row r="47" spans="6:6">
      <c r="F47" s="104" t="s">
        <v>341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64" zoomScale="85" zoomScaleNormal="85" workbookViewId="0">
      <selection activeCell="B7" sqref="B7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201506</v>
      </c>
      <c r="C1" s="8" t="s">
        <v>85</v>
      </c>
      <c r="D1" s="8"/>
      <c r="E1" s="8"/>
      <c r="F1" s="8"/>
    </row>
    <row r="2" spans="1:20" ht="26.25">
      <c r="C2" s="8" t="s">
        <v>86</v>
      </c>
      <c r="D2" s="8" t="s">
        <v>87</v>
      </c>
      <c r="E2" s="8" t="s">
        <v>88</v>
      </c>
      <c r="F2" s="8"/>
      <c r="I2" s="39" t="s">
        <v>150</v>
      </c>
      <c r="L2" s="55" t="s">
        <v>136</v>
      </c>
    </row>
    <row r="3" spans="1:20">
      <c r="A3" s="22" t="s">
        <v>295</v>
      </c>
      <c r="B3" s="10" t="s">
        <v>0</v>
      </c>
      <c r="C3" s="9" t="s">
        <v>89</v>
      </c>
      <c r="D3" s="9" t="s">
        <v>90</v>
      </c>
      <c r="E3" s="9" t="s">
        <v>91</v>
      </c>
      <c r="F3" s="9" t="s">
        <v>92</v>
      </c>
      <c r="G3" s="21" t="s">
        <v>357</v>
      </c>
      <c r="H3" s="21"/>
    </row>
    <row r="4" spans="1:20">
      <c r="A4" s="8" t="s">
        <v>7</v>
      </c>
      <c r="C4" t="s">
        <v>94</v>
      </c>
      <c r="D4" t="s">
        <v>95</v>
      </c>
      <c r="E4" t="s">
        <v>96</v>
      </c>
      <c r="F4" t="s">
        <v>98</v>
      </c>
      <c r="G4" s="20" t="s">
        <v>358</v>
      </c>
      <c r="I4" s="29" t="s">
        <v>129</v>
      </c>
      <c r="J4" s="29" t="s">
        <v>129</v>
      </c>
      <c r="L4" s="36" t="s">
        <v>128</v>
      </c>
      <c r="M4" s="36" t="s">
        <v>128</v>
      </c>
    </row>
    <row r="5" spans="1:20" ht="45">
      <c r="A5" s="8" t="s">
        <v>18</v>
      </c>
      <c r="C5" t="s">
        <v>93</v>
      </c>
      <c r="D5" t="s">
        <v>93</v>
      </c>
      <c r="E5" t="s">
        <v>93</v>
      </c>
      <c r="F5" t="s">
        <v>97</v>
      </c>
      <c r="G5" s="20" t="s">
        <v>353</v>
      </c>
      <c r="I5" s="30" t="s">
        <v>127</v>
      </c>
      <c r="J5" s="30" t="s">
        <v>126</v>
      </c>
      <c r="K5" s="34"/>
      <c r="L5" s="37" t="s">
        <v>127</v>
      </c>
      <c r="M5" s="37" t="s">
        <v>126</v>
      </c>
    </row>
    <row r="6" spans="1:20">
      <c r="A6" s="8" t="s">
        <v>22</v>
      </c>
      <c r="C6" t="s">
        <v>413</v>
      </c>
      <c r="D6" t="s">
        <v>413</v>
      </c>
      <c r="E6" t="s">
        <v>413</v>
      </c>
      <c r="F6" t="s">
        <v>414</v>
      </c>
      <c r="G6" s="20" t="s">
        <v>415</v>
      </c>
    </row>
    <row r="7" spans="1:20">
      <c r="A7" s="8" t="s">
        <v>242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243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244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174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175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176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177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178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179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180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181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182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183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184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185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186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187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188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189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190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191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192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193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194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195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196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197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198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199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200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201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202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203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204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205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206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207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208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209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210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211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212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213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214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215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216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217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218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219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220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221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222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223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224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225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226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227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228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229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230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231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232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233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234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235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236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237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238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239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240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241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334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348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351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398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399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401</v>
      </c>
      <c r="B83" s="13">
        <v>42063</v>
      </c>
      <c r="C83" s="14">
        <v>5086</v>
      </c>
      <c r="D83" s="14">
        <v>14089</v>
      </c>
      <c r="E83" s="23">
        <v>2136</v>
      </c>
      <c r="F83" s="14">
        <v>0</v>
      </c>
      <c r="G83" s="14">
        <v>0</v>
      </c>
      <c r="H83" s="14"/>
      <c r="I83" s="31">
        <f t="shared" si="4"/>
        <v>2000</v>
      </c>
      <c r="J83" s="31">
        <f t="shared" si="5"/>
        <v>4000</v>
      </c>
      <c r="K83" s="35"/>
      <c r="L83" s="38">
        <f t="shared" si="6"/>
        <v>-699.9999999998181</v>
      </c>
      <c r="M83" s="63">
        <f t="shared" si="7"/>
        <v>733.33333333327266</v>
      </c>
      <c r="N83" s="15"/>
      <c r="R83" s="14"/>
    </row>
    <row r="84" spans="1:18">
      <c r="A84" s="8" t="s">
        <v>406</v>
      </c>
      <c r="B84" s="13">
        <v>42094</v>
      </c>
      <c r="C84" s="14">
        <v>5082</v>
      </c>
      <c r="D84" s="14">
        <v>14093</v>
      </c>
      <c r="E84" s="23">
        <v>2137.6999999999998</v>
      </c>
      <c r="F84" s="14">
        <v>0</v>
      </c>
      <c r="G84" s="14">
        <v>0</v>
      </c>
      <c r="H84" s="14"/>
      <c r="I84" s="31">
        <f t="shared" si="4"/>
        <v>0</v>
      </c>
      <c r="J84" s="31">
        <f t="shared" si="5"/>
        <v>1666.6666666666667</v>
      </c>
      <c r="K84" s="35"/>
      <c r="L84" s="38">
        <f t="shared" si="6"/>
        <v>1699.9999999998181</v>
      </c>
      <c r="M84" s="63">
        <f t="shared" si="7"/>
        <v>1033.333333333303</v>
      </c>
      <c r="N84" s="15"/>
      <c r="R84" s="23"/>
    </row>
    <row r="85" spans="1:18">
      <c r="A85" s="8" t="s">
        <v>410</v>
      </c>
      <c r="B85" s="13">
        <v>42124</v>
      </c>
      <c r="C85" s="14">
        <v>5083</v>
      </c>
      <c r="D85" s="14">
        <v>14105</v>
      </c>
      <c r="E85" s="23">
        <v>2139.3000000000002</v>
      </c>
      <c r="F85" s="14">
        <v>0</v>
      </c>
      <c r="G85" s="14">
        <v>0</v>
      </c>
      <c r="H85" s="14"/>
      <c r="I85" s="31">
        <f t="shared" si="4"/>
        <v>13000</v>
      </c>
      <c r="J85" s="31">
        <f t="shared" si="5"/>
        <v>5000</v>
      </c>
      <c r="K85" s="35"/>
      <c r="L85" s="38">
        <f t="shared" si="6"/>
        <v>1600.0000000003638</v>
      </c>
      <c r="M85" s="63">
        <f t="shared" si="7"/>
        <v>866.66666666678793</v>
      </c>
      <c r="N85" s="15"/>
      <c r="R85" s="14"/>
    </row>
    <row r="86" spans="1:18">
      <c r="A86" s="8" t="s">
        <v>416</v>
      </c>
      <c r="B86" s="13">
        <v>42155</v>
      </c>
      <c r="C86" s="14">
        <v>5083</v>
      </c>
      <c r="D86" s="14">
        <v>14120</v>
      </c>
      <c r="E86" s="23">
        <v>2142.9</v>
      </c>
      <c r="F86" s="14">
        <v>0</v>
      </c>
      <c r="G86" s="14">
        <v>0</v>
      </c>
      <c r="H86" s="14"/>
      <c r="I86" s="31">
        <f t="shared" si="4"/>
        <v>15000</v>
      </c>
      <c r="J86" s="31">
        <f t="shared" si="5"/>
        <v>9333.3333333333339</v>
      </c>
      <c r="K86" s="35"/>
      <c r="L86" s="38">
        <f t="shared" si="6"/>
        <v>3599.9999999999091</v>
      </c>
      <c r="M86" s="63">
        <f t="shared" si="7"/>
        <v>2300.0000000000305</v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/>
      <c r="L2" s="20"/>
      <c r="M2" s="21"/>
    </row>
    <row r="3" spans="1:13">
      <c r="A3" s="20" t="s">
        <v>367</v>
      </c>
      <c r="B3" s="26" t="s">
        <v>354</v>
      </c>
      <c r="C3" s="23" t="s">
        <v>366</v>
      </c>
      <c r="D3" s="21" t="s">
        <v>356</v>
      </c>
      <c r="K3" s="20"/>
      <c r="L3" s="20"/>
      <c r="M3" s="20"/>
    </row>
    <row r="4" spans="1:13">
      <c r="A4" s="20" t="s">
        <v>7</v>
      </c>
      <c r="C4" s="23" t="s">
        <v>393</v>
      </c>
      <c r="D4" s="26" t="s">
        <v>359</v>
      </c>
      <c r="K4" s="20"/>
      <c r="L4" s="20"/>
      <c r="M4" s="20"/>
    </row>
    <row r="5" spans="1:13">
      <c r="A5" s="20" t="s">
        <v>16</v>
      </c>
      <c r="B5" s="27"/>
      <c r="C5" s="28" t="s">
        <v>392</v>
      </c>
      <c r="D5" s="27" t="s">
        <v>355</v>
      </c>
      <c r="F5" s="27"/>
      <c r="H5" s="27"/>
      <c r="K5" s="19"/>
      <c r="L5" s="19"/>
      <c r="M5" s="19"/>
    </row>
    <row r="6" spans="1:13">
      <c r="A6" s="20" t="s">
        <v>17</v>
      </c>
      <c r="C6" s="23" t="s">
        <v>403</v>
      </c>
      <c r="D6" s="26" t="s">
        <v>403</v>
      </c>
      <c r="L6" s="108"/>
      <c r="M6" s="14"/>
    </row>
    <row r="7" spans="1:13">
      <c r="A7" s="20" t="s">
        <v>349</v>
      </c>
      <c r="C7" s="23" t="s">
        <v>391</v>
      </c>
      <c r="D7" s="26" t="s">
        <v>350</v>
      </c>
      <c r="L7" s="108"/>
      <c r="M7" s="14"/>
    </row>
    <row r="8" spans="1:13">
      <c r="A8" s="20" t="s">
        <v>368</v>
      </c>
      <c r="B8" s="26">
        <v>39814</v>
      </c>
      <c r="C8" s="23">
        <v>288.7</v>
      </c>
      <c r="D8" s="14">
        <v>1</v>
      </c>
      <c r="L8" s="108"/>
      <c r="M8" s="14"/>
    </row>
    <row r="9" spans="1:13">
      <c r="A9" s="20" t="s">
        <v>369</v>
      </c>
      <c r="B9" s="26">
        <v>39904</v>
      </c>
      <c r="C9" s="23">
        <v>294.7</v>
      </c>
      <c r="D9" s="14">
        <v>1</v>
      </c>
      <c r="L9" s="108"/>
      <c r="M9" s="14"/>
    </row>
    <row r="10" spans="1:13">
      <c r="A10" s="20" t="s">
        <v>370</v>
      </c>
      <c r="B10" s="26">
        <v>39995</v>
      </c>
      <c r="C10" s="23">
        <v>293.3</v>
      </c>
      <c r="D10" s="14">
        <v>0</v>
      </c>
      <c r="L10" s="108"/>
      <c r="M10" s="14"/>
    </row>
    <row r="11" spans="1:13">
      <c r="A11" s="20" t="s">
        <v>371</v>
      </c>
      <c r="B11" s="26">
        <v>40087</v>
      </c>
      <c r="C11" s="23">
        <v>282.39999999999998</v>
      </c>
      <c r="D11" s="14">
        <v>0</v>
      </c>
      <c r="L11" s="108"/>
      <c r="M11" s="14"/>
    </row>
    <row r="12" spans="1:13">
      <c r="A12" s="20" t="s">
        <v>372</v>
      </c>
      <c r="B12" s="26">
        <v>40179</v>
      </c>
      <c r="C12" s="23">
        <v>273.60000000000002</v>
      </c>
      <c r="D12" s="14">
        <v>0</v>
      </c>
      <c r="L12" s="108"/>
      <c r="M12" s="14"/>
    </row>
    <row r="13" spans="1:13">
      <c r="A13" s="20" t="s">
        <v>373</v>
      </c>
      <c r="B13" s="26">
        <v>40269</v>
      </c>
      <c r="C13" s="23">
        <v>284.2</v>
      </c>
      <c r="D13" s="14">
        <v>0</v>
      </c>
      <c r="L13" s="108"/>
      <c r="M13" s="14"/>
    </row>
    <row r="14" spans="1:13">
      <c r="A14" s="20" t="s">
        <v>374</v>
      </c>
      <c r="B14" s="26">
        <v>40360</v>
      </c>
      <c r="C14" s="23">
        <v>285.60000000000002</v>
      </c>
      <c r="D14" s="14">
        <v>0</v>
      </c>
      <c r="L14" s="108"/>
      <c r="M14" s="14"/>
    </row>
    <row r="15" spans="1:13">
      <c r="A15" s="20" t="s">
        <v>375</v>
      </c>
      <c r="B15" s="26">
        <v>40452</v>
      </c>
      <c r="C15" s="23">
        <v>274.5</v>
      </c>
      <c r="D15" s="14">
        <v>0</v>
      </c>
      <c r="L15" s="108"/>
      <c r="M15" s="14"/>
    </row>
    <row r="16" spans="1:13">
      <c r="A16" s="20" t="s">
        <v>376</v>
      </c>
      <c r="B16" s="26">
        <v>40544</v>
      </c>
      <c r="C16" s="23">
        <v>265.7</v>
      </c>
      <c r="D16" s="14">
        <v>0</v>
      </c>
      <c r="L16" s="108"/>
      <c r="M16" s="14"/>
    </row>
    <row r="17" spans="1:13">
      <c r="A17" s="20" t="s">
        <v>377</v>
      </c>
      <c r="B17" s="26">
        <v>40634</v>
      </c>
      <c r="C17" s="23">
        <v>261.39999999999998</v>
      </c>
      <c r="D17" s="14">
        <v>0</v>
      </c>
      <c r="L17" s="108"/>
      <c r="M17" s="14"/>
    </row>
    <row r="18" spans="1:13">
      <c r="A18" s="20" t="s">
        <v>378</v>
      </c>
      <c r="B18" s="26">
        <v>40725</v>
      </c>
      <c r="C18" s="23">
        <v>258.60000000000002</v>
      </c>
      <c r="D18" s="14">
        <v>0</v>
      </c>
      <c r="L18" s="108"/>
      <c r="M18" s="14"/>
    </row>
    <row r="19" spans="1:13">
      <c r="A19" s="20" t="s">
        <v>379</v>
      </c>
      <c r="B19" s="26">
        <v>40817</v>
      </c>
      <c r="C19" s="23">
        <v>257.89999999999998</v>
      </c>
      <c r="D19" s="14">
        <v>0</v>
      </c>
      <c r="L19" s="108"/>
      <c r="M19" s="14"/>
    </row>
    <row r="20" spans="1:13">
      <c r="A20" s="20" t="s">
        <v>380</v>
      </c>
      <c r="B20" s="26">
        <v>40909</v>
      </c>
      <c r="C20" s="23">
        <v>249.2</v>
      </c>
      <c r="D20" s="14">
        <v>0</v>
      </c>
      <c r="L20" s="108"/>
      <c r="M20" s="14"/>
    </row>
    <row r="21" spans="1:13">
      <c r="A21" s="20" t="s">
        <v>381</v>
      </c>
      <c r="B21" s="26">
        <v>41000</v>
      </c>
      <c r="C21" s="23">
        <v>247.1</v>
      </c>
      <c r="D21" s="14">
        <v>0</v>
      </c>
      <c r="L21" s="108"/>
      <c r="M21" s="14"/>
    </row>
    <row r="22" spans="1:13">
      <c r="A22" s="20" t="s">
        <v>382</v>
      </c>
      <c r="B22" s="26">
        <v>41091</v>
      </c>
      <c r="C22" s="23">
        <v>240.5</v>
      </c>
      <c r="D22" s="14">
        <v>0</v>
      </c>
      <c r="L22" s="108"/>
      <c r="M22" s="14"/>
    </row>
    <row r="23" spans="1:13">
      <c r="A23" s="20" t="s">
        <v>383</v>
      </c>
      <c r="B23" s="26">
        <v>41183</v>
      </c>
      <c r="C23" s="23">
        <v>233.4</v>
      </c>
      <c r="D23" s="14">
        <v>0</v>
      </c>
      <c r="L23" s="108"/>
      <c r="M23" s="14"/>
    </row>
    <row r="24" spans="1:13">
      <c r="A24" s="20" t="s">
        <v>384</v>
      </c>
      <c r="B24" s="26">
        <v>41275</v>
      </c>
      <c r="C24" s="23">
        <v>228.6</v>
      </c>
      <c r="D24" s="14">
        <v>0</v>
      </c>
      <c r="L24" s="108"/>
      <c r="M24" s="14"/>
    </row>
    <row r="25" spans="1:13">
      <c r="A25" s="20" t="s">
        <v>385</v>
      </c>
      <c r="B25" s="26">
        <v>41365</v>
      </c>
      <c r="C25" s="23">
        <v>233.7</v>
      </c>
      <c r="D25" s="14">
        <v>0</v>
      </c>
      <c r="L25" s="108"/>
      <c r="M25" s="14"/>
    </row>
    <row r="26" spans="1:13">
      <c r="A26" s="20" t="s">
        <v>386</v>
      </c>
      <c r="B26" s="26">
        <v>41456</v>
      </c>
      <c r="C26" s="23">
        <v>233</v>
      </c>
      <c r="D26" s="14">
        <v>0</v>
      </c>
      <c r="L26" s="108"/>
      <c r="M26" s="14"/>
    </row>
    <row r="27" spans="1:13">
      <c r="A27" s="20" t="s">
        <v>387</v>
      </c>
      <c r="B27" s="26">
        <v>41548</v>
      </c>
      <c r="C27" s="23">
        <v>231.2</v>
      </c>
      <c r="D27" s="14">
        <v>0</v>
      </c>
      <c r="L27" s="108"/>
      <c r="M27" s="14"/>
    </row>
    <row r="28" spans="1:13">
      <c r="A28" s="20" t="s">
        <v>388</v>
      </c>
      <c r="B28" s="26">
        <v>41640</v>
      </c>
      <c r="C28" s="23">
        <v>223.6</v>
      </c>
      <c r="D28" s="14">
        <v>0</v>
      </c>
      <c r="L28" s="108"/>
      <c r="M28" s="14"/>
    </row>
    <row r="29" spans="1:13">
      <c r="A29" s="20" t="s">
        <v>389</v>
      </c>
      <c r="B29" s="26">
        <v>41730</v>
      </c>
      <c r="C29" s="23">
        <v>232.9</v>
      </c>
      <c r="D29" s="14">
        <v>0</v>
      </c>
      <c r="L29" s="108"/>
      <c r="M29" s="14"/>
    </row>
    <row r="30" spans="1:13">
      <c r="A30" s="20" t="s">
        <v>390</v>
      </c>
      <c r="B30" s="26">
        <v>41821</v>
      </c>
      <c r="C30" s="23">
        <v>233.7</v>
      </c>
      <c r="D30" s="14">
        <v>0</v>
      </c>
      <c r="L30" s="108"/>
      <c r="M30" s="14"/>
    </row>
    <row r="31" spans="1:13">
      <c r="A31" s="20" t="s">
        <v>400</v>
      </c>
      <c r="B31" s="26">
        <v>41913</v>
      </c>
      <c r="C31" s="23">
        <v>235.6</v>
      </c>
      <c r="D31" s="14">
        <v>0</v>
      </c>
    </row>
    <row r="32" spans="1:13">
      <c r="A32" s="20" t="s">
        <v>408</v>
      </c>
      <c r="B32" s="26">
        <v>42005</v>
      </c>
      <c r="C32" s="23">
        <v>229</v>
      </c>
      <c r="D32" s="14">
        <v>0</v>
      </c>
    </row>
    <row r="33" spans="2:4">
      <c r="D33" s="109"/>
    </row>
    <row r="34" spans="2:4">
      <c r="D34" s="109"/>
    </row>
    <row r="35" spans="2:4">
      <c r="D35" s="109"/>
    </row>
    <row r="36" spans="2:4">
      <c r="D36" s="109"/>
    </row>
    <row r="37" spans="2:4">
      <c r="D37" s="109"/>
    </row>
    <row r="38" spans="2:4">
      <c r="D38" s="109"/>
    </row>
    <row r="39" spans="2:4">
      <c r="D39" s="109"/>
    </row>
    <row r="40" spans="2:4">
      <c r="D40" s="109"/>
    </row>
    <row r="41" spans="2:4">
      <c r="D41" s="109"/>
    </row>
    <row r="42" spans="2:4">
      <c r="D42" s="109"/>
    </row>
    <row r="43" spans="2:4">
      <c r="D43" s="109"/>
    </row>
    <row r="44" spans="2:4">
      <c r="D44" s="109"/>
    </row>
    <row r="45" spans="2:4">
      <c r="D45" s="109"/>
    </row>
    <row r="46" spans="2:4">
      <c r="B46" s="40"/>
      <c r="C46" s="32"/>
      <c r="D46" s="109"/>
    </row>
    <row r="47" spans="2:4">
      <c r="B47" s="40"/>
      <c r="C47" s="32"/>
      <c r="D47" s="109"/>
    </row>
    <row r="48" spans="2:4">
      <c r="B48" s="40"/>
      <c r="C48" s="32"/>
      <c r="D48" s="109"/>
    </row>
    <row r="49" spans="2:4">
      <c r="B49" s="40"/>
      <c r="C49" s="32"/>
      <c r="D49" s="109"/>
    </row>
    <row r="50" spans="2:4">
      <c r="B50" s="40"/>
      <c r="C50" s="32"/>
      <c r="D50" s="109"/>
    </row>
    <row r="51" spans="2:4">
      <c r="B51" s="40"/>
      <c r="C51" s="32"/>
      <c r="D51" s="109"/>
    </row>
    <row r="52" spans="2:4">
      <c r="B52" s="40"/>
      <c r="C52" s="32"/>
      <c r="D52" s="109"/>
    </row>
    <row r="53" spans="2:4">
      <c r="B53" s="40"/>
      <c r="C53" s="32"/>
      <c r="D53" s="109"/>
    </row>
    <row r="54" spans="2:4">
      <c r="B54" s="40"/>
      <c r="C54" s="32"/>
      <c r="D54" s="109"/>
    </row>
    <row r="55" spans="2:4">
      <c r="B55" s="40"/>
      <c r="C55" s="32"/>
      <c r="D55" s="109"/>
    </row>
    <row r="56" spans="2:4">
      <c r="B56" s="40"/>
      <c r="C56" s="32"/>
      <c r="D56" s="109"/>
    </row>
    <row r="57" spans="2:4">
      <c r="B57" s="40"/>
      <c r="C57" s="32"/>
      <c r="D57" s="109"/>
    </row>
    <row r="58" spans="2:4">
      <c r="B58" s="40"/>
      <c r="C58" s="32"/>
      <c r="D58" s="109"/>
    </row>
    <row r="59" spans="2:4">
      <c r="B59" s="40"/>
      <c r="C59" s="32"/>
      <c r="D59" s="109"/>
    </row>
    <row r="60" spans="2:4">
      <c r="B60" s="40"/>
      <c r="C60" s="32"/>
      <c r="D60" s="109"/>
    </row>
    <row r="61" spans="2:4">
      <c r="B61" s="40"/>
      <c r="C61" s="32"/>
      <c r="D61" s="109"/>
    </row>
    <row r="62" spans="2:4">
      <c r="B62" s="40"/>
      <c r="C62" s="32"/>
      <c r="D62" s="109"/>
    </row>
    <row r="63" spans="2:4">
      <c r="B63" s="40"/>
      <c r="C63" s="32"/>
      <c r="D63" s="109"/>
    </row>
    <row r="64" spans="2:4">
      <c r="B64" s="40"/>
      <c r="C64" s="32"/>
      <c r="D64" s="109"/>
    </row>
    <row r="65" spans="2:4">
      <c r="B65" s="40"/>
      <c r="C65" s="32"/>
      <c r="D65" s="109"/>
    </row>
    <row r="66" spans="2:4">
      <c r="B66" s="40"/>
      <c r="C66" s="32"/>
      <c r="D66" s="109"/>
    </row>
    <row r="67" spans="2:4">
      <c r="B67" s="40"/>
      <c r="C67" s="32"/>
      <c r="D67" s="109"/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F32" zoomScale="70" zoomScaleNormal="70" workbookViewId="0">
      <selection activeCell="O13" sqref="O13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  <col min="15" max="15" width="10.7109375" customWidth="1"/>
  </cols>
  <sheetData>
    <row r="2" spans="1:16">
      <c r="A2" s="22" t="s">
        <v>305</v>
      </c>
      <c r="B2" s="12" t="s">
        <v>0</v>
      </c>
      <c r="C2" s="33" t="s">
        <v>137</v>
      </c>
      <c r="D2" s="33" t="s">
        <v>138</v>
      </c>
      <c r="E2" s="33" t="s">
        <v>139</v>
      </c>
      <c r="F2" s="33" t="s">
        <v>140</v>
      </c>
      <c r="J2" s="21"/>
    </row>
    <row r="3" spans="1:16">
      <c r="A3" s="11" t="s">
        <v>7</v>
      </c>
      <c r="C3" t="s">
        <v>143</v>
      </c>
      <c r="D3" t="s">
        <v>144</v>
      </c>
      <c r="E3" t="s">
        <v>145</v>
      </c>
      <c r="F3" t="s">
        <v>146</v>
      </c>
      <c r="J3" s="20"/>
    </row>
    <row r="4" spans="1:16">
      <c r="A4" s="11" t="s">
        <v>18</v>
      </c>
      <c r="C4" t="s">
        <v>142</v>
      </c>
      <c r="D4" t="s">
        <v>142</v>
      </c>
      <c r="E4" t="s">
        <v>142</v>
      </c>
      <c r="F4" t="s">
        <v>142</v>
      </c>
      <c r="G4" s="19" t="s">
        <v>147</v>
      </c>
      <c r="I4" t="s">
        <v>149</v>
      </c>
      <c r="J4" s="20"/>
    </row>
    <row r="5" spans="1:16">
      <c r="A5" s="11" t="s">
        <v>22</v>
      </c>
      <c r="C5" t="s">
        <v>412</v>
      </c>
      <c r="D5" t="s">
        <v>412</v>
      </c>
      <c r="E5" t="s">
        <v>412</v>
      </c>
      <c r="F5" t="s">
        <v>412</v>
      </c>
      <c r="H5" s="56" t="s">
        <v>148</v>
      </c>
      <c r="J5" s="19"/>
    </row>
    <row r="6" spans="1:16">
      <c r="A6" s="11" t="s">
        <v>16</v>
      </c>
      <c r="B6" s="13"/>
      <c r="C6" s="14" t="s">
        <v>141</v>
      </c>
      <c r="D6" s="14" t="s">
        <v>141</v>
      </c>
      <c r="E6" s="14" t="s">
        <v>141</v>
      </c>
      <c r="F6" t="s">
        <v>141</v>
      </c>
    </row>
    <row r="7" spans="1:16">
      <c r="A7" s="11" t="s">
        <v>17</v>
      </c>
      <c r="B7" s="13"/>
      <c r="C7" s="14" t="s">
        <v>403</v>
      </c>
      <c r="D7" s="14" t="s">
        <v>403</v>
      </c>
      <c r="E7" s="14" t="s">
        <v>403</v>
      </c>
      <c r="F7" t="s">
        <v>403</v>
      </c>
      <c r="J7" t="s">
        <v>411</v>
      </c>
    </row>
    <row r="8" spans="1:16">
      <c r="A8" s="11" t="s">
        <v>304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f>VLOOKUP($B8, $O$13:$P$64, 2, FALSE)</f>
        <v>0</v>
      </c>
    </row>
    <row r="9" spans="1:16">
      <c r="A9" s="11" t="s">
        <v>306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f t="shared" ref="J9:J58" si="1">VLOOKUP($B9, $O$13:$P$64, 2, FALSE)</f>
        <v>0</v>
      </c>
    </row>
    <row r="10" spans="1:16">
      <c r="A10" s="11" t="s">
        <v>307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f t="shared" si="1"/>
        <v>0</v>
      </c>
    </row>
    <row r="11" spans="1:16">
      <c r="A11" s="11" t="s">
        <v>308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f t="shared" si="1"/>
        <v>0</v>
      </c>
    </row>
    <row r="12" spans="1:16">
      <c r="A12" s="11" t="s">
        <v>309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2">IFERROR(G12/G8-1, "")</f>
        <v>-1.9107870469654897E-2</v>
      </c>
      <c r="J12" s="14">
        <f t="shared" si="1"/>
        <v>0</v>
      </c>
      <c r="N12" s="22" t="s">
        <v>305</v>
      </c>
      <c r="O12" s="22" t="s">
        <v>0</v>
      </c>
      <c r="P12" s="21" t="s">
        <v>356</v>
      </c>
    </row>
    <row r="13" spans="1:16">
      <c r="A13" s="11" t="s">
        <v>310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2"/>
        <v>8.9863594915979617E-2</v>
      </c>
      <c r="J13" s="14">
        <f t="shared" si="1"/>
        <v>0</v>
      </c>
      <c r="N13" t="s">
        <v>304</v>
      </c>
      <c r="O13" s="13">
        <v>37437</v>
      </c>
      <c r="P13" s="14">
        <v>0</v>
      </c>
    </row>
    <row r="14" spans="1:16">
      <c r="A14" s="11" t="s">
        <v>311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2"/>
        <v>6.9464660403395051E-2</v>
      </c>
      <c r="J14" s="14">
        <f t="shared" si="1"/>
        <v>0</v>
      </c>
      <c r="N14" t="s">
        <v>306</v>
      </c>
      <c r="O14" s="13">
        <v>37529</v>
      </c>
      <c r="P14" s="14">
        <v>0</v>
      </c>
    </row>
    <row r="15" spans="1:16">
      <c r="A15" s="11" t="s">
        <v>312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2"/>
        <v>7.456238959370487E-2</v>
      </c>
      <c r="I15" s="29">
        <f t="shared" ref="I15:I57" si="3">IFERROR(IF(H12&lt;&gt;-1, IF(H13&lt;&gt;-1, IF(H14&lt;&gt;-1, IF(H15&lt;&gt;-1, AVERAGE(H12:H15), ""), ""), ""), ""), "")</f>
        <v>5.369569361085616E-2</v>
      </c>
      <c r="J15" s="14">
        <f t="shared" si="1"/>
        <v>0</v>
      </c>
      <c r="N15" t="s">
        <v>307</v>
      </c>
      <c r="O15" s="13">
        <v>37621</v>
      </c>
      <c r="P15" s="14">
        <v>0</v>
      </c>
    </row>
    <row r="16" spans="1:16">
      <c r="A16" s="11" t="s">
        <v>313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2"/>
        <v>0.10478475699075207</v>
      </c>
      <c r="I16" s="29">
        <f t="shared" si="3"/>
        <v>8.4668850475957902E-2</v>
      </c>
      <c r="J16" s="14">
        <f t="shared" si="1"/>
        <v>0</v>
      </c>
      <c r="N16" t="s">
        <v>308</v>
      </c>
      <c r="O16" s="13">
        <v>37711</v>
      </c>
      <c r="P16" s="14">
        <v>0</v>
      </c>
    </row>
    <row r="17" spans="1:16">
      <c r="A17" s="11" t="s">
        <v>314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2"/>
        <v>6.0609682523420805E-2</v>
      </c>
      <c r="I17" s="29">
        <f t="shared" si="3"/>
        <v>7.7355372377818199E-2</v>
      </c>
      <c r="J17" s="14">
        <f t="shared" si="1"/>
        <v>0</v>
      </c>
      <c r="N17" t="s">
        <v>309</v>
      </c>
      <c r="O17" s="13">
        <v>37802</v>
      </c>
      <c r="P17" s="14">
        <v>0</v>
      </c>
    </row>
    <row r="18" spans="1:16">
      <c r="A18" s="11" t="s">
        <v>315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2"/>
        <v>0.10866404775897798</v>
      </c>
      <c r="I18" s="29">
        <f t="shared" si="3"/>
        <v>8.7155219216713931E-2</v>
      </c>
      <c r="J18" s="14">
        <f t="shared" si="1"/>
        <v>0</v>
      </c>
      <c r="N18" t="s">
        <v>310</v>
      </c>
      <c r="O18" s="13">
        <v>37894</v>
      </c>
      <c r="P18" s="14">
        <v>0</v>
      </c>
    </row>
    <row r="19" spans="1:16">
      <c r="A19" s="11" t="s">
        <v>316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2"/>
        <v>9.350948246230173E-2</v>
      </c>
      <c r="I19" s="29">
        <f t="shared" si="3"/>
        <v>9.1891992433863146E-2</v>
      </c>
      <c r="J19" s="14">
        <f t="shared" si="1"/>
        <v>0</v>
      </c>
      <c r="N19" t="s">
        <v>311</v>
      </c>
      <c r="O19" s="13">
        <v>37986</v>
      </c>
      <c r="P19" s="14">
        <v>0</v>
      </c>
    </row>
    <row r="20" spans="1:16">
      <c r="A20" s="11" t="s">
        <v>317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2"/>
        <v>0.15938988853542568</v>
      </c>
      <c r="I20" s="29">
        <f t="shared" si="3"/>
        <v>0.10554327532003155</v>
      </c>
      <c r="J20" s="14">
        <f t="shared" si="1"/>
        <v>0</v>
      </c>
      <c r="N20" t="s">
        <v>312</v>
      </c>
      <c r="O20" s="13">
        <v>38077</v>
      </c>
      <c r="P20" s="14">
        <v>0</v>
      </c>
    </row>
    <row r="21" spans="1:16">
      <c r="A21" s="11" t="s">
        <v>318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2"/>
        <v>8.989143908944075E-2</v>
      </c>
      <c r="I21" s="29">
        <f t="shared" si="3"/>
        <v>0.11286371446153654</v>
      </c>
      <c r="J21" s="14">
        <f t="shared" si="1"/>
        <v>0</v>
      </c>
      <c r="N21" t="s">
        <v>313</v>
      </c>
      <c r="O21" s="13">
        <v>38168</v>
      </c>
      <c r="P21" s="14">
        <v>0</v>
      </c>
    </row>
    <row r="22" spans="1:16">
      <c r="A22" s="11" t="s">
        <v>319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2"/>
        <v>8.5745374540642461E-2</v>
      </c>
      <c r="I22" s="29">
        <f t="shared" si="3"/>
        <v>0.10713404615695266</v>
      </c>
      <c r="J22" s="14">
        <f t="shared" si="1"/>
        <v>0</v>
      </c>
      <c r="N22" t="s">
        <v>314</v>
      </c>
      <c r="O22" s="13">
        <v>38260</v>
      </c>
      <c r="P22" s="14">
        <v>0</v>
      </c>
    </row>
    <row r="23" spans="1:16">
      <c r="A23" s="11" t="s">
        <v>320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2"/>
        <v>8.2119265637100813E-2</v>
      </c>
      <c r="I23" s="29">
        <f t="shared" si="3"/>
        <v>0.10428649195065243</v>
      </c>
      <c r="J23" s="14">
        <f t="shared" si="1"/>
        <v>0</v>
      </c>
      <c r="N23" t="s">
        <v>315</v>
      </c>
      <c r="O23" s="13">
        <v>38352</v>
      </c>
      <c r="P23" s="14">
        <v>0</v>
      </c>
    </row>
    <row r="24" spans="1:16">
      <c r="A24" s="11" t="s">
        <v>321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2"/>
        <v>0.10154729798928086</v>
      </c>
      <c r="I24" s="29">
        <f t="shared" si="3"/>
        <v>8.9825844314116221E-2</v>
      </c>
      <c r="J24" s="14">
        <f t="shared" si="1"/>
        <v>0</v>
      </c>
      <c r="N24" t="s">
        <v>316</v>
      </c>
      <c r="O24" s="13">
        <v>38442</v>
      </c>
      <c r="P24" s="14">
        <v>0</v>
      </c>
    </row>
    <row r="25" spans="1:16">
      <c r="A25" s="11" t="s">
        <v>322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2"/>
        <v>5.6549055135944215E-2</v>
      </c>
      <c r="I25" s="29">
        <f t="shared" si="3"/>
        <v>8.1490248325742087E-2</v>
      </c>
      <c r="J25" s="14">
        <f t="shared" si="1"/>
        <v>0</v>
      </c>
      <c r="N25" t="s">
        <v>317</v>
      </c>
      <c r="O25" s="13">
        <v>38533</v>
      </c>
      <c r="P25" s="14">
        <v>0</v>
      </c>
    </row>
    <row r="26" spans="1:16">
      <c r="A26" s="11" t="s">
        <v>323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2"/>
        <v>7.228154929939401E-2</v>
      </c>
      <c r="I26" s="29">
        <f t="shared" si="3"/>
        <v>7.8124292015429975E-2</v>
      </c>
      <c r="J26" s="14">
        <f t="shared" si="1"/>
        <v>0</v>
      </c>
      <c r="N26" t="s">
        <v>318</v>
      </c>
      <c r="O26" s="13">
        <v>38625</v>
      </c>
      <c r="P26" s="14">
        <v>0</v>
      </c>
    </row>
    <row r="27" spans="1:16">
      <c r="A27" s="11" t="s">
        <v>296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2"/>
        <v>6.7299272531321508E-2</v>
      </c>
      <c r="I27" s="29">
        <f t="shared" si="3"/>
        <v>7.4419293738985148E-2</v>
      </c>
      <c r="J27" s="14">
        <f t="shared" si="1"/>
        <v>0</v>
      </c>
      <c r="N27" t="s">
        <v>319</v>
      </c>
      <c r="O27" s="13">
        <v>38717</v>
      </c>
      <c r="P27" s="14">
        <v>0</v>
      </c>
    </row>
    <row r="28" spans="1:16">
      <c r="A28" s="11" t="s">
        <v>297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2"/>
        <v>7.2534002734939484E-2</v>
      </c>
      <c r="I28" s="29">
        <f t="shared" si="3"/>
        <v>6.7165969925399804E-2</v>
      </c>
      <c r="J28" s="14">
        <f t="shared" si="1"/>
        <v>0</v>
      </c>
      <c r="N28" t="s">
        <v>320</v>
      </c>
      <c r="O28" s="13">
        <v>38807</v>
      </c>
      <c r="P28" s="14">
        <v>0</v>
      </c>
    </row>
    <row r="29" spans="1:16">
      <c r="A29" s="11" t="s">
        <v>298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2"/>
        <v>3.3763159243742624E-2</v>
      </c>
      <c r="I29" s="29">
        <f t="shared" si="3"/>
        <v>6.1469495952349407E-2</v>
      </c>
      <c r="J29" s="14">
        <f t="shared" si="1"/>
        <v>0</v>
      </c>
      <c r="N29" t="s">
        <v>321</v>
      </c>
      <c r="O29" s="13">
        <v>38898</v>
      </c>
      <c r="P29" s="14">
        <v>0</v>
      </c>
    </row>
    <row r="30" spans="1:16">
      <c r="A30" s="11" t="s">
        <v>299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2"/>
        <v>4.9374009318822187E-2</v>
      </c>
      <c r="I30" s="29">
        <f t="shared" si="3"/>
        <v>5.5742610957206451E-2</v>
      </c>
      <c r="J30" s="14">
        <f t="shared" si="1"/>
        <v>0</v>
      </c>
      <c r="N30" t="s">
        <v>322</v>
      </c>
      <c r="O30" s="13">
        <v>38990</v>
      </c>
      <c r="P30" s="14">
        <v>0</v>
      </c>
    </row>
    <row r="31" spans="1:16">
      <c r="A31" s="11" t="s">
        <v>300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2"/>
        <v>1.5655446075685697E-2</v>
      </c>
      <c r="I31" s="29">
        <f t="shared" si="3"/>
        <v>4.2831654343297498E-2</v>
      </c>
      <c r="J31" s="14">
        <f t="shared" si="1"/>
        <v>1</v>
      </c>
      <c r="N31" t="s">
        <v>323</v>
      </c>
      <c r="O31" s="13">
        <v>39082</v>
      </c>
      <c r="P31" s="14">
        <v>0</v>
      </c>
    </row>
    <row r="32" spans="1:16">
      <c r="A32" s="11" t="s">
        <v>301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2"/>
        <v>3.1231827786105004E-2</v>
      </c>
      <c r="I32" s="29">
        <f t="shared" si="3"/>
        <v>3.2506110606088878E-2</v>
      </c>
      <c r="J32" s="14">
        <f t="shared" si="1"/>
        <v>1</v>
      </c>
      <c r="N32" t="s">
        <v>296</v>
      </c>
      <c r="O32" s="13">
        <v>39172</v>
      </c>
      <c r="P32" s="14">
        <v>0</v>
      </c>
    </row>
    <row r="33" spans="1:16">
      <c r="A33" s="11" t="s">
        <v>302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2"/>
        <v>4.0188794922191962E-2</v>
      </c>
      <c r="I33" s="29">
        <f t="shared" si="3"/>
        <v>3.4112519525701213E-2</v>
      </c>
      <c r="J33" s="14">
        <f t="shared" si="1"/>
        <v>1</v>
      </c>
      <c r="N33" t="s">
        <v>297</v>
      </c>
      <c r="O33" s="13">
        <v>39263</v>
      </c>
      <c r="P33" s="14">
        <v>0</v>
      </c>
    </row>
    <row r="34" spans="1:16">
      <c r="A34" s="11" t="s">
        <v>303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2"/>
        <v>4.0359651440856847E-2</v>
      </c>
      <c r="I34" s="29">
        <f t="shared" si="3"/>
        <v>3.1858930056209878E-2</v>
      </c>
      <c r="J34" s="14">
        <f t="shared" si="1"/>
        <v>1</v>
      </c>
      <c r="N34" t="s">
        <v>298</v>
      </c>
      <c r="O34" s="13">
        <v>39355</v>
      </c>
      <c r="P34" s="14">
        <v>0</v>
      </c>
    </row>
    <row r="35" spans="1:16">
      <c r="A35" s="11" t="s">
        <v>273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2"/>
        <v>-1.2641218528026243E-2</v>
      </c>
      <c r="I35" s="29">
        <f t="shared" si="3"/>
        <v>2.4784763905281892E-2</v>
      </c>
      <c r="J35" s="14">
        <f t="shared" si="1"/>
        <v>1</v>
      </c>
      <c r="N35" t="s">
        <v>299</v>
      </c>
      <c r="O35" s="13">
        <v>39447</v>
      </c>
      <c r="P35" s="14">
        <v>0</v>
      </c>
    </row>
    <row r="36" spans="1:16">
      <c r="A36" s="11" t="s">
        <v>274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2"/>
        <v>-0.10901818487489146</v>
      </c>
      <c r="I36" s="29">
        <f t="shared" si="3"/>
        <v>-1.0277739259967222E-2</v>
      </c>
      <c r="J36" s="14">
        <f t="shared" si="1"/>
        <v>1</v>
      </c>
      <c r="N36" t="s">
        <v>300</v>
      </c>
      <c r="O36" s="13">
        <v>39538</v>
      </c>
      <c r="P36" s="14">
        <v>1</v>
      </c>
    </row>
    <row r="37" spans="1:16">
      <c r="A37" s="11" t="s">
        <v>275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2"/>
        <v>-4.0837641878626929E-2</v>
      </c>
      <c r="I37" s="29">
        <f t="shared" si="3"/>
        <v>-3.0534348460171945E-2</v>
      </c>
      <c r="J37" s="14">
        <f t="shared" si="1"/>
        <v>0</v>
      </c>
      <c r="N37" t="s">
        <v>301</v>
      </c>
      <c r="O37" s="13">
        <v>39629</v>
      </c>
      <c r="P37" s="14">
        <v>1</v>
      </c>
    </row>
    <row r="38" spans="1:16">
      <c r="A38" s="11" t="s">
        <v>276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2"/>
        <v>7.3003229953902959E-3</v>
      </c>
      <c r="I38" s="29">
        <f t="shared" si="3"/>
        <v>-3.8799180571538583E-2</v>
      </c>
      <c r="J38" s="14">
        <f t="shared" si="1"/>
        <v>0</v>
      </c>
      <c r="N38" t="s">
        <v>302</v>
      </c>
      <c r="O38" s="13">
        <v>39721</v>
      </c>
      <c r="P38" s="14">
        <v>1</v>
      </c>
    </row>
    <row r="39" spans="1:16">
      <c r="A39" s="11" t="s">
        <v>277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2"/>
        <v>-1.0950455482307775E-2</v>
      </c>
      <c r="I39" s="29">
        <f t="shared" si="3"/>
        <v>-3.8376489810108966E-2</v>
      </c>
      <c r="J39" s="14">
        <f t="shared" si="1"/>
        <v>0</v>
      </c>
      <c r="N39" t="s">
        <v>303</v>
      </c>
      <c r="O39" s="13">
        <v>39813</v>
      </c>
      <c r="P39" s="14">
        <v>1</v>
      </c>
    </row>
    <row r="40" spans="1:16">
      <c r="A40" s="11" t="s">
        <v>278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2"/>
        <v>2.1164686735905214E-2</v>
      </c>
      <c r="I40" s="29">
        <f t="shared" si="3"/>
        <v>-5.8307719074097986E-3</v>
      </c>
      <c r="J40" s="14">
        <f t="shared" si="1"/>
        <v>0</v>
      </c>
      <c r="N40" t="s">
        <v>273</v>
      </c>
      <c r="O40" s="13">
        <v>39903</v>
      </c>
      <c r="P40" s="14">
        <v>1</v>
      </c>
    </row>
    <row r="41" spans="1:16">
      <c r="A41" s="11" t="s">
        <v>279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2"/>
        <v>3.4999096331104429E-2</v>
      </c>
      <c r="I41" s="29">
        <f t="shared" si="3"/>
        <v>1.3128412645023041E-2</v>
      </c>
      <c r="J41" s="14">
        <f t="shared" si="1"/>
        <v>0</v>
      </c>
      <c r="N41" t="s">
        <v>274</v>
      </c>
      <c r="O41" s="13">
        <v>39994</v>
      </c>
      <c r="P41" s="14">
        <v>1</v>
      </c>
    </row>
    <row r="42" spans="1:16">
      <c r="A42" s="11" t="s">
        <v>280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2"/>
        <v>1.9363796549383139E-3</v>
      </c>
      <c r="I42" s="29">
        <f t="shared" si="3"/>
        <v>1.1787426809910045E-2</v>
      </c>
      <c r="J42" s="14">
        <f t="shared" si="1"/>
        <v>0</v>
      </c>
      <c r="N42" t="s">
        <v>275</v>
      </c>
      <c r="O42" s="13">
        <v>40086</v>
      </c>
      <c r="P42" s="14">
        <v>0</v>
      </c>
    </row>
    <row r="43" spans="1:16">
      <c r="A43" s="11" t="s">
        <v>281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2"/>
        <v>5.0331673639501862E-2</v>
      </c>
      <c r="I43" s="29">
        <f t="shared" si="3"/>
        <v>2.7107959090362455E-2</v>
      </c>
      <c r="J43" s="14">
        <f t="shared" si="1"/>
        <v>0</v>
      </c>
      <c r="N43" t="s">
        <v>276</v>
      </c>
      <c r="O43" s="13">
        <v>40178</v>
      </c>
      <c r="P43" s="14">
        <v>0</v>
      </c>
    </row>
    <row r="44" spans="1:16">
      <c r="A44" s="11" t="s">
        <v>282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2"/>
        <v>8.2934903953497452E-2</v>
      </c>
      <c r="I44" s="29">
        <f t="shared" si="3"/>
        <v>4.2550513394760514E-2</v>
      </c>
      <c r="J44" s="14">
        <f t="shared" si="1"/>
        <v>0</v>
      </c>
      <c r="N44" t="s">
        <v>277</v>
      </c>
      <c r="O44" s="13">
        <v>40268</v>
      </c>
      <c r="P44" s="14">
        <v>0</v>
      </c>
    </row>
    <row r="45" spans="1:16">
      <c r="A45" s="11" t="s">
        <v>283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2"/>
        <v>3.145818235792297E-2</v>
      </c>
      <c r="I45" s="29">
        <f t="shared" si="3"/>
        <v>4.1665284901465149E-2</v>
      </c>
      <c r="J45" s="14">
        <f t="shared" si="1"/>
        <v>0</v>
      </c>
      <c r="N45" t="s">
        <v>278</v>
      </c>
      <c r="O45" s="13">
        <v>40359</v>
      </c>
      <c r="P45" s="14">
        <v>0</v>
      </c>
    </row>
    <row r="46" spans="1:16">
      <c r="A46" s="11" t="s">
        <v>284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2"/>
        <v>4.2421700223713721E-2</v>
      </c>
      <c r="I46" s="29">
        <f t="shared" si="3"/>
        <v>5.1786615043659001E-2</v>
      </c>
      <c r="J46" s="14">
        <f t="shared" si="1"/>
        <v>0</v>
      </c>
      <c r="N46" t="s">
        <v>279</v>
      </c>
      <c r="O46" s="13">
        <v>40451</v>
      </c>
      <c r="P46" s="14">
        <v>0</v>
      </c>
    </row>
    <row r="47" spans="1:16">
      <c r="A47" s="11" t="s">
        <v>285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2"/>
        <v>2.3335150771654156E-2</v>
      </c>
      <c r="I47" s="29">
        <f t="shared" si="3"/>
        <v>4.5037484326697075E-2</v>
      </c>
      <c r="J47" s="14">
        <f t="shared" si="1"/>
        <v>0</v>
      </c>
      <c r="N47" t="s">
        <v>280</v>
      </c>
      <c r="O47" s="13">
        <v>40543</v>
      </c>
      <c r="P47" s="14">
        <v>0</v>
      </c>
    </row>
    <row r="48" spans="1:16">
      <c r="A48" s="11" t="s">
        <v>286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2"/>
        <v>3.2348194544174813E-2</v>
      </c>
      <c r="I48" s="29">
        <f t="shared" si="3"/>
        <v>3.2390806974366415E-2</v>
      </c>
      <c r="J48" s="14">
        <f t="shared" si="1"/>
        <v>0</v>
      </c>
      <c r="N48" t="s">
        <v>281</v>
      </c>
      <c r="O48" s="13">
        <v>40633</v>
      </c>
      <c r="P48" s="14">
        <v>0</v>
      </c>
    </row>
    <row r="49" spans="1:16">
      <c r="A49" s="11" t="s">
        <v>287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2"/>
        <v>4.8604997629850377E-2</v>
      </c>
      <c r="I49" s="29">
        <f t="shared" si="3"/>
        <v>3.6677510792348267E-2</v>
      </c>
      <c r="J49" s="14">
        <f t="shared" si="1"/>
        <v>0</v>
      </c>
      <c r="N49" t="s">
        <v>282</v>
      </c>
      <c r="O49" s="13">
        <v>40724</v>
      </c>
      <c r="P49" s="14">
        <v>0</v>
      </c>
    </row>
    <row r="50" spans="1:16">
      <c r="A50" s="11" t="s">
        <v>288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2"/>
        <v>2.7598191318447762E-2</v>
      </c>
      <c r="I50" s="29">
        <f t="shared" si="3"/>
        <v>3.2971633566031777E-2</v>
      </c>
      <c r="J50" s="14">
        <f t="shared" si="1"/>
        <v>0</v>
      </c>
      <c r="N50" t="s">
        <v>283</v>
      </c>
      <c r="O50" s="13">
        <v>40816</v>
      </c>
      <c r="P50" s="14">
        <v>0</v>
      </c>
    </row>
    <row r="51" spans="1:16">
      <c r="A51" s="11" t="s">
        <v>289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2"/>
        <v>6.7321318232440808E-2</v>
      </c>
      <c r="I51" s="29">
        <f t="shared" si="3"/>
        <v>4.396817543122844E-2</v>
      </c>
      <c r="J51" s="14">
        <f t="shared" si="1"/>
        <v>0</v>
      </c>
      <c r="N51" t="s">
        <v>284</v>
      </c>
      <c r="O51" s="13">
        <v>40908</v>
      </c>
      <c r="P51" s="14">
        <v>0</v>
      </c>
    </row>
    <row r="52" spans="1:16">
      <c r="A52" s="11" t="s">
        <v>290</v>
      </c>
      <c r="B52" s="42">
        <v>41455</v>
      </c>
      <c r="C52" s="14">
        <v>91371</v>
      </c>
      <c r="D52" s="14">
        <v>113642</v>
      </c>
      <c r="E52" s="14">
        <v>20237</v>
      </c>
      <c r="F52" s="14">
        <v>89925</v>
      </c>
      <c r="G52" s="41">
        <f t="shared" si="0"/>
        <v>315.17500000000001</v>
      </c>
      <c r="H52" s="20">
        <f t="shared" si="2"/>
        <v>8.52610411343806E-2</v>
      </c>
      <c r="I52" s="29">
        <f t="shared" si="3"/>
        <v>5.7196387078779887E-2</v>
      </c>
      <c r="J52" s="14">
        <f t="shared" si="1"/>
        <v>0</v>
      </c>
      <c r="N52" t="s">
        <v>285</v>
      </c>
      <c r="O52" s="13">
        <v>40999</v>
      </c>
      <c r="P52" s="14">
        <v>0</v>
      </c>
    </row>
    <row r="53" spans="1:16">
      <c r="A53" s="11" t="s">
        <v>291</v>
      </c>
      <c r="B53" s="42">
        <v>41547</v>
      </c>
      <c r="C53" s="14">
        <v>97884</v>
      </c>
      <c r="D53" s="14">
        <v>74395</v>
      </c>
      <c r="E53" s="14">
        <v>10878</v>
      </c>
      <c r="F53" s="14">
        <v>82452</v>
      </c>
      <c r="G53" s="41">
        <f t="shared" si="0"/>
        <v>265.60899999999998</v>
      </c>
      <c r="H53" s="20">
        <f t="shared" si="2"/>
        <v>7.2058799786887118E-2</v>
      </c>
      <c r="I53" s="29">
        <f t="shared" si="3"/>
        <v>6.3059837618039072E-2</v>
      </c>
      <c r="J53" s="14">
        <f t="shared" si="1"/>
        <v>0</v>
      </c>
      <c r="N53" t="s">
        <v>286</v>
      </c>
      <c r="O53" s="13">
        <v>41090</v>
      </c>
      <c r="P53" s="14">
        <v>0</v>
      </c>
    </row>
    <row r="54" spans="1:16">
      <c r="A54" s="11" t="s">
        <v>292</v>
      </c>
      <c r="B54" s="42">
        <v>41639</v>
      </c>
      <c r="C54" s="14">
        <v>180401</v>
      </c>
      <c r="D54" s="14">
        <v>77709</v>
      </c>
      <c r="E54" s="14">
        <v>10421</v>
      </c>
      <c r="F54" s="14">
        <v>85301</v>
      </c>
      <c r="G54" s="41">
        <f t="shared" si="0"/>
        <v>353.83199999999999</v>
      </c>
      <c r="H54" s="20">
        <f t="shared" si="2"/>
        <v>2.6337773239894169E-2</v>
      </c>
      <c r="I54" s="29">
        <f t="shared" si="3"/>
        <v>6.2744733098400673E-2</v>
      </c>
      <c r="J54" s="14">
        <f t="shared" si="1"/>
        <v>0</v>
      </c>
      <c r="N54" t="s">
        <v>287</v>
      </c>
      <c r="O54" s="13">
        <v>41182</v>
      </c>
      <c r="P54" s="14">
        <v>0</v>
      </c>
    </row>
    <row r="55" spans="1:16">
      <c r="A55" s="11" t="s">
        <v>293</v>
      </c>
      <c r="B55" s="42">
        <v>41729</v>
      </c>
      <c r="C55" s="14">
        <v>116616</v>
      </c>
      <c r="D55" s="14">
        <v>81251</v>
      </c>
      <c r="E55" s="14">
        <v>13807</v>
      </c>
      <c r="F55" s="14">
        <v>82820</v>
      </c>
      <c r="G55" s="41">
        <f t="shared" si="0"/>
        <v>294.49400000000003</v>
      </c>
      <c r="H55" s="20">
        <f t="shared" si="2"/>
        <v>2.0896743463701073E-2</v>
      </c>
      <c r="I55" s="29">
        <f t="shared" si="3"/>
        <v>5.113858940621574E-2</v>
      </c>
      <c r="J55" s="14">
        <f t="shared" si="1"/>
        <v>0</v>
      </c>
      <c r="N55" t="s">
        <v>288</v>
      </c>
      <c r="O55" s="13">
        <v>41274</v>
      </c>
      <c r="P55" s="14">
        <v>0</v>
      </c>
    </row>
    <row r="56" spans="1:16">
      <c r="A56" s="11" t="s">
        <v>294</v>
      </c>
      <c r="B56" s="13">
        <v>41820</v>
      </c>
      <c r="C56" s="14">
        <v>94407</v>
      </c>
      <c r="D56" s="14">
        <v>106922</v>
      </c>
      <c r="E56" s="14">
        <v>19912</v>
      </c>
      <c r="F56" s="14">
        <v>96079</v>
      </c>
      <c r="G56" s="41">
        <f t="shared" si="0"/>
        <v>317.32</v>
      </c>
      <c r="H56" s="20">
        <f t="shared" si="2"/>
        <v>6.8057428412786614E-3</v>
      </c>
      <c r="I56" s="29">
        <f t="shared" si="3"/>
        <v>3.1524764832940255E-2</v>
      </c>
      <c r="J56" s="14">
        <f t="shared" si="1"/>
        <v>0</v>
      </c>
      <c r="N56" t="s">
        <v>289</v>
      </c>
      <c r="O56" s="13">
        <v>41364</v>
      </c>
      <c r="P56" s="14">
        <v>0</v>
      </c>
    </row>
    <row r="57" spans="1:16">
      <c r="A57" s="11" t="s">
        <v>396</v>
      </c>
      <c r="B57" s="13">
        <v>41912</v>
      </c>
      <c r="C57" s="14">
        <v>99002</v>
      </c>
      <c r="D57" s="14">
        <v>77589</v>
      </c>
      <c r="E57" s="14">
        <v>11424</v>
      </c>
      <c r="F57" s="14">
        <v>83836</v>
      </c>
      <c r="G57" s="41">
        <f t="shared" si="0"/>
        <v>271.851</v>
      </c>
      <c r="H57" s="20">
        <f t="shared" si="2"/>
        <v>2.350070968980722E-2</v>
      </c>
      <c r="I57" s="29">
        <f t="shared" si="3"/>
        <v>1.9385242308670281E-2</v>
      </c>
      <c r="J57" s="14">
        <f t="shared" si="1"/>
        <v>0</v>
      </c>
      <c r="N57" t="s">
        <v>290</v>
      </c>
      <c r="O57" s="13">
        <v>41455</v>
      </c>
      <c r="P57" s="14">
        <v>0</v>
      </c>
    </row>
    <row r="58" spans="1:16">
      <c r="A58" s="11" t="s">
        <v>397</v>
      </c>
      <c r="B58" s="13">
        <v>42004</v>
      </c>
      <c r="C58" s="14">
        <v>188032</v>
      </c>
      <c r="D58" s="14">
        <v>84231</v>
      </c>
      <c r="E58" s="14">
        <v>11715</v>
      </c>
      <c r="F58" s="14">
        <v>88977</v>
      </c>
      <c r="G58" s="41">
        <f t="shared" ref="G58:G121" si="4">SUM(C58:F58)/1000</f>
        <v>372.95499999999998</v>
      </c>
      <c r="H58" s="20">
        <f>IFERROR(G58/G54-1, "")</f>
        <v>5.4045422686472611E-2</v>
      </c>
      <c r="I58" s="29">
        <f>IFERROR(IF(H55&lt;&gt;-1, IF(H56&lt;&gt;-1, IF(H57&lt;&gt;-1, IF(H58&lt;&gt;-1, AVERAGE(H55:H58), ""), ""), ""), ""), "")</f>
        <v>2.6312154670314891E-2</v>
      </c>
      <c r="J58" s="14">
        <f t="shared" si="1"/>
        <v>0</v>
      </c>
      <c r="N58" t="s">
        <v>291</v>
      </c>
      <c r="O58" s="13">
        <v>41547</v>
      </c>
      <c r="P58" s="14">
        <v>0</v>
      </c>
    </row>
    <row r="59" spans="1:16">
      <c r="A59" s="11" t="s">
        <v>405</v>
      </c>
      <c r="B59" s="13">
        <v>42094</v>
      </c>
      <c r="C59" s="14">
        <v>119442</v>
      </c>
      <c r="D59" s="14">
        <v>86780</v>
      </c>
      <c r="E59" s="14">
        <v>13784</v>
      </c>
      <c r="F59" s="14">
        <v>86744</v>
      </c>
      <c r="G59" s="41">
        <f t="shared" si="4"/>
        <v>306.75</v>
      </c>
      <c r="H59" s="20">
        <f t="shared" ref="H59:H122" si="5">IFERROR(G59/G55-1, "")</f>
        <v>4.1617146699083785E-2</v>
      </c>
      <c r="I59" s="29">
        <f t="shared" ref="I59:I122" si="6">IFERROR(IF(H56&lt;&gt;-1, IF(H57&lt;&gt;-1, IF(H58&lt;&gt;-1, IF(H59&lt;&gt;-1, AVERAGE(H56:H59), ""), ""), ""), ""), "")</f>
        <v>3.1492255479160569E-2</v>
      </c>
      <c r="J59" s="14"/>
      <c r="K59" t="str">
        <f>IF(I81&lt;&gt;"", IF(I82&lt;&gt;"", (AVERAGE(I80:I82)), ""), "")</f>
        <v/>
      </c>
      <c r="N59" t="s">
        <v>292</v>
      </c>
      <c r="O59" s="13">
        <v>41639</v>
      </c>
      <c r="P59" s="14">
        <v>0</v>
      </c>
    </row>
    <row r="60" spans="1:16">
      <c r="B60" s="13"/>
      <c r="G60" s="41">
        <f t="shared" si="4"/>
        <v>0</v>
      </c>
      <c r="H60" s="20">
        <f t="shared" si="5"/>
        <v>-1</v>
      </c>
      <c r="I60" s="29" t="str">
        <f t="shared" si="6"/>
        <v/>
      </c>
      <c r="N60" t="s">
        <v>293</v>
      </c>
      <c r="O60" s="13">
        <v>41729</v>
      </c>
      <c r="P60" s="14">
        <v>0</v>
      </c>
    </row>
    <row r="61" spans="1:16">
      <c r="G61" s="41">
        <f t="shared" si="4"/>
        <v>0</v>
      </c>
      <c r="H61" s="20">
        <f t="shared" si="5"/>
        <v>-1</v>
      </c>
      <c r="I61" s="29" t="str">
        <f t="shared" si="6"/>
        <v/>
      </c>
      <c r="N61" t="s">
        <v>294</v>
      </c>
      <c r="O61" s="13">
        <v>41820</v>
      </c>
      <c r="P61" s="14">
        <v>0</v>
      </c>
    </row>
    <row r="62" spans="1:16">
      <c r="G62" s="41">
        <f t="shared" si="4"/>
        <v>0</v>
      </c>
      <c r="H62" s="20">
        <f t="shared" si="5"/>
        <v>-1</v>
      </c>
      <c r="I62" s="29" t="str">
        <f t="shared" si="6"/>
        <v/>
      </c>
      <c r="N62" t="s">
        <v>396</v>
      </c>
      <c r="O62" s="13">
        <v>41912</v>
      </c>
      <c r="P62" s="14">
        <v>0</v>
      </c>
    </row>
    <row r="63" spans="1:16">
      <c r="G63" s="41">
        <f t="shared" si="4"/>
        <v>0</v>
      </c>
      <c r="H63" s="20">
        <f t="shared" si="5"/>
        <v>-1</v>
      </c>
      <c r="I63" s="29" t="str">
        <f t="shared" si="6"/>
        <v/>
      </c>
      <c r="N63" t="s">
        <v>397</v>
      </c>
      <c r="O63" s="13">
        <v>42004</v>
      </c>
      <c r="P63" s="14">
        <v>0</v>
      </c>
    </row>
    <row r="64" spans="1:16">
      <c r="G64" s="41">
        <f t="shared" si="4"/>
        <v>0</v>
      </c>
      <c r="H64" s="20" t="str">
        <f t="shared" si="5"/>
        <v/>
      </c>
      <c r="I64" s="29" t="str">
        <f t="shared" si="6"/>
        <v/>
      </c>
      <c r="N64" t="s">
        <v>405</v>
      </c>
      <c r="O64" s="13">
        <v>42094</v>
      </c>
      <c r="P64" s="14">
        <v>0</v>
      </c>
    </row>
    <row r="65" spans="7:9">
      <c r="G65" s="41">
        <f t="shared" si="4"/>
        <v>0</v>
      </c>
      <c r="H65" s="20" t="str">
        <f t="shared" si="5"/>
        <v/>
      </c>
      <c r="I65" s="29" t="str">
        <f t="shared" si="6"/>
        <v/>
      </c>
    </row>
    <row r="66" spans="7:9">
      <c r="G66" s="41">
        <f t="shared" si="4"/>
        <v>0</v>
      </c>
      <c r="H66" s="20" t="str">
        <f t="shared" si="5"/>
        <v/>
      </c>
      <c r="I66" s="29" t="str">
        <f t="shared" si="6"/>
        <v/>
      </c>
    </row>
    <row r="67" spans="7:9">
      <c r="G67" s="41">
        <f t="shared" si="4"/>
        <v>0</v>
      </c>
      <c r="H67" s="20" t="str">
        <f t="shared" si="5"/>
        <v/>
      </c>
      <c r="I67" s="29" t="str">
        <f t="shared" si="6"/>
        <v/>
      </c>
    </row>
    <row r="68" spans="7:9">
      <c r="G68" s="41">
        <f t="shared" si="4"/>
        <v>0</v>
      </c>
      <c r="H68" s="20" t="str">
        <f t="shared" si="5"/>
        <v/>
      </c>
      <c r="I68" s="29" t="str">
        <f t="shared" si="6"/>
        <v/>
      </c>
    </row>
    <row r="69" spans="7:9">
      <c r="G69" s="41">
        <f t="shared" si="4"/>
        <v>0</v>
      </c>
      <c r="H69" s="20" t="str">
        <f t="shared" si="5"/>
        <v/>
      </c>
      <c r="I69" s="29" t="str">
        <f t="shared" si="6"/>
        <v/>
      </c>
    </row>
    <row r="70" spans="7:9">
      <c r="G70" s="41">
        <f t="shared" si="4"/>
        <v>0</v>
      </c>
      <c r="H70" s="20" t="str">
        <f t="shared" si="5"/>
        <v/>
      </c>
      <c r="I70" s="29" t="str">
        <f t="shared" si="6"/>
        <v/>
      </c>
    </row>
    <row r="71" spans="7:9">
      <c r="G71" s="41">
        <f t="shared" si="4"/>
        <v>0</v>
      </c>
      <c r="H71" s="20" t="str">
        <f t="shared" si="5"/>
        <v/>
      </c>
      <c r="I71" s="29" t="str">
        <f t="shared" si="6"/>
        <v/>
      </c>
    </row>
    <row r="72" spans="7:9">
      <c r="G72" s="41">
        <f t="shared" si="4"/>
        <v>0</v>
      </c>
      <c r="H72" s="20" t="str">
        <f t="shared" si="5"/>
        <v/>
      </c>
      <c r="I72" s="29" t="str">
        <f t="shared" si="6"/>
        <v/>
      </c>
    </row>
    <row r="73" spans="7:9">
      <c r="G73" s="41">
        <f t="shared" si="4"/>
        <v>0</v>
      </c>
      <c r="H73" s="20" t="str">
        <f t="shared" si="5"/>
        <v/>
      </c>
      <c r="I73" s="29" t="str">
        <f t="shared" si="6"/>
        <v/>
      </c>
    </row>
    <row r="74" spans="7:9">
      <c r="G74" s="41">
        <f t="shared" si="4"/>
        <v>0</v>
      </c>
      <c r="H74" s="20" t="str">
        <f t="shared" si="5"/>
        <v/>
      </c>
      <c r="I74" s="29" t="str">
        <f t="shared" si="6"/>
        <v/>
      </c>
    </row>
    <row r="75" spans="7:9">
      <c r="G75" s="41">
        <f t="shared" si="4"/>
        <v>0</v>
      </c>
      <c r="H75" s="20" t="str">
        <f t="shared" si="5"/>
        <v/>
      </c>
      <c r="I75" s="29" t="str">
        <f t="shared" si="6"/>
        <v/>
      </c>
    </row>
    <row r="76" spans="7:9">
      <c r="G76" s="41">
        <f t="shared" si="4"/>
        <v>0</v>
      </c>
      <c r="H76" s="20" t="str">
        <f t="shared" si="5"/>
        <v/>
      </c>
      <c r="I76" s="29" t="str">
        <f t="shared" si="6"/>
        <v/>
      </c>
    </row>
    <row r="77" spans="7:9">
      <c r="G77" s="41">
        <f t="shared" si="4"/>
        <v>0</v>
      </c>
      <c r="H77" s="20" t="str">
        <f t="shared" si="5"/>
        <v/>
      </c>
      <c r="I77" s="29" t="str">
        <f t="shared" si="6"/>
        <v/>
      </c>
    </row>
    <row r="78" spans="7:9">
      <c r="G78" s="41">
        <f t="shared" si="4"/>
        <v>0</v>
      </c>
      <c r="H78" s="20" t="str">
        <f t="shared" si="5"/>
        <v/>
      </c>
      <c r="I78" s="29" t="str">
        <f t="shared" si="6"/>
        <v/>
      </c>
    </row>
    <row r="79" spans="7:9">
      <c r="G79" s="41">
        <f t="shared" si="4"/>
        <v>0</v>
      </c>
      <c r="H79" s="20" t="str">
        <f t="shared" si="5"/>
        <v/>
      </c>
      <c r="I79" s="29" t="str">
        <f t="shared" si="6"/>
        <v/>
      </c>
    </row>
    <row r="80" spans="7:9">
      <c r="G80" s="41">
        <f t="shared" si="4"/>
        <v>0</v>
      </c>
      <c r="H80" s="20" t="str">
        <f t="shared" si="5"/>
        <v/>
      </c>
      <c r="I80" s="29" t="str">
        <f t="shared" si="6"/>
        <v/>
      </c>
    </row>
    <row r="81" spans="7:9">
      <c r="G81" s="41">
        <f t="shared" si="4"/>
        <v>0</v>
      </c>
      <c r="H81" s="20" t="str">
        <f t="shared" si="5"/>
        <v/>
      </c>
      <c r="I81" s="29" t="str">
        <f t="shared" si="6"/>
        <v/>
      </c>
    </row>
    <row r="82" spans="7:9">
      <c r="G82" s="41">
        <f t="shared" si="4"/>
        <v>0</v>
      </c>
      <c r="H82" s="20" t="str">
        <f t="shared" si="5"/>
        <v/>
      </c>
      <c r="I82" s="29" t="str">
        <f t="shared" si="6"/>
        <v/>
      </c>
    </row>
    <row r="83" spans="7:9">
      <c r="G83" s="41">
        <f t="shared" si="4"/>
        <v>0</v>
      </c>
      <c r="H83" s="20" t="str">
        <f t="shared" si="5"/>
        <v/>
      </c>
      <c r="I83" s="29" t="str">
        <f t="shared" si="6"/>
        <v/>
      </c>
    </row>
    <row r="84" spans="7:9">
      <c r="G84" s="41">
        <f t="shared" si="4"/>
        <v>0</v>
      </c>
      <c r="H84" s="20" t="str">
        <f t="shared" si="5"/>
        <v/>
      </c>
      <c r="I84" s="29" t="str">
        <f t="shared" si="6"/>
        <v/>
      </c>
    </row>
    <row r="85" spans="7:9">
      <c r="G85" s="41">
        <f t="shared" si="4"/>
        <v>0</v>
      </c>
      <c r="H85" s="20" t="str">
        <f t="shared" si="5"/>
        <v/>
      </c>
      <c r="I85" s="29" t="str">
        <f t="shared" si="6"/>
        <v/>
      </c>
    </row>
    <row r="86" spans="7:9">
      <c r="G86" s="41">
        <f t="shared" si="4"/>
        <v>0</v>
      </c>
      <c r="H86" s="20" t="str">
        <f t="shared" si="5"/>
        <v/>
      </c>
      <c r="I86" s="29" t="str">
        <f t="shared" si="6"/>
        <v/>
      </c>
    </row>
    <row r="87" spans="7:9">
      <c r="G87" s="41">
        <f t="shared" si="4"/>
        <v>0</v>
      </c>
      <c r="H87" s="20" t="str">
        <f t="shared" si="5"/>
        <v/>
      </c>
      <c r="I87" s="29" t="str">
        <f t="shared" si="6"/>
        <v/>
      </c>
    </row>
    <row r="88" spans="7:9">
      <c r="G88" s="41">
        <f t="shared" si="4"/>
        <v>0</v>
      </c>
      <c r="H88" s="20" t="str">
        <f t="shared" si="5"/>
        <v/>
      </c>
      <c r="I88" s="29" t="str">
        <f t="shared" si="6"/>
        <v/>
      </c>
    </row>
    <row r="89" spans="7:9">
      <c r="G89" s="41">
        <f t="shared" si="4"/>
        <v>0</v>
      </c>
      <c r="H89" s="20" t="str">
        <f t="shared" si="5"/>
        <v/>
      </c>
      <c r="I89" s="29" t="str">
        <f t="shared" si="6"/>
        <v/>
      </c>
    </row>
    <row r="90" spans="7:9">
      <c r="G90" s="41">
        <f t="shared" si="4"/>
        <v>0</v>
      </c>
      <c r="H90" s="20" t="str">
        <f t="shared" si="5"/>
        <v/>
      </c>
      <c r="I90" s="29" t="str">
        <f t="shared" si="6"/>
        <v/>
      </c>
    </row>
    <row r="91" spans="7:9">
      <c r="G91" s="41">
        <f t="shared" si="4"/>
        <v>0</v>
      </c>
      <c r="H91" s="20" t="str">
        <f t="shared" si="5"/>
        <v/>
      </c>
      <c r="I91" s="29" t="str">
        <f t="shared" si="6"/>
        <v/>
      </c>
    </row>
    <row r="92" spans="7:9">
      <c r="G92" s="41">
        <f t="shared" si="4"/>
        <v>0</v>
      </c>
      <c r="H92" s="20" t="str">
        <f t="shared" si="5"/>
        <v/>
      </c>
      <c r="I92" s="29" t="str">
        <f t="shared" si="6"/>
        <v/>
      </c>
    </row>
    <row r="93" spans="7:9">
      <c r="G93" s="41">
        <f t="shared" si="4"/>
        <v>0</v>
      </c>
      <c r="H93" s="20" t="str">
        <f t="shared" si="5"/>
        <v/>
      </c>
      <c r="I93" s="29" t="str">
        <f t="shared" si="6"/>
        <v/>
      </c>
    </row>
    <row r="94" spans="7:9">
      <c r="G94" s="41">
        <f t="shared" si="4"/>
        <v>0</v>
      </c>
      <c r="H94" s="20" t="str">
        <f t="shared" si="5"/>
        <v/>
      </c>
      <c r="I94" s="29" t="str">
        <f t="shared" si="6"/>
        <v/>
      </c>
    </row>
    <row r="95" spans="7:9">
      <c r="G95" s="41">
        <f t="shared" si="4"/>
        <v>0</v>
      </c>
      <c r="H95" s="20" t="str">
        <f t="shared" si="5"/>
        <v/>
      </c>
      <c r="I95" s="29" t="str">
        <f t="shared" si="6"/>
        <v/>
      </c>
    </row>
    <row r="96" spans="7:9">
      <c r="G96" s="41">
        <f t="shared" si="4"/>
        <v>0</v>
      </c>
      <c r="H96" s="20" t="str">
        <f t="shared" si="5"/>
        <v/>
      </c>
      <c r="I96" s="29" t="str">
        <f t="shared" si="6"/>
        <v/>
      </c>
    </row>
    <row r="97" spans="7:9">
      <c r="G97" s="41">
        <f t="shared" si="4"/>
        <v>0</v>
      </c>
      <c r="H97" s="20" t="str">
        <f t="shared" si="5"/>
        <v/>
      </c>
      <c r="I97" s="29" t="str">
        <f t="shared" si="6"/>
        <v/>
      </c>
    </row>
    <row r="98" spans="7:9">
      <c r="G98" s="41">
        <f t="shared" si="4"/>
        <v>0</v>
      </c>
      <c r="H98" s="20" t="str">
        <f t="shared" si="5"/>
        <v/>
      </c>
      <c r="I98" s="29" t="str">
        <f t="shared" si="6"/>
        <v/>
      </c>
    </row>
    <row r="99" spans="7:9">
      <c r="G99" s="41">
        <f t="shared" si="4"/>
        <v>0</v>
      </c>
      <c r="H99" s="20" t="str">
        <f t="shared" si="5"/>
        <v/>
      </c>
      <c r="I99" s="29" t="str">
        <f t="shared" si="6"/>
        <v/>
      </c>
    </row>
    <row r="100" spans="7:9">
      <c r="G100" s="41">
        <f t="shared" si="4"/>
        <v>0</v>
      </c>
      <c r="H100" s="20" t="str">
        <f t="shared" si="5"/>
        <v/>
      </c>
      <c r="I100" s="29" t="str">
        <f t="shared" si="6"/>
        <v/>
      </c>
    </row>
    <row r="101" spans="7:9">
      <c r="G101" s="41">
        <f t="shared" si="4"/>
        <v>0</v>
      </c>
      <c r="H101" s="20" t="str">
        <f t="shared" si="5"/>
        <v/>
      </c>
      <c r="I101" s="29" t="str">
        <f t="shared" si="6"/>
        <v/>
      </c>
    </row>
    <row r="102" spans="7:9">
      <c r="G102" s="41">
        <f t="shared" si="4"/>
        <v>0</v>
      </c>
      <c r="H102" s="20" t="str">
        <f t="shared" si="5"/>
        <v/>
      </c>
      <c r="I102" s="29" t="str">
        <f t="shared" si="6"/>
        <v/>
      </c>
    </row>
    <row r="103" spans="7:9">
      <c r="G103" s="41">
        <f t="shared" si="4"/>
        <v>0</v>
      </c>
      <c r="H103" s="20" t="str">
        <f t="shared" si="5"/>
        <v/>
      </c>
      <c r="I103" s="29" t="str">
        <f t="shared" si="6"/>
        <v/>
      </c>
    </row>
    <row r="104" spans="7:9">
      <c r="G104" s="41">
        <f t="shared" si="4"/>
        <v>0</v>
      </c>
      <c r="H104" s="20" t="str">
        <f t="shared" si="5"/>
        <v/>
      </c>
      <c r="I104" s="29" t="str">
        <f t="shared" si="6"/>
        <v/>
      </c>
    </row>
    <row r="105" spans="7:9">
      <c r="G105" s="41">
        <f t="shared" si="4"/>
        <v>0</v>
      </c>
      <c r="H105" s="20" t="str">
        <f t="shared" si="5"/>
        <v/>
      </c>
      <c r="I105" s="29" t="str">
        <f t="shared" si="6"/>
        <v/>
      </c>
    </row>
    <row r="106" spans="7:9">
      <c r="G106" s="41">
        <f t="shared" si="4"/>
        <v>0</v>
      </c>
      <c r="H106" s="20" t="str">
        <f t="shared" si="5"/>
        <v/>
      </c>
      <c r="I106" s="29" t="str">
        <f t="shared" si="6"/>
        <v/>
      </c>
    </row>
    <row r="107" spans="7:9">
      <c r="G107" s="41">
        <f t="shared" si="4"/>
        <v>0</v>
      </c>
      <c r="H107" s="20" t="str">
        <f t="shared" si="5"/>
        <v/>
      </c>
      <c r="I107" s="29" t="str">
        <f t="shared" si="6"/>
        <v/>
      </c>
    </row>
    <row r="108" spans="7:9">
      <c r="G108" s="41">
        <f t="shared" si="4"/>
        <v>0</v>
      </c>
      <c r="H108" s="20" t="str">
        <f t="shared" si="5"/>
        <v/>
      </c>
      <c r="I108" s="29" t="str">
        <f t="shared" si="6"/>
        <v/>
      </c>
    </row>
    <row r="109" spans="7:9">
      <c r="G109" s="41">
        <f t="shared" si="4"/>
        <v>0</v>
      </c>
      <c r="H109" s="20" t="str">
        <f t="shared" si="5"/>
        <v/>
      </c>
      <c r="I109" s="29" t="str">
        <f t="shared" si="6"/>
        <v/>
      </c>
    </row>
    <row r="110" spans="7:9">
      <c r="G110" s="41">
        <f t="shared" si="4"/>
        <v>0</v>
      </c>
      <c r="H110" s="20" t="str">
        <f t="shared" si="5"/>
        <v/>
      </c>
      <c r="I110" s="29" t="str">
        <f t="shared" si="6"/>
        <v/>
      </c>
    </row>
    <row r="111" spans="7:9">
      <c r="G111" s="41">
        <f t="shared" si="4"/>
        <v>0</v>
      </c>
      <c r="H111" s="20" t="str">
        <f t="shared" si="5"/>
        <v/>
      </c>
      <c r="I111" s="29" t="str">
        <f t="shared" si="6"/>
        <v/>
      </c>
    </row>
    <row r="112" spans="7:9">
      <c r="G112" s="41">
        <f t="shared" si="4"/>
        <v>0</v>
      </c>
      <c r="H112" s="20" t="str">
        <f t="shared" si="5"/>
        <v/>
      </c>
      <c r="I112" s="29" t="str">
        <f t="shared" si="6"/>
        <v/>
      </c>
    </row>
    <row r="113" spans="7:9">
      <c r="G113" s="41">
        <f t="shared" si="4"/>
        <v>0</v>
      </c>
      <c r="H113" s="20" t="str">
        <f t="shared" si="5"/>
        <v/>
      </c>
      <c r="I113" s="29" t="str">
        <f t="shared" si="6"/>
        <v/>
      </c>
    </row>
    <row r="114" spans="7:9">
      <c r="G114" s="41">
        <f t="shared" si="4"/>
        <v>0</v>
      </c>
      <c r="H114" s="20" t="str">
        <f t="shared" si="5"/>
        <v/>
      </c>
      <c r="I114" s="29" t="str">
        <f t="shared" si="6"/>
        <v/>
      </c>
    </row>
    <row r="115" spans="7:9">
      <c r="G115" s="41">
        <f t="shared" si="4"/>
        <v>0</v>
      </c>
      <c r="H115" s="20" t="str">
        <f t="shared" si="5"/>
        <v/>
      </c>
      <c r="I115" s="29" t="str">
        <f t="shared" si="6"/>
        <v/>
      </c>
    </row>
    <row r="116" spans="7:9">
      <c r="G116" s="41">
        <f t="shared" si="4"/>
        <v>0</v>
      </c>
      <c r="H116" s="20" t="str">
        <f t="shared" si="5"/>
        <v/>
      </c>
      <c r="I116" s="29" t="str">
        <f t="shared" si="6"/>
        <v/>
      </c>
    </row>
    <row r="117" spans="7:9">
      <c r="G117" s="41">
        <f t="shared" si="4"/>
        <v>0</v>
      </c>
      <c r="H117" s="20" t="str">
        <f t="shared" si="5"/>
        <v/>
      </c>
      <c r="I117" s="29" t="str">
        <f t="shared" si="6"/>
        <v/>
      </c>
    </row>
    <row r="118" spans="7:9">
      <c r="G118" s="41">
        <f t="shared" si="4"/>
        <v>0</v>
      </c>
      <c r="H118" s="20" t="str">
        <f t="shared" si="5"/>
        <v/>
      </c>
      <c r="I118" s="29" t="str">
        <f t="shared" si="6"/>
        <v/>
      </c>
    </row>
    <row r="119" spans="7:9">
      <c r="G119" s="41">
        <f t="shared" si="4"/>
        <v>0</v>
      </c>
      <c r="H119" s="20" t="str">
        <f t="shared" si="5"/>
        <v/>
      </c>
      <c r="I119" s="29" t="str">
        <f t="shared" si="6"/>
        <v/>
      </c>
    </row>
    <row r="120" spans="7:9">
      <c r="G120" s="41">
        <f t="shared" si="4"/>
        <v>0</v>
      </c>
      <c r="H120" s="20" t="str">
        <f t="shared" si="5"/>
        <v/>
      </c>
      <c r="I120" s="29" t="str">
        <f t="shared" si="6"/>
        <v/>
      </c>
    </row>
    <row r="121" spans="7:9">
      <c r="G121" s="41">
        <f t="shared" si="4"/>
        <v>0</v>
      </c>
      <c r="H121" s="20" t="str">
        <f t="shared" si="5"/>
        <v/>
      </c>
      <c r="I121" s="29" t="str">
        <f t="shared" si="6"/>
        <v/>
      </c>
    </row>
    <row r="122" spans="7:9">
      <c r="G122" s="41">
        <f t="shared" ref="G122:G126" si="7">SUM(C122:F122)/1000</f>
        <v>0</v>
      </c>
      <c r="H122" s="20" t="str">
        <f t="shared" si="5"/>
        <v/>
      </c>
      <c r="I122" s="29" t="str">
        <f t="shared" si="6"/>
        <v/>
      </c>
    </row>
    <row r="123" spans="7:9">
      <c r="G123" s="41">
        <f t="shared" si="7"/>
        <v>0</v>
      </c>
      <c r="H123" s="20" t="str">
        <f t="shared" ref="H123:H126" si="8">IFERROR(G123/G119-1, "")</f>
        <v/>
      </c>
      <c r="I123" s="29" t="str">
        <f t="shared" ref="I123:I126" si="9">IFERROR(IF(H120&lt;&gt;-1, IF(H121&lt;&gt;-1, IF(H122&lt;&gt;-1, IF(H123&lt;&gt;-1, AVERAGE(H120:H123), ""), ""), ""), ""), "")</f>
        <v/>
      </c>
    </row>
    <row r="124" spans="7:9">
      <c r="G124" s="41">
        <f t="shared" si="7"/>
        <v>0</v>
      </c>
      <c r="H124" s="20" t="str">
        <f t="shared" si="8"/>
        <v/>
      </c>
      <c r="I124" s="29" t="str">
        <f t="shared" si="9"/>
        <v/>
      </c>
    </row>
    <row r="125" spans="7:9">
      <c r="G125" s="41">
        <f t="shared" si="7"/>
        <v>0</v>
      </c>
      <c r="H125" s="20" t="str">
        <f t="shared" si="8"/>
        <v/>
      </c>
      <c r="I125" s="29" t="str">
        <f t="shared" si="9"/>
        <v/>
      </c>
    </row>
    <row r="126" spans="7:9">
      <c r="G126" s="41">
        <f t="shared" si="7"/>
        <v>0</v>
      </c>
      <c r="H126" s="20" t="str">
        <f t="shared" si="8"/>
        <v/>
      </c>
      <c r="I126" s="29" t="str">
        <f t="shared" si="9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zoomScale="85" zoomScaleNormal="85" workbookViewId="0">
      <selection activeCell="K60" sqref="K60"/>
    </sheetView>
  </sheetViews>
  <sheetFormatPr defaultRowHeight="15"/>
  <cols>
    <col min="1" max="2" width="9.140625" style="16"/>
    <col min="3" max="4" width="9.140625" style="115"/>
    <col min="5" max="6" width="9.140625" style="20"/>
  </cols>
  <sheetData>
    <row r="1" spans="1:16" s="19" customFormat="1">
      <c r="D1" s="114">
        <f ca="1">YEAR(TODAY())</f>
        <v>2015</v>
      </c>
      <c r="G1" s="19" t="s">
        <v>101</v>
      </c>
    </row>
    <row r="2" spans="1:16">
      <c r="C2" s="115" t="s">
        <v>103</v>
      </c>
      <c r="E2" s="20" t="s">
        <v>103</v>
      </c>
      <c r="G2" s="16" t="s">
        <v>102</v>
      </c>
      <c r="H2" s="16"/>
    </row>
    <row r="3" spans="1:16">
      <c r="C3" s="115" t="s">
        <v>104</v>
      </c>
      <c r="D3" s="115" t="s">
        <v>99</v>
      </c>
      <c r="E3" s="20" t="s">
        <v>104</v>
      </c>
      <c r="F3" s="20" t="s">
        <v>99</v>
      </c>
      <c r="G3" s="16" t="s">
        <v>100</v>
      </c>
      <c r="H3" s="16" t="s">
        <v>99</v>
      </c>
    </row>
    <row r="4" spans="1:16">
      <c r="A4" s="22" t="s">
        <v>272</v>
      </c>
      <c r="B4" s="22" t="s">
        <v>354</v>
      </c>
      <c r="C4" s="116"/>
      <c r="D4" s="116"/>
      <c r="E4" s="21" t="s">
        <v>107</v>
      </c>
      <c r="F4" s="21" t="s">
        <v>108</v>
      </c>
      <c r="G4" s="17" t="s">
        <v>105</v>
      </c>
      <c r="H4" s="17" t="s">
        <v>106</v>
      </c>
      <c r="I4" s="111" t="s">
        <v>361</v>
      </c>
    </row>
    <row r="5" spans="1:16">
      <c r="A5" s="16" t="s">
        <v>7</v>
      </c>
      <c r="E5" s="20" t="s">
        <v>111</v>
      </c>
      <c r="F5" s="20" t="s">
        <v>112</v>
      </c>
      <c r="G5" t="s">
        <v>109</v>
      </c>
      <c r="H5" t="s">
        <v>110</v>
      </c>
      <c r="I5" t="s">
        <v>360</v>
      </c>
    </row>
    <row r="6" spans="1:16">
      <c r="A6" s="16" t="s">
        <v>18</v>
      </c>
      <c r="E6" s="20" t="s">
        <v>20</v>
      </c>
      <c r="F6" s="20" t="s">
        <v>20</v>
      </c>
      <c r="G6" t="s">
        <v>20</v>
      </c>
      <c r="H6" t="s">
        <v>20</v>
      </c>
      <c r="I6" t="s">
        <v>353</v>
      </c>
    </row>
    <row r="7" spans="1:16">
      <c r="A7" s="16" t="s">
        <v>22</v>
      </c>
      <c r="E7" s="20" t="s">
        <v>402</v>
      </c>
      <c r="F7" s="20" t="s">
        <v>402</v>
      </c>
      <c r="G7" t="s">
        <v>364</v>
      </c>
      <c r="H7" t="s">
        <v>364</v>
      </c>
      <c r="I7" t="s">
        <v>404</v>
      </c>
    </row>
    <row r="8" spans="1:16">
      <c r="A8" s="16" t="s">
        <v>24</v>
      </c>
      <c r="B8" s="43">
        <v>27395</v>
      </c>
      <c r="C8" s="117" t="e">
        <f ca="1">IF(YEAR($B8)&lt;$D$1-1, #N/A, E8)</f>
        <v>#N/A</v>
      </c>
      <c r="D8" s="117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25</v>
      </c>
      <c r="B9" s="43">
        <v>27760</v>
      </c>
      <c r="C9" s="117" t="e">
        <f t="shared" ref="C9:C57" ca="1" si="0">IF(YEAR($B9)&lt;$D$1-1, #N/A, E9)</f>
        <v>#N/A</v>
      </c>
      <c r="D9" s="117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26</v>
      </c>
      <c r="B10" s="43">
        <v>28126</v>
      </c>
      <c r="C10" s="117" t="e">
        <f t="shared" ca="1" si="0"/>
        <v>#N/A</v>
      </c>
      <c r="D10" s="117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27</v>
      </c>
      <c r="B11" s="43">
        <v>28491</v>
      </c>
      <c r="C11" s="117" t="e">
        <f t="shared" ca="1" si="0"/>
        <v>#N/A</v>
      </c>
      <c r="D11" s="117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28</v>
      </c>
      <c r="B12" s="43">
        <v>28856</v>
      </c>
      <c r="C12" s="117" t="e">
        <f t="shared" ca="1" si="0"/>
        <v>#N/A</v>
      </c>
      <c r="D12" s="117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29</v>
      </c>
      <c r="B13" s="43">
        <v>29221</v>
      </c>
      <c r="C13" s="117" t="e">
        <f t="shared" ca="1" si="0"/>
        <v>#N/A</v>
      </c>
      <c r="D13" s="117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30</v>
      </c>
      <c r="B14" s="43">
        <v>29587</v>
      </c>
      <c r="C14" s="117" t="e">
        <f t="shared" ca="1" si="0"/>
        <v>#N/A</v>
      </c>
      <c r="D14" s="117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31</v>
      </c>
      <c r="B15" s="43">
        <v>29952</v>
      </c>
      <c r="C15" s="117" t="e">
        <f t="shared" ca="1" si="0"/>
        <v>#N/A</v>
      </c>
      <c r="D15" s="117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32</v>
      </c>
      <c r="B16" s="43">
        <v>30317</v>
      </c>
      <c r="C16" s="117" t="e">
        <f t="shared" ca="1" si="0"/>
        <v>#N/A</v>
      </c>
      <c r="D16" s="117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33</v>
      </c>
      <c r="B17" s="43">
        <v>30682</v>
      </c>
      <c r="C17" s="117" t="e">
        <f t="shared" ca="1" si="0"/>
        <v>#N/A</v>
      </c>
      <c r="D17" s="117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34</v>
      </c>
      <c r="B18" s="43">
        <v>31048</v>
      </c>
      <c r="C18" s="117" t="e">
        <f t="shared" ca="1" si="0"/>
        <v>#N/A</v>
      </c>
      <c r="D18" s="117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35</v>
      </c>
      <c r="B19" s="43">
        <v>31413</v>
      </c>
      <c r="C19" s="117" t="e">
        <f t="shared" ca="1" si="0"/>
        <v>#N/A</v>
      </c>
      <c r="D19" s="117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36</v>
      </c>
      <c r="B20" s="43">
        <v>31778</v>
      </c>
      <c r="C20" s="117" t="e">
        <f t="shared" ca="1" si="0"/>
        <v>#N/A</v>
      </c>
      <c r="D20" s="117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37</v>
      </c>
      <c r="B21" s="43">
        <v>32143</v>
      </c>
      <c r="C21" s="117" t="e">
        <f t="shared" ca="1" si="0"/>
        <v>#N/A</v>
      </c>
      <c r="D21" s="117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38</v>
      </c>
      <c r="B22" s="43">
        <v>32509</v>
      </c>
      <c r="C22" s="117" t="e">
        <f t="shared" ca="1" si="0"/>
        <v>#N/A</v>
      </c>
      <c r="D22" s="117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39</v>
      </c>
      <c r="B23" s="43">
        <v>32874</v>
      </c>
      <c r="C23" s="117" t="e">
        <f t="shared" ca="1" si="0"/>
        <v>#N/A</v>
      </c>
      <c r="D23" s="117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40</v>
      </c>
      <c r="B24" s="43">
        <v>33239</v>
      </c>
      <c r="C24" s="117" t="e">
        <f t="shared" ca="1" si="0"/>
        <v>#N/A</v>
      </c>
      <c r="D24" s="117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41</v>
      </c>
      <c r="B25" s="43">
        <v>33604</v>
      </c>
      <c r="C25" s="117" t="e">
        <f t="shared" ca="1" si="0"/>
        <v>#N/A</v>
      </c>
      <c r="D25" s="117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42</v>
      </c>
      <c r="B26" s="43">
        <v>33970</v>
      </c>
      <c r="C26" s="117" t="e">
        <f t="shared" ca="1" si="0"/>
        <v>#N/A</v>
      </c>
      <c r="D26" s="117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43</v>
      </c>
      <c r="B27" s="43">
        <v>34335</v>
      </c>
      <c r="C27" s="117" t="e">
        <f t="shared" ca="1" si="0"/>
        <v>#N/A</v>
      </c>
      <c r="D27" s="117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44</v>
      </c>
      <c r="B28" s="43">
        <v>34700</v>
      </c>
      <c r="C28" s="117" t="e">
        <f t="shared" ca="1" si="0"/>
        <v>#N/A</v>
      </c>
      <c r="D28" s="117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45</v>
      </c>
      <c r="B29" s="43">
        <v>35065</v>
      </c>
      <c r="C29" s="117" t="e">
        <f t="shared" ca="1" si="0"/>
        <v>#N/A</v>
      </c>
      <c r="D29" s="117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46</v>
      </c>
      <c r="B30" s="43">
        <v>35431</v>
      </c>
      <c r="C30" s="117" t="e">
        <f t="shared" ca="1" si="0"/>
        <v>#N/A</v>
      </c>
      <c r="D30" s="117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47</v>
      </c>
      <c r="B31" s="43">
        <v>35796</v>
      </c>
      <c r="C31" s="117" t="e">
        <f t="shared" ca="1" si="0"/>
        <v>#N/A</v>
      </c>
      <c r="D31" s="117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48</v>
      </c>
      <c r="B32" s="43">
        <v>36161</v>
      </c>
      <c r="C32" s="117" t="e">
        <f t="shared" ca="1" si="0"/>
        <v>#N/A</v>
      </c>
      <c r="D32" s="117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49</v>
      </c>
      <c r="B33" s="43">
        <v>36526</v>
      </c>
      <c r="C33" s="117" t="e">
        <f t="shared" ca="1" si="0"/>
        <v>#N/A</v>
      </c>
      <c r="D33" s="117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50</v>
      </c>
      <c r="B34" s="43">
        <v>36892</v>
      </c>
      <c r="C34" s="117" t="e">
        <f t="shared" ca="1" si="0"/>
        <v>#N/A</v>
      </c>
      <c r="D34" s="117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51</v>
      </c>
      <c r="B35" s="43">
        <v>37257</v>
      </c>
      <c r="C35" s="117" t="e">
        <f t="shared" ca="1" si="0"/>
        <v>#N/A</v>
      </c>
      <c r="D35" s="117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52</v>
      </c>
      <c r="B36" s="43">
        <v>37622</v>
      </c>
      <c r="C36" s="117" t="e">
        <f t="shared" ca="1" si="0"/>
        <v>#N/A</v>
      </c>
      <c r="D36" s="117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53</v>
      </c>
      <c r="B37" s="43">
        <v>37987</v>
      </c>
      <c r="C37" s="117" t="e">
        <f t="shared" ca="1" si="0"/>
        <v>#N/A</v>
      </c>
      <c r="D37" s="117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54</v>
      </c>
      <c r="B38" s="43">
        <v>38353</v>
      </c>
      <c r="C38" s="117" t="e">
        <f t="shared" ca="1" si="0"/>
        <v>#N/A</v>
      </c>
      <c r="D38" s="117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55</v>
      </c>
      <c r="B39" s="43">
        <v>38718</v>
      </c>
      <c r="C39" s="117" t="e">
        <f t="shared" ca="1" si="0"/>
        <v>#N/A</v>
      </c>
      <c r="D39" s="117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56</v>
      </c>
      <c r="B40" s="43">
        <v>39083</v>
      </c>
      <c r="C40" s="117" t="e">
        <f t="shared" ca="1" si="0"/>
        <v>#N/A</v>
      </c>
      <c r="D40" s="117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57</v>
      </c>
      <c r="B41" s="43">
        <v>39448</v>
      </c>
      <c r="C41" s="117" t="e">
        <f t="shared" ca="1" si="0"/>
        <v>#N/A</v>
      </c>
      <c r="D41" s="117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58</v>
      </c>
      <c r="B42" s="43">
        <v>39814</v>
      </c>
      <c r="C42" s="117" t="e">
        <f t="shared" ca="1" si="0"/>
        <v>#N/A</v>
      </c>
      <c r="D42" s="117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59</v>
      </c>
      <c r="B43" s="43">
        <v>40179</v>
      </c>
      <c r="C43" s="117" t="e">
        <f t="shared" ca="1" si="0"/>
        <v>#N/A</v>
      </c>
      <c r="D43" s="117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60</v>
      </c>
      <c r="B44" s="43">
        <v>40544</v>
      </c>
      <c r="C44" s="117" t="e">
        <f t="shared" ca="1" si="0"/>
        <v>#N/A</v>
      </c>
      <c r="D44" s="117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61</v>
      </c>
      <c r="B45" s="43">
        <v>40909</v>
      </c>
      <c r="C45" s="117" t="e">
        <f t="shared" ca="1" si="0"/>
        <v>#N/A</v>
      </c>
      <c r="D45" s="117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62</v>
      </c>
      <c r="B46" s="43">
        <v>41275</v>
      </c>
      <c r="C46" s="117" t="e">
        <f t="shared" ca="1" si="0"/>
        <v>#N/A</v>
      </c>
      <c r="D46" s="117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63</v>
      </c>
      <c r="B47" s="43">
        <v>41640</v>
      </c>
      <c r="C47" s="117">
        <f t="shared" ca="1" si="0"/>
        <v>17.5</v>
      </c>
      <c r="D47" s="117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64</v>
      </c>
      <c r="B48" s="43">
        <v>42005</v>
      </c>
      <c r="C48" s="117">
        <f t="shared" ca="1" si="0"/>
        <v>17.7</v>
      </c>
      <c r="D48" s="117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65</v>
      </c>
      <c r="B49" s="43">
        <v>42370</v>
      </c>
      <c r="C49" s="117">
        <f t="shared" ca="1" si="0"/>
        <v>18.399999999999999</v>
      </c>
      <c r="D49" s="117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66</v>
      </c>
      <c r="B50" s="43">
        <v>42736</v>
      </c>
      <c r="C50" s="117">
        <f t="shared" ca="1" si="0"/>
        <v>18.3</v>
      </c>
      <c r="D50" s="117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67</v>
      </c>
      <c r="B51" s="43">
        <v>43101</v>
      </c>
      <c r="C51" s="117">
        <f t="shared" ca="1" si="0"/>
        <v>18.100000000000001</v>
      </c>
      <c r="D51" s="117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68</v>
      </c>
      <c r="B52" s="43">
        <v>43466</v>
      </c>
      <c r="C52" s="117">
        <f t="shared" ca="1" si="0"/>
        <v>18.100000000000001</v>
      </c>
      <c r="D52" s="117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69</v>
      </c>
      <c r="B53" s="43">
        <v>43831</v>
      </c>
      <c r="C53" s="117">
        <f t="shared" ca="1" si="0"/>
        <v>18.100000000000001</v>
      </c>
      <c r="D53" s="117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70</v>
      </c>
      <c r="B54" s="43">
        <v>44197</v>
      </c>
      <c r="C54" s="117">
        <f t="shared" ca="1" si="0"/>
        <v>18.100000000000001</v>
      </c>
      <c r="D54" s="117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71</v>
      </c>
      <c r="B55" s="43">
        <v>44562</v>
      </c>
      <c r="C55" s="117">
        <f t="shared" ca="1" si="0"/>
        <v>18.100000000000001</v>
      </c>
      <c r="D55" s="117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72</v>
      </c>
      <c r="B56" s="43">
        <v>44927</v>
      </c>
      <c r="C56" s="117">
        <f t="shared" ca="1" si="0"/>
        <v>18.2</v>
      </c>
      <c r="D56" s="117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73</v>
      </c>
      <c r="B57" s="43">
        <v>45292</v>
      </c>
      <c r="C57" s="117">
        <f t="shared" ca="1" si="0"/>
        <v>18.2</v>
      </c>
      <c r="D57" s="117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2" zoomScale="70" zoomScaleNormal="70" workbookViewId="0">
      <selection activeCell="G4" sqref="G4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4">
        <f ca="1">YEAR(TODAY())</f>
        <v>2015</v>
      </c>
      <c r="F1" t="s">
        <v>130</v>
      </c>
      <c r="G1">
        <v>2014</v>
      </c>
    </row>
    <row r="2" spans="1:10">
      <c r="C2" s="19" t="s">
        <v>337</v>
      </c>
      <c r="D2" s="19"/>
    </row>
    <row r="3" spans="1:10">
      <c r="A3" s="22" t="s">
        <v>272</v>
      </c>
      <c r="B3" s="22" t="s">
        <v>354</v>
      </c>
      <c r="C3" s="45" t="s">
        <v>336</v>
      </c>
      <c r="D3" s="21" t="s">
        <v>338</v>
      </c>
      <c r="E3" s="21"/>
      <c r="F3" s="17"/>
      <c r="G3" s="111" t="s">
        <v>361</v>
      </c>
      <c r="I3" s="17"/>
      <c r="J3" s="17"/>
    </row>
    <row r="4" spans="1:10">
      <c r="A4" s="16" t="s">
        <v>7</v>
      </c>
      <c r="C4" s="19" t="s">
        <v>339</v>
      </c>
      <c r="D4" s="19" t="s">
        <v>340</v>
      </c>
      <c r="G4" t="s">
        <v>360</v>
      </c>
    </row>
    <row r="5" spans="1:10">
      <c r="A5" s="16" t="s">
        <v>18</v>
      </c>
      <c r="C5" s="19" t="s">
        <v>20</v>
      </c>
      <c r="D5" s="19" t="s">
        <v>20</v>
      </c>
      <c r="G5" t="s">
        <v>353</v>
      </c>
    </row>
    <row r="6" spans="1:10">
      <c r="A6" s="16" t="s">
        <v>22</v>
      </c>
      <c r="C6" s="19" t="s">
        <v>364</v>
      </c>
      <c r="D6" s="19" t="s">
        <v>409</v>
      </c>
      <c r="E6" s="20" t="s">
        <v>131</v>
      </c>
      <c r="F6" t="s">
        <v>132</v>
      </c>
      <c r="G6" t="s">
        <v>404</v>
      </c>
    </row>
    <row r="7" spans="1:10">
      <c r="A7" s="16" t="s">
        <v>24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25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26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27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28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29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30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31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32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33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34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35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36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37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38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39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40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41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42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43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44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45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46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47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48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49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50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51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52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53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54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55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56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57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58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59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60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61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62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63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64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65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66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67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68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69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70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71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72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73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43" workbookViewId="0">
      <selection activeCell="F3" sqref="F3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113</v>
      </c>
      <c r="E1" s="114">
        <f ca="1">YEAR(TODAY())</f>
        <v>2015</v>
      </c>
    </row>
    <row r="2" spans="1:7">
      <c r="A2" s="22" t="s">
        <v>272</v>
      </c>
      <c r="B2" s="22" t="s">
        <v>354</v>
      </c>
      <c r="C2" s="21" t="s">
        <v>114</v>
      </c>
      <c r="F2" s="111" t="s">
        <v>361</v>
      </c>
    </row>
    <row r="3" spans="1:7" ht="60">
      <c r="A3" s="20" t="s">
        <v>7</v>
      </c>
      <c r="C3" s="113" t="s">
        <v>115</v>
      </c>
      <c r="F3" t="s">
        <v>360</v>
      </c>
    </row>
    <row r="4" spans="1:7">
      <c r="A4" s="20" t="s">
        <v>18</v>
      </c>
      <c r="C4" t="s">
        <v>20</v>
      </c>
      <c r="F4" t="s">
        <v>353</v>
      </c>
    </row>
    <row r="5" spans="1:7">
      <c r="A5" s="20" t="s">
        <v>22</v>
      </c>
      <c r="C5" t="s">
        <v>409</v>
      </c>
      <c r="D5" t="s">
        <v>133</v>
      </c>
      <c r="E5" t="s">
        <v>134</v>
      </c>
      <c r="F5" t="s">
        <v>404</v>
      </c>
    </row>
    <row r="6" spans="1:7">
      <c r="A6" s="20" t="s">
        <v>24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25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26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27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28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29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30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31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32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33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34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35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36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37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38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39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40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41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42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43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44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45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46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47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48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49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50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51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52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53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54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55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56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57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58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59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60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61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62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63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ca="1" si="1"/>
        <v>74.099999999999994</v>
      </c>
      <c r="F45" s="14">
        <v>0</v>
      </c>
      <c r="G45" s="29">
        <f t="shared" si="2"/>
        <v>0</v>
      </c>
    </row>
    <row r="46" spans="1:7">
      <c r="A46" s="20" t="s">
        <v>64</v>
      </c>
      <c r="B46" s="43">
        <v>42005</v>
      </c>
      <c r="C46" s="23">
        <v>74.2</v>
      </c>
      <c r="D46" s="29" t="e">
        <f t="shared" si="0"/>
        <v>#N/A</v>
      </c>
      <c r="E46" s="31">
        <f t="shared" ca="1" si="1"/>
        <v>74.2</v>
      </c>
      <c r="F46" s="14">
        <v>0</v>
      </c>
      <c r="G46" s="29">
        <f t="shared" si="2"/>
        <v>0</v>
      </c>
    </row>
    <row r="47" spans="1:7">
      <c r="A47" s="20" t="s">
        <v>65</v>
      </c>
      <c r="B47" s="43">
        <v>42370</v>
      </c>
      <c r="C47" s="23">
        <v>73.8</v>
      </c>
      <c r="D47" s="29" t="e">
        <f t="shared" si="0"/>
        <v>#N/A</v>
      </c>
      <c r="E47" s="31">
        <f t="shared" ca="1" si="1"/>
        <v>73.8</v>
      </c>
      <c r="F47" s="14" t="e">
        <v>#N/A</v>
      </c>
      <c r="G47" s="29">
        <f t="shared" si="2"/>
        <v>0</v>
      </c>
    </row>
    <row r="48" spans="1:7">
      <c r="A48" s="20" t="s">
        <v>66</v>
      </c>
      <c r="B48" s="43">
        <v>42736</v>
      </c>
      <c r="C48" s="23">
        <v>73.2</v>
      </c>
      <c r="D48" s="29" t="e">
        <f t="shared" si="0"/>
        <v>#N/A</v>
      </c>
      <c r="E48" s="31">
        <f t="shared" ca="1" si="1"/>
        <v>73.2</v>
      </c>
      <c r="F48" s="14" t="e">
        <v>#N/A</v>
      </c>
      <c r="G48" s="29">
        <f t="shared" si="2"/>
        <v>0</v>
      </c>
    </row>
    <row r="49" spans="1:7">
      <c r="A49" s="20" t="s">
        <v>67</v>
      </c>
      <c r="B49" s="43">
        <v>43101</v>
      </c>
      <c r="C49" s="23">
        <v>72.900000000000006</v>
      </c>
      <c r="D49" s="29" t="e">
        <f t="shared" si="0"/>
        <v>#N/A</v>
      </c>
      <c r="E49" s="31">
        <f t="shared" ca="1" si="1"/>
        <v>72.900000000000006</v>
      </c>
      <c r="F49" s="14" t="e">
        <v>#N/A</v>
      </c>
      <c r="G49" s="29">
        <f t="shared" si="2"/>
        <v>0</v>
      </c>
    </row>
    <row r="50" spans="1:7">
      <c r="A50" s="20" t="s">
        <v>68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ca="1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69</v>
      </c>
      <c r="B51" s="43">
        <v>43831</v>
      </c>
      <c r="C51" s="23">
        <v>73.5</v>
      </c>
      <c r="D51" s="29" t="e">
        <f t="shared" si="0"/>
        <v>#N/A</v>
      </c>
      <c r="E51" s="31">
        <f t="shared" ca="1" si="1"/>
        <v>73.5</v>
      </c>
      <c r="F51" s="14" t="e">
        <v>#N/A</v>
      </c>
      <c r="G51" s="29">
        <f t="shared" si="2"/>
        <v>0</v>
      </c>
    </row>
    <row r="52" spans="1:7">
      <c r="A52" s="20" t="s">
        <v>70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71</v>
      </c>
      <c r="B53" s="43">
        <v>44562</v>
      </c>
      <c r="C53" s="23">
        <v>74.900000000000006</v>
      </c>
      <c r="D53" s="29" t="e">
        <f t="shared" si="0"/>
        <v>#N/A</v>
      </c>
      <c r="E53" s="31">
        <f t="shared" ca="1" si="1"/>
        <v>74.900000000000006</v>
      </c>
      <c r="F53" s="14" t="e">
        <v>#N/A</v>
      </c>
      <c r="G53" s="29">
        <f t="shared" si="2"/>
        <v>0</v>
      </c>
    </row>
    <row r="54" spans="1:7">
      <c r="A54" s="20" t="s">
        <v>72</v>
      </c>
      <c r="B54" s="43">
        <v>44927</v>
      </c>
      <c r="C54" s="23">
        <v>75.7</v>
      </c>
      <c r="D54" s="29" t="e">
        <f t="shared" si="0"/>
        <v>#N/A</v>
      </c>
      <c r="E54" s="31">
        <f t="shared" ca="1" si="1"/>
        <v>75.7</v>
      </c>
      <c r="F54" s="14" t="e">
        <v>#N/A</v>
      </c>
      <c r="G54" s="29">
        <f t="shared" si="2"/>
        <v>0</v>
      </c>
    </row>
    <row r="55" spans="1:7">
      <c r="A55" s="20" t="s">
        <v>73</v>
      </c>
      <c r="B55" s="43">
        <v>45292</v>
      </c>
      <c r="C55" s="23">
        <v>76.2</v>
      </c>
      <c r="D55" s="29" t="e">
        <f t="shared" si="0"/>
        <v>#N/A</v>
      </c>
      <c r="E55" s="31">
        <f t="shared" ca="1" si="1"/>
        <v>76.2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abSelected="1" topLeftCell="A22" workbookViewId="0">
      <selection activeCell="G7" sqref="G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173</v>
      </c>
      <c r="B1" s="1" t="s">
        <v>354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361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360</v>
      </c>
    </row>
    <row r="3" spans="1:14">
      <c r="A3" s="2" t="s">
        <v>16</v>
      </c>
      <c r="C3" s="6" t="s">
        <v>165</v>
      </c>
      <c r="D3" s="6" t="s">
        <v>166</v>
      </c>
      <c r="E3" s="6" t="s">
        <v>166</v>
      </c>
      <c r="F3" s="6" t="s">
        <v>166</v>
      </c>
      <c r="G3" s="59"/>
      <c r="H3" s="6" t="s">
        <v>365</v>
      </c>
      <c r="I3" s="7" t="s">
        <v>365</v>
      </c>
      <c r="M3" s="2" t="s">
        <v>362</v>
      </c>
    </row>
    <row r="4" spans="1:14">
      <c r="A4" s="2" t="s">
        <v>17</v>
      </c>
      <c r="C4" s="6" t="s">
        <v>418</v>
      </c>
      <c r="D4" s="6" t="s">
        <v>420</v>
      </c>
      <c r="E4" s="6" t="s">
        <v>420</v>
      </c>
      <c r="F4" s="6" t="s">
        <v>420</v>
      </c>
      <c r="G4" s="59"/>
      <c r="H4" s="6" t="s">
        <v>166</v>
      </c>
      <c r="I4" s="7" t="s">
        <v>166</v>
      </c>
      <c r="M4" s="2" t="s">
        <v>407</v>
      </c>
    </row>
    <row r="5" spans="1:14">
      <c r="A5" s="2" t="s">
        <v>18</v>
      </c>
      <c r="C5" s="6" t="s">
        <v>19</v>
      </c>
      <c r="D5" s="6" t="s">
        <v>20</v>
      </c>
      <c r="E5" s="6" t="s">
        <v>20</v>
      </c>
      <c r="F5" s="6" t="s">
        <v>20</v>
      </c>
      <c r="G5" s="59" t="s">
        <v>21</v>
      </c>
      <c r="H5" s="6" t="s">
        <v>20</v>
      </c>
      <c r="I5" s="7" t="s">
        <v>20</v>
      </c>
      <c r="M5" s="2" t="s">
        <v>353</v>
      </c>
    </row>
    <row r="6" spans="1:14">
      <c r="A6" s="2" t="s">
        <v>22</v>
      </c>
      <c r="C6" s="6" t="s">
        <v>417</v>
      </c>
      <c r="D6" s="6" t="s">
        <v>419</v>
      </c>
      <c r="E6" s="6" t="s">
        <v>419</v>
      </c>
      <c r="F6" s="6" t="s">
        <v>419</v>
      </c>
      <c r="G6" s="59"/>
      <c r="H6" s="6" t="s">
        <v>364</v>
      </c>
      <c r="I6" s="7" t="s">
        <v>364</v>
      </c>
      <c r="M6" s="2" t="s">
        <v>404</v>
      </c>
    </row>
    <row r="7" spans="1:14">
      <c r="A7" s="2" t="s">
        <v>23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24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25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26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27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28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29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30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31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32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33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34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35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36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37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38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39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40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41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42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43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44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45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46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47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48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49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50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51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52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53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54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55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56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57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58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59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60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61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62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63</v>
      </c>
      <c r="B47" s="46">
        <v>41640</v>
      </c>
      <c r="C47" s="47">
        <f>G47</f>
        <v>4.9000000000000004</v>
      </c>
      <c r="D47" s="48">
        <f>H47</f>
        <v>4.8979999999999997</v>
      </c>
      <c r="E47" s="48">
        <f>I47</f>
        <v>1.329</v>
      </c>
      <c r="F47" s="48">
        <f>J47</f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64</v>
      </c>
      <c r="B48" s="46">
        <v>42005</v>
      </c>
      <c r="C48" s="47">
        <v>5.2</v>
      </c>
      <c r="D48" s="48">
        <v>4.9000000000000004</v>
      </c>
      <c r="E48" s="48">
        <v>1.3</v>
      </c>
      <c r="F48" s="48">
        <v>9.1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65</v>
      </c>
      <c r="B49" s="46">
        <v>42370</v>
      </c>
      <c r="C49" s="47">
        <v>5.4</v>
      </c>
      <c r="D49" s="48">
        <v>4.9000000000000004</v>
      </c>
      <c r="E49" s="48">
        <v>1.5</v>
      </c>
      <c r="F49" s="48">
        <v>9.1999999999999993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66</v>
      </c>
      <c r="B50" s="46">
        <v>42736</v>
      </c>
      <c r="C50" s="47">
        <v>5.3</v>
      </c>
      <c r="D50" s="48">
        <v>4.9000000000000004</v>
      </c>
      <c r="E50" s="48">
        <v>1.7</v>
      </c>
      <c r="F50" s="48">
        <v>8.8000000000000007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67</v>
      </c>
      <c r="B51" s="46">
        <v>43101</v>
      </c>
      <c r="C51" s="47">
        <v>5.1999999999999993</v>
      </c>
      <c r="D51" s="48">
        <v>5</v>
      </c>
      <c r="E51" s="48">
        <v>2</v>
      </c>
      <c r="F51" s="48">
        <v>8.4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68</v>
      </c>
      <c r="B52" s="46">
        <v>43466</v>
      </c>
      <c r="C52" s="47">
        <v>5.4</v>
      </c>
      <c r="D52" s="48">
        <v>5.0999999999999996</v>
      </c>
      <c r="E52" s="48">
        <v>2.2000000000000002</v>
      </c>
      <c r="F52" s="48">
        <v>8.1999999999999993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69</v>
      </c>
      <c r="B53" s="46">
        <v>43831</v>
      </c>
      <c r="C53" s="47">
        <v>5.5</v>
      </c>
      <c r="D53" s="48">
        <v>5.2</v>
      </c>
      <c r="E53" s="48">
        <v>2.4</v>
      </c>
      <c r="F53" s="48">
        <v>8.1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70</v>
      </c>
      <c r="B54" s="46">
        <v>44197</v>
      </c>
      <c r="C54" s="47">
        <v>5.6</v>
      </c>
      <c r="D54" s="48">
        <v>5.3</v>
      </c>
      <c r="E54" s="48">
        <v>2.6</v>
      </c>
      <c r="F54" s="48">
        <v>7.9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71</v>
      </c>
      <c r="B55" s="46">
        <v>44562</v>
      </c>
      <c r="C55" s="47">
        <v>5.9</v>
      </c>
      <c r="D55" s="48">
        <v>5.4</v>
      </c>
      <c r="E55" s="48">
        <v>2.7</v>
      </c>
      <c r="F55" s="48">
        <v>7.9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72</v>
      </c>
      <c r="B56" s="46">
        <v>44927</v>
      </c>
      <c r="C56" s="47">
        <v>5.9</v>
      </c>
      <c r="D56" s="48">
        <v>5.5</v>
      </c>
      <c r="E56" s="48">
        <v>2.8</v>
      </c>
      <c r="F56" s="48">
        <v>7.6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73</v>
      </c>
      <c r="B57" s="46">
        <v>45292</v>
      </c>
      <c r="C57" s="47">
        <v>5.8</v>
      </c>
      <c r="D57" s="48">
        <v>5.6</v>
      </c>
      <c r="E57" s="48">
        <v>2.9</v>
      </c>
      <c r="F57" s="48">
        <v>7.4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74</v>
      </c>
      <c r="B58" s="46">
        <v>45658</v>
      </c>
      <c r="C58" s="47">
        <v>6.1</v>
      </c>
      <c r="D58" s="48">
        <v>5.7</v>
      </c>
      <c r="E58" s="48">
        <v>3</v>
      </c>
      <c r="F58" s="48">
        <v>7.4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75</v>
      </c>
      <c r="B59" s="46">
        <v>46023</v>
      </c>
      <c r="C59" s="47">
        <v>6.2</v>
      </c>
      <c r="D59" s="48">
        <v>5.8</v>
      </c>
      <c r="E59" s="48">
        <v>3.1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76</v>
      </c>
      <c r="B60" s="46">
        <v>46388</v>
      </c>
      <c r="C60" s="47">
        <v>6.3</v>
      </c>
      <c r="D60" s="48">
        <v>5.9</v>
      </c>
      <c r="E60" s="48">
        <v>3.2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77</v>
      </c>
      <c r="B61" s="46">
        <v>46753</v>
      </c>
      <c r="C61" s="47">
        <v>6.4</v>
      </c>
      <c r="D61" s="48">
        <v>5.9</v>
      </c>
      <c r="E61" s="48">
        <v>3.3</v>
      </c>
      <c r="F61" s="48">
        <v>7.3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78</v>
      </c>
      <c r="B62" s="46">
        <v>47119</v>
      </c>
      <c r="C62" s="47">
        <v>6.6</v>
      </c>
      <c r="D62" s="48">
        <v>6</v>
      </c>
      <c r="E62" s="48">
        <v>3.4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79</v>
      </c>
      <c r="B63" s="46">
        <v>47484</v>
      </c>
      <c r="C63" s="47">
        <v>6.8000000000000007</v>
      </c>
      <c r="D63" s="48">
        <v>6.1</v>
      </c>
      <c r="E63" s="48">
        <v>3.5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80</v>
      </c>
      <c r="B64" s="46">
        <v>47849</v>
      </c>
      <c r="C64" s="47">
        <v>6.9</v>
      </c>
      <c r="D64" s="48">
        <v>6.1</v>
      </c>
      <c r="E64" s="48">
        <v>3.6</v>
      </c>
      <c r="F64" s="48">
        <v>7.2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81</v>
      </c>
      <c r="B65" s="46">
        <v>48214</v>
      </c>
      <c r="C65" s="47">
        <v>7</v>
      </c>
      <c r="D65" s="48">
        <v>6.2</v>
      </c>
      <c r="E65" s="48">
        <v>3.7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82</v>
      </c>
      <c r="B66" s="46">
        <v>48580</v>
      </c>
      <c r="C66" s="47">
        <v>7.2</v>
      </c>
      <c r="D66" s="48">
        <v>6.2</v>
      </c>
      <c r="E66" s="48">
        <v>3.7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83</v>
      </c>
      <c r="B67" s="46">
        <v>48945</v>
      </c>
      <c r="C67" s="47">
        <v>7.3</v>
      </c>
      <c r="D67" s="48">
        <v>6.2</v>
      </c>
      <c r="E67" s="48">
        <v>3.8</v>
      </c>
      <c r="F67" s="48">
        <v>7.1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84</v>
      </c>
      <c r="B68" s="46">
        <v>49310</v>
      </c>
      <c r="C68" s="47">
        <v>7.4</v>
      </c>
      <c r="D68" s="48">
        <v>6.3</v>
      </c>
      <c r="E68" s="48">
        <v>3.9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8" workbookViewId="0">
      <selection activeCell="I39" sqref="I3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125</v>
      </c>
      <c r="B1" t="s">
        <v>331</v>
      </c>
      <c r="C1" t="s">
        <v>332</v>
      </c>
      <c r="D1" t="s">
        <v>352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2000</v>
      </c>
      <c r="C76" s="22" t="str">
        <f>IF(ISNUMBER('Change in Employment'!J83),TEXT('Change in Employment'!J83, "0"),"")</f>
        <v>4000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0</v>
      </c>
      <c r="C77" s="22" t="str">
        <f>IF(ISNUMBER('Change in Employment'!J84),TEXT('Change in Employment'!J84, "0"),"")</f>
        <v>1667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2" t="str">
        <f>IF(ISNUMBER('Change in Employment'!I85), TEXT('Change in Employment'!I85, "0"), "")</f>
        <v>13000</v>
      </c>
      <c r="C78" s="22" t="str">
        <f>IF(ISNUMBER('Change in Employment'!J85),TEXT('Change in Employment'!J85, "0"),"")</f>
        <v>5000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>05/01/2015</v>
      </c>
      <c r="B79" s="22" t="str">
        <f>IF(ISNUMBER('Change in Employment'!I86), TEXT('Change in Employment'!I86, "0"), "")</f>
        <v>15000</v>
      </c>
      <c r="C79" s="22" t="str">
        <f>IF(ISNUMBER('Change in Employment'!J86),TEXT('Change in Employment'!J86, "0"),"")</f>
        <v>9333</v>
      </c>
      <c r="D79" s="110">
        <f>IF(ISNUMBER('Change in Employment'!G86),'Change in Employment'!G86,"")</f>
        <v>0</v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52"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125</v>
      </c>
      <c r="B1" s="20" t="s">
        <v>331</v>
      </c>
      <c r="C1" s="20" t="s">
        <v>332</v>
      </c>
      <c r="D1" s="20" t="s">
        <v>352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-699.9999999998181</v>
      </c>
      <c r="C76" s="20" t="str">
        <f>IFERROR(IF(ISNUMBER('Change in Employment'!M83),TEXT('Change in Employment'!M83, "0"), ""), "")</f>
        <v>733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1699.9999999998181</v>
      </c>
      <c r="C77" s="20" t="str">
        <f>IFERROR(IF(ISNUMBER('Change in Employment'!M84),TEXT('Change in Employment'!M84, "0"), ""), "")</f>
        <v>1033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0">
        <f>IF(ISNUMBER('Change in Employment'!L85),'Change in Employment'!L85, "")</f>
        <v>1600.0000000003638</v>
      </c>
      <c r="C78" s="20" t="str">
        <f>IFERROR(IF(ISNUMBER('Change in Employment'!M85),TEXT('Change in Employment'!M85, "0"), ""), "")</f>
        <v>867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>05/01/2015</v>
      </c>
      <c r="B79" s="20">
        <f>IF(ISNUMBER('Change in Employment'!L86),'Change in Employment'!L86, "")</f>
        <v>3599.9999999999091</v>
      </c>
      <c r="C79" s="20" t="str">
        <f>IFERROR(IF(ISNUMBER('Change in Employment'!M86),TEXT('Change in Employment'!M86, "0"), ""), "")</f>
        <v>2300</v>
      </c>
      <c r="D79" s="110">
        <f>IF(ISNUMBER('Change in Employment'!G86),'Change in Employment'!G86,"")</f>
        <v>0</v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125</v>
      </c>
      <c r="B1" s="20" t="s">
        <v>330</v>
      </c>
      <c r="C1" s="20" t="s">
        <v>352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229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22" workbookViewId="0">
      <selection activeCell="C46" sqref="C46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125</v>
      </c>
      <c r="B1" t="s">
        <v>152</v>
      </c>
      <c r="C1" t="s">
        <v>352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0.057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0.063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0.063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0.051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0.032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0.019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0.026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>0.031</v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31" workbookViewId="0"/>
  </sheetViews>
  <sheetFormatPr defaultRowHeight="15"/>
  <cols>
    <col min="1" max="1" width="10.42578125" bestFit="1" customWidth="1"/>
  </cols>
  <sheetData>
    <row r="1" spans="1:6">
      <c r="A1" t="s">
        <v>125</v>
      </c>
      <c r="B1" t="s">
        <v>153</v>
      </c>
      <c r="C1" s="20" t="s">
        <v>154</v>
      </c>
      <c r="D1" t="s">
        <v>155</v>
      </c>
      <c r="E1" t="s">
        <v>156</v>
      </c>
      <c r="F1" s="20" t="s">
        <v>352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125</v>
      </c>
      <c r="B1" s="20" t="s">
        <v>157</v>
      </c>
      <c r="C1" s="20" t="s">
        <v>158</v>
      </c>
      <c r="D1" s="20" t="s">
        <v>352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125</v>
      </c>
      <c r="B1" s="20" t="s">
        <v>159</v>
      </c>
      <c r="C1" s="20" t="s">
        <v>333</v>
      </c>
      <c r="D1" t="s">
        <v>352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 ca="1"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73.20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72.90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73.50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74.90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75.70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125</v>
      </c>
      <c r="B1" s="20" t="s">
        <v>160</v>
      </c>
      <c r="C1" s="20" t="s">
        <v>164</v>
      </c>
      <c r="D1" s="20" t="s">
        <v>167</v>
      </c>
      <c r="E1" s="20" t="s">
        <v>162</v>
      </c>
      <c r="F1" s="20" t="s">
        <v>168</v>
      </c>
      <c r="G1" s="20" t="s">
        <v>163</v>
      </c>
      <c r="H1" s="20" t="s">
        <v>169</v>
      </c>
      <c r="I1" s="20" t="s">
        <v>161</v>
      </c>
      <c r="J1" t="s">
        <v>352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1.33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5.20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1.30</v>
      </c>
      <c r="E42" s="20" t="str">
        <f>IFERROR(IF(ISNUMBER('Spending by Category'!F48),TEXT('Spending by Category'!F48,"0.00"), ""), "")</f>
        <v>9.10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5.40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1.50</v>
      </c>
      <c r="E43" s="20" t="str">
        <f>IFERROR(IF(ISNUMBER('Spending by Category'!F49),TEXT('Spending by Category'!F49,"0.00"), ""), "")</f>
        <v>9.20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1.70</v>
      </c>
      <c r="E44" s="20" t="str">
        <f>IFERROR(IF(ISNUMBER('Spending by Category'!F50),TEXT('Spending by Category'!F50,"0.00"), ""), "")</f>
        <v>8.80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5.20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2.00</v>
      </c>
      <c r="E45" s="20" t="str">
        <f>IFERROR(IF(ISNUMBER('Spending by Category'!F51),TEXT('Spending by Category'!F51,"0.00"), ""), "")</f>
        <v>8.40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2.20</v>
      </c>
      <c r="E46" s="20" t="str">
        <f>IFERROR(IF(ISNUMBER('Spending by Category'!F52),TEXT('Spending by Category'!F52,"0.00"), ""), "")</f>
        <v>8.20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5.50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2.40</v>
      </c>
      <c r="E47" s="20" t="str">
        <f>IFERROR(IF(ISNUMBER('Spending by Category'!F53),TEXT('Spending by Category'!F53,"0.00"), ""), "")</f>
        <v>8.10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5.60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2.60</v>
      </c>
      <c r="E48" s="20" t="str">
        <f>IFERROR(IF(ISNUMBER('Spending by Category'!F54),TEXT('Spending by Category'!F54,"0.00"), ""), "")</f>
        <v>7.90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2.70</v>
      </c>
      <c r="E49" s="20" t="str">
        <f>IFERROR(IF(ISNUMBER('Spending by Category'!F55),TEXT('Spending by Category'!F55,"0.00"), ""), "")</f>
        <v>7.90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5.90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2.80</v>
      </c>
      <c r="E50" s="20" t="str">
        <f>IFERROR(IF(ISNUMBER('Spending by Category'!F56),TEXT('Spending by Category'!F56,"0.00"), ""), "")</f>
        <v>7.60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5.80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2.90</v>
      </c>
      <c r="E51" s="20" t="str">
        <f>IFERROR(IF(ISNUMBER('Spending by Category'!F57),TEXT('Spending by Category'!F57,"0.00"), ""), "")</f>
        <v>7.40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3.00</v>
      </c>
      <c r="E52" s="20" t="str">
        <f>IFERROR(IF(ISNUMBER('Spending by Category'!F58),TEXT('Spending by Category'!F58,"0.00"), ""), "")</f>
        <v>7.40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6.20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3.10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3.20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6.40</v>
      </c>
      <c r="C55" s="20" t="str">
        <f>IFERROR(IF(ISNUMBER('Spending by Category'!D61),TEXT('Spending by Category'!D61,"0.00"), ""), "")</f>
        <v>5.90</v>
      </c>
      <c r="D55" s="20" t="str">
        <f>IFERROR(IF(ISNUMBER('Spending by Category'!E61),TEXT('Spending by Category'!E61,"0.00"), ""), "")</f>
        <v>3.30</v>
      </c>
      <c r="E55" s="20" t="str">
        <f>IFERROR(IF(ISNUMBER('Spending by Category'!F61),TEXT('Spending by Category'!F61,"0.00"), ""), "")</f>
        <v>7.30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6.00</v>
      </c>
      <c r="D56" s="20" t="str">
        <f>IFERROR(IF(ISNUMBER('Spending by Category'!E62),TEXT('Spending by Category'!E62,"0.00"), ""), "")</f>
        <v>3.40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6.10</v>
      </c>
      <c r="D57" s="20" t="str">
        <f>IFERROR(IF(ISNUMBER('Spending by Category'!E63),TEXT('Spending by Category'!E63,"0.00"), ""), "")</f>
        <v>3.50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6.10</v>
      </c>
      <c r="D58" s="20" t="str">
        <f>IFERROR(IF(ISNUMBER('Spending by Category'!E64),TEXT('Spending by Category'!E64,"0.00"), ""), "")</f>
        <v>3.60</v>
      </c>
      <c r="E58" s="20" t="str">
        <f>IFERROR(IF(ISNUMBER('Spending by Category'!F64),TEXT('Spending by Category'!F64,"0.00"), ""), "")</f>
        <v>7.20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7.00</v>
      </c>
      <c r="C59" s="20" t="str">
        <f>IFERROR(IF(ISNUMBER('Spending by Category'!D65),TEXT('Spending by Category'!D65,"0.00"), ""), "")</f>
        <v>6.20</v>
      </c>
      <c r="D59" s="20" t="str">
        <f>IFERROR(IF(ISNUMBER('Spending by Category'!E65),TEXT('Spending by Category'!E65,"0.00"), ""), "")</f>
        <v>3.70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6.20</v>
      </c>
      <c r="D60" s="20" t="str">
        <f>IFERROR(IF(ISNUMBER('Spending by Category'!E66),TEXT('Spending by Category'!E66,"0.00"), ""), "")</f>
        <v>3.70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6.20</v>
      </c>
      <c r="D61" s="20" t="str">
        <f>IFERROR(IF(ISNUMBER('Spending by Category'!E67),TEXT('Spending by Category'!E67,"0.00"), ""), "")</f>
        <v>3.80</v>
      </c>
      <c r="E61" s="20" t="str">
        <f>IFERROR(IF(ISNUMBER('Spending by Category'!F67),TEXT('Spending by Category'!F67,"0.00"), ""), "")</f>
        <v>7.10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7.40</v>
      </c>
      <c r="C62" s="20" t="str">
        <f>IFERROR(IF(ISNUMBER('Spending by Category'!D68),TEXT('Spending by Category'!D68,"0.00"), ""), "")</f>
        <v>6.30</v>
      </c>
      <c r="D62" s="20" t="str">
        <f>IFERROR(IF(ISNUMBER('Spending by Category'!E68),TEXT('Spending by Category'!E68,"0.00"), ""), "")</f>
        <v>3.90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A0ECEE-95DF-439E-BB6B-4A198263CE85}"/>
</file>

<file path=customXml/itemProps2.xml><?xml version="1.0" encoding="utf-8"?>
<ds:datastoreItem xmlns:ds="http://schemas.openxmlformats.org/officeDocument/2006/customXml" ds:itemID="{77F07760-0C92-41A8-90A2-240D9AF007AE}"/>
</file>

<file path=customXml/itemProps3.xml><?xml version="1.0" encoding="utf-8"?>
<ds:datastoreItem xmlns:ds="http://schemas.openxmlformats.org/officeDocument/2006/customXml" ds:itemID="{214AF7F3-E81E-4D44-B9F0-D511E22DBA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2015-06-24T13:17:47Z</cp:lastPrinted>
  <dcterms:created xsi:type="dcterms:W3CDTF">2014-07-22T13:55:17Z</dcterms:created>
  <dcterms:modified xsi:type="dcterms:W3CDTF">2015-06-24T13:32:44Z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