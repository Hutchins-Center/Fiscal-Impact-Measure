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2-28-2017\"/>
    </mc:Choice>
  </mc:AlternateContent>
  <bookViews>
    <workbookView xWindow="0" yWindow="0" windowWidth="19200" windowHeight="11460" activeTab="3"/>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DQ11" i="5" l="1"/>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38" i="5"/>
  <c r="GE13" i="5"/>
  <c r="GE33" i="5"/>
  <c r="GE39" i="5"/>
  <c r="GE14" i="5"/>
  <c r="GE15" i="5"/>
  <c r="GE16" i="5"/>
  <c r="GE34" i="5"/>
  <c r="GE40" i="5"/>
  <c r="GE17" i="5"/>
  <c r="GE18" i="5"/>
  <c r="GE35" i="5"/>
  <c r="GE41" i="5"/>
  <c r="GE45" i="5"/>
  <c r="GE23" i="5"/>
  <c r="GE46" i="5"/>
  <c r="GE21" i="5"/>
  <c r="GE47" i="5"/>
  <c r="GE51" i="5"/>
  <c r="GE50" i="5"/>
  <c r="GE52" i="5"/>
  <c r="GE22" i="5"/>
  <c r="GE24" i="5"/>
  <c r="GE57" i="5"/>
  <c r="GE58" i="5"/>
  <c r="A66" i="20"/>
  <c r="G66" i="20"/>
  <c r="GF11" i="5"/>
  <c r="GF12" i="5"/>
  <c r="GF32" i="5"/>
  <c r="GF38" i="5"/>
  <c r="GF13" i="5"/>
  <c r="GF33" i="5"/>
  <c r="GF39" i="5"/>
  <c r="GF14" i="5"/>
  <c r="GF15" i="5"/>
  <c r="GF16" i="5"/>
  <c r="GF34" i="5"/>
  <c r="GF40" i="5"/>
  <c r="GF17" i="5"/>
  <c r="GF18" i="5"/>
  <c r="GF35" i="5"/>
  <c r="GF41" i="5"/>
  <c r="GF45" i="5"/>
  <c r="GF23" i="5"/>
  <c r="GF46" i="5"/>
  <c r="GF21" i="5"/>
  <c r="GF47" i="5"/>
  <c r="GF51" i="5"/>
  <c r="GF50" i="5"/>
  <c r="GF52" i="5"/>
  <c r="GF22" i="5"/>
  <c r="GF24" i="5"/>
  <c r="GF57" i="5"/>
  <c r="GF58" i="5"/>
  <c r="A67" i="20"/>
  <c r="G67" i="20"/>
  <c r="GG11" i="5"/>
  <c r="GG12" i="5"/>
  <c r="GG32" i="5"/>
  <c r="GG38" i="5"/>
  <c r="GG13" i="5"/>
  <c r="GG33" i="5"/>
  <c r="GG39" i="5"/>
  <c r="GG14" i="5"/>
  <c r="GG15" i="5"/>
  <c r="GG16" i="5"/>
  <c r="GG34" i="5"/>
  <c r="GG40" i="5"/>
  <c r="GG17" i="5"/>
  <c r="GG18" i="5"/>
  <c r="GG35" i="5"/>
  <c r="GG41" i="5"/>
  <c r="GG45" i="5"/>
  <c r="GG23" i="5"/>
  <c r="GG46" i="5"/>
  <c r="GG21" i="5"/>
  <c r="GG47" i="5"/>
  <c r="GG51" i="5"/>
  <c r="GG50" i="5"/>
  <c r="GG52" i="5"/>
  <c r="GG22" i="5"/>
  <c r="GG24" i="5"/>
  <c r="GG57" i="5"/>
  <c r="GG58" i="5"/>
  <c r="A68" i="20"/>
  <c r="G68" i="20"/>
  <c r="GH11" i="5"/>
  <c r="GH12" i="5"/>
  <c r="GH32" i="5"/>
  <c r="GH38" i="5"/>
  <c r="GH13" i="5"/>
  <c r="GH33" i="5"/>
  <c r="GH39" i="5"/>
  <c r="GH14" i="5"/>
  <c r="GH15" i="5"/>
  <c r="GH16" i="5"/>
  <c r="GH34" i="5"/>
  <c r="GH40" i="5"/>
  <c r="GH17" i="5"/>
  <c r="GH18" i="5"/>
  <c r="GH35" i="5"/>
  <c r="GH41" i="5"/>
  <c r="GH45" i="5"/>
  <c r="GH23" i="5"/>
  <c r="GH46" i="5"/>
  <c r="GH21" i="5"/>
  <c r="GH47" i="5"/>
  <c r="GH51" i="5"/>
  <c r="GH50" i="5"/>
  <c r="GH52" i="5"/>
  <c r="GH22" i="5"/>
  <c r="GH24" i="5"/>
  <c r="GH57" i="5"/>
  <c r="GH58"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GF59" i="5"/>
  <c r="D67" i="20"/>
  <c r="GG25" i="5"/>
  <c r="GG59" i="5"/>
  <c r="D68" i="20"/>
  <c r="GH25" i="5"/>
  <c r="GH59"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Q41" i="5"/>
  <c r="GP40" i="5"/>
  <c r="GK41" i="5"/>
  <c r="GO38" i="5"/>
  <c r="GN40" i="5"/>
  <c r="GT40" i="5"/>
  <c r="GK38" i="5"/>
  <c r="GT38" i="5"/>
  <c r="GK40" i="5"/>
  <c r="GR41" i="5"/>
  <c r="GS40" i="5"/>
  <c r="GO40" i="5"/>
  <c r="GI40" i="5"/>
  <c r="GQ40" i="5"/>
  <c r="GL41" i="5"/>
  <c r="GO41" i="5"/>
  <c r="GR38" i="5"/>
  <c r="GL38" i="5"/>
  <c r="GR40" i="5"/>
  <c r="GP38" i="5"/>
  <c r="GS38" i="5"/>
  <c r="GS41" i="5"/>
  <c r="GP41" i="5"/>
  <c r="GM40" i="5"/>
  <c r="GU40" i="5"/>
  <c r="GT41" i="5"/>
  <c r="GM41" i="5"/>
  <c r="GV40" i="5"/>
  <c r="GN41" i="5"/>
  <c r="GN38" i="5"/>
  <c r="GV38" i="5"/>
  <c r="GU38" i="5"/>
  <c r="GI38" i="5"/>
  <c r="GM38" i="5"/>
  <c r="GV41" i="5"/>
  <c r="GQ38" i="5"/>
  <c r="GJ35"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I45" i="5"/>
  <c r="GI46" i="5"/>
  <c r="GI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I51" i="5"/>
  <c r="GI52" i="5"/>
  <c r="GI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I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GI39"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GI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7"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<sst xmlns="http://schemas.openxmlformats.org/spreadsheetml/2006/main" count="962" uniqueCount="411">
  <si>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</si>
  <si>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</si>
  <si>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</si>
  <si>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</si>
  <si>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</si>
  <si>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</si>
  <si>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</si>
  <si>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</si>
  <si>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</si>
  <si>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</si>
  <si>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</si>
  <si>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</si>
  <si>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</si>
  <si>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</si>
  <si>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</si>
  <si>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</si>
  <si>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</si>
  <si>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</si>
  <si>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</si>
  <si>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</si>
  <si>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</si>
  <si>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</si>
  <si>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</si>
  <si>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</si>
  <si>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</si>
  <si>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</si>
  <si>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</si>
  <si>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</si>
  <si>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</si>
  <si>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</si>
  <si>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</si>
  <si>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</si>
  <si>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</si>
  <si>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</si>
  <si>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</si>
  <si>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</si>
  <si>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</si>
  <si>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</si>
  <si>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</si>
  <si>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</si>
  <si>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</si>
  <si>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</si>
  <si>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</si>
  <si>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</si>
  <si>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</si>
  <si>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</si>
  <si>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</si>
  <si>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</si>
  <si>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</si>
  <si>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</si>
  <si>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</si>
  <si>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</si>
  <si>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</si>
  <si>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</si>
  <si>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</si>
  <si>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</si>
  <si>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</si>
  <si>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</si>
  <si>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</si>
  <si>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</si>
  <si>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</si>
  <si>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</si>
  <si>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</si>
  <si>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</si>
  <si>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</si>
  <si>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</si>
  <si>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</si>
  <si>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</si>
  <si>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</si>
  <si>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</si>
  <si>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</si>
  <si>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</si>
  <si>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</si>
  <si>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</si>
  <si>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</si>
  <si>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</si>
  <si>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</si>
  <si>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</si>
  <si>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</si>
  <si>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</si>
  <si>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</si>
  <si>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</si>
  <si>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</si>
  <si>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</si>
  <si>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</si>
  <si>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</si>
  <si>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</si>
  <si>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</si>
  <si>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</si>
  <si>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</si>
  <si>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</si>
  <si>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</si>
  <si>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</si>
  <si>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</si>
  <si>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</si>
  <si>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</si>
  <si>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</si>
  <si>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</si>
  <si>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</si>
  <si>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</si>
  <si>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</si>
  <si>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</si>
  <si>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</si>
  <si>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</si>
  <si>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</si>
  <si>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</si>
  <si>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</si>
  <si>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</si>
  <si>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</si>
  <si>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</si>
  <si>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</si>
  <si>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</si>
  <si>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</si>
  <si>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</si>
  <si>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</si>
  <si>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</si>
  <si>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</si>
  <si>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</si>
  <si>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</si>
  <si>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</si>
  <si>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</si>
  <si>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</si>
  <si>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</si>
  <si>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</si>
  <si>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</si>
  <si>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</si>
  <si>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</si>
  <si>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</si>
  <si>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</si>
  <si>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</si>
  <si>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</si>
  <si>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</si>
  <si>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</si>
  <si>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</si>
  <si>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</si>
  <si>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</si>
  <si>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</si>
  <si>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</si>
  <si>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</si>
  <si>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</si>
  <si>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</si>
  <si>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</si>
  <si>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</si>
  <si>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</si>
  <si>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</si>
  <si>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</si>
  <si>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</si>
  <si>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</si>
  <si>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</si>
  <si>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</si>
  <si>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</si>
  <si>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</si>
  <si>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</si>
  <si>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</si>
  <si>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</si>
  <si>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</si>
  <si>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</si>
  <si>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</si>
  <si>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</si>
  <si>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</si>
  <si>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</si>
  <si>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</si>
  <si>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</si>
  <si>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</si>
  <si>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</si>
  <si>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</si>
  <si>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</si>
  <si>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</si>
  <si>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</si>
  <si>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</si>
  <si>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</si>
  <si>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</si>
  <si>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</si>
  <si>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</si>
  <si>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</si>
  <si>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</si>
  <si>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</si>
  <si>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</si>
  <si>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</si>
  <si>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</si>
  <si>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</si>
  <si>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</si>
  <si>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</si>
  <si>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</si>
  <si>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</si>
  <si>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</si>
  <si>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</si>
  <si>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</si>
  <si>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</si>
  <si>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</si>
  <si>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</si>
  <si>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</si>
  <si>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</si>
  <si>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</si>
  <si>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</si>
  <si>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</si>
  <si>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</si>
  <si>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</si>
  <si>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</si>
  <si>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</si>
  <si>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</si>
  <si>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</si>
  <si>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</si>
  <si>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</si>
  <si>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</si>
  <si>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</si>
  <si>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</si>
  <si>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</si>
  <si>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</si>
  <si>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</si>
  <si>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</si>
  <si>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</si>
  <si>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</si>
  <si>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</si>
  <si>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</si>
  <si>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</si>
  <si>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</si>
  <si>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</si>
  <si>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</si>
  <si>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</si>
  <si>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</si>
  <si>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</si>
  <si>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</si>
  <si>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</si>
  <si>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</si>
  <si>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</si>
  <si>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</si>
  <si>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</si>
  <si>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</si>
  <si>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</si>
  <si>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</si>
  <si>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</si>
  <si>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</si>
  <si>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</si>
  <si>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</si>
  <si>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</si>
  <si>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</si>
  <si>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</si>
  <si>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</si>
  <si>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</si>
  <si>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</si>
  <si>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</si>
  <si>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</si>
  <si>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</si>
  <si>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</si>
  <si>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</si>
  <si>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</si>
  <si>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</si>
  <si>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</si>
  <si>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</si>
  <si>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</si>
  <si>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</si>
  <si>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</si>
  <si>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</si>
  <si>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</si>
  <si>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</si>
  <si>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</si>
  <si>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</si>
  <si>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</si>
  <si>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</si>
  <si>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</si>
  <si>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</si>
  <si>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</si>
  <si>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</si>
  <si>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</si>
  <si>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</si>
  <si>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</si>
  <si>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</si>
  <si>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</si>
  <si>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</si>
  <si>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</si>
  <si>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</si>
  <si>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</si>
  <si>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</si>
  <si>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</si>
  <si>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</si>
  <si>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</si>
  <si>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</si>
  <si>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</si>
  <si>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</si>
  <si>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</si>
  <si>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</si>
  <si>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</si>
  <si>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</si>
  <si>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</si>
  <si>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</si>
  <si>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</si>
  <si>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</si>
  <si>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</si>
  <si>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</si>
  <si>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</si>
  <si>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</si>
  <si>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</si>
  <si>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</si>
  <si>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</si>
  <si>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</si>
  <si>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</si>
  <si>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</si>
  <si>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</si>
  <si>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</si>
  <si>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</si>
  <si>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</si>
  <si>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</si>
  <si>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</si>
  <si>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</si>
  <si>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</si>
  <si>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</si>
  <si>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</si>
  <si>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</si>
  <si>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</si>
  <si>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</si>
  <si>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</si>
  <si>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</si>
  <si>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</si>
  <si>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</si>
  <si>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</si>
  <si>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</si>
  <si>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</si>
  <si>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</si>
  <si>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</si>
  <si>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</si>
  <si>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</si>
  <si>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</si>
  <si>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</si>
  <si>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</si>
  <si>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</si>
  <si>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</si>
  <si>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</si>
  <si>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</si>
  <si>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</si>
  <si>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</si>
  <si>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</si>
  <si>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</si>
  <si>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</si>
  <si>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</si>
  <si>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</si>
  <si>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</si>
  <si>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</si>
  <si>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</si>
  <si>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</si>
  <si>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</si>
  <si>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</si>
  <si>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</si>
  <si>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</si>
  <si>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</si>
  <si>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</si>
  <si>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</si>
  <si>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</si>
  <si>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</si>
  <si>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</si>
  <si>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</si>
  <si>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</si>
  <si>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</si>
  <si>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</si>
  <si>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</si>
  <si>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</si>
  <si>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</si>
  <si>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</si>
  <si>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</si>
  <si>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</si>
  <si>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</si>
  <si>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</si>
  <si>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</si>
  <si>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</si>
  <si>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</si>
  <si>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</si>
  <si>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</si>
  <si>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</si>
  <si>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</si>
  <si>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</si>
  <si>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</si>
  <si>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</si>
  <si>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</si>
  <si>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</si>
  <si>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</si>
  <si>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</si>
  <si>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</si>
  <si>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</si>
  <si>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</si>
  <si>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</si>
  <si>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</si>
  <si>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</si>
  <si>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</si>
  <si>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</si>
  <si>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</si>
  <si>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</si>
  <si>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</si>
  <si>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</si>
  <si>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</si>
  <si>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</si>
  <si>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</si>
  <si>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</si>
  <si>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</si>
  <si>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</si>
  <si>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</si>
  <si>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</si>
  <si>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</si>
  <si>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Jan-03-2017 08:12</t>
  </si>
  <si>
    <t>Hutchins Center Fiscal Impact Measure</t>
  </si>
  <si>
    <t>impact</t>
  </si>
  <si>
    <t>recession</t>
  </si>
  <si>
    <t>total</t>
  </si>
  <si>
    <t>federal</t>
  </si>
  <si>
    <t>state_local</t>
  </si>
  <si>
    <t>consumption</t>
  </si>
  <si>
    <t>Source: Hutchins Center on Fiscal and Monetary Policy calculations from BEA data</t>
  </si>
  <si>
    <t>Feb-28-2017 08:37</t>
  </si>
  <si>
    <t>Feb-28-2017 08:31</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</si>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</sst>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fiscal_iFinal!$D$2:$D$69</c:f>
              <c:numCache>
                <c:formatCode>0.00</c:formatCode>
                <c:ptCount val="68"/>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8.0916102386833805E-2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6.3919105389060427E-2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fiscal_iFinal!$E$2:$E$69</c:f>
              <c:numCache>
                <c:formatCode>0.00</c:formatCode>
                <c:ptCount val="68"/>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val>
            <c:numRef>
              <c:f>fiscal_iFinal!$F$2:$F$69</c:f>
              <c:numCache>
                <c:formatCode>0.00</c:formatCode>
                <c:ptCount val="68"/>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0.14000000000000001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val>
            <c:numRef>
              <c:f>fiscal_iFinal!$G$2:$G$69</c:f>
              <c:numCache>
                <c:formatCode>0.00</c:formatCode>
                <c:ptCount val="68"/>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2.0916102386833807E-2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6.3919105389060427E-2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124810</xdr:colOff>
      <xdr:row>0</xdr:row>
      <xdr:rowOff>0</xdr:rowOff>
    </xdr:from>
    <xdr:to>
      <xdr:col>8</xdr:col>
      <xdr:colOff>597776</xdr:colOff>
      <xdr:row>20</xdr:row>
      <xdr:rowOff>105103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124811</xdr:colOff>
      <xdr:row>21</xdr:row>
      <xdr:rowOff>78827</xdr:rowOff>
    </xdr:from>
    <xdr:to>
      <xdr:col>8</xdr:col>
      <xdr:colOff>597777</xdr:colOff>
      <xdr:row>41</xdr:row>
      <xdr:rowOff>183930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85" activePane="bottomRight" state="frozen"/>
      <selection pane="topRight" activeCell="C1" sqref="C1"/>
      <selection pane="bottomLeft" activeCell="A7" sqref="A7"/>
      <selection pane="bottomRight" activeCell="V8" sqref="V8"/>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406</v>
      </c>
      <c r="D6" t="s">
        <v>406</v>
      </c>
      <c r="E6" t="s">
        <v>406</v>
      </c>
      <c r="F6" t="s">
        <v>406</v>
      </c>
      <c r="G6" t="s">
        <v>406</v>
      </c>
      <c r="H6" t="s">
        <v>406</v>
      </c>
      <c r="I6" t="s">
        <v>406</v>
      </c>
      <c r="J6" t="s">
        <v>406</v>
      </c>
      <c r="K6" t="s">
        <v>407</v>
      </c>
      <c r="L6" t="s">
        <v>407</v>
      </c>
      <c r="M6" t="s">
        <v>407</v>
      </c>
      <c r="N6" t="s">
        <v>406</v>
      </c>
      <c r="O6" t="s">
        <v>407</v>
      </c>
      <c r="P6" t="s">
        <v>407</v>
      </c>
      <c r="Q6" t="s">
        <v>396</v>
      </c>
      <c r="R6" t="s">
        <v>406</v>
      </c>
      <c r="S6" t="s">
        <v>397</v>
      </c>
      <c r="T6" t="s">
        <v>407</v>
      </c>
      <c r="U6" s="58" t="s">
        <v>407</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671.6</v>
      </c>
      <c r="D194" s="5">
        <v>582</v>
      </c>
      <c r="E194" s="5">
        <v>2753.4</v>
      </c>
      <c r="F194" s="5">
        <v>1998.3</v>
      </c>
      <c r="G194" s="5">
        <v>1267.5</v>
      </c>
      <c r="H194" s="5" t="e">
        <v>#N/A</v>
      </c>
      <c r="I194" s="5" t="e">
        <v>#N/A</v>
      </c>
      <c r="J194" s="5">
        <v>1273.5999999999999</v>
      </c>
      <c r="K194" s="5">
        <v>16804.099999999999</v>
      </c>
      <c r="L194" s="5">
        <v>11655</v>
      </c>
      <c r="M194" s="5">
        <v>12989.5</v>
      </c>
      <c r="N194" s="7">
        <v>1.1145</v>
      </c>
      <c r="O194" s="5">
        <v>18855.5</v>
      </c>
      <c r="P194" s="11">
        <v>0.06</v>
      </c>
      <c r="Q194" s="5">
        <v>16960.900000000001</v>
      </c>
      <c r="R194" s="5">
        <v>3305.7</v>
      </c>
      <c r="S194" s="48">
        <v>0</v>
      </c>
      <c r="T194" s="11">
        <v>-0.08</v>
      </c>
      <c r="U194" s="59">
        <v>0.14000000000000001</v>
      </c>
      <c r="V194" s="26"/>
      <c r="W194" s="5"/>
    </row>
    <row r="195" spans="1:23" x14ac:dyDescent="0.25">
      <c r="U195" s="58"/>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671.6</v>
      </c>
      <c r="GI11" t="e">
        <f>INDEX(HaverPull!$B:$XZ,MATCH(Calculations!GI$9,HaverPull!$B:$B,0),MATCH(Calculations!$B11,HaverPull!$B$1:$XZ$1,0))</f>
        <v>#N/A</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582</v>
      </c>
      <c r="GI12" t="e">
        <f>INDEX(HaverPull!$B:$XZ,MATCH(Calculations!GI$9,HaverPull!$B:$B,0),MATCH(Calculations!$B12,HaverPull!$B$1:$XZ$1,0))</f>
        <v>#N/A</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2753.4</v>
      </c>
      <c r="GI13" t="e">
        <f>INDEX(HaverPull!$B:$XZ,MATCH(Calculations!GI$9,HaverPull!$B:$B,0),MATCH(Calculations!$B13,HaverPull!$B$1:$XZ$1,0))</f>
        <v>#N/A</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1273.5999999999999</v>
      </c>
      <c r="GI14" t="e">
        <f>INDEX(HaverPull!$B:$XZ,MATCH(Calculations!GI$9,HaverPull!$B:$B,0),MATCH(Calculations!$B14,HaverPull!$B$1:$XZ$1,0))</f>
        <v>#N/A</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1998.3</v>
      </c>
      <c r="GI15" t="e">
        <f>INDEX(HaverPull!$B:$XZ,MATCH(Calculations!GI$9,HaverPull!$B:$B,0),MATCH(Calculations!$B15,HaverPull!$B$1:$XZ$1,0))</f>
        <v>#N/A</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1267.5</v>
      </c>
      <c r="GI16" t="e">
        <f>INDEX(HaverPull!$B:$XZ,MATCH(Calculations!GI$9,HaverPull!$B:$B,0),MATCH(Calculations!$B16,HaverPull!$B$1:$XZ$1,0))</f>
        <v>#N/A</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524.5</v>
      </c>
      <c r="GI17" t="e">
        <f>IFERROR(INDEX(HaverPull!$B:$XZ,MATCH(Calculations!GI$9,HaverPull!$B:$B,0),MATCH(Calculations!$B17,HaverPull!$B$1:$XZ$1,0)),INDEX(HaverPull!$B:$XZ,MATCH(Calculations!GH$9,HaverPull!$B:$B,0),MATCH(Calculations!$B17,HaverPull!$B$1:$XZ$1,0)))</f>
        <v>#N/A</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89.3</v>
      </c>
      <c r="GI18" t="e">
        <f>IFERROR(INDEX(HaverPull!$B:$XZ,MATCH(Calculations!GI$9,HaverPull!$B:$B,0),MATCH(Calculations!$B18,HaverPull!$B$1:$XZ$1,0)),INDEX(HaverPull!$B:$XZ,MATCH(Calculations!GH$9,HaverPull!$B:$B,0),MATCH(Calculations!$B18,HaverPull!$B$1:$XZ$1,0)))</f>
        <v>#N/A</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16804.099999999999</v>
      </c>
      <c r="GI19" t="e">
        <f>INDEX(HaverPull!$B:$XZ,MATCH(Calculations!GI$9,HaverPull!$B:$B,0),MATCH(Calculations!$B19,HaverPull!$B$1:$XZ$1,0))</f>
        <v>#N/A</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t="e">
        <f>INDEX(HaverPull!$B:$XZ,MATCH(Calculations!GI$9,HaverPull!$B:$B,0),MATCH(Calculations!$B20,HaverPull!$B$1:$XZ$1,0))</f>
        <v>#N/A</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11655</v>
      </c>
      <c r="GI21" t="e">
        <f>INDEX(HaverPull!$B:$XZ,MATCH(Calculations!GI$9,HaverPull!$B:$B,0),MATCH(Calculations!$B21,HaverPull!$B$1:$XZ$1,0))</f>
        <v>#N/A</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12989.5</v>
      </c>
      <c r="GI22" t="e">
        <f>INDEX(HaverPull!$B:$XZ,MATCH(Calculations!GI$9,HaverPull!$B:$B,0),MATCH(Calculations!$B22,HaverPull!$B$1:$XZ$1,0))</f>
        <v>#N/A</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1.1145</v>
      </c>
      <c r="GI23" t="e">
        <f>INDEX(HaverPull!$B:$XZ,MATCH(Calculations!GI$9,HaverPull!$B:$B,0),MATCH(Calculations!$B23,HaverPull!$B$1:$XZ$1,0))</f>
        <v>#N/A</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18855.5</v>
      </c>
      <c r="GI24" t="e">
        <f>INDEX(HaverPull!$B:$XZ,MATCH(Calculations!GI$9,HaverPull!$B:$B,0),MATCH(Calculations!$B24,HaverPull!$B$1:$XZ$1,0))</f>
        <v>#N/A</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0.06</v>
      </c>
      <c r="GI25" t="e">
        <f>INDEX(HaverPull!$B:$XZ,MATCH(Calculations!GI$9,HaverPull!$B:$B,0),MATCH(Calculations!$B25,HaverPull!$B$1:$XZ$1,0))</f>
        <v>#N/A</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3305.7</v>
      </c>
      <c r="GI26" t="e">
        <f>INDEX(HaverPull!$B:$XZ,MATCH(Calculations!GI$9,HaverPull!$B:$B,0),MATCH(Calculations!$B26,HaverPull!$B$1:$XZ$1,0))</f>
        <v>#N/A</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t="e">
        <f>INDEX(HaverPull!$B:$XZ,MATCH(Calculations!GI$9,HaverPull!$B:$B,0),MATCH(Calculations!$B27,HaverPull!$B$1:$XZ$1,0))</f>
        <v>#N/A</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t="e">
        <f t="shared" si="2"/>
        <v>#N/A</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t="e">
        <f t="shared" si="6"/>
        <v>#N/A</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1253.5999999999999</v>
      </c>
      <c r="GI32" t="e">
        <f t="shared" si="10"/>
        <v>#N/A</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1499.8000000000002</v>
      </c>
      <c r="GI33" t="e">
        <f t="shared" si="14"/>
        <v>#N/A</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4539.3999999999996</v>
      </c>
      <c r="GI34" t="e">
        <f t="shared" si="18"/>
        <v>#N/A</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435.2</v>
      </c>
      <c r="GI35" t="e">
        <f t="shared" si="22"/>
        <v>#N/A</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1105.6725000000001</v>
      </c>
      <c r="GI38" t="e">
        <f ca="1">IF(ISERROR(INDIRECT(ADDRESS(ROW(GI32),COLUMN(GI32)-3))),"n/a",IF(ISNUMBER(INDIRECT(ADDRESS(ROW(GI32),COLUMN(GI32)-3))),Calculations!$C$3*AVERAGE(GF32:GI32),"n/a"))</f>
        <v>#N/A</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str">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1344.2175</v>
      </c>
      <c r="GI39" t="e">
        <f ca="1">IF(ISERROR(INDIRECT(ADDRESS(ROW(GI33),COLUMN(GI33)-3))),"n/a",IF(ISNUMBER(INDIRECT(ADDRESS(ROW(GI33),COLUMN(GI33)-3))),Calculations!$C$4*AVERAGE(GF33:GI33),"n/a"))</f>
        <v>#N/A</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str">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-2669.9339999999997</v>
      </c>
      <c r="GI40" t="e">
        <f t="shared" ref="GI40" ca="1" si="40">IF(ISERROR(INDIRECT(ADDRESS(ROW(GI34),COLUMN(GI34)-7))),"n/a",IF(ISNUMBER(INDIRECT(ADDRESS(ROW(GI34),COLUMN(GI34)-7))),$C$5*($D$5*GI34+$E$5*GH34+$F$5*AVERAGE(GB34:GG34)),"n/a"))</f>
        <v>#N/A</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str">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-162.91333333333333</v>
      </c>
      <c r="GI41" t="e">
        <f ca="1">IF(ISERROR(INDIRECT(ADDRESS(ROW(GI35),COLUMN(GI35)-11))),"n/a",IF(ISNUMBER(INDIRECT(ADDRESS(ROW(GI35),COLUMN(GI35)-11))),Calculations!$C$6*AVERAGE(FX35:GI35),"n/a"))</f>
        <v>#N/A</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str">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-382.95733333333271</v>
      </c>
      <c r="GI45" t="e">
        <f t="shared" ca="1" si="60"/>
        <v>#N/A</v>
      </c>
      <c r="GJ45" t="e">
        <f t="shared" ca="1" si="60"/>
        <v>#N/A</v>
      </c>
      <c r="GK45" t="e">
        <f t="shared" ca="1" si="60"/>
        <v>#N/A</v>
      </c>
      <c r="GL45" t="str">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-343.6135785853142</v>
      </c>
      <c r="GI46" t="str">
        <f t="shared" ca="1" si="63"/>
        <v>n/a</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11998.613578585315</v>
      </c>
      <c r="GI47" t="str">
        <f t="shared" ca="1" si="67"/>
        <v>n/a</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3.0067837541849496</v>
      </c>
      <c r="GI50" t="str">
        <f t="shared" si="71"/>
        <v>n/a</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2.9764220336756964</v>
      </c>
      <c r="GI51" t="str">
        <f t="shared" ref="GI51" ca="1" si="89">IFERROR(((GI47/GH47)^4-1)*100, "n/a")</f>
        <v>n/a</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3.0361720509253232E-2</v>
      </c>
      <c r="GI52" t="str">
        <f t="shared" ca="1" si="109"/>
        <v>n/a</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t="str">
        <f t="shared" si="112"/>
        <v>n/a</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1.8565123963367958E-2</v>
      </c>
      <c r="GI54" t="str">
        <f t="shared" si="116"/>
        <v>n/a</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0.68889713876587733</v>
      </c>
      <c r="GI57" t="str">
        <f t="shared" si="120"/>
        <v>n/a</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2.0916102386833807E-2</v>
      </c>
      <c r="GI58" t="str">
        <f t="shared" ca="1" si="128"/>
        <v>n/a</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8.0916102386833805E-2</v>
      </c>
      <c r="GI59" s="35" t="str">
        <f t="shared" ca="1" si="131"/>
        <v>n/a</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0.17531754660443902</v>
      </c>
      <c r="GI62" t="e">
        <f t="shared" si="135"/>
        <v>#N/A</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t="str">
        <f t="shared" ref="GI63" si="150">IFERROR(GH62*GI53*100, "n/a")</f>
        <v>n/a</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0.32665146386527005</v>
      </c>
      <c r="GI64" s="30" t="str">
        <f t="shared" ref="GI64" si="177">IFERROR(GH62*GI54*100, "n/a")</f>
        <v>n/a</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6.3919105389060427E-2</v>
      </c>
      <c r="GI67" s="6">
        <f t="shared" ref="GI67" ca="1" si="209">IF(ISTEXT(GF59), "n/a", AVERAGE(GF59:GI59))</f>
        <v>-2.7043388314195598E-2</v>
      </c>
      <c r="GJ67" s="6">
        <f t="shared" ref="GJ67" ca="1" si="210">IF(ISTEXT(GG59), "n/a", AVERAGE(GG59:GJ59))</f>
        <v>8.1441558068035963E-2</v>
      </c>
      <c r="GK67" s="6">
        <f t="shared" ref="GK67" ca="1" si="211">IF(ISTEXT(GH59), "n/a", AVERAGE(GH59:GK59))</f>
        <v>8.0916102386833805E-2</v>
      </c>
      <c r="GL67" s="6" t="str">
        <f t="shared" ref="GL67" ca="1" si="212">IF(ISTEXT(GI59), "n/a", AVERAGE(GI59:GL59))</f>
        <v>n/a</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0.2821980912250473</v>
      </c>
      <c r="GJ68" s="6">
        <f t="shared" ref="GJ68" si="238">IF(ISTEXT(GG63), "n/a", AVERAGE(GG63:GJ63))</f>
        <v>0.28034057778085963</v>
      </c>
      <c r="GK68" s="6">
        <f t="shared" ref="GK68" si="239">IF(ISTEXT(GH63), "n/a", AVERAGE(GH63:GK63))</f>
        <v>0.27866921234195347</v>
      </c>
      <c r="GL68" s="6" t="str">
        <f t="shared" ref="GL68" si="240">IF(ISTEXT(GI63), "n/a", AVERAGE(GI63:GL63))</f>
        <v>n/a</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-0.22103950621580132</v>
      </c>
      <c r="GI69" s="6">
        <f t="shared" ca="1" si="258"/>
        <v>-0.30924147953924291</v>
      </c>
      <c r="GJ69" s="6">
        <f t="shared" ca="1" si="258"/>
        <v>-0.19889901971282367</v>
      </c>
      <c r="GK69" s="6">
        <f t="shared" ca="1" si="258"/>
        <v>-0.19775310995511966</v>
      </c>
      <c r="GL69" s="6" t="str">
        <f t="shared" ca="1" si="258"/>
        <v>n/a</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-0.24573536147843625</v>
      </c>
      <c r="GI70" s="6" t="str">
        <f t="shared" ca="1" si="265"/>
        <v>n/a</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tabSelected="1" view="pageBreakPreview" topLeftCell="A37" zoomScale="145" zoomScaleNormal="100" zoomScaleSheetLayoutView="145" zoomScalePageLayoutView="85" workbookViewId="0">
      <selection activeCell="J49" sqref="J49"/>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410</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408</v>
      </c>
      <c r="C47" s="79"/>
      <c r="D47" s="79"/>
      <c r="E47" s="80" t="s">
        <v>409</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9" workbookViewId="0">
      <selection activeCell="G69" sqref="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399</v>
      </c>
      <c r="C1" t="s">
        <v>400</v>
      </c>
      <c r="D1" t="s">
        <v>401</v>
      </c>
      <c r="E1" s="9" t="s">
        <v>402</v>
      </c>
      <c r="F1" s="9" t="s">
        <v>403</v>
      </c>
      <c r="G1" s="9" t="s">
        <v>404</v>
      </c>
      <c r="H1" s="9" t="s">
        <v>398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405</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6.3919105389060427E-2</v>
      </c>
      <c r="C69" s="66">
        <f>INDEX(Calculations!$1:$80, MATCH("RecessionDummy", Calculations!$B:$B, 0), MATCH(fiscal_iFinal!$A69, Calculations!$9:$9, 0))</f>
        <v>0</v>
      </c>
      <c r="D69" s="70">
        <f ca="1">INDEX(Calculations!$1:$80, MATCH("Fiscal_Impact_bars", Calculations!$B:$B, 0), MATCH(fiscal_iFinal!$A69, Calculations!$9:$9, 0))</f>
        <v>8.0916102386833805E-2</v>
      </c>
      <c r="E69" s="65">
        <f>INDEX(HaverPull!$B:$XZ,MATCH($A69,HaverPull!$B:$B,0),MATCH("Contribution to %Ch in Real GDP from ""Federal G""",HaverPull!$B$1:$XZ$1,0))</f>
        <v>-0.08</v>
      </c>
      <c r="F69" s="65">
        <f>INDEX(HaverPull!$B:$XZ,MATCH($A69,HaverPull!$B:$B,0),MATCH("Contribution to %Ch in Real GDP from ""S+L G""",HaverPull!$B$1:$XZ$1,0))</f>
        <v>0.14000000000000001</v>
      </c>
      <c r="G69" s="65">
        <f ca="1">INDEX(Calculations!$A:$GV,MATCH("Contribution of Consumption Growth to Real GDP",Calculations!B$1:B$71,0),MATCH($A69,Calculations!A$9:GV$9))</f>
        <v>2.0916102386833807E-2</v>
      </c>
    </row>
    <row r="70" spans="1:7" x14ac:dyDescent="0.25">
      <c r="A70" s="64"/>
      <c r="B70" s="65"/>
      <c r="C70" s="66"/>
      <c r="D70" s="65"/>
      <c r="E70" s="65"/>
      <c r="F70" s="65"/>
      <c r="G70" s="65"/>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EA8FB3D-D86B-4F22-9027-6AF136C383CB}"/>
</file>

<file path=customXml/itemProps2.xml><?xml version="1.0" encoding="utf-8"?>
<ds:datastoreItem xmlns:ds="http://schemas.openxmlformats.org/officeDocument/2006/customXml" ds:itemID="{043C54DB-5239-46C7-9382-4D4A25E3980F}"/>
</file>

<file path=customXml/itemProps3.xml><?xml version="1.0" encoding="utf-8"?>
<ds:datastoreItem xmlns:ds="http://schemas.openxmlformats.org/officeDocument/2006/customXml" ds:itemID="{C17831A8-7C85-43A3-AD23-C136C5FECE3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Peter Olson</cp:lastModifiedBy>
  <cp:lastPrinted>2017-02-28T15:28:33Z</cp:lastPrinted>
  <dcterms:created xsi:type="dcterms:W3CDTF">2014-09-08T20:08:32Z</dcterms:created>
  <dcterms:modified xsi:type="dcterms:W3CDTF">2017-02-28T15:31:41Z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