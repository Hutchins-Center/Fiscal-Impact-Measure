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8-30-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B2" i="20" l="1"/>
  <c r="B3" i="20"/>
  <c r="B4" i="20"/>
  <c r="B5" i="20"/>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2" i="20"/>
  <c r="G71" i="20" l="1"/>
  <c r="F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R122" i="21" s="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G70" i="20"/>
  <c r="F70" i="20"/>
  <c r="GI27" i="5"/>
  <c r="GI29" i="5" s="1"/>
  <c r="F4" i="20"/>
  <c r="G6" i="20"/>
  <c r="G7" i="20"/>
  <c r="G8" i="20"/>
  <c r="F10" i="20"/>
  <c r="F12" i="20"/>
  <c r="G14" i="20"/>
  <c r="G15" i="20"/>
  <c r="G16" i="20"/>
  <c r="F18" i="20"/>
  <c r="F20" i="20"/>
  <c r="G22" i="20"/>
  <c r="G23" i="20"/>
  <c r="G24" i="20"/>
  <c r="F26" i="20"/>
  <c r="F28" i="20"/>
  <c r="G30" i="20"/>
  <c r="G31" i="20"/>
  <c r="G32" i="20"/>
  <c r="F34" i="20"/>
  <c r="F36" i="20"/>
  <c r="G38" i="20"/>
  <c r="G39" i="20"/>
  <c r="G40" i="20"/>
  <c r="F42" i="20"/>
  <c r="F44" i="20"/>
  <c r="G46" i="20"/>
  <c r="G47" i="20"/>
  <c r="G48" i="20"/>
  <c r="F50" i="20"/>
  <c r="F52" i="20"/>
  <c r="G54" i="20"/>
  <c r="G55" i="20"/>
  <c r="G56" i="20"/>
  <c r="F58" i="20"/>
  <c r="F60" i="20"/>
  <c r="G62" i="20"/>
  <c r="G63" i="20"/>
  <c r="G64" i="20"/>
  <c r="F66" i="20"/>
  <c r="F68" i="20"/>
  <c r="G3" i="20"/>
  <c r="G4" i="20"/>
  <c r="G5" i="20"/>
  <c r="G9" i="20"/>
  <c r="G11" i="20"/>
  <c r="G12" i="20"/>
  <c r="G13" i="20"/>
  <c r="G17" i="20"/>
  <c r="G19" i="20"/>
  <c r="G20" i="20"/>
  <c r="G21" i="20"/>
  <c r="G25" i="20"/>
  <c r="G27" i="20"/>
  <c r="G28" i="20"/>
  <c r="G29" i="20"/>
  <c r="G33" i="20"/>
  <c r="G35" i="20"/>
  <c r="G36" i="20"/>
  <c r="G37" i="20"/>
  <c r="G41" i="20"/>
  <c r="G43" i="20"/>
  <c r="G44" i="20"/>
  <c r="G45" i="20"/>
  <c r="G49" i="20"/>
  <c r="G51" i="20"/>
  <c r="G52" i="20"/>
  <c r="G53" i="20"/>
  <c r="G57" i="20"/>
  <c r="G59" i="20"/>
  <c r="G60" i="20"/>
  <c r="G61" i="20"/>
  <c r="G65" i="20"/>
  <c r="G67" i="20"/>
  <c r="G68" i="20"/>
  <c r="G69" i="20"/>
  <c r="G2" i="20"/>
  <c r="F3" i="20"/>
  <c r="F5" i="20"/>
  <c r="F9" i="20"/>
  <c r="F11" i="20"/>
  <c r="F13" i="20"/>
  <c r="F17" i="20"/>
  <c r="F19" i="20"/>
  <c r="F21" i="20"/>
  <c r="F25" i="20"/>
  <c r="F27" i="20"/>
  <c r="F29" i="20"/>
  <c r="F33" i="20"/>
  <c r="F35" i="20"/>
  <c r="F37" i="20"/>
  <c r="F41" i="20"/>
  <c r="F43" i="20"/>
  <c r="F45" i="20"/>
  <c r="F49" i="20"/>
  <c r="F51" i="20"/>
  <c r="F53" i="20"/>
  <c r="F57" i="20"/>
  <c r="F59" i="20"/>
  <c r="F61" i="20"/>
  <c r="F65" i="20"/>
  <c r="F67" i="20"/>
  <c r="F69" i="20"/>
  <c r="F2" i="20"/>
  <c r="DT27" i="5"/>
  <c r="D3" i="20" s="1"/>
  <c r="DU27" i="5"/>
  <c r="D4" i="20" s="1"/>
  <c r="DV27" i="5"/>
  <c r="DV28" i="5" s="1"/>
  <c r="DW27" i="5"/>
  <c r="DX27" i="5"/>
  <c r="DY27" i="5"/>
  <c r="DZ27" i="5"/>
  <c r="EA27" i="5"/>
  <c r="EB27" i="5"/>
  <c r="D11" i="20" s="1"/>
  <c r="EC27" i="5"/>
  <c r="D12" i="20" s="1"/>
  <c r="ED27" i="5"/>
  <c r="EE27" i="5"/>
  <c r="EF27" i="5"/>
  <c r="EG27" i="5"/>
  <c r="EH27" i="5"/>
  <c r="D17" i="20" s="1"/>
  <c r="EI27" i="5"/>
  <c r="EJ27" i="5"/>
  <c r="D19" i="20" s="1"/>
  <c r="EK27" i="5"/>
  <c r="D20" i="20" s="1"/>
  <c r="EL27" i="5"/>
  <c r="EM27" i="5"/>
  <c r="EN27" i="5"/>
  <c r="EO27" i="5"/>
  <c r="EO28" i="5" s="1"/>
  <c r="EP27" i="5"/>
  <c r="EP29" i="5" s="1"/>
  <c r="EQ27" i="5"/>
  <c r="D26" i="20"/>
  <c r="ER27" i="5"/>
  <c r="ES27" i="5"/>
  <c r="ET27" i="5"/>
  <c r="EU27" i="5"/>
  <c r="D30" i="20" s="1"/>
  <c r="EV27" i="5"/>
  <c r="EW27" i="5"/>
  <c r="EW28" i="5" s="1"/>
  <c r="EX27" i="5"/>
  <c r="EX29" i="5" s="1"/>
  <c r="EY27" i="5"/>
  <c r="EY29" i="5" s="1"/>
  <c r="EZ27" i="5"/>
  <c r="D35" i="20" s="1"/>
  <c r="FA27" i="5"/>
  <c r="FB27" i="5"/>
  <c r="D37" i="20" s="1"/>
  <c r="FC27" i="5"/>
  <c r="D38" i="20" s="1"/>
  <c r="FD27" i="5"/>
  <c r="FD29" i="5" s="1"/>
  <c r="FE27" i="5"/>
  <c r="FF27" i="5"/>
  <c r="D41" i="20" s="1"/>
  <c r="FG27" i="5"/>
  <c r="FG29" i="5" s="1"/>
  <c r="FH27" i="5"/>
  <c r="FI27" i="5"/>
  <c r="D44" i="20" s="1"/>
  <c r="FJ27" i="5"/>
  <c r="D45" i="20" s="1"/>
  <c r="FK27" i="5"/>
  <c r="FL27" i="5"/>
  <c r="FM27" i="5"/>
  <c r="FM29" i="5" s="1"/>
  <c r="FN27" i="5"/>
  <c r="FN28" i="5" s="1"/>
  <c r="FO27" i="5"/>
  <c r="FO28" i="5" s="1"/>
  <c r="FP27" i="5"/>
  <c r="FP28" i="5" s="1"/>
  <c r="FQ27" i="5"/>
  <c r="D52" i="20" s="1"/>
  <c r="FR27" i="5"/>
  <c r="D53" i="20" s="1"/>
  <c r="FS27" i="5"/>
  <c r="FS28" i="5" s="1"/>
  <c r="FT27" i="5"/>
  <c r="FU27" i="5"/>
  <c r="FV27" i="5"/>
  <c r="FW27" i="5"/>
  <c r="D58" i="20" s="1"/>
  <c r="FX27" i="5"/>
  <c r="FX29" i="5" s="1"/>
  <c r="FY27" i="5"/>
  <c r="FZ27" i="5"/>
  <c r="GA27" i="5"/>
  <c r="GB27" i="5"/>
  <c r="D63" i="20" s="1"/>
  <c r="GC27" i="5"/>
  <c r="GD27" i="5"/>
  <c r="GD29" i="5" s="1"/>
  <c r="GE27" i="5"/>
  <c r="D66" i="20" s="1"/>
  <c r="GF27" i="5"/>
  <c r="GG27" i="5"/>
  <c r="GG28" i="5" s="1"/>
  <c r="GH27" i="5"/>
  <c r="DS27" i="5"/>
  <c r="D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E62" i="5" s="1"/>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FY54" i="5" s="1"/>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9"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E62" i="5" s="1"/>
  <c r="FF26" i="5"/>
  <c r="FG26" i="5"/>
  <c r="FG62" i="5" s="1"/>
  <c r="FH26" i="5"/>
  <c r="FI26" i="5"/>
  <c r="FJ26" i="5"/>
  <c r="FK26" i="5"/>
  <c r="FL26" i="5"/>
  <c r="FM26" i="5"/>
  <c r="FN26" i="5"/>
  <c r="FO26" i="5"/>
  <c r="FO62" i="5" s="1"/>
  <c r="FP26" i="5"/>
  <c r="FQ26" i="5"/>
  <c r="FR26" i="5"/>
  <c r="FS26" i="5"/>
  <c r="FT26" i="5"/>
  <c r="FU26" i="5"/>
  <c r="FV26" i="5"/>
  <c r="FW26" i="5"/>
  <c r="FW62" i="5" s="1"/>
  <c r="FX26" i="5"/>
  <c r="FX62" i="5" s="1"/>
  <c r="C67" i="5"/>
  <c r="D67" i="5"/>
  <c r="E67" i="5"/>
  <c r="E68" i="5"/>
  <c r="E69" i="5" s="1"/>
  <c r="D68" i="5"/>
  <c r="D69" i="5" s="1"/>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D57" i="5" s="1"/>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W50" i="5" s="1"/>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I50" i="5" s="1"/>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J53" i="5" s="1"/>
  <c r="DH20" i="5"/>
  <c r="DG20" i="5"/>
  <c r="DF20" i="5"/>
  <c r="DE20" i="5"/>
  <c r="DD20" i="5"/>
  <c r="DC20" i="5"/>
  <c r="DB20" i="5"/>
  <c r="DA20" i="5"/>
  <c r="CZ20" i="5"/>
  <c r="CY20" i="5"/>
  <c r="CX20" i="5"/>
  <c r="CW20" i="5"/>
  <c r="CV20" i="5"/>
  <c r="CU20" i="5"/>
  <c r="CT20" i="5"/>
  <c r="CS20" i="5"/>
  <c r="CT53" i="5" s="1"/>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P53" i="5" s="1"/>
  <c r="AN20" i="5"/>
  <c r="AM20" i="5"/>
  <c r="AL20" i="5"/>
  <c r="AK20" i="5"/>
  <c r="AJ20" i="5"/>
  <c r="AI20" i="5"/>
  <c r="AH20" i="5"/>
  <c r="AG20" i="5"/>
  <c r="AH53" i="5" s="1"/>
  <c r="AF20" i="5"/>
  <c r="AE20" i="5"/>
  <c r="AD20" i="5"/>
  <c r="AC20" i="5"/>
  <c r="AB20" i="5"/>
  <c r="AA20" i="5"/>
  <c r="Z20" i="5"/>
  <c r="Y20" i="5"/>
  <c r="X20" i="5"/>
  <c r="W20" i="5"/>
  <c r="V20" i="5"/>
  <c r="U20" i="5"/>
  <c r="T20" i="5"/>
  <c r="S20" i="5"/>
  <c r="R20" i="5"/>
  <c r="Q20" i="5"/>
  <c r="P20" i="5"/>
  <c r="O20" i="5"/>
  <c r="N20" i="5"/>
  <c r="M20" i="5"/>
  <c r="L20" i="5"/>
  <c r="K20" i="5"/>
  <c r="J20" i="5"/>
  <c r="I20" i="5"/>
  <c r="J53" i="5" s="1"/>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F54" i="5" s="1"/>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Z54" i="5" s="1"/>
  <c r="AX19" i="5"/>
  <c r="AW19" i="5"/>
  <c r="AV19" i="5"/>
  <c r="AU19" i="5"/>
  <c r="AT19" i="5"/>
  <c r="AS19" i="5"/>
  <c r="AR19" i="5"/>
  <c r="AQ19" i="5"/>
  <c r="AP19" i="5"/>
  <c r="AO19" i="5"/>
  <c r="AN19" i="5"/>
  <c r="AM19" i="5"/>
  <c r="AL19" i="5"/>
  <c r="AK19" i="5"/>
  <c r="AJ19" i="5"/>
  <c r="AI19" i="5"/>
  <c r="AH19" i="5"/>
  <c r="AG19" i="5"/>
  <c r="AF19" i="5"/>
  <c r="AE19" i="5"/>
  <c r="AD19" i="5"/>
  <c r="AC19" i="5"/>
  <c r="AB19" i="5"/>
  <c r="AA19" i="5"/>
  <c r="AB54" i="5" s="1"/>
  <c r="Z19" i="5"/>
  <c r="Y19" i="5"/>
  <c r="X19" i="5"/>
  <c r="W19" i="5"/>
  <c r="V19" i="5"/>
  <c r="U19" i="5"/>
  <c r="T19" i="5"/>
  <c r="U54" i="5" s="1"/>
  <c r="S19" i="5"/>
  <c r="T54" i="5" s="1"/>
  <c r="R19" i="5"/>
  <c r="Q19" i="5"/>
  <c r="P19" i="5"/>
  <c r="O19" i="5"/>
  <c r="N19" i="5"/>
  <c r="M19" i="5"/>
  <c r="L19" i="5"/>
  <c r="K19" i="5"/>
  <c r="J19" i="5"/>
  <c r="I19" i="5"/>
  <c r="I54" i="5" s="1"/>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AM62" i="5"/>
  <c r="CR62" i="5"/>
  <c r="EC29" i="5"/>
  <c r="EC28" i="5"/>
  <c r="EK28" i="5"/>
  <c r="DU29" i="5"/>
  <c r="DU28" i="5"/>
  <c r="ES28" i="5"/>
  <c r="FJ28" i="5"/>
  <c r="EN28" i="5"/>
  <c r="U29" i="5"/>
  <c r="F40" i="5"/>
  <c r="M41" i="5"/>
  <c r="J41" i="5"/>
  <c r="D41" i="5"/>
  <c r="GU40" i="5"/>
  <c r="GN38" i="5"/>
  <c r="E38" i="5"/>
  <c r="D40" i="5"/>
  <c r="H40" i="5"/>
  <c r="K41" i="5"/>
  <c r="D38" i="5"/>
  <c r="E40" i="5"/>
  <c r="GV40" i="5"/>
  <c r="C39" i="5"/>
  <c r="E39" i="5"/>
  <c r="GS40" i="5"/>
  <c r="C38" i="5"/>
  <c r="I40" i="5"/>
  <c r="GV38" i="5"/>
  <c r="F41" i="5"/>
  <c r="D39" i="5"/>
  <c r="GR40" i="5"/>
  <c r="GT38" i="5"/>
  <c r="L41" i="5"/>
  <c r="GO38" i="5"/>
  <c r="G41" i="5"/>
  <c r="H41" i="5"/>
  <c r="G40" i="5"/>
  <c r="GT40" i="5"/>
  <c r="C40" i="5"/>
  <c r="GU38" i="5"/>
  <c r="C41" i="5"/>
  <c r="I41" i="5"/>
  <c r="E41" i="5"/>
  <c r="F64" i="20" l="1"/>
  <c r="F56" i="20"/>
  <c r="F48" i="20"/>
  <c r="F40" i="20"/>
  <c r="F32" i="20"/>
  <c r="F24" i="20"/>
  <c r="F16" i="20"/>
  <c r="F8" i="20"/>
  <c r="F63" i="20"/>
  <c r="F55" i="20"/>
  <c r="F47" i="20"/>
  <c r="F39" i="20"/>
  <c r="F31" i="20"/>
  <c r="F23" i="20"/>
  <c r="F15" i="20"/>
  <c r="F7" i="20"/>
  <c r="D18" i="20"/>
  <c r="F62" i="20"/>
  <c r="F54" i="20"/>
  <c r="F46" i="20"/>
  <c r="F38" i="20"/>
  <c r="F30" i="20"/>
  <c r="F22" i="20"/>
  <c r="F14" i="20"/>
  <c r="F6" i="20"/>
  <c r="G66" i="20"/>
  <c r="G58" i="20"/>
  <c r="G50" i="20"/>
  <c r="G42" i="20"/>
  <c r="G34" i="20"/>
  <c r="G26" i="20"/>
  <c r="G18" i="20"/>
  <c r="G10" i="20"/>
  <c r="D54" i="20"/>
  <c r="D40" i="20"/>
  <c r="D23" i="20"/>
  <c r="D7" i="20"/>
  <c r="D22" i="20"/>
  <c r="CW62" i="5"/>
  <c r="M28" i="5"/>
  <c r="E28" i="5"/>
  <c r="CW29" i="5"/>
  <c r="DO62" i="5"/>
  <c r="N50" i="5"/>
  <c r="BQ28" i="5"/>
  <c r="BU29" i="5"/>
  <c r="AU62" i="5"/>
  <c r="CO28" i="5"/>
  <c r="AK57" i="5"/>
  <c r="BR62" i="5"/>
  <c r="EP53" i="5"/>
  <c r="BI28" i="5"/>
  <c r="CV29" i="5"/>
  <c r="BY29" i="5"/>
  <c r="T48" i="21"/>
  <c r="T16" i="21"/>
  <c r="BK62" i="5"/>
  <c r="BW28" i="5"/>
  <c r="ER54" i="5"/>
  <c r="ER64" i="5" s="1"/>
  <c r="BC62" i="5"/>
  <c r="BX29" i="5"/>
  <c r="DE28" i="5"/>
  <c r="T28" i="5"/>
  <c r="BZ62" i="5"/>
  <c r="FL53" i="5"/>
  <c r="BV29" i="5"/>
  <c r="C28" i="5"/>
  <c r="AD62" i="5"/>
  <c r="L29" i="5"/>
  <c r="M54" i="5"/>
  <c r="AC54" i="5"/>
  <c r="BA54" i="5"/>
  <c r="BQ54" i="5"/>
  <c r="CO54" i="5"/>
  <c r="EC54" i="5"/>
  <c r="FA54" i="5"/>
  <c r="FI54" i="5"/>
  <c r="AA53" i="5"/>
  <c r="AQ53" i="5"/>
  <c r="AY53" i="5"/>
  <c r="BO53" i="5"/>
  <c r="CM53" i="5"/>
  <c r="EA53" i="5"/>
  <c r="FW53" i="5"/>
  <c r="W50" i="5"/>
  <c r="AM50" i="5"/>
  <c r="BS50" i="5"/>
  <c r="CI50" i="5"/>
  <c r="D57" i="5"/>
  <c r="L57" i="5"/>
  <c r="W57" i="5"/>
  <c r="AE57" i="5"/>
  <c r="BA35" i="5"/>
  <c r="BQ35" i="5"/>
  <c r="T96" i="21"/>
  <c r="AJ57" i="5"/>
  <c r="AK28" i="5"/>
  <c r="DB29" i="5"/>
  <c r="CG29" i="5"/>
  <c r="AS29" i="5"/>
  <c r="CK32" i="5"/>
  <c r="AT54" i="5"/>
  <c r="BZ54" i="5"/>
  <c r="AC57" i="5"/>
  <c r="BI57" i="5"/>
  <c r="AT62" i="5"/>
  <c r="BG28" i="5"/>
  <c r="D28" i="5"/>
  <c r="CE28" i="5"/>
  <c r="FF29" i="5"/>
  <c r="EI28" i="5"/>
  <c r="DK28" i="5"/>
  <c r="R29" i="5"/>
  <c r="J57" i="5"/>
  <c r="BB62" i="5"/>
  <c r="CP62" i="5"/>
  <c r="BO29" i="5"/>
  <c r="DM28" i="5"/>
  <c r="AC29" i="5"/>
  <c r="DD29" i="5"/>
  <c r="Y54" i="5"/>
  <c r="BE54" i="5"/>
  <c r="CK54" i="5"/>
  <c r="CS54" i="5"/>
  <c r="CS64" i="5" s="1"/>
  <c r="DI54" i="5"/>
  <c r="FM54"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T64" i="5" s="1"/>
  <c r="AA62" i="5"/>
  <c r="AB64" i="5" s="1"/>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D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FI33" i="5"/>
  <c r="FN62" i="5"/>
  <c r="FV62" i="5"/>
  <c r="FJ29" i="5"/>
  <c r="EB32" i="5"/>
  <c r="EO29" i="5"/>
  <c r="BC28" i="5"/>
  <c r="AR57" i="5"/>
  <c r="CO62" i="5"/>
  <c r="R50" i="5"/>
  <c r="DS29" i="5"/>
  <c r="Z28" i="5"/>
  <c r="EZ29" i="5"/>
  <c r="DG50" i="5"/>
  <c r="H62" i="5"/>
  <c r="I64" i="5" s="1"/>
  <c r="AN62" i="5"/>
  <c r="AV62" i="5"/>
  <c r="AJ35" i="5"/>
  <c r="BX35" i="5"/>
  <c r="D32" i="20"/>
  <c r="D31" i="20"/>
  <c r="EV28" i="5"/>
  <c r="D10" i="20"/>
  <c r="EA28" i="5"/>
  <c r="EA29" i="5"/>
  <c r="EN29" i="5"/>
  <c r="EW54" i="5"/>
  <c r="D16" i="20"/>
  <c r="EG29" i="5"/>
  <c r="D9" i="20"/>
  <c r="DZ28" i="5"/>
  <c r="DZ29" i="5"/>
  <c r="T84" i="21"/>
  <c r="D15" i="20"/>
  <c r="EF29" i="5"/>
  <c r="EF28" i="5"/>
  <c r="GS29" i="5"/>
  <c r="GS28" i="5"/>
  <c r="BD62" i="5"/>
  <c r="BT62" i="5"/>
  <c r="CJ62" i="5"/>
  <c r="CZ62" i="5"/>
  <c r="D53" i="5"/>
  <c r="L53" i="5"/>
  <c r="T53" i="5"/>
  <c r="AB53" i="5"/>
  <c r="AJ53" i="5"/>
  <c r="AR53" i="5"/>
  <c r="AZ53" i="5"/>
  <c r="BH53" i="5"/>
  <c r="BP53" i="5"/>
  <c r="BX53" i="5"/>
  <c r="CF53" i="5"/>
  <c r="CN53" i="5"/>
  <c r="CV53" i="5"/>
  <c r="DD53" i="5"/>
  <c r="DL53" i="5"/>
  <c r="DT53" i="5"/>
  <c r="EJ53" i="5"/>
  <c r="ER53" i="5"/>
  <c r="ER63" i="5" s="1"/>
  <c r="EZ53" i="5"/>
  <c r="EZ63" i="5" s="1"/>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FQ62" i="5"/>
  <c r="FA62" i="5"/>
  <c r="EH28" i="5"/>
  <c r="AT28" i="5"/>
  <c r="G54" i="5"/>
  <c r="O54" i="5"/>
  <c r="O64" i="5" s="1"/>
  <c r="W54" i="5"/>
  <c r="AE54" i="5"/>
  <c r="AM54" i="5"/>
  <c r="AU54" i="5"/>
  <c r="BC54" i="5"/>
  <c r="BK54" i="5"/>
  <c r="BS54" i="5"/>
  <c r="BS64" i="5" s="1"/>
  <c r="CA54" i="5"/>
  <c r="CI54" i="5"/>
  <c r="CQ54" i="5"/>
  <c r="CY54" i="5"/>
  <c r="DG54" i="5"/>
  <c r="DO54" i="5"/>
  <c r="DW54" i="5"/>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BV64" i="5" s="1"/>
  <c r="CD54" i="5"/>
  <c r="CD64" i="5" s="1"/>
  <c r="CU54" i="5"/>
  <c r="DC54" i="5"/>
  <c r="DK54" i="5"/>
  <c r="DS54" i="5"/>
  <c r="DZ54" i="5"/>
  <c r="EY54" i="5"/>
  <c r="O53" i="5"/>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D39" i="20"/>
  <c r="CC34" i="5"/>
  <c r="AK62" i="5"/>
  <c r="BQ62" i="5"/>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N63" i="5" s="1"/>
  <c r="BU62" i="5"/>
  <c r="CK62" i="5"/>
  <c r="DA62" i="5"/>
  <c r="DI62" i="5"/>
  <c r="DJ63" i="5" s="1"/>
  <c r="DQ62" i="5"/>
  <c r="EZ62" i="5"/>
  <c r="ER62" i="5"/>
  <c r="EB62" i="5"/>
  <c r="O29" i="5"/>
  <c r="O28" i="5"/>
  <c r="AE29" i="5"/>
  <c r="AE28" i="5"/>
  <c r="DO28" i="5"/>
  <c r="DO29" i="5"/>
  <c r="D55" i="20"/>
  <c r="FT28" i="5"/>
  <c r="FT29" i="5"/>
  <c r="D33" i="20"/>
  <c r="EX28" i="5"/>
  <c r="FY62" i="5"/>
  <c r="BG54" i="5"/>
  <c r="CE54" i="5"/>
  <c r="GE53" i="5"/>
  <c r="T100" i="21"/>
  <c r="FX32" i="5"/>
  <c r="EM29" i="5"/>
  <c r="D27" i="20"/>
  <c r="ER29" i="5"/>
  <c r="ER28" i="5"/>
  <c r="CH34" i="5"/>
  <c r="CX34" i="5"/>
  <c r="Z57" i="5"/>
  <c r="AH57" i="5"/>
  <c r="AP57" i="5"/>
  <c r="AX57" i="5"/>
  <c r="BF57" i="5"/>
  <c r="BN57" i="5"/>
  <c r="BV57" i="5"/>
  <c r="DB57" i="5"/>
  <c r="DJ57" i="5"/>
  <c r="R62" i="5"/>
  <c r="BV62" i="5"/>
  <c r="D47" i="20"/>
  <c r="FL28" i="5"/>
  <c r="FL29" i="5"/>
  <c r="EQ29" i="5"/>
  <c r="EQ28" i="5"/>
  <c r="AI54" i="5"/>
  <c r="AH54" i="5"/>
  <c r="D71" i="20"/>
  <c r="GJ28" i="5"/>
  <c r="FS57" i="5"/>
  <c r="GJ29" i="5"/>
  <c r="DV32" i="5"/>
  <c r="AG54" i="5"/>
  <c r="AI62" i="5"/>
  <c r="AQ62" i="5"/>
  <c r="AY62" i="5"/>
  <c r="BG62" i="5"/>
  <c r="BH63" i="5" s="1"/>
  <c r="BO62" i="5"/>
  <c r="BW62" i="5"/>
  <c r="CE62" i="5"/>
  <c r="CM62" i="5"/>
  <c r="DC62" i="5"/>
  <c r="I28" i="5"/>
  <c r="I29" i="5"/>
  <c r="Q29" i="5"/>
  <c r="Q28" i="5"/>
  <c r="CK29" i="5"/>
  <c r="CK28" i="5"/>
  <c r="DA28" i="5"/>
  <c r="DA29" i="5"/>
  <c r="DQ29" i="5"/>
  <c r="DQ28" i="5"/>
  <c r="GK57" i="5"/>
  <c r="GQ28" i="5"/>
  <c r="GQ29" i="5"/>
  <c r="D46" i="20"/>
  <c r="FK28" i="5"/>
  <c r="FK29" i="5"/>
  <c r="EP54" i="5"/>
  <c r="BC53" i="5"/>
  <c r="BC63" i="5" s="1"/>
  <c r="BS53" i="5"/>
  <c r="BS63" i="5" s="1"/>
  <c r="CQ53" i="5"/>
  <c r="DO53" i="5"/>
  <c r="EU53" i="5"/>
  <c r="FS53" i="5"/>
  <c r="AY50" i="5"/>
  <c r="DC50" i="5"/>
  <c r="H57" i="5"/>
  <c r="BW57" i="5"/>
  <c r="DC57" i="5"/>
  <c r="DY62" i="5"/>
  <c r="EF33" i="5"/>
  <c r="GD50" i="5"/>
  <c r="R115" i="21"/>
  <c r="R58" i="21"/>
  <c r="T60" i="21"/>
  <c r="FT53" i="5"/>
  <c r="FT63" i="5" s="1"/>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AE63" i="5" s="1"/>
  <c r="CA53" i="5"/>
  <c r="CY53" i="5"/>
  <c r="DW53" i="5"/>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N64" i="5" s="1"/>
  <c r="AV54" i="5"/>
  <c r="BL54" i="5"/>
  <c r="BL64" i="5" s="1"/>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EI62" i="5"/>
  <c r="GN29" i="5"/>
  <c r="GN28" i="5"/>
  <c r="D51" i="20"/>
  <c r="FP29" i="5"/>
  <c r="EI57" i="5"/>
  <c r="FB57" i="5"/>
  <c r="BS28" i="5"/>
  <c r="G28" i="5"/>
  <c r="BX32" i="5"/>
  <c r="GU28" i="5"/>
  <c r="DU34" i="5"/>
  <c r="CQ28" i="5"/>
  <c r="C34" i="5"/>
  <c r="BO34" i="5"/>
  <c r="GM28" i="5"/>
  <c r="AD35" i="5"/>
  <c r="AL35" i="5"/>
  <c r="AT35" i="5"/>
  <c r="BB35" i="5"/>
  <c r="BJ35" i="5"/>
  <c r="BR35" i="5"/>
  <c r="BZ35" i="5"/>
  <c r="CH35" i="5"/>
  <c r="CP35" i="5"/>
  <c r="CX35" i="5"/>
  <c r="GS33" i="5"/>
  <c r="GO35" i="5"/>
  <c r="D34" i="20"/>
  <c r="EY28" i="5"/>
  <c r="FY33" i="5"/>
  <c r="T22" i="21"/>
  <c r="BW54" i="5"/>
  <c r="BU50" i="5"/>
  <c r="CI29" i="5"/>
  <c r="W53" i="5"/>
  <c r="AX28" i="5"/>
  <c r="AH29" i="5"/>
  <c r="CR33" i="5"/>
  <c r="CY29" i="5"/>
  <c r="FW54" i="5"/>
  <c r="C33" i="5"/>
  <c r="DT62" i="5"/>
  <c r="DW57" i="5"/>
  <c r="FT50" i="5"/>
  <c r="R57" i="21"/>
  <c r="EB53" i="5"/>
  <c r="EB63" i="5" s="1"/>
  <c r="DG29" i="5"/>
  <c r="AI34" i="5"/>
  <c r="AM28" i="5"/>
  <c r="DD50" i="5"/>
  <c r="FQ28" i="5"/>
  <c r="BK29" i="5"/>
  <c r="DJ33" i="5"/>
  <c r="BM34" i="5"/>
  <c r="FZ62" i="5"/>
  <c r="GK29" i="5"/>
  <c r="GK28" i="5"/>
  <c r="D70" i="20"/>
  <c r="GI28" i="5"/>
  <c r="EE50" i="5"/>
  <c r="ED50" i="5"/>
  <c r="EA34" i="5"/>
  <c r="FX33" i="5"/>
  <c r="R55" i="21"/>
  <c r="FW28" i="5"/>
  <c r="AV34" i="5"/>
  <c r="CZ34" i="5"/>
  <c r="AA34" i="5"/>
  <c r="BW34" i="5"/>
  <c r="AA50" i="5"/>
  <c r="AB50" i="5"/>
  <c r="I62" i="5"/>
  <c r="J63" i="5" s="1"/>
  <c r="BP62" i="5"/>
  <c r="BQ64" i="5" s="1"/>
  <c r="AQ54" i="5"/>
  <c r="DR54" i="5"/>
  <c r="DP53" i="5"/>
  <c r="CT28" i="5"/>
  <c r="FI28" i="5"/>
  <c r="AU28" i="5"/>
  <c r="AP32" i="5"/>
  <c r="BN33" i="5"/>
  <c r="Y34" i="5"/>
  <c r="AE62" i="5"/>
  <c r="BS62" i="5"/>
  <c r="BT64" i="5" s="1"/>
  <c r="DL50" i="5"/>
  <c r="CJ53" i="5"/>
  <c r="CT54" i="5"/>
  <c r="CP50" i="5"/>
  <c r="FF28" i="5"/>
  <c r="FQ29" i="5"/>
  <c r="EU29" i="5"/>
  <c r="FI29" i="5"/>
  <c r="BB50" i="5"/>
  <c r="BA28" i="5"/>
  <c r="CB32" i="5"/>
  <c r="D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D14" i="20"/>
  <c r="EE28" i="5"/>
  <c r="D8" i="20"/>
  <c r="DY28" i="5"/>
  <c r="FR57" i="5"/>
  <c r="FR62" i="5"/>
  <c r="DM53" i="5"/>
  <c r="CJ54" i="5"/>
  <c r="AX50" i="5"/>
  <c r="D13" i="20"/>
  <c r="ED28" i="5"/>
  <c r="EG57" i="5"/>
  <c r="DZ35" i="5"/>
  <c r="EE34" i="5"/>
  <c r="FB35" i="5"/>
  <c r="FG34" i="5"/>
  <c r="DP54" i="5"/>
  <c r="DP64" i="5" s="1"/>
  <c r="DQ54" i="5"/>
  <c r="E53" i="5"/>
  <c r="F53" i="5"/>
  <c r="CO53" i="5"/>
  <c r="CP53" i="5"/>
  <c r="DU53" i="5"/>
  <c r="DV53" i="5"/>
  <c r="FA53" i="5"/>
  <c r="FB53" i="5"/>
  <c r="M50" i="5"/>
  <c r="L50" i="5"/>
  <c r="CD62" i="5"/>
  <c r="DJ62" i="5"/>
  <c r="AO54" i="5"/>
  <c r="AO64" i="5" s="1"/>
  <c r="BQ33" i="5"/>
  <c r="BQ32" i="5"/>
  <c r="GJ53" i="5"/>
  <c r="GI53" i="5"/>
  <c r="D25" i="20"/>
  <c r="EP28" i="5"/>
  <c r="D6" i="20"/>
  <c r="DW28" i="5"/>
  <c r="CB28" i="5"/>
  <c r="GN50" i="5"/>
  <c r="C54" i="5"/>
  <c r="C64" i="5" s="1"/>
  <c r="D54" i="5"/>
  <c r="T113" i="21"/>
  <c r="CJ29" i="5"/>
  <c r="AU33" i="5"/>
  <c r="GC54" i="5"/>
  <c r="GD54" i="5"/>
  <c r="GS54" i="5"/>
  <c r="GT54" i="5"/>
  <c r="T59" i="21"/>
  <c r="FL54" i="5"/>
  <c r="AO50" i="5"/>
  <c r="DY29" i="5"/>
  <c r="EE29" i="5"/>
  <c r="ED29" i="5"/>
  <c r="AL53" i="5"/>
  <c r="AL63" i="5" s="1"/>
  <c r="FU35" i="5"/>
  <c r="R76" i="21"/>
  <c r="R68" i="21"/>
  <c r="AS53" i="5"/>
  <c r="AT53" i="5"/>
  <c r="Z50" i="5"/>
  <c r="Y50" i="5"/>
  <c r="H28" i="5"/>
  <c r="H29" i="5"/>
  <c r="BT28" i="5"/>
  <c r="X54" i="5"/>
  <c r="BY33" i="5"/>
  <c r="BY32" i="5"/>
  <c r="GB53" i="5"/>
  <c r="GA53" i="5"/>
  <c r="D65" i="20"/>
  <c r="GD28" i="5"/>
  <c r="DX28" i="5"/>
  <c r="DW29" i="5"/>
  <c r="AK33" i="5"/>
  <c r="FP32" i="5"/>
  <c r="FQ33" i="5"/>
  <c r="FQ32" i="5"/>
  <c r="EN54" i="5"/>
  <c r="EO54" i="5"/>
  <c r="FT54" i="5"/>
  <c r="FU54" i="5"/>
  <c r="BZ53" i="5"/>
  <c r="BY53" i="5"/>
  <c r="DE53" i="5"/>
  <c r="DF53" i="5"/>
  <c r="CL50" i="5"/>
  <c r="CK50" i="5"/>
  <c r="AX62" i="5"/>
  <c r="DI50" i="5"/>
  <c r="DH54" i="5"/>
  <c r="GR54" i="5"/>
  <c r="GQ54" i="5"/>
  <c r="D57" i="20"/>
  <c r="FV29" i="5"/>
  <c r="FV28" i="5"/>
  <c r="EG54" i="5"/>
  <c r="EG64" i="5" s="1"/>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D50" i="20"/>
  <c r="FO29" i="5"/>
  <c r="D43" i="20"/>
  <c r="FH28" i="5"/>
  <c r="D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U64" i="5" s="1"/>
  <c r="BA62" i="5"/>
  <c r="BB64" i="5" s="1"/>
  <c r="K29" i="5"/>
  <c r="K28" i="5"/>
  <c r="CM29" i="5"/>
  <c r="CM28" i="5"/>
  <c r="GB28" i="5"/>
  <c r="D42" i="20"/>
  <c r="FG28" i="5"/>
  <c r="D29" i="20"/>
  <c r="ET29" i="5"/>
  <c r="ET28" i="5"/>
  <c r="DP50" i="5"/>
  <c r="DM33" i="5"/>
  <c r="DN34" i="5"/>
  <c r="DL35" i="5"/>
  <c r="FH33" i="5"/>
  <c r="FL34" i="5"/>
  <c r="R98" i="21"/>
  <c r="T73" i="21"/>
  <c r="CW33" i="5"/>
  <c r="DL54" i="5"/>
  <c r="DM54" i="5"/>
  <c r="FF53" i="5"/>
  <c r="FF63" i="5" s="1"/>
  <c r="FE53" i="5"/>
  <c r="BJ62" i="5"/>
  <c r="CH62" i="5"/>
  <c r="CX62" i="5"/>
  <c r="DF62" i="5"/>
  <c r="BP29" i="5"/>
  <c r="BP28" i="5"/>
  <c r="CN28" i="5"/>
  <c r="CN29" i="5"/>
  <c r="GL28" i="5"/>
  <c r="GL29" i="5"/>
  <c r="EL34" i="5"/>
  <c r="ES33" i="5"/>
  <c r="FI50" i="5"/>
  <c r="R103" i="21"/>
  <c r="R97" i="21"/>
  <c r="R89" i="21"/>
  <c r="T72" i="21"/>
  <c r="FF62" i="5"/>
  <c r="FG63" i="5" s="1"/>
  <c r="EP62" i="5"/>
  <c r="EQ64" i="5" s="1"/>
  <c r="GQ33" i="5"/>
  <c r="R33" i="5"/>
  <c r="T35" i="5"/>
  <c r="P33" i="5"/>
  <c r="H34" i="5"/>
  <c r="DM35" i="5"/>
  <c r="EF35" i="5"/>
  <c r="EJ35" i="5"/>
  <c r="ET32" i="5"/>
  <c r="EV33" i="5"/>
  <c r="FC32" i="5"/>
  <c r="FF33" i="5"/>
  <c r="EZ35" i="5"/>
  <c r="FC35" i="5"/>
  <c r="FI34" i="5"/>
  <c r="GD57" i="5"/>
  <c r="GI35" i="5"/>
  <c r="R120" i="21"/>
  <c r="R56" i="21"/>
  <c r="T120" i="21"/>
  <c r="AU57" i="5"/>
  <c r="CA57" i="5"/>
  <c r="DG57" i="5"/>
  <c r="O62" i="5"/>
  <c r="P64" i="5" s="1"/>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ED63" i="5" s="1"/>
  <c r="GJ35" i="5"/>
  <c r="DR57" i="5"/>
  <c r="DN33" i="5"/>
  <c r="DK35" i="5"/>
  <c r="DN35" i="5"/>
  <c r="DY32" i="5"/>
  <c r="ED34" i="5"/>
  <c r="EK33" i="5"/>
  <c r="EN33" i="5"/>
  <c r="EP34" i="5"/>
  <c r="FD33" i="5"/>
  <c r="FK50" i="5"/>
  <c r="FY50" i="5"/>
  <c r="GA62" i="5"/>
  <c r="FS34" i="5"/>
  <c r="GF34" i="5"/>
  <c r="R85" i="21"/>
  <c r="T70" i="21"/>
  <c r="T40" i="21"/>
  <c r="FP62" i="5"/>
  <c r="FH62" i="5"/>
  <c r="GF54" i="5"/>
  <c r="GF64" i="5" s="1"/>
  <c r="GN54" i="5"/>
  <c r="GF53" i="5"/>
  <c r="GF63" i="5" s="1"/>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D61" i="20"/>
  <c r="FJ57" i="5"/>
  <c r="FB34" i="5"/>
  <c r="FZ34" i="5"/>
  <c r="GI50" i="5"/>
  <c r="R44" i="21"/>
  <c r="R42" i="21"/>
  <c r="T13" i="21"/>
  <c r="FC50" i="5"/>
  <c r="FB50" i="5"/>
  <c r="N29" i="5"/>
  <c r="N28" i="5"/>
  <c r="GP28" i="5"/>
  <c r="GP29" i="5"/>
  <c r="D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GG54" i="5"/>
  <c r="GH54" i="5"/>
  <c r="GH64" i="5" s="1"/>
  <c r="GP54" i="5"/>
  <c r="GO54" i="5"/>
  <c r="GH53" i="5"/>
  <c r="GH63" i="5" s="1"/>
  <c r="GG53" i="5"/>
  <c r="GK50" i="5"/>
  <c r="GL50" i="5"/>
  <c r="GS50" i="5"/>
  <c r="GT50" i="5"/>
  <c r="D67" i="20"/>
  <c r="GF29" i="5"/>
  <c r="GF28" i="5"/>
  <c r="D60" i="20"/>
  <c r="FY29" i="5"/>
  <c r="FY28" i="5"/>
  <c r="ED32" i="5"/>
  <c r="ED33" i="5"/>
  <c r="DW35" i="5"/>
  <c r="EB34" i="5"/>
  <c r="ES35" i="5"/>
  <c r="T19" i="21"/>
  <c r="T18" i="21"/>
  <c r="GO28" i="5"/>
  <c r="GO29" i="5"/>
  <c r="FC29" i="5"/>
  <c r="FG35" i="5"/>
  <c r="FI32" i="5"/>
  <c r="GG34" i="5"/>
  <c r="GG33" i="5"/>
  <c r="R80" i="21"/>
  <c r="T56" i="21"/>
  <c r="T58" i="21"/>
  <c r="BR28" i="5"/>
  <c r="F28" i="5"/>
  <c r="DN29" i="5"/>
  <c r="P28" i="5"/>
  <c r="P29" i="5"/>
  <c r="D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D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AS64" i="5" s="1"/>
  <c r="BJ54" i="5"/>
  <c r="BI54" i="5"/>
  <c r="BY54" i="5"/>
  <c r="DE54" i="5"/>
  <c r="EK54" i="5"/>
  <c r="EL54" i="5"/>
  <c r="FQ54" i="5"/>
  <c r="R53" i="5"/>
  <c r="AX53" i="5"/>
  <c r="BF53" i="5"/>
  <c r="BV53" i="5"/>
  <c r="CD53" i="5"/>
  <c r="CD63" i="5" s="1"/>
  <c r="CL53" i="5"/>
  <c r="DR53" i="5"/>
  <c r="EH53" i="5"/>
  <c r="EH63" i="5" s="1"/>
  <c r="FV53" i="5"/>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FL63" i="5" s="1"/>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FY63" i="5" s="1"/>
  <c r="AO62" i="5"/>
  <c r="FB62" i="5"/>
  <c r="GV35" i="5"/>
  <c r="GT62" i="5"/>
  <c r="GH62" i="5"/>
  <c r="S34" i="5"/>
  <c r="EQ34" i="5"/>
  <c r="FJ34" i="5"/>
  <c r="FW34" i="5"/>
  <c r="R116" i="21"/>
  <c r="R101" i="21"/>
  <c r="R36" i="21"/>
  <c r="R21" i="21"/>
  <c r="T88" i="21"/>
  <c r="T79" i="21"/>
  <c r="T67" i="21"/>
  <c r="T52" i="21"/>
  <c r="T20" i="21"/>
  <c r="CJ34" i="5"/>
  <c r="AS63"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N63" i="5" s="1"/>
  <c r="AO53" i="5"/>
  <c r="BE53" i="5"/>
  <c r="BD53" i="5"/>
  <c r="CZ53" i="5"/>
  <c r="DA53" i="5"/>
  <c r="D49" i="20"/>
  <c r="FN29" i="5"/>
  <c r="DT63" i="5"/>
  <c r="DD32" i="5"/>
  <c r="D33" i="5"/>
  <c r="AE32" i="5"/>
  <c r="AB33" i="5"/>
  <c r="BR33" i="5"/>
  <c r="BK32" i="5"/>
  <c r="AT33" i="5"/>
  <c r="P53" i="5"/>
  <c r="BM54" i="5"/>
  <c r="BD54" i="5"/>
  <c r="BM53" i="5"/>
  <c r="CD50" i="5"/>
  <c r="GO32" i="5"/>
  <c r="GO33" i="5"/>
  <c r="GL54" i="5"/>
  <c r="GK54" i="5"/>
  <c r="GD53" i="5"/>
  <c r="GC53" i="5"/>
  <c r="GL53" i="5"/>
  <c r="GK53" i="5"/>
  <c r="GO50" i="5"/>
  <c r="GP50" i="5"/>
  <c r="G35" i="5"/>
  <c r="GH28" i="5"/>
  <c r="D69" i="20"/>
  <c r="GH29" i="5"/>
  <c r="D48" i="20"/>
  <c r="FM28" i="5"/>
  <c r="D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X64" i="5" s="1"/>
  <c r="DY54" i="5"/>
  <c r="FD54" i="5"/>
  <c r="FE54" i="5"/>
  <c r="N53" i="5"/>
  <c r="M53" i="5"/>
  <c r="AC53" i="5"/>
  <c r="AD53" i="5"/>
  <c r="AD63" i="5" s="1"/>
  <c r="BI53" i="5"/>
  <c r="BJ53" i="5"/>
  <c r="CW53" i="5"/>
  <c r="CX53" i="5"/>
  <c r="CX63" i="5" s="1"/>
  <c r="AW54" i="5"/>
  <c r="BE50" i="5"/>
  <c r="ET53" i="5"/>
  <c r="BM50" i="5"/>
  <c r="W32" i="5"/>
  <c r="EL53" i="5"/>
  <c r="AH50" i="5"/>
  <c r="AG32" i="5"/>
  <c r="AY54" i="5"/>
  <c r="AX54" i="5"/>
  <c r="CL54" i="5"/>
  <c r="CM54" i="5"/>
  <c r="CM64" i="5" s="1"/>
  <c r="EI54" i="5"/>
  <c r="EI64" i="5" s="1"/>
  <c r="EH54" i="5"/>
  <c r="EH64" i="5" s="1"/>
  <c r="DZ34" i="5"/>
  <c r="CT62" i="5"/>
  <c r="DB62" i="5"/>
  <c r="GA54" i="5"/>
  <c r="GB54" i="5"/>
  <c r="GI54" i="5"/>
  <c r="GJ54" i="5"/>
  <c r="GR53" i="5"/>
  <c r="GQ53" i="5"/>
  <c r="FO32" i="5"/>
  <c r="FO33" i="5"/>
  <c r="R46" i="21"/>
  <c r="R47" i="21"/>
  <c r="R45" i="21"/>
  <c r="S53" i="5"/>
  <c r="AB29" i="5"/>
  <c r="AW29" i="5"/>
  <c r="FN53" i="5"/>
  <c r="CC54" i="5"/>
  <c r="GL57" i="5"/>
  <c r="GL62" i="5"/>
  <c r="D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BK50" i="5"/>
  <c r="AM57" i="5"/>
  <c r="BC57" i="5"/>
  <c r="BK57" i="5"/>
  <c r="CY57" i="5"/>
  <c r="DO57" i="5"/>
  <c r="X62" i="5"/>
  <c r="AF62" i="5"/>
  <c r="AK35" i="5"/>
  <c r="CG35" i="5"/>
  <c r="CO35" i="5"/>
  <c r="CW35" i="5"/>
  <c r="I34" i="5"/>
  <c r="D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D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AU64" i="5" l="1"/>
  <c r="DS63" i="5"/>
  <c r="FB63" i="5"/>
  <c r="EA63" i="5"/>
  <c r="CQ63" i="5"/>
  <c r="FZ63" i="5"/>
  <c r="FZ68" i="5" s="1"/>
  <c r="EG63" i="5"/>
  <c r="AD64" i="5"/>
  <c r="BR64" i="5"/>
  <c r="D63" i="5"/>
  <c r="FW63" i="5"/>
  <c r="DA64" i="5"/>
  <c r="BY64" i="5"/>
  <c r="FD63" i="5"/>
  <c r="BF64" i="5"/>
  <c r="CK64" i="5"/>
  <c r="GA64" i="5"/>
  <c r="FO64" i="5"/>
  <c r="EC64" i="5"/>
  <c r="DA63" i="5"/>
  <c r="FT64" i="5"/>
  <c r="DP63" i="5"/>
  <c r="AU63" i="5"/>
  <c r="AI63" i="5"/>
  <c r="GQ63" i="5"/>
  <c r="GT68" i="5" s="1"/>
  <c r="CB64" i="5"/>
  <c r="CA63" i="5"/>
  <c r="CO64" i="5"/>
  <c r="CA64" i="5"/>
  <c r="CZ64" i="5"/>
  <c r="AF63" i="5"/>
  <c r="AV64" i="5"/>
  <c r="CM63" i="5"/>
  <c r="D64" i="5"/>
  <c r="DW63" i="5"/>
  <c r="CV63" i="5"/>
  <c r="BE64" i="5"/>
  <c r="FM64" i="5"/>
  <c r="FR64" i="5"/>
  <c r="BD63" i="5"/>
  <c r="BY63" i="5"/>
  <c r="BD64" i="5"/>
  <c r="GV64" i="5"/>
  <c r="FA64" i="5"/>
  <c r="CQ64" i="5"/>
  <c r="AE64" i="5"/>
  <c r="EE64" i="5"/>
  <c r="BK63" i="5"/>
  <c r="FZ64" i="5"/>
  <c r="EU64" i="5"/>
  <c r="BW64" i="5"/>
  <c r="AR64" i="5"/>
  <c r="DN63" i="5"/>
  <c r="EY64" i="5"/>
  <c r="BC64" i="5"/>
  <c r="CI64" i="5"/>
  <c r="M64" i="5"/>
  <c r="DV64" i="5"/>
  <c r="O63" i="5"/>
  <c r="DW64" i="5"/>
  <c r="CH64" i="5"/>
  <c r="K64" i="5"/>
  <c r="BJ64" i="5"/>
  <c r="FI64" i="5"/>
  <c r="BA64" i="5"/>
  <c r="EE63" i="5"/>
  <c r="AJ64" i="5"/>
  <c r="EN63" i="5"/>
  <c r="EN64" i="5"/>
  <c r="EY63" i="5"/>
  <c r="AC63" i="5"/>
  <c r="AF68" i="5" s="1"/>
  <c r="FV63" i="5"/>
  <c r="DL63" i="5"/>
  <c r="G63" i="5"/>
  <c r="AC64" i="5"/>
  <c r="BJ63" i="5"/>
  <c r="CC64" i="5"/>
  <c r="BZ64" i="5"/>
  <c r="DL64" i="5"/>
  <c r="FM63" i="5"/>
  <c r="DI64" i="5"/>
  <c r="EM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AM64" i="5"/>
  <c r="BI63" i="5"/>
  <c r="AW63" i="5"/>
  <c r="BR63" i="5"/>
  <c r="FN64" i="5"/>
  <c r="ES64" i="5"/>
  <c r="AB63" i="5"/>
  <c r="DU64" i="5"/>
  <c r="FR63" i="5"/>
  <c r="V64" i="5"/>
  <c r="BU63" i="5"/>
  <c r="CY64" i="5"/>
  <c r="G64" i="5"/>
  <c r="T63" i="5"/>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FU63" i="5"/>
  <c r="FW68" i="5" s="1"/>
  <c r="GC63" i="5"/>
  <c r="EL64" i="5"/>
  <c r="BI64" i="5"/>
  <c r="GJ63" i="5"/>
  <c r="CI63" i="5"/>
  <c r="BG63" i="5"/>
  <c r="EJ64" i="5"/>
  <c r="W64" i="5"/>
  <c r="X63" i="5"/>
  <c r="AY64" i="5"/>
  <c r="CO63" i="5"/>
  <c r="C58" i="5"/>
  <c r="C59" i="5" s="1"/>
  <c r="F67" i="5" s="1"/>
  <c r="F69" i="5" s="1"/>
  <c r="ET63" i="5"/>
  <c r="GK63" i="5"/>
  <c r="GN68" i="5" s="1"/>
  <c r="CW64" i="5"/>
  <c r="EQ63" i="5"/>
  <c r="BA63" i="5"/>
  <c r="DK63" i="5"/>
  <c r="CE63" i="5"/>
  <c r="EP63" i="5"/>
  <c r="GG63" i="5"/>
  <c r="H63" i="5"/>
  <c r="GQ64" i="5"/>
  <c r="DM63" i="5"/>
  <c r="DG64" i="5"/>
  <c r="GI64" i="5"/>
  <c r="GU63" i="5"/>
  <c r="GB64" i="5"/>
  <c r="FI63" i="5"/>
  <c r="FI68" i="5" s="1"/>
  <c r="AY63" i="5"/>
  <c r="FG64" i="5"/>
  <c r="EL63" i="5"/>
  <c r="CY63" i="5"/>
  <c r="FQ64" i="5"/>
  <c r="GG64" i="5"/>
  <c r="FC64" i="5"/>
  <c r="FJ63" i="5"/>
  <c r="DM64" i="5"/>
  <c r="GP64" i="5"/>
  <c r="GP63" i="5"/>
  <c r="GS68" i="5" s="1"/>
  <c r="AK63" i="5"/>
  <c r="AK64" i="5"/>
  <c r="M63" i="5"/>
  <c r="DO63" i="5"/>
  <c r="EW63" i="5"/>
  <c r="EW64" i="5"/>
  <c r="AT64" i="5"/>
  <c r="AT63" i="5"/>
  <c r="Q64" i="5"/>
  <c r="E63" i="5"/>
  <c r="AP64" i="5"/>
  <c r="AP63" i="5"/>
  <c r="GR63" i="5"/>
  <c r="GU68" i="5" s="1"/>
  <c r="BZ63" i="5"/>
  <c r="GU64" i="5"/>
  <c r="EF64" i="5"/>
  <c r="EF63" i="5"/>
  <c r="K63" i="5"/>
  <c r="DF64" i="5"/>
  <c r="DF63" i="5"/>
  <c r="BS68"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GV70" i="5" s="1"/>
  <c r="GO51" i="5"/>
  <c r="GO52" i="5" s="1"/>
  <c r="GO58" i="5" s="1"/>
  <c r="GO59" i="5" s="1"/>
  <c r="D51" i="5"/>
  <c r="D52" i="5" s="1"/>
  <c r="D58" i="5" s="1"/>
  <c r="D59" i="5" s="1"/>
  <c r="FM41" i="5"/>
  <c r="BB39" i="5"/>
  <c r="GJ39" i="5"/>
  <c r="T39" i="5"/>
  <c r="I39" i="5"/>
  <c r="AN41" i="5"/>
  <c r="W38" i="5"/>
  <c r="AL41" i="5"/>
  <c r="AF38" i="5"/>
  <c r="BG40" i="5"/>
  <c r="FE38" i="5"/>
  <c r="GC38" i="5"/>
  <c r="DV41" i="5"/>
  <c r="BZ38" i="5"/>
  <c r="AD39" i="5"/>
  <c r="ET40" i="5"/>
  <c r="EB41" i="5"/>
  <c r="AB38" i="5"/>
  <c r="CA40" i="5"/>
  <c r="AG39" i="5"/>
  <c r="FS40" i="5"/>
  <c r="EY40" i="5"/>
  <c r="EN41" i="5"/>
  <c r="L38" i="5"/>
  <c r="FT40" i="5"/>
  <c r="GE41" i="5"/>
  <c r="AT41" i="5"/>
  <c r="CV39" i="5"/>
  <c r="GK38" i="5"/>
  <c r="Q41" i="5"/>
  <c r="FA39" i="5"/>
  <c r="DZ40" i="5"/>
  <c r="DW41" i="5"/>
  <c r="AV41" i="5"/>
  <c r="GB39" i="5"/>
  <c r="FL41" i="5"/>
  <c r="EO39" i="5"/>
  <c r="EA41" i="5"/>
  <c r="AS40" i="5"/>
  <c r="DR40" i="5"/>
  <c r="GH38" i="5"/>
  <c r="DZ38" i="5"/>
  <c r="V39" i="5"/>
  <c r="R39" i="5"/>
  <c r="DI38" i="5"/>
  <c r="FF40" i="5"/>
  <c r="CD41" i="5"/>
  <c r="J39" i="5"/>
  <c r="Z38" i="5"/>
  <c r="GJ40" i="5"/>
  <c r="CD40" i="5"/>
  <c r="FD41" i="5"/>
  <c r="ES41" i="5"/>
  <c r="BU38" i="5"/>
  <c r="AJ38" i="5"/>
  <c r="ER38" i="5"/>
  <c r="DB38" i="5"/>
  <c r="EC41" i="5"/>
  <c r="Z41" i="5"/>
  <c r="GM41" i="5"/>
  <c r="O39" i="5"/>
  <c r="BY38" i="5"/>
  <c r="CE40" i="5"/>
  <c r="BF38" i="5"/>
  <c r="BP40" i="5"/>
  <c r="CU41" i="5"/>
  <c r="S39" i="5"/>
  <c r="FQ38" i="5"/>
  <c r="FD40" i="5"/>
  <c r="W41" i="5"/>
  <c r="DU38" i="5"/>
  <c r="AA40" i="5"/>
  <c r="DL40" i="5"/>
  <c r="EZ41" i="5"/>
  <c r="EF38" i="5"/>
  <c r="CD39" i="5"/>
  <c r="AU38" i="5"/>
  <c r="CJ38" i="5"/>
  <c r="AN40" i="5"/>
  <c r="GF41" i="5"/>
  <c r="DN39" i="5"/>
  <c r="EU40" i="5"/>
  <c r="EW39" i="5"/>
  <c r="BU39" i="5"/>
  <c r="EY39" i="5"/>
  <c r="EH38" i="5"/>
  <c r="ES40" i="5"/>
  <c r="GK39" i="5"/>
  <c r="L40" i="5"/>
  <c r="EZ40" i="5"/>
  <c r="CE38" i="5"/>
  <c r="AJ41" i="5"/>
  <c r="GL41" i="5"/>
  <c r="DG38" i="5"/>
  <c r="CC39" i="5"/>
  <c r="CN39" i="5"/>
  <c r="FA38" i="5"/>
  <c r="FT41" i="5"/>
  <c r="DT39" i="5"/>
  <c r="FU40" i="5"/>
  <c r="M39" i="5"/>
  <c r="DG40" i="5"/>
  <c r="GR41" i="5"/>
  <c r="DN41" i="5"/>
  <c r="FY41" i="5"/>
  <c r="CT39" i="5"/>
  <c r="DY38" i="5"/>
  <c r="P40" i="5"/>
  <c r="AF39" i="5"/>
  <c r="BR39" i="5"/>
  <c r="GB41" i="5"/>
  <c r="FJ39" i="5"/>
  <c r="GL38" i="5"/>
  <c r="AX39" i="5"/>
  <c r="AD40" i="5"/>
  <c r="FI39" i="5"/>
  <c r="DY39" i="5"/>
  <c r="DI41" i="5"/>
  <c r="AE39" i="5"/>
  <c r="BK39" i="5"/>
  <c r="AJ39" i="5"/>
  <c r="FZ41" i="5"/>
  <c r="CE41" i="5"/>
  <c r="GM40" i="5"/>
  <c r="DM41" i="5"/>
  <c r="DL38" i="5"/>
  <c r="EQ39" i="5"/>
  <c r="Z40" i="5"/>
  <c r="BU40" i="5"/>
  <c r="GB40" i="5"/>
  <c r="CX40" i="5"/>
  <c r="FK39" i="5"/>
  <c r="DP38" i="5"/>
  <c r="DZ41" i="5"/>
  <c r="AI39" i="5"/>
  <c r="R40" i="5"/>
  <c r="FM39" i="5"/>
  <c r="EF40" i="5"/>
  <c r="GD41" i="5"/>
  <c r="AE41" i="5"/>
  <c r="GA39" i="5"/>
  <c r="W39" i="5"/>
  <c r="DR41" i="5"/>
  <c r="CX38" i="5"/>
  <c r="H39" i="5"/>
  <c r="EB40" i="5"/>
  <c r="CS40" i="5"/>
  <c r="FO41" i="5"/>
  <c r="FY40" i="5"/>
  <c r="FG41" i="5"/>
  <c r="V40" i="5"/>
  <c r="AM41" i="5"/>
  <c r="GV39" i="5"/>
  <c r="FR41" i="5"/>
  <c r="AG38" i="5"/>
  <c r="CY40" i="5"/>
  <c r="FR38" i="5"/>
  <c r="CJ39" i="5"/>
  <c r="CW40" i="5"/>
  <c r="EP38" i="5"/>
  <c r="CB40" i="5"/>
  <c r="EA40" i="5"/>
  <c r="DT38" i="5"/>
  <c r="CV40" i="5"/>
  <c r="CO41" i="5"/>
  <c r="CT40" i="5"/>
  <c r="AC39" i="5"/>
  <c r="CR40" i="5"/>
  <c r="GS41" i="5"/>
  <c r="CO40" i="5"/>
  <c r="AO41" i="5"/>
  <c r="GI40" i="5"/>
  <c r="GO40" i="5"/>
  <c r="EE41" i="5"/>
  <c r="AR40" i="5"/>
  <c r="CL38" i="5"/>
  <c r="BN38" i="5"/>
  <c r="BL38" i="5"/>
  <c r="EU38" i="5"/>
  <c r="DZ39" i="5"/>
  <c r="DQ39" i="5"/>
  <c r="BO38" i="5"/>
  <c r="EL39" i="5"/>
  <c r="O41" i="5"/>
  <c r="AS39" i="5"/>
  <c r="DE38" i="5"/>
  <c r="GA41" i="5"/>
  <c r="BM38" i="5"/>
  <c r="AT38" i="5"/>
  <c r="CI41" i="5"/>
  <c r="FX40" i="5"/>
  <c r="BE39" i="5"/>
  <c r="EI41" i="5"/>
  <c r="BP38" i="5"/>
  <c r="CV41" i="5"/>
  <c r="O38" i="5"/>
  <c r="FK41" i="5"/>
  <c r="BK40" i="5"/>
  <c r="AN39" i="5"/>
  <c r="CJ41" i="5"/>
  <c r="BW41" i="5"/>
  <c r="AF41" i="5"/>
  <c r="GF39" i="5"/>
  <c r="AQ39" i="5"/>
  <c r="BW40" i="5"/>
  <c r="DP41" i="5"/>
  <c r="EA38" i="5"/>
  <c r="EH41" i="5"/>
  <c r="S38" i="5"/>
  <c r="BN41" i="5"/>
  <c r="CJ40" i="5"/>
  <c r="DE41" i="5"/>
  <c r="DR38" i="5"/>
  <c r="BJ38" i="5"/>
  <c r="AH38" i="5"/>
  <c r="GI38" i="5"/>
  <c r="DV38" i="5"/>
  <c r="AI41" i="5"/>
  <c r="FP41" i="5"/>
  <c r="BV41" i="5"/>
  <c r="U38" i="5"/>
  <c r="DC41" i="5"/>
  <c r="CL41" i="5"/>
  <c r="ET41" i="5"/>
  <c r="AS41" i="5"/>
  <c r="CC40" i="5"/>
  <c r="AH39" i="5"/>
  <c r="CY39" i="5"/>
  <c r="DC38" i="5"/>
  <c r="DI39" i="5"/>
  <c r="DA40" i="5"/>
  <c r="BL41" i="5"/>
  <c r="AX38" i="5"/>
  <c r="EK38" i="5"/>
  <c r="AL40" i="5"/>
  <c r="FZ40" i="5"/>
  <c r="BG39" i="5"/>
  <c r="FF39" i="5"/>
  <c r="K39" i="5"/>
  <c r="CQ41" i="5"/>
  <c r="CP39" i="5"/>
  <c r="DN40" i="5"/>
  <c r="ER40" i="5"/>
  <c r="DT41" i="5"/>
  <c r="DX40" i="5"/>
  <c r="CY41" i="5"/>
  <c r="CS41" i="5"/>
  <c r="EL40" i="5"/>
  <c r="GG40" i="5"/>
  <c r="FT38" i="5"/>
  <c r="FN39" i="5"/>
  <c r="GT39" i="5"/>
  <c r="DN38" i="5"/>
  <c r="GP41" i="5"/>
  <c r="DO41" i="5"/>
  <c r="BQ38" i="5"/>
  <c r="FU38" i="5"/>
  <c r="X41" i="5"/>
  <c r="FJ40" i="5"/>
  <c r="EG38" i="5"/>
  <c r="FB41" i="5"/>
  <c r="CM41" i="5"/>
  <c r="BL40" i="5"/>
  <c r="AH41" i="5"/>
  <c r="EE38" i="5"/>
  <c r="V38" i="5"/>
  <c r="DP39" i="5"/>
  <c r="AN38" i="5"/>
  <c r="FH40" i="5"/>
  <c r="M38" i="5"/>
  <c r="AK39" i="5"/>
  <c r="GQ39" i="5"/>
  <c r="BE40" i="5"/>
  <c r="DC39" i="5"/>
  <c r="FK38" i="5"/>
  <c r="FL40" i="5"/>
  <c r="T38" i="5"/>
  <c r="EC38" i="5"/>
  <c r="BZ41" i="5"/>
  <c r="BI41" i="5"/>
  <c r="BL39" i="5"/>
  <c r="CC41" i="5"/>
  <c r="GN40" i="5"/>
  <c r="CM38" i="5"/>
  <c r="BT38" i="5"/>
  <c r="GG38" i="5"/>
  <c r="CC38" i="5"/>
  <c r="BE38" i="5"/>
  <c r="CU39" i="5"/>
  <c r="AD38" i="5"/>
  <c r="CF39" i="5"/>
  <c r="AM38" i="5"/>
  <c r="BO40" i="5"/>
  <c r="CR38" i="5"/>
  <c r="CK39" i="5"/>
  <c r="GG41" i="5"/>
  <c r="FS41" i="5"/>
  <c r="J38" i="5"/>
  <c r="AA38" i="5"/>
  <c r="AP40" i="5"/>
  <c r="FO40" i="5"/>
  <c r="BS40" i="5"/>
  <c r="EZ38" i="5"/>
  <c r="GO41" i="5"/>
  <c r="CZ39" i="5"/>
  <c r="CH41" i="5"/>
  <c r="CQ39" i="5"/>
  <c r="DM40" i="5"/>
  <c r="DU41" i="5"/>
  <c r="EW41" i="5"/>
  <c r="BF40" i="5"/>
  <c r="AW40" i="5"/>
  <c r="DJ40" i="5"/>
  <c r="K40" i="5"/>
  <c r="DW40" i="5"/>
  <c r="FM38" i="5"/>
  <c r="CO39" i="5"/>
  <c r="EF39" i="5"/>
  <c r="CZ40" i="5"/>
  <c r="BX41" i="5"/>
  <c r="GP40" i="5"/>
  <c r="EQ41" i="5"/>
  <c r="CM39" i="5"/>
  <c r="EB38" i="5"/>
  <c r="BC39" i="5"/>
  <c r="GI39" i="5"/>
  <c r="FY39" i="5"/>
  <c r="EJ38" i="5"/>
  <c r="BJ41" i="5"/>
  <c r="AM40" i="5"/>
  <c r="EA39" i="5"/>
  <c r="GR39" i="5"/>
  <c r="GV41" i="5"/>
  <c r="AP39" i="5"/>
  <c r="GM38" i="5"/>
  <c r="EK41" i="5"/>
  <c r="FS39" i="5"/>
  <c r="ED38" i="5"/>
  <c r="CZ41" i="5"/>
  <c r="CS38" i="5"/>
  <c r="FB40" i="5"/>
  <c r="DY40" i="5"/>
  <c r="DQ41" i="5"/>
  <c r="AZ38" i="5"/>
  <c r="DK41" i="5"/>
  <c r="FR39" i="5"/>
  <c r="T40" i="5"/>
  <c r="CQ38" i="5"/>
  <c r="N41" i="5"/>
  <c r="BO39" i="5"/>
  <c r="BG38" i="5"/>
  <c r="ER39" i="5"/>
  <c r="S41" i="5"/>
  <c r="EM38" i="5"/>
  <c r="EX38" i="5"/>
  <c r="DV40" i="5"/>
  <c r="FA41" i="5"/>
  <c r="CP38" i="5"/>
  <c r="FB38" i="5"/>
  <c r="AV40" i="5"/>
  <c r="CS39" i="5"/>
  <c r="DW39" i="5"/>
  <c r="FL38" i="5"/>
  <c r="CX39" i="5"/>
  <c r="ED40" i="5"/>
  <c r="DM39" i="5"/>
  <c r="CH40" i="5"/>
  <c r="GD39" i="5"/>
  <c r="GE40" i="5"/>
  <c r="BK38" i="5"/>
  <c r="GO39" i="5"/>
  <c r="FX39" i="5"/>
  <c r="FI38" i="5"/>
  <c r="AY41" i="5"/>
  <c r="FG40" i="5"/>
  <c r="EJ41" i="5"/>
  <c r="FJ38" i="5"/>
  <c r="FN38" i="5"/>
  <c r="EM40" i="5"/>
  <c r="CB39" i="5"/>
  <c r="FZ39" i="5"/>
  <c r="BT40" i="5"/>
  <c r="CG40" i="5"/>
  <c r="CF40" i="5"/>
  <c r="FZ38" i="5"/>
  <c r="GP39" i="5"/>
  <c r="EU41" i="5"/>
  <c r="DF38" i="5"/>
  <c r="BV38" i="5"/>
  <c r="AI40" i="5"/>
  <c r="FA40" i="5"/>
  <c r="FY38" i="5"/>
  <c r="FV41" i="5"/>
  <c r="G38" i="5"/>
  <c r="DD41" i="5"/>
  <c r="GC39" i="5"/>
  <c r="AU41" i="5"/>
  <c r="BN40" i="5"/>
  <c r="AE38" i="5"/>
  <c r="DP40" i="5"/>
  <c r="BC41" i="5"/>
  <c r="EJ39" i="5"/>
  <c r="EK39" i="5"/>
  <c r="BA38" i="5"/>
  <c r="EN38" i="5"/>
  <c r="V41" i="5"/>
  <c r="DL41" i="5"/>
  <c r="CI38" i="5"/>
  <c r="GP38" i="5"/>
  <c r="DO40" i="5"/>
  <c r="EO40" i="5"/>
  <c r="CW41" i="5"/>
  <c r="CW38" i="5"/>
  <c r="DX38" i="5"/>
  <c r="BN39" i="5"/>
  <c r="AR41" i="5"/>
  <c r="FN40" i="5"/>
  <c r="GB38" i="5"/>
  <c r="AT39" i="5"/>
  <c r="FQ40" i="5"/>
  <c r="CU40" i="5"/>
  <c r="BD41" i="5"/>
  <c r="DH38" i="5"/>
  <c r="GS39" i="5"/>
  <c r="CQ40" i="5"/>
  <c r="EC40" i="5"/>
  <c r="BA40" i="5"/>
  <c r="FK40" i="5"/>
  <c r="DK40" i="5"/>
  <c r="FD38" i="5"/>
  <c r="AI38" i="5"/>
  <c r="FF38" i="5"/>
  <c r="N40" i="5"/>
  <c r="EH39" i="5"/>
  <c r="AQ41" i="5"/>
  <c r="R38" i="5"/>
  <c r="BB38" i="5"/>
  <c r="BD39" i="5"/>
  <c r="GJ38" i="5"/>
  <c r="DF39" i="5"/>
  <c r="N38" i="5"/>
  <c r="BD40" i="5"/>
  <c r="FH41" i="5"/>
  <c r="CX41" i="5"/>
  <c r="BM40" i="5"/>
  <c r="EK40" i="5"/>
  <c r="CK38" i="5"/>
  <c r="FG39" i="5"/>
  <c r="FM40" i="5"/>
  <c r="AP41" i="5"/>
  <c r="M40" i="5"/>
  <c r="BJ40" i="5"/>
  <c r="ER41" i="5"/>
  <c r="DJ39" i="5"/>
  <c r="DQ38" i="5"/>
  <c r="BX38" i="5"/>
  <c r="AW41" i="5"/>
  <c r="CH38" i="5"/>
  <c r="S40" i="5"/>
  <c r="DJ38" i="5"/>
  <c r="U41" i="5"/>
  <c r="AK40" i="5"/>
  <c r="AH40" i="5"/>
  <c r="ES38" i="5"/>
  <c r="GQ40" i="5"/>
  <c r="FC38" i="5"/>
  <c r="EW38" i="5"/>
  <c r="FX38" i="5"/>
  <c r="DH40" i="5"/>
  <c r="AU40" i="5"/>
  <c r="BR38" i="5"/>
  <c r="EM39" i="5"/>
  <c r="EM41" i="5"/>
  <c r="DO39" i="5"/>
  <c r="FI41" i="5"/>
  <c r="ET38" i="5"/>
  <c r="BS39" i="5"/>
  <c r="CB41" i="5"/>
  <c r="CF41" i="5"/>
  <c r="DW38" i="5"/>
  <c r="AZ40" i="5"/>
  <c r="EE39" i="5"/>
  <c r="CO38" i="5"/>
  <c r="F39" i="5"/>
  <c r="EH40" i="5"/>
  <c r="AK38" i="5"/>
  <c r="DR39" i="5"/>
  <c r="FR40" i="5"/>
  <c r="BS38" i="5"/>
  <c r="AA39" i="5"/>
  <c r="AK41" i="5"/>
  <c r="BA41" i="5"/>
  <c r="Q40" i="5"/>
  <c r="DU40" i="5"/>
  <c r="BZ39" i="5"/>
  <c r="DA39" i="5"/>
  <c r="DE39" i="5"/>
  <c r="X40" i="5"/>
  <c r="EP41" i="5"/>
  <c r="AL39" i="5"/>
  <c r="GL40" i="5"/>
  <c r="BV40" i="5"/>
  <c r="EP39" i="5"/>
  <c r="BM41" i="5"/>
  <c r="AW38" i="5"/>
  <c r="BR40" i="5"/>
  <c r="BB40" i="5"/>
  <c r="DB40" i="5"/>
  <c r="GH39" i="5"/>
  <c r="AY40" i="5"/>
  <c r="GH41" i="5"/>
  <c r="BT39" i="5"/>
  <c r="GK40" i="5"/>
  <c r="DK39" i="5"/>
  <c r="R41" i="5"/>
  <c r="FH38" i="5"/>
  <c r="FQ41" i="5"/>
  <c r="Q38" i="5"/>
  <c r="BR41" i="5"/>
  <c r="BV39" i="5"/>
  <c r="BP39" i="5"/>
  <c r="BH39" i="5"/>
  <c r="DH41" i="5"/>
  <c r="BH38" i="5"/>
  <c r="AR39" i="5"/>
  <c r="AO38" i="5"/>
  <c r="EL41" i="5"/>
  <c r="BJ39" i="5"/>
  <c r="CU38" i="5"/>
  <c r="CK41" i="5"/>
  <c r="DF40" i="5"/>
  <c r="EI40" i="5"/>
  <c r="FV38" i="5"/>
  <c r="GI41" i="5"/>
  <c r="DE40" i="5"/>
  <c r="AQ40" i="5"/>
  <c r="CN40" i="5"/>
  <c r="FL39" i="5"/>
  <c r="CT38" i="5"/>
  <c r="FE40" i="5"/>
  <c r="Y41" i="5"/>
  <c r="BD38" i="5"/>
  <c r="EF41" i="5"/>
  <c r="BY40" i="5"/>
  <c r="FH39" i="5"/>
  <c r="DY41" i="5"/>
  <c r="EN39" i="5"/>
  <c r="AQ38" i="5"/>
  <c r="EQ40" i="5"/>
  <c r="BW38" i="5"/>
  <c r="CR39" i="5"/>
  <c r="BI40" i="5"/>
  <c r="FE41" i="5"/>
  <c r="DD39" i="5"/>
  <c r="BF41" i="5"/>
  <c r="CT41" i="5"/>
  <c r="CB38" i="5"/>
  <c r="FO39" i="5"/>
  <c r="EB39" i="5"/>
  <c r="EZ39" i="5"/>
  <c r="G39" i="5"/>
  <c r="BU41" i="5"/>
  <c r="EN40" i="5"/>
  <c r="AC40" i="5"/>
  <c r="BQ41" i="5"/>
  <c r="AJ40" i="5"/>
  <c r="EI39" i="5"/>
  <c r="FC40" i="5"/>
  <c r="DS41" i="5"/>
  <c r="BI39" i="5"/>
  <c r="AL38" i="5"/>
  <c r="AE40" i="5"/>
  <c r="CA39" i="5"/>
  <c r="BY41" i="5"/>
  <c r="AW39" i="5"/>
  <c r="GN39" i="5"/>
  <c r="DK38" i="5"/>
  <c r="DX39" i="5"/>
  <c r="BG41" i="5"/>
  <c r="DF41" i="5"/>
  <c r="AG40" i="5"/>
  <c r="AB40" i="5"/>
  <c r="DA38" i="5"/>
  <c r="AX41" i="5"/>
  <c r="EV41" i="5"/>
  <c r="DX41" i="5"/>
  <c r="CG41" i="5"/>
  <c r="CV38" i="5"/>
  <c r="P38" i="5"/>
  <c r="FW40" i="5"/>
  <c r="O40" i="5"/>
  <c r="FW41" i="5"/>
  <c r="BH41" i="5"/>
  <c r="AZ41" i="5"/>
  <c r="BO41" i="5"/>
  <c r="CA38" i="5"/>
  <c r="FU39" i="5"/>
  <c r="Q39" i="5"/>
  <c r="AD41" i="5"/>
  <c r="DM38" i="5"/>
  <c r="AY39" i="5"/>
  <c r="GT41" i="5"/>
  <c r="CY38" i="5"/>
  <c r="T41" i="5"/>
  <c r="EY38" i="5"/>
  <c r="ES39" i="5"/>
  <c r="CM40" i="5"/>
  <c r="AU39" i="5"/>
  <c r="AS38" i="5"/>
  <c r="BW39" i="5"/>
  <c r="FP39" i="5"/>
  <c r="BE41" i="5"/>
  <c r="AG41" i="5"/>
  <c r="BA39" i="5"/>
  <c r="FJ41" i="5"/>
  <c r="GK41" i="5"/>
  <c r="FV40" i="5"/>
  <c r="DH39" i="5"/>
  <c r="DG39" i="5"/>
  <c r="AC41" i="5"/>
  <c r="FV39" i="5"/>
  <c r="CK40" i="5"/>
  <c r="CR41" i="5"/>
  <c r="EY41" i="5"/>
  <c r="EO38" i="5"/>
  <c r="CA41" i="5"/>
  <c r="DQ40" i="5"/>
  <c r="EE40" i="5"/>
  <c r="EX41" i="5"/>
  <c r="BK41" i="5"/>
  <c r="DI40" i="5"/>
  <c r="GH40" i="5"/>
  <c r="GA40" i="5"/>
  <c r="CZ38" i="5"/>
  <c r="EX40" i="5"/>
  <c r="GQ41" i="5"/>
  <c r="FP40" i="5"/>
  <c r="FI40" i="5"/>
  <c r="CL39" i="5"/>
  <c r="AB41" i="5"/>
  <c r="GA38" i="5"/>
  <c r="CH39" i="5"/>
  <c r="CD38" i="5"/>
  <c r="FT39" i="5"/>
  <c r="FP38" i="5"/>
  <c r="GS38" i="5"/>
  <c r="AV38" i="5"/>
  <c r="J40" i="5"/>
  <c r="CL40" i="5"/>
  <c r="ED39" i="5"/>
  <c r="GD40" i="5"/>
  <c r="CP41" i="5"/>
  <c r="CG38" i="5"/>
  <c r="DS40" i="5"/>
  <c r="AZ39" i="5"/>
  <c r="W40" i="5"/>
  <c r="BZ40" i="5"/>
  <c r="BM39" i="5"/>
  <c r="BI38" i="5"/>
  <c r="AC38" i="5"/>
  <c r="AY38" i="5"/>
  <c r="ET39" i="5"/>
  <c r="EG39" i="5"/>
  <c r="P41" i="5"/>
  <c r="AB39" i="5"/>
  <c r="FE39" i="5"/>
  <c r="EQ38" i="5"/>
  <c r="EP40" i="5"/>
  <c r="U40" i="5"/>
  <c r="DT40" i="5"/>
  <c r="EC39" i="5"/>
  <c r="CN41" i="5"/>
  <c r="Z39" i="5"/>
  <c r="GQ38" i="5"/>
  <c r="I38" i="5"/>
  <c r="FF41" i="5"/>
  <c r="AV39" i="5"/>
  <c r="DB39" i="5"/>
  <c r="EX39" i="5"/>
  <c r="CW39" i="5"/>
  <c r="FU41" i="5"/>
  <c r="DB41" i="5"/>
  <c r="AO39" i="5"/>
  <c r="CF38" i="5"/>
  <c r="EO41" i="5"/>
  <c r="FW38" i="5"/>
  <c r="FO38" i="5"/>
  <c r="GF40" i="5"/>
  <c r="GM39" i="5"/>
  <c r="CE39" i="5"/>
  <c r="DG41" i="5"/>
  <c r="GU39" i="5"/>
  <c r="DS39" i="5"/>
  <c r="GD38" i="5"/>
  <c r="U39" i="5"/>
  <c r="BH40" i="5"/>
  <c r="GE39" i="5"/>
  <c r="AF40" i="5"/>
  <c r="AP38" i="5"/>
  <c r="Y40" i="5"/>
  <c r="BC38" i="5"/>
  <c r="CP40" i="5"/>
  <c r="FG38" i="5"/>
  <c r="EJ40" i="5"/>
  <c r="X38" i="5"/>
  <c r="F38" i="5"/>
  <c r="BY39" i="5"/>
  <c r="X39" i="5"/>
  <c r="BQ39" i="5"/>
  <c r="Y39" i="5"/>
  <c r="GU41" i="5"/>
  <c r="DS38" i="5"/>
  <c r="K38" i="5"/>
  <c r="EG41" i="5"/>
  <c r="AO40" i="5"/>
  <c r="DD38" i="5"/>
  <c r="AT40" i="5"/>
  <c r="GG39" i="5"/>
  <c r="DD40" i="5"/>
  <c r="EG40" i="5"/>
  <c r="GF38" i="5"/>
  <c r="AX40" i="5"/>
  <c r="EI38" i="5"/>
  <c r="FQ39" i="5"/>
  <c r="CN38" i="5"/>
  <c r="FD39" i="5"/>
  <c r="FS38" i="5"/>
  <c r="BX40" i="5"/>
  <c r="FC39" i="5"/>
  <c r="GR38" i="5"/>
  <c r="BC40" i="5"/>
  <c r="AM39" i="5"/>
  <c r="FN41" i="5"/>
  <c r="DO38" i="5"/>
  <c r="DU39" i="5"/>
  <c r="GJ41" i="5"/>
  <c r="EL38" i="5"/>
  <c r="FX41" i="5"/>
  <c r="FB39" i="5"/>
  <c r="EV39" i="5"/>
  <c r="DL39" i="5"/>
  <c r="BT41" i="5"/>
  <c r="DA41" i="5"/>
  <c r="GN41" i="5"/>
  <c r="P39" i="5"/>
  <c r="FC41" i="5"/>
  <c r="BB41" i="5"/>
  <c r="ED41" i="5"/>
  <c r="EU39" i="5"/>
  <c r="EW40" i="5"/>
  <c r="AA41" i="5"/>
  <c r="CG39" i="5"/>
  <c r="Y38" i="5"/>
  <c r="DV39" i="5"/>
  <c r="FW39" i="5"/>
  <c r="CI40" i="5"/>
  <c r="GC41" i="5"/>
  <c r="EV40" i="5"/>
  <c r="GL39" i="5"/>
  <c r="L39" i="5"/>
  <c r="CI39" i="5"/>
  <c r="EV38" i="5"/>
  <c r="AR38" i="5"/>
  <c r="DC40" i="5"/>
  <c r="BP41" i="5"/>
  <c r="N39" i="5"/>
  <c r="DJ41" i="5"/>
  <c r="BX39" i="5"/>
  <c r="GE38" i="5"/>
  <c r="BS41" i="5"/>
  <c r="BF39" i="5"/>
  <c r="BQ40" i="5"/>
  <c r="H38" i="5"/>
  <c r="GC40" i="5"/>
  <c r="EZ68" i="5" l="1"/>
  <c r="AD68" i="5"/>
  <c r="EI68" i="5"/>
  <c r="EJ68" i="5"/>
  <c r="AV68" i="5"/>
  <c r="FF68" i="5"/>
  <c r="FG68" i="5"/>
  <c r="FY68" i="5"/>
  <c r="DQ68" i="5"/>
  <c r="AE68" i="5"/>
  <c r="DT68" i="5"/>
  <c r="EE68" i="5"/>
  <c r="FP68" i="5"/>
  <c r="BN68" i="5"/>
  <c r="BL68" i="5"/>
  <c r="Y68" i="5"/>
  <c r="FN68" i="5"/>
  <c r="BU68" i="5"/>
  <c r="Q68" i="5"/>
  <c r="BF68" i="5"/>
  <c r="BR68" i="5"/>
  <c r="FS68" i="5"/>
  <c r="FB68" i="5"/>
  <c r="BM68" i="5"/>
  <c r="GB68" i="5"/>
  <c r="ES68" i="5"/>
  <c r="DZ68" i="5"/>
  <c r="FV45" i="5"/>
  <c r="FV46" i="5" s="1"/>
  <c r="FV47" i="5" s="1"/>
  <c r="GC45" i="5"/>
  <c r="GC46" i="5" s="1"/>
  <c r="GC47" i="5" s="1"/>
  <c r="BU45" i="5"/>
  <c r="BU46" i="5" s="1"/>
  <c r="BU47" i="5" s="1"/>
  <c r="FA45" i="5"/>
  <c r="FA46" i="5" s="1"/>
  <c r="FA47" i="5" s="1"/>
  <c r="GA45" i="5"/>
  <c r="GA46" i="5" s="1"/>
  <c r="GA47" i="5" s="1"/>
  <c r="S45" i="5"/>
  <c r="S46" i="5" s="1"/>
  <c r="S47" i="5" s="1"/>
  <c r="FM45" i="5"/>
  <c r="FM46" i="5" s="1"/>
  <c r="FM47" i="5" s="1"/>
  <c r="BE45" i="5"/>
  <c r="BE46" i="5" s="1"/>
  <c r="BE47" i="5" s="1"/>
  <c r="BI45" i="5"/>
  <c r="BI46" i="5" s="1"/>
  <c r="BI47" i="5" s="1"/>
  <c r="AE45" i="5"/>
  <c r="AE46" i="5" s="1"/>
  <c r="AE47" i="5" s="1"/>
  <c r="FO45" i="5"/>
  <c r="FO46" i="5" s="1"/>
  <c r="FO47" i="5" s="1"/>
  <c r="FE45" i="5"/>
  <c r="FE46" i="5" s="1"/>
  <c r="FE47" i="5" s="1"/>
  <c r="FI45" i="5"/>
  <c r="FI46" i="5" s="1"/>
  <c r="FI47" i="5" s="1"/>
  <c r="BL45" i="5"/>
  <c r="BL46" i="5" s="1"/>
  <c r="BL47" i="5" s="1"/>
  <c r="DZ45" i="5"/>
  <c r="DZ46" i="5" s="1"/>
  <c r="DZ47" i="5" s="1"/>
  <c r="AQ45" i="5"/>
  <c r="AQ46" i="5" s="1"/>
  <c r="AQ47" i="5" s="1"/>
  <c r="N45" i="5"/>
  <c r="N46" i="5" s="1"/>
  <c r="N47" i="5" s="1"/>
  <c r="EW45" i="5"/>
  <c r="EW46" i="5" s="1"/>
  <c r="EW47" i="5" s="1"/>
  <c r="CE45" i="5"/>
  <c r="CE46" i="5" s="1"/>
  <c r="CE47" i="5" s="1"/>
  <c r="DF45" i="5"/>
  <c r="DF46" i="5" s="1"/>
  <c r="DF47" i="5" s="1"/>
  <c r="DX45" i="5"/>
  <c r="DX46" i="5" s="1"/>
  <c r="DX47" i="5" s="1"/>
  <c r="DD45" i="5"/>
  <c r="DD46" i="5" s="1"/>
  <c r="DD47" i="5" s="1"/>
  <c r="AH45" i="5"/>
  <c r="AH46" i="5" s="1"/>
  <c r="AH47" i="5" s="1"/>
  <c r="P45" i="5"/>
  <c r="P46" i="5" s="1"/>
  <c r="P47" i="5" s="1"/>
  <c r="FS45" i="5"/>
  <c r="FS46" i="5" s="1"/>
  <c r="FS47" i="5" s="1"/>
  <c r="DB45" i="5"/>
  <c r="DB46" i="5" s="1"/>
  <c r="DB47" i="5" s="1"/>
  <c r="FF45" i="5"/>
  <c r="FF46" i="5" s="1"/>
  <c r="FF47" i="5" s="1"/>
  <c r="BX45" i="5"/>
  <c r="BX46" i="5" s="1"/>
  <c r="BX47" i="5" s="1"/>
  <c r="DG45" i="5"/>
  <c r="DG46" i="5" s="1"/>
  <c r="DG47" i="5" s="1"/>
  <c r="EC45" i="5"/>
  <c r="EC46" i="5" s="1"/>
  <c r="EC47" i="5" s="1"/>
  <c r="EF45" i="5"/>
  <c r="EF46" i="5" s="1"/>
  <c r="EF47" i="5" s="1"/>
  <c r="DY45" i="5"/>
  <c r="DY46" i="5" s="1"/>
  <c r="DY47" i="5" s="1"/>
  <c r="DL45" i="5"/>
  <c r="DL46" i="5" s="1"/>
  <c r="DL47" i="5" s="1"/>
  <c r="DC45" i="5"/>
  <c r="DC46" i="5" s="1"/>
  <c r="DC47" i="5" s="1"/>
  <c r="CS45" i="5"/>
  <c r="CS46" i="5" s="1"/>
  <c r="CS47" i="5" s="1"/>
  <c r="GH45" i="5"/>
  <c r="GH46" i="5" s="1"/>
  <c r="GH47" i="5" s="1"/>
  <c r="CC45" i="5"/>
  <c r="CC46" i="5" s="1"/>
  <c r="CC47" i="5" s="1"/>
  <c r="K45" i="5"/>
  <c r="K46" i="5" s="1"/>
  <c r="K47" i="5" s="1"/>
  <c r="CI45" i="5"/>
  <c r="CI46" i="5" s="1"/>
  <c r="CI47" i="5" s="1"/>
  <c r="DQ45" i="5"/>
  <c r="DQ46" i="5" s="1"/>
  <c r="DQ47" i="5" s="1"/>
  <c r="EX45" i="5"/>
  <c r="EX46" i="5" s="1"/>
  <c r="EX47" i="5" s="1"/>
  <c r="AA45" i="5"/>
  <c r="AA46" i="5" s="1"/>
  <c r="AA47" i="5" s="1"/>
  <c r="CD45" i="5"/>
  <c r="CD46" i="5" s="1"/>
  <c r="CD47" i="5" s="1"/>
  <c r="BN45" i="5"/>
  <c r="BN46" i="5" s="1"/>
  <c r="BN47" i="5" s="1"/>
  <c r="T45" i="5"/>
  <c r="T46" i="5" s="1"/>
  <c r="T47" i="5" s="1"/>
  <c r="BA45" i="5"/>
  <c r="BA46" i="5" s="1"/>
  <c r="BA47" i="5" s="1"/>
  <c r="DO45" i="5"/>
  <c r="DO46" i="5" s="1"/>
  <c r="DO47" i="5" s="1"/>
  <c r="AF45" i="5"/>
  <c r="AF46" i="5" s="1"/>
  <c r="AF47" i="5" s="1"/>
  <c r="H45" i="5"/>
  <c r="H46" i="5" s="1"/>
  <c r="H47" i="5" s="1"/>
  <c r="FY45" i="5"/>
  <c r="FY46" i="5" s="1"/>
  <c r="FY47" i="5" s="1"/>
  <c r="L45" i="5"/>
  <c r="L46" i="5" s="1"/>
  <c r="L47" i="5" s="1"/>
  <c r="FH45" i="5"/>
  <c r="FH46" i="5" s="1"/>
  <c r="FH47" i="5" s="1"/>
  <c r="DM45" i="5"/>
  <c r="DM46" i="5" s="1"/>
  <c r="DM47" i="5" s="1"/>
  <c r="AR45" i="5"/>
  <c r="AR46" i="5" s="1"/>
  <c r="AR47" i="5" s="1"/>
  <c r="CN45" i="5"/>
  <c r="CN46" i="5" s="1"/>
  <c r="CN47" i="5" s="1"/>
  <c r="FC45" i="5"/>
  <c r="FC46" i="5" s="1"/>
  <c r="FC47" i="5" s="1"/>
  <c r="J45" i="5"/>
  <c r="J46" i="5" s="1"/>
  <c r="J47" i="5" s="1"/>
  <c r="CF45" i="5"/>
  <c r="CF46" i="5" s="1"/>
  <c r="CF47" i="5" s="1"/>
  <c r="EA45" i="5"/>
  <c r="EA46" i="5" s="1"/>
  <c r="EA47" i="5" s="1"/>
  <c r="EG45" i="5"/>
  <c r="EG46" i="5" s="1"/>
  <c r="EG47" i="5" s="1"/>
  <c r="GG45" i="5"/>
  <c r="GG46" i="5" s="1"/>
  <c r="GG47" i="5" s="1"/>
  <c r="DE45" i="5"/>
  <c r="DE46" i="5" s="1"/>
  <c r="DE47" i="5" s="1"/>
  <c r="DE51" i="5" s="1"/>
  <c r="DE52" i="5" s="1"/>
  <c r="DE58" i="5" s="1"/>
  <c r="DE59" i="5" s="1"/>
  <c r="DE70" i="5" s="1"/>
  <c r="CT45" i="5"/>
  <c r="CT46" i="5" s="1"/>
  <c r="CT47" i="5" s="1"/>
  <c r="GI45" i="5"/>
  <c r="GI46" i="5" s="1"/>
  <c r="GI47" i="5" s="1"/>
  <c r="AL45" i="5"/>
  <c r="AL46" i="5" s="1"/>
  <c r="AL47" i="5" s="1"/>
  <c r="CL45" i="5"/>
  <c r="CL46" i="5" s="1"/>
  <c r="CL47" i="5" s="1"/>
  <c r="CW45" i="5"/>
  <c r="CW46" i="5" s="1"/>
  <c r="CW47" i="5" s="1"/>
  <c r="CG45" i="5"/>
  <c r="CG46" i="5" s="1"/>
  <c r="CG47" i="5" s="1"/>
  <c r="DR45" i="5"/>
  <c r="DR46" i="5" s="1"/>
  <c r="DR47" i="5" s="1"/>
  <c r="DJ45" i="5"/>
  <c r="DJ46" i="5" s="1"/>
  <c r="DJ47" i="5" s="1"/>
  <c r="Z45" i="5"/>
  <c r="Z46" i="5" s="1"/>
  <c r="Z47" i="5" s="1"/>
  <c r="AO45" i="5"/>
  <c r="AO46" i="5" s="1"/>
  <c r="AO47" i="5" s="1"/>
  <c r="O45" i="5"/>
  <c r="O46" i="5" s="1"/>
  <c r="O47" i="5" s="1"/>
  <c r="O51" i="5" s="1"/>
  <c r="O52" i="5" s="1"/>
  <c r="O58" i="5" s="1"/>
  <c r="O59" i="5" s="1"/>
  <c r="O70" i="5" s="1"/>
  <c r="EJ45" i="5"/>
  <c r="EJ46" i="5" s="1"/>
  <c r="EJ47" i="5" s="1"/>
  <c r="ER45" i="5"/>
  <c r="ER46" i="5" s="1"/>
  <c r="ER47" i="5" s="1"/>
  <c r="FK45" i="5"/>
  <c r="FK46" i="5" s="1"/>
  <c r="FK47" i="5" s="1"/>
  <c r="AP45" i="5"/>
  <c r="AP46" i="5" s="1"/>
  <c r="AP47" i="5" s="1"/>
  <c r="Q45" i="5"/>
  <c r="Q46" i="5" s="1"/>
  <c r="Q47" i="5" s="1"/>
  <c r="EK45" i="5"/>
  <c r="EK46" i="5" s="1"/>
  <c r="EK47" i="5" s="1"/>
  <c r="EQ45" i="5"/>
  <c r="EQ46" i="5" s="1"/>
  <c r="EQ47" i="5" s="1"/>
  <c r="W45" i="5"/>
  <c r="W46" i="5" s="1"/>
  <c r="W47" i="5" s="1"/>
  <c r="ET45" i="5"/>
  <c r="ET46" i="5" s="1"/>
  <c r="ET47" i="5" s="1"/>
  <c r="CZ45" i="5"/>
  <c r="CZ46" i="5" s="1"/>
  <c r="CZ47" i="5" s="1"/>
  <c r="F45" i="5"/>
  <c r="F46" i="5" s="1"/>
  <c r="F47" i="5" s="1"/>
  <c r="F51" i="5" s="1"/>
  <c r="F52" i="5" s="1"/>
  <c r="F58" i="5" s="1"/>
  <c r="F59" i="5" s="1"/>
  <c r="F70" i="5" s="1"/>
  <c r="EY45" i="5"/>
  <c r="EY46" i="5" s="1"/>
  <c r="EY47" i="5" s="1"/>
  <c r="EM45" i="5"/>
  <c r="EM46" i="5" s="1"/>
  <c r="EM47" i="5" s="1"/>
  <c r="ED45" i="5"/>
  <c r="ED46" i="5" s="1"/>
  <c r="ED47" i="5" s="1"/>
  <c r="EH45" i="5"/>
  <c r="EH46" i="5" s="1"/>
  <c r="EH47" i="5" s="1"/>
  <c r="FW45" i="5"/>
  <c r="FW46" i="5" s="1"/>
  <c r="FW47" i="5" s="1"/>
  <c r="FW51" i="5" s="1"/>
  <c r="FW52" i="5" s="1"/>
  <c r="FW58" i="5" s="1"/>
  <c r="GF45" i="5"/>
  <c r="GF46" i="5" s="1"/>
  <c r="GF47" i="5" s="1"/>
  <c r="AW45" i="5"/>
  <c r="AW46" i="5" s="1"/>
  <c r="AW47" i="5" s="1"/>
  <c r="DW45" i="5"/>
  <c r="DW46" i="5" s="1"/>
  <c r="DW47" i="5" s="1"/>
  <c r="BT45" i="5"/>
  <c r="BT46" i="5" s="1"/>
  <c r="BT47" i="5" s="1"/>
  <c r="CV45" i="5"/>
  <c r="CV46" i="5" s="1"/>
  <c r="CV47" i="5" s="1"/>
  <c r="GJ45" i="5"/>
  <c r="GJ46" i="5" s="1"/>
  <c r="GJ47" i="5" s="1"/>
  <c r="DH45" i="5"/>
  <c r="DH46" i="5" s="1"/>
  <c r="DH47" i="5" s="1"/>
  <c r="FL45" i="5"/>
  <c r="FL46" i="5" s="1"/>
  <c r="FL47" i="5" s="1"/>
  <c r="DP45" i="5"/>
  <c r="DP46" i="5" s="1"/>
  <c r="DP47" i="5" s="1"/>
  <c r="BS45" i="5"/>
  <c r="BS46" i="5" s="1"/>
  <c r="BS47" i="5" s="1"/>
  <c r="EU45" i="5"/>
  <c r="EU46" i="5" s="1"/>
  <c r="EU47" i="5" s="1"/>
  <c r="Y45" i="5"/>
  <c r="Y46" i="5" s="1"/>
  <c r="Y47" i="5" s="1"/>
  <c r="BC45" i="5"/>
  <c r="BC46" i="5" s="1"/>
  <c r="BC47" i="5" s="1"/>
  <c r="GR45" i="5"/>
  <c r="GR46" i="5" s="1"/>
  <c r="GR47" i="5" s="1"/>
  <c r="CQ45" i="5"/>
  <c r="CQ46" i="5" s="1"/>
  <c r="CQ47" i="5" s="1"/>
  <c r="DS45" i="5"/>
  <c r="DS46" i="5" s="1"/>
  <c r="DS47" i="5" s="1"/>
  <c r="AT45" i="5"/>
  <c r="AT46" i="5" s="1"/>
  <c r="AT47" i="5" s="1"/>
  <c r="BR45" i="5"/>
  <c r="BR46" i="5" s="1"/>
  <c r="BR47" i="5" s="1"/>
  <c r="DA45" i="5"/>
  <c r="DA46" i="5" s="1"/>
  <c r="DA47" i="5" s="1"/>
  <c r="GB45" i="5"/>
  <c r="GB46" i="5" s="1"/>
  <c r="GB47" i="5" s="1"/>
  <c r="R45" i="5"/>
  <c r="R46" i="5" s="1"/>
  <c r="R47" i="5" s="1"/>
  <c r="R51" i="5" s="1"/>
  <c r="R52" i="5" s="1"/>
  <c r="R58" i="5" s="1"/>
  <c r="R59" i="5" s="1"/>
  <c r="R70" i="5" s="1"/>
  <c r="BY45" i="5"/>
  <c r="BY46" i="5" s="1"/>
  <c r="BY47" i="5" s="1"/>
  <c r="BK45" i="5"/>
  <c r="BK46" i="5" s="1"/>
  <c r="BK47" i="5" s="1"/>
  <c r="FU45" i="5"/>
  <c r="FU46" i="5" s="1"/>
  <c r="FU47" i="5" s="1"/>
  <c r="AI45" i="5"/>
  <c r="AI46" i="5" s="1"/>
  <c r="AI47" i="5" s="1"/>
  <c r="AX45" i="5"/>
  <c r="AX46" i="5" s="1"/>
  <c r="AX47" i="5" s="1"/>
  <c r="AX51" i="5" s="1"/>
  <c r="AX52" i="5" s="1"/>
  <c r="AX58" i="5" s="1"/>
  <c r="AX59" i="5" s="1"/>
  <c r="AX70" i="5" s="1"/>
  <c r="DT45" i="5"/>
  <c r="DT46" i="5" s="1"/>
  <c r="DT47" i="5" s="1"/>
  <c r="FR45" i="5"/>
  <c r="FR46" i="5" s="1"/>
  <c r="FR47" i="5" s="1"/>
  <c r="AC45" i="5"/>
  <c r="AC46" i="5" s="1"/>
  <c r="AC47" i="5" s="1"/>
  <c r="EI45" i="5"/>
  <c r="EI46" i="5" s="1"/>
  <c r="EI47" i="5" s="1"/>
  <c r="FB45" i="5"/>
  <c r="FB46" i="5" s="1"/>
  <c r="FB47" i="5" s="1"/>
  <c r="FN45" i="5"/>
  <c r="FN46" i="5" s="1"/>
  <c r="FN47" i="5" s="1"/>
  <c r="CR45" i="5"/>
  <c r="CR46" i="5" s="1"/>
  <c r="CR47" i="5" s="1"/>
  <c r="AK45" i="5"/>
  <c r="AK46" i="5" s="1"/>
  <c r="AK47" i="5" s="1"/>
  <c r="CM45" i="5"/>
  <c r="CM46" i="5" s="1"/>
  <c r="CM47" i="5" s="1"/>
  <c r="BZ45" i="5"/>
  <c r="BZ46" i="5" s="1"/>
  <c r="BZ47" i="5" s="1"/>
  <c r="CJ45" i="5"/>
  <c r="CJ46" i="5" s="1"/>
  <c r="CJ47" i="5" s="1"/>
  <c r="AV45" i="5"/>
  <c r="AV46" i="5" s="1"/>
  <c r="AV47" i="5" s="1"/>
  <c r="BQ45" i="5"/>
  <c r="BQ46" i="5" s="1"/>
  <c r="BQ47" i="5" s="1"/>
  <c r="BG45" i="5"/>
  <c r="BG46" i="5" s="1"/>
  <c r="BG47" i="5" s="1"/>
  <c r="GL45" i="5"/>
  <c r="GL46" i="5" s="1"/>
  <c r="GL47" i="5" s="1"/>
  <c r="GS45" i="5"/>
  <c r="GS46" i="5" s="1"/>
  <c r="GS47" i="5" s="1"/>
  <c r="GT51" i="5" s="1"/>
  <c r="GT52" i="5" s="1"/>
  <c r="GT58" i="5" s="1"/>
  <c r="GT59" i="5" s="1"/>
  <c r="GT70" i="5" s="1"/>
  <c r="CB45" i="5"/>
  <c r="CB46" i="5" s="1"/>
  <c r="CB47" i="5" s="1"/>
  <c r="BO45" i="5"/>
  <c r="BO46" i="5" s="1"/>
  <c r="BO47" i="5" s="1"/>
  <c r="FG45" i="5"/>
  <c r="FG46" i="5" s="1"/>
  <c r="FG47" i="5" s="1"/>
  <c r="FZ45" i="5"/>
  <c r="FZ46" i="5" s="1"/>
  <c r="FZ47" i="5" s="1"/>
  <c r="GD45" i="5"/>
  <c r="GD46" i="5" s="1"/>
  <c r="GD47" i="5" s="1"/>
  <c r="EZ45" i="5"/>
  <c r="EZ46" i="5" s="1"/>
  <c r="EZ47" i="5" s="1"/>
  <c r="BM45" i="5"/>
  <c r="BM46" i="5" s="1"/>
  <c r="BM47" i="5" s="1"/>
  <c r="EB45" i="5"/>
  <c r="EB46" i="5" s="1"/>
  <c r="EB47" i="5" s="1"/>
  <c r="EB51" i="5" s="1"/>
  <c r="EB52" i="5" s="1"/>
  <c r="EB58" i="5" s="1"/>
  <c r="V45" i="5"/>
  <c r="V46" i="5" s="1"/>
  <c r="V47" i="5" s="1"/>
  <c r="FT45" i="5"/>
  <c r="FT46" i="5" s="1"/>
  <c r="FT47" i="5" s="1"/>
  <c r="U45" i="5"/>
  <c r="U46" i="5" s="1"/>
  <c r="U47" i="5" s="1"/>
  <c r="AJ45" i="5"/>
  <c r="AJ46" i="5" s="1"/>
  <c r="AJ47" i="5" s="1"/>
  <c r="AY45" i="5"/>
  <c r="AY46" i="5" s="1"/>
  <c r="AY47" i="5" s="1"/>
  <c r="DU45" i="5"/>
  <c r="DU46" i="5" s="1"/>
  <c r="DU47" i="5" s="1"/>
  <c r="FQ45" i="5"/>
  <c r="FQ46" i="5" s="1"/>
  <c r="FQ47" i="5" s="1"/>
  <c r="AB45" i="5"/>
  <c r="AB46" i="5" s="1"/>
  <c r="AB47" i="5" s="1"/>
  <c r="EL45" i="5"/>
  <c r="EL46" i="5" s="1"/>
  <c r="EL47" i="5" s="1"/>
  <c r="CU45" i="5"/>
  <c r="CU46" i="5" s="1"/>
  <c r="CU47" i="5" s="1"/>
  <c r="GK45" i="5"/>
  <c r="GK46" i="5" s="1"/>
  <c r="GK47" i="5" s="1"/>
  <c r="ES45" i="5"/>
  <c r="ES46" i="5" s="1"/>
  <c r="ES47" i="5" s="1"/>
  <c r="FP45" i="5"/>
  <c r="FP46" i="5" s="1"/>
  <c r="FP47" i="5" s="1"/>
  <c r="EV45" i="5"/>
  <c r="EV46" i="5" s="1"/>
  <c r="EV47" i="5" s="1"/>
  <c r="CP45" i="5"/>
  <c r="CP46" i="5" s="1"/>
  <c r="CP47" i="5" s="1"/>
  <c r="AM45" i="5"/>
  <c r="AM46" i="5" s="1"/>
  <c r="AM47" i="5" s="1"/>
  <c r="CO45" i="5"/>
  <c r="CO46" i="5" s="1"/>
  <c r="CO47" i="5" s="1"/>
  <c r="CA45" i="5"/>
  <c r="CA46" i="5" s="1"/>
  <c r="CA47" i="5" s="1"/>
  <c r="CA51" i="5" s="1"/>
  <c r="CA52" i="5" s="1"/>
  <c r="CA58" i="5" s="1"/>
  <c r="CA59" i="5" s="1"/>
  <c r="CA70" i="5" s="1"/>
  <c r="CK45" i="5"/>
  <c r="CK46" i="5" s="1"/>
  <c r="CK47" i="5" s="1"/>
  <c r="CK51" i="5" s="1"/>
  <c r="CK52" i="5" s="1"/>
  <c r="CK58" i="5" s="1"/>
  <c r="CK59" i="5" s="1"/>
  <c r="CK70" i="5" s="1"/>
  <c r="AU45" i="5"/>
  <c r="AU46" i="5" s="1"/>
  <c r="AU47" i="5" s="1"/>
  <c r="DK45" i="5"/>
  <c r="DK46" i="5" s="1"/>
  <c r="DK47" i="5" s="1"/>
  <c r="M45" i="5"/>
  <c r="M46" i="5" s="1"/>
  <c r="M47" i="5" s="1"/>
  <c r="FX45" i="5"/>
  <c r="FX46" i="5" s="1"/>
  <c r="FX47" i="5" s="1"/>
  <c r="BD45" i="5"/>
  <c r="BD46" i="5" s="1"/>
  <c r="BD47" i="5" s="1"/>
  <c r="G45" i="5"/>
  <c r="G46" i="5" s="1"/>
  <c r="G47" i="5" s="1"/>
  <c r="EP45" i="5"/>
  <c r="EP46" i="5" s="1"/>
  <c r="EP47" i="5" s="1"/>
  <c r="CX45" i="5"/>
  <c r="CX46" i="5" s="1"/>
  <c r="CX47" i="5" s="1"/>
  <c r="BH45" i="5"/>
  <c r="BH46" i="5" s="1"/>
  <c r="BH47" i="5" s="1"/>
  <c r="CH45" i="5"/>
  <c r="CH46" i="5" s="1"/>
  <c r="CH47" i="5" s="1"/>
  <c r="FD45" i="5"/>
  <c r="FD46" i="5" s="1"/>
  <c r="FD47" i="5" s="1"/>
  <c r="DI45" i="5"/>
  <c r="DI46" i="5" s="1"/>
  <c r="DI47" i="5" s="1"/>
  <c r="GQ45" i="5"/>
  <c r="GQ46" i="5" s="1"/>
  <c r="GQ47" i="5" s="1"/>
  <c r="GP45" i="5"/>
  <c r="GP46" i="5" s="1"/>
  <c r="GP47" i="5" s="1"/>
  <c r="GP51" i="5" s="1"/>
  <c r="GP52" i="5" s="1"/>
  <c r="GP58" i="5" s="1"/>
  <c r="GP59" i="5" s="1"/>
  <c r="GP70" i="5" s="1"/>
  <c r="EN45" i="5"/>
  <c r="EN46" i="5" s="1"/>
  <c r="EN47" i="5" s="1"/>
  <c r="AS45" i="5"/>
  <c r="AS46" i="5" s="1"/>
  <c r="AS47" i="5" s="1"/>
  <c r="CY45" i="5"/>
  <c r="CY46" i="5" s="1"/>
  <c r="CY47" i="5" s="1"/>
  <c r="FJ45" i="5"/>
  <c r="FJ46" i="5" s="1"/>
  <c r="FJ47" i="5" s="1"/>
  <c r="BW45" i="5"/>
  <c r="BW46" i="5" s="1"/>
  <c r="BW47" i="5" s="1"/>
  <c r="EE45" i="5"/>
  <c r="EE46" i="5" s="1"/>
  <c r="EE47" i="5" s="1"/>
  <c r="DN45" i="5"/>
  <c r="DN46" i="5" s="1"/>
  <c r="DN47" i="5" s="1"/>
  <c r="AZ45" i="5"/>
  <c r="AZ46" i="5" s="1"/>
  <c r="AZ47" i="5" s="1"/>
  <c r="DV45" i="5"/>
  <c r="DV46" i="5" s="1"/>
  <c r="DV47" i="5" s="1"/>
  <c r="X45" i="5"/>
  <c r="X46" i="5" s="1"/>
  <c r="X47" i="5" s="1"/>
  <c r="BV45" i="5"/>
  <c r="BV46" i="5" s="1"/>
  <c r="BV47" i="5" s="1"/>
  <c r="AG45" i="5"/>
  <c r="AG46" i="5" s="1"/>
  <c r="AG47" i="5" s="1"/>
  <c r="AG51" i="5" s="1"/>
  <c r="AG52" i="5" s="1"/>
  <c r="AG58" i="5" s="1"/>
  <c r="AG59" i="5" s="1"/>
  <c r="AG70" i="5" s="1"/>
  <c r="GE45" i="5"/>
  <c r="GE46" i="5" s="1"/>
  <c r="GE47" i="5" s="1"/>
  <c r="BF45" i="5"/>
  <c r="BF46" i="5" s="1"/>
  <c r="BF47" i="5" s="1"/>
  <c r="I45" i="5"/>
  <c r="I46" i="5" s="1"/>
  <c r="I47" i="5" s="1"/>
  <c r="EO45" i="5"/>
  <c r="EO46" i="5" s="1"/>
  <c r="EO47" i="5" s="1"/>
  <c r="AD45" i="5"/>
  <c r="AD46" i="5" s="1"/>
  <c r="AD47" i="5" s="1"/>
  <c r="BJ45" i="5"/>
  <c r="BJ46" i="5" s="1"/>
  <c r="BJ47" i="5" s="1"/>
  <c r="BB45" i="5"/>
  <c r="BB46" i="5" s="1"/>
  <c r="BB47" i="5" s="1"/>
  <c r="AN45" i="5"/>
  <c r="AN46" i="5" s="1"/>
  <c r="AN47" i="5" s="1"/>
  <c r="BP45" i="5"/>
  <c r="BP46" i="5" s="1"/>
  <c r="BP47" i="5" s="1"/>
  <c r="GM45" i="5"/>
  <c r="GM46" i="5" s="1"/>
  <c r="GM47" i="5" s="1"/>
  <c r="GN51" i="5" s="1"/>
  <c r="GN52" i="5" s="1"/>
  <c r="GN58" i="5" s="1"/>
  <c r="GN59" i="5" s="1"/>
  <c r="GQ67" i="5" s="1"/>
  <c r="GQ69" i="5" s="1"/>
  <c r="CA68" i="5"/>
  <c r="CF68" i="5"/>
  <c r="EU68" i="5"/>
  <c r="BG68" i="5"/>
  <c r="AO68" i="5"/>
  <c r="GG68" i="5"/>
  <c r="AU68" i="5"/>
  <c r="GA68" i="5"/>
  <c r="GC68" i="5"/>
  <c r="FT68" i="5"/>
  <c r="BV68" i="5"/>
  <c r="DS68" i="5"/>
  <c r="EO68" i="5"/>
  <c r="BY68" i="5"/>
  <c r="W68" i="5"/>
  <c r="FR68" i="5"/>
  <c r="ED68" i="5"/>
  <c r="BW68" i="5"/>
  <c r="BK68" i="5"/>
  <c r="V68" i="5"/>
  <c r="BT68" i="5"/>
  <c r="FM68" i="5"/>
  <c r="FU68" i="5"/>
  <c r="GD68" i="5"/>
  <c r="DU68" i="5"/>
  <c r="FQ68" i="5"/>
  <c r="S68" i="5"/>
  <c r="FO68" i="5"/>
  <c r="DC68" i="5"/>
  <c r="CN68" i="5"/>
  <c r="GF68" i="5"/>
  <c r="U68" i="5"/>
  <c r="CP68" i="5"/>
  <c r="I68" i="5"/>
  <c r="GJ68" i="5"/>
  <c r="CI68" i="5"/>
  <c r="DO68" i="5"/>
  <c r="AL68" i="5"/>
  <c r="J68" i="5"/>
  <c r="CO68" i="5"/>
  <c r="BH68" i="5"/>
  <c r="DW68" i="5"/>
  <c r="EY68" i="5"/>
  <c r="BZ68"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CH68" i="5"/>
  <c r="FV68" i="5"/>
  <c r="CY68" i="5"/>
  <c r="FD68" i="5"/>
  <c r="E70" i="5"/>
  <c r="FE68" i="5"/>
  <c r="AJ68" i="5"/>
  <c r="BE68" i="5"/>
  <c r="R68" i="5"/>
  <c r="DV68" i="5"/>
  <c r="DM68" i="5"/>
  <c r="EQ68" i="5"/>
  <c r="FA68" i="5"/>
  <c r="CX68" i="5"/>
  <c r="DG68" i="5"/>
  <c r="GK68" i="5"/>
  <c r="GU70" i="5"/>
  <c r="DA68" i="5"/>
  <c r="EW68" i="5"/>
  <c r="FJ68" i="5"/>
  <c r="FL68" i="5"/>
  <c r="AR68" i="5"/>
  <c r="FK68" i="5"/>
  <c r="EX68" i="5"/>
  <c r="N68" i="5"/>
  <c r="CQ68" i="5"/>
  <c r="P68" i="5"/>
  <c r="AQ68" i="5"/>
  <c r="BQ68" i="5"/>
  <c r="DN68" i="5"/>
  <c r="AW68" i="5"/>
  <c r="EG68" i="5"/>
  <c r="DL68" i="5"/>
  <c r="AH68" i="5"/>
  <c r="BO68" i="5"/>
  <c r="H68" i="5"/>
  <c r="G68" i="5"/>
  <c r="EF68" i="5"/>
  <c r="EH68" i="5"/>
  <c r="L68" i="5"/>
  <c r="DP68" i="5"/>
  <c r="K68" i="5"/>
  <c r="AK68" i="5"/>
  <c r="AN68" i="5"/>
  <c r="AM68" i="5"/>
  <c r="M68" i="5"/>
  <c r="DD68" i="5"/>
  <c r="CC68" i="5"/>
  <c r="CB68" i="5"/>
  <c r="H67" i="5"/>
  <c r="CW68" i="5"/>
  <c r="CV68" i="5"/>
  <c r="EN68" i="5"/>
  <c r="EM68" i="5"/>
  <c r="EK68" i="5"/>
  <c r="CM68" i="5"/>
  <c r="CJ68" i="5"/>
  <c r="CL68" i="5"/>
  <c r="CK68" i="5"/>
  <c r="AB68" i="5"/>
  <c r="CU68" i="5"/>
  <c r="CT68" i="5"/>
  <c r="CR68" i="5"/>
  <c r="CS68" i="5"/>
  <c r="AG68" i="5"/>
  <c r="BP68" i="5"/>
  <c r="DF68" i="5"/>
  <c r="DE68" i="5"/>
  <c r="EB68" i="5"/>
  <c r="EA68" i="5"/>
  <c r="DY68" i="5"/>
  <c r="AA68" i="5"/>
  <c r="AT68" i="5"/>
  <c r="AS68" i="5"/>
  <c r="DJ68" i="5"/>
  <c r="DK68" i="5"/>
  <c r="BA68" i="5"/>
  <c r="AY68" i="5"/>
  <c r="DI68" i="5"/>
  <c r="DH68" i="5"/>
  <c r="AZ68" i="5"/>
  <c r="EL68" i="5"/>
  <c r="AC68" i="5"/>
  <c r="GM68" i="5"/>
  <c r="AX68" i="5"/>
  <c r="Z68" i="5"/>
  <c r="AI68" i="5"/>
  <c r="G67" i="5"/>
  <c r="D70" i="5"/>
  <c r="GO70" i="5"/>
  <c r="GR67" i="5"/>
  <c r="GR69" i="5" s="1"/>
  <c r="BP51" i="5" l="1"/>
  <c r="BP52" i="5" s="1"/>
  <c r="BP58" i="5" s="1"/>
  <c r="BP59" i="5" s="1"/>
  <c r="BP70" i="5" s="1"/>
  <c r="EZ51" i="5"/>
  <c r="EZ52" i="5" s="1"/>
  <c r="EZ58" i="5" s="1"/>
  <c r="AV51" i="5"/>
  <c r="AV52" i="5" s="1"/>
  <c r="AV58" i="5" s="1"/>
  <c r="AV59" i="5" s="1"/>
  <c r="AV70" i="5" s="1"/>
  <c r="FX51" i="5"/>
  <c r="FX52" i="5" s="1"/>
  <c r="FX58" i="5" s="1"/>
  <c r="FR51" i="5"/>
  <c r="FR52" i="5" s="1"/>
  <c r="FR58" i="5" s="1"/>
  <c r="GF51" i="5"/>
  <c r="GF52" i="5" s="1"/>
  <c r="GF58" i="5" s="1"/>
  <c r="FJ51" i="5"/>
  <c r="FJ52" i="5" s="1"/>
  <c r="FJ58" i="5" s="1"/>
  <c r="BY51" i="5"/>
  <c r="BY52" i="5" s="1"/>
  <c r="BY58" i="5" s="1"/>
  <c r="BY59" i="5" s="1"/>
  <c r="BY70" i="5" s="1"/>
  <c r="CE51" i="5"/>
  <c r="CE52" i="5" s="1"/>
  <c r="CE58" i="5" s="1"/>
  <c r="CE59" i="5" s="1"/>
  <c r="CE70" i="5" s="1"/>
  <c r="I51" i="5"/>
  <c r="I52" i="5" s="1"/>
  <c r="I58" i="5" s="1"/>
  <c r="I59" i="5" s="1"/>
  <c r="I70" i="5" s="1"/>
  <c r="BV51" i="5"/>
  <c r="BV52" i="5" s="1"/>
  <c r="BV58" i="5" s="1"/>
  <c r="BV59" i="5" s="1"/>
  <c r="BV70" i="5" s="1"/>
  <c r="ES51" i="5"/>
  <c r="ES52" i="5" s="1"/>
  <c r="ES58" i="5" s="1"/>
  <c r="CT51" i="5"/>
  <c r="CT52" i="5" s="1"/>
  <c r="CT58" i="5" s="1"/>
  <c r="CT59" i="5" s="1"/>
  <c r="CT70" i="5" s="1"/>
  <c r="CS51" i="5"/>
  <c r="CS52" i="5" s="1"/>
  <c r="CS58" i="5" s="1"/>
  <c r="CS59" i="5" s="1"/>
  <c r="CS70" i="5" s="1"/>
  <c r="FP51" i="5"/>
  <c r="FP52" i="5" s="1"/>
  <c r="FP58" i="5" s="1"/>
  <c r="ER51" i="5"/>
  <c r="ER52" i="5" s="1"/>
  <c r="ER58" i="5" s="1"/>
  <c r="AM51" i="5"/>
  <c r="AM52" i="5" s="1"/>
  <c r="AM58" i="5" s="1"/>
  <c r="AM59" i="5" s="1"/>
  <c r="AM70" i="5" s="1"/>
  <c r="AN51" i="5"/>
  <c r="AN52" i="5" s="1"/>
  <c r="AN58" i="5" s="1"/>
  <c r="AN59" i="5" s="1"/>
  <c r="AN70" i="5" s="1"/>
  <c r="AY51" i="5"/>
  <c r="AY52" i="5" s="1"/>
  <c r="AY58" i="5" s="1"/>
  <c r="AY59" i="5" s="1"/>
  <c r="AY70" i="5" s="1"/>
  <c r="CF51" i="5"/>
  <c r="CF52" i="5" s="1"/>
  <c r="CF58" i="5" s="1"/>
  <c r="CF59" i="5" s="1"/>
  <c r="CF70" i="5" s="1"/>
  <c r="X51" i="5"/>
  <c r="X52" i="5" s="1"/>
  <c r="X58" i="5" s="1"/>
  <c r="X59" i="5" s="1"/>
  <c r="X70" i="5" s="1"/>
  <c r="T51" i="5"/>
  <c r="T52" i="5" s="1"/>
  <c r="T58" i="5" s="1"/>
  <c r="T59" i="5" s="1"/>
  <c r="T70" i="5" s="1"/>
  <c r="BB51" i="5"/>
  <c r="BB52" i="5" s="1"/>
  <c r="BB58" i="5" s="1"/>
  <c r="BB59" i="5" s="1"/>
  <c r="BB70" i="5" s="1"/>
  <c r="CY51" i="5"/>
  <c r="CY52" i="5" s="1"/>
  <c r="CY58" i="5" s="1"/>
  <c r="CY59" i="5" s="1"/>
  <c r="CY70" i="5" s="1"/>
  <c r="DF51" i="5"/>
  <c r="DF52" i="5" s="1"/>
  <c r="DF58" i="5" s="1"/>
  <c r="DF59" i="5" s="1"/>
  <c r="DF70" i="5" s="1"/>
  <c r="N51" i="5"/>
  <c r="N52" i="5" s="1"/>
  <c r="N58" i="5" s="1"/>
  <c r="N59" i="5" s="1"/>
  <c r="Q67" i="5" s="1"/>
  <c r="Q69" i="5" s="1"/>
  <c r="Y51" i="5"/>
  <c r="Y52" i="5" s="1"/>
  <c r="Y58" i="5" s="1"/>
  <c r="Y59" i="5" s="1"/>
  <c r="Y70" i="5" s="1"/>
  <c r="U51" i="5"/>
  <c r="U52" i="5" s="1"/>
  <c r="U58" i="5" s="1"/>
  <c r="U59" i="5" s="1"/>
  <c r="U70" i="5" s="1"/>
  <c r="FV51" i="5"/>
  <c r="FV52" i="5" s="1"/>
  <c r="FV58" i="5" s="1"/>
  <c r="CX51" i="5"/>
  <c r="CX52" i="5" s="1"/>
  <c r="CX58" i="5" s="1"/>
  <c r="CX59" i="5" s="1"/>
  <c r="CX70" i="5" s="1"/>
  <c r="DC51" i="5"/>
  <c r="DC52" i="5" s="1"/>
  <c r="DC58" i="5" s="1"/>
  <c r="DC59" i="5" s="1"/>
  <c r="DC70" i="5" s="1"/>
  <c r="BE51" i="5"/>
  <c r="BE52" i="5" s="1"/>
  <c r="BE58" i="5" s="1"/>
  <c r="BE59" i="5" s="1"/>
  <c r="BE70" i="5" s="1"/>
  <c r="AK51" i="5"/>
  <c r="AK52" i="5" s="1"/>
  <c r="AK58" i="5" s="1"/>
  <c r="AK59" i="5" s="1"/>
  <c r="AK70" i="5" s="1"/>
  <c r="AW51" i="5"/>
  <c r="AW52" i="5" s="1"/>
  <c r="AW58" i="5" s="1"/>
  <c r="AW59" i="5" s="1"/>
  <c r="AW70" i="5" s="1"/>
  <c r="EL51" i="5"/>
  <c r="EL52" i="5" s="1"/>
  <c r="EL58" i="5" s="1"/>
  <c r="FG51" i="5"/>
  <c r="FG52" i="5" s="1"/>
  <c r="FG58" i="5" s="1"/>
  <c r="EX51" i="5"/>
  <c r="EX52" i="5" s="1"/>
  <c r="EX58" i="5" s="1"/>
  <c r="AF51" i="5"/>
  <c r="AF52" i="5" s="1"/>
  <c r="AF58" i="5" s="1"/>
  <c r="AF59" i="5" s="1"/>
  <c r="AF70" i="5" s="1"/>
  <c r="GS51" i="5"/>
  <c r="GS52" i="5" s="1"/>
  <c r="GS58" i="5" s="1"/>
  <c r="GS59" i="5" s="1"/>
  <c r="GS70" i="5" s="1"/>
  <c r="EA51" i="5"/>
  <c r="EA52" i="5" s="1"/>
  <c r="EA58" i="5" s="1"/>
  <c r="I67" i="5"/>
  <c r="I69" i="5" s="1"/>
  <c r="BG51" i="5"/>
  <c r="BG52" i="5" s="1"/>
  <c r="BG58" i="5" s="1"/>
  <c r="BG59" i="5" s="1"/>
  <c r="BG70" i="5" s="1"/>
  <c r="FY51" i="5"/>
  <c r="FY52" i="5" s="1"/>
  <c r="FY58" i="5" s="1"/>
  <c r="DL51" i="5"/>
  <c r="DL52" i="5" s="1"/>
  <c r="DL58" i="5" s="1"/>
  <c r="DL59" i="5" s="1"/>
  <c r="DL70" i="5" s="1"/>
  <c r="BQ51" i="5"/>
  <c r="BQ52" i="5" s="1"/>
  <c r="BQ58" i="5" s="1"/>
  <c r="BQ59" i="5" s="1"/>
  <c r="BQ70" i="5" s="1"/>
  <c r="FD51" i="5"/>
  <c r="FD52" i="5" s="1"/>
  <c r="FD58" i="5" s="1"/>
  <c r="DQ51" i="5"/>
  <c r="DQ52" i="5" s="1"/>
  <c r="DQ58" i="5" s="1"/>
  <c r="DQ59" i="5" s="1"/>
  <c r="DQ70" i="5" s="1"/>
  <c r="P51" i="5"/>
  <c r="P52" i="5" s="1"/>
  <c r="P58" i="5" s="1"/>
  <c r="P59" i="5" s="1"/>
  <c r="P70" i="5" s="1"/>
  <c r="BH51" i="5"/>
  <c r="BH52" i="5" s="1"/>
  <c r="BH58" i="5" s="1"/>
  <c r="BH59" i="5" s="1"/>
  <c r="BH70" i="5" s="1"/>
  <c r="EE51" i="5"/>
  <c r="EE52" i="5" s="1"/>
  <c r="EE58" i="5" s="1"/>
  <c r="AA51" i="5"/>
  <c r="AA52" i="5" s="1"/>
  <c r="AA58" i="5" s="1"/>
  <c r="AA59" i="5" s="1"/>
  <c r="AA70" i="5" s="1"/>
  <c r="DP51" i="5"/>
  <c r="DP52" i="5" s="1"/>
  <c r="DP58" i="5" s="1"/>
  <c r="DP59" i="5" s="1"/>
  <c r="DP70" i="5" s="1"/>
  <c r="EF51" i="5"/>
  <c r="EF52" i="5" s="1"/>
  <c r="EF58" i="5" s="1"/>
  <c r="AI51" i="5"/>
  <c r="AI52" i="5" s="1"/>
  <c r="AI58" i="5" s="1"/>
  <c r="AI59" i="5" s="1"/>
  <c r="AI70" i="5" s="1"/>
  <c r="AT51" i="5"/>
  <c r="AT52" i="5" s="1"/>
  <c r="AT58" i="5" s="1"/>
  <c r="AT59" i="5" s="1"/>
  <c r="AT70" i="5" s="1"/>
  <c r="GL51" i="5"/>
  <c r="GL52" i="5" s="1"/>
  <c r="GL58" i="5" s="1"/>
  <c r="GL59" i="5" s="1"/>
  <c r="GL70" i="5" s="1"/>
  <c r="CV51" i="5"/>
  <c r="CV52" i="5" s="1"/>
  <c r="CV58" i="5" s="1"/>
  <c r="CV59" i="5" s="1"/>
  <c r="CV70" i="5" s="1"/>
  <c r="EN51" i="5"/>
  <c r="EN52" i="5" s="1"/>
  <c r="EN58" i="5" s="1"/>
  <c r="DJ51" i="5"/>
  <c r="DJ52" i="5" s="1"/>
  <c r="DJ58" i="5" s="1"/>
  <c r="DJ59" i="5" s="1"/>
  <c r="DJ70" i="5" s="1"/>
  <c r="DD51" i="5"/>
  <c r="DD52" i="5" s="1"/>
  <c r="DD58" i="5" s="1"/>
  <c r="DD59" i="5" s="1"/>
  <c r="DD70" i="5" s="1"/>
  <c r="BM51" i="5"/>
  <c r="BM52" i="5" s="1"/>
  <c r="BM58" i="5" s="1"/>
  <c r="BM59" i="5" s="1"/>
  <c r="BM70" i="5" s="1"/>
  <c r="EW51" i="5"/>
  <c r="EW52" i="5" s="1"/>
  <c r="EW58" i="5" s="1"/>
  <c r="GN70" i="5"/>
  <c r="DI51" i="5"/>
  <c r="DI52" i="5" s="1"/>
  <c r="DI58" i="5" s="1"/>
  <c r="DI59" i="5" s="1"/>
  <c r="DI70" i="5" s="1"/>
  <c r="FM51" i="5"/>
  <c r="FM52" i="5" s="1"/>
  <c r="FM58" i="5" s="1"/>
  <c r="GC51" i="5"/>
  <c r="GC52" i="5" s="1"/>
  <c r="GC58" i="5" s="1"/>
  <c r="GD51" i="5"/>
  <c r="GD52" i="5" s="1"/>
  <c r="GD58" i="5" s="1"/>
  <c r="CQ51" i="5"/>
  <c r="CQ52" i="5" s="1"/>
  <c r="CQ58" i="5" s="1"/>
  <c r="CQ59" i="5" s="1"/>
  <c r="CQ70" i="5" s="1"/>
  <c r="AO51" i="5"/>
  <c r="AO52" i="5" s="1"/>
  <c r="AO58" i="5" s="1"/>
  <c r="AO59" i="5" s="1"/>
  <c r="AO70" i="5" s="1"/>
  <c r="AU51" i="5"/>
  <c r="AU52" i="5" s="1"/>
  <c r="AU58" i="5" s="1"/>
  <c r="AU59" i="5" s="1"/>
  <c r="AU70" i="5" s="1"/>
  <c r="FZ51" i="5"/>
  <c r="FZ52" i="5" s="1"/>
  <c r="FZ58" i="5" s="1"/>
  <c r="H51" i="5"/>
  <c r="H52" i="5" s="1"/>
  <c r="H58" i="5" s="1"/>
  <c r="H59" i="5" s="1"/>
  <c r="K67" i="5" s="1"/>
  <c r="K69" i="5" s="1"/>
  <c r="CP51" i="5"/>
  <c r="CP52" i="5" s="1"/>
  <c r="CP58" i="5" s="1"/>
  <c r="CP59" i="5" s="1"/>
  <c r="CP70" i="5" s="1"/>
  <c r="CM51" i="5"/>
  <c r="CM52" i="5" s="1"/>
  <c r="CM58" i="5" s="1"/>
  <c r="CM59" i="5" s="1"/>
  <c r="CM70" i="5" s="1"/>
  <c r="DU51" i="5"/>
  <c r="DU52" i="5" s="1"/>
  <c r="DU58" i="5" s="1"/>
  <c r="DB51" i="5"/>
  <c r="DB52" i="5" s="1"/>
  <c r="DB58" i="5" s="1"/>
  <c r="DB59" i="5" s="1"/>
  <c r="DB70" i="5" s="1"/>
  <c r="EU51" i="5"/>
  <c r="EU52" i="5" s="1"/>
  <c r="EU58" i="5" s="1"/>
  <c r="DW51" i="5"/>
  <c r="DW52" i="5" s="1"/>
  <c r="DW58" i="5" s="1"/>
  <c r="FL51" i="5"/>
  <c r="FL52" i="5" s="1"/>
  <c r="FL58" i="5" s="1"/>
  <c r="CG51" i="5"/>
  <c r="CG52" i="5" s="1"/>
  <c r="CG58" i="5" s="1"/>
  <c r="CG59" i="5" s="1"/>
  <c r="CG70" i="5" s="1"/>
  <c r="FH51" i="5"/>
  <c r="FH52" i="5" s="1"/>
  <c r="FH58" i="5" s="1"/>
  <c r="BN51" i="5"/>
  <c r="BN52" i="5" s="1"/>
  <c r="BN58" i="5" s="1"/>
  <c r="BN59" i="5" s="1"/>
  <c r="BN70" i="5" s="1"/>
  <c r="BX51" i="5"/>
  <c r="BX52" i="5" s="1"/>
  <c r="BX58" i="5" s="1"/>
  <c r="BX59" i="5" s="1"/>
  <c r="BX70" i="5" s="1"/>
  <c r="FE51" i="5"/>
  <c r="FE52" i="5" s="1"/>
  <c r="FE58" i="5" s="1"/>
  <c r="J51" i="5"/>
  <c r="J52" i="5" s="1"/>
  <c r="J58" i="5" s="1"/>
  <c r="J59" i="5" s="1"/>
  <c r="M67" i="5" s="1"/>
  <c r="M69" i="5" s="1"/>
  <c r="AB51" i="5"/>
  <c r="AB52" i="5" s="1"/>
  <c r="AB58" i="5" s="1"/>
  <c r="AB59" i="5" s="1"/>
  <c r="AB70" i="5" s="1"/>
  <c r="AL51" i="5"/>
  <c r="AL52" i="5" s="1"/>
  <c r="AL58" i="5" s="1"/>
  <c r="AL59" i="5" s="1"/>
  <c r="AL70" i="5" s="1"/>
  <c r="BS51" i="5"/>
  <c r="BS52" i="5" s="1"/>
  <c r="BS58" i="5" s="1"/>
  <c r="BS59" i="5" s="1"/>
  <c r="BS70" i="5" s="1"/>
  <c r="FO51" i="5"/>
  <c r="FO52" i="5" s="1"/>
  <c r="FO58" i="5" s="1"/>
  <c r="EI51" i="5"/>
  <c r="EI52" i="5" s="1"/>
  <c r="EI58" i="5" s="1"/>
  <c r="GJ51" i="5"/>
  <c r="GJ52" i="5" s="1"/>
  <c r="GJ58" i="5" s="1"/>
  <c r="CO51" i="5"/>
  <c r="CO52" i="5" s="1"/>
  <c r="CO58" i="5" s="1"/>
  <c r="CO59" i="5" s="1"/>
  <c r="CO70" i="5" s="1"/>
  <c r="CI51" i="5"/>
  <c r="CI52" i="5" s="1"/>
  <c r="CI58" i="5" s="1"/>
  <c r="CI59" i="5" s="1"/>
  <c r="CI70" i="5" s="1"/>
  <c r="BF51" i="5"/>
  <c r="BF52" i="5" s="1"/>
  <c r="BF58" i="5" s="1"/>
  <c r="BF59" i="5" s="1"/>
  <c r="BF70" i="5" s="1"/>
  <c r="BR51" i="5"/>
  <c r="BR52" i="5" s="1"/>
  <c r="BR58" i="5" s="1"/>
  <c r="BR59" i="5" s="1"/>
  <c r="BR70" i="5" s="1"/>
  <c r="BK51" i="5"/>
  <c r="BK52" i="5" s="1"/>
  <c r="BK58" i="5" s="1"/>
  <c r="BK59" i="5" s="1"/>
  <c r="BK70" i="5" s="1"/>
  <c r="AC51" i="5"/>
  <c r="AC52" i="5" s="1"/>
  <c r="AC58" i="5" s="1"/>
  <c r="AC59" i="5" s="1"/>
  <c r="AC70" i="5" s="1"/>
  <c r="Q51" i="5"/>
  <c r="Q52" i="5" s="1"/>
  <c r="Q58" i="5" s="1"/>
  <c r="Q59" i="5" s="1"/>
  <c r="Q70" i="5" s="1"/>
  <c r="AR51" i="5"/>
  <c r="AR52" i="5" s="1"/>
  <c r="AR58" i="5" s="1"/>
  <c r="AR59" i="5" s="1"/>
  <c r="AR70" i="5" s="1"/>
  <c r="BA51" i="5"/>
  <c r="BA52" i="5" s="1"/>
  <c r="BA58" i="5" s="1"/>
  <c r="BA59" i="5" s="1"/>
  <c r="BA70" i="5" s="1"/>
  <c r="L51" i="5"/>
  <c r="L52" i="5" s="1"/>
  <c r="L58" i="5" s="1"/>
  <c r="L59" i="5" s="1"/>
  <c r="O67" i="5" s="1"/>
  <c r="O69" i="5" s="1"/>
  <c r="EC51" i="5"/>
  <c r="EC52" i="5" s="1"/>
  <c r="EC58" i="5" s="1"/>
  <c r="GK51" i="5"/>
  <c r="GK52" i="5" s="1"/>
  <c r="GK58" i="5" s="1"/>
  <c r="AD51" i="5"/>
  <c r="AD52" i="5" s="1"/>
  <c r="AD58" i="5" s="1"/>
  <c r="AD59" i="5" s="1"/>
  <c r="AD70" i="5" s="1"/>
  <c r="DV51" i="5"/>
  <c r="DV52" i="5" s="1"/>
  <c r="DV58" i="5" s="1"/>
  <c r="EQ51" i="5"/>
  <c r="EQ52" i="5" s="1"/>
  <c r="EQ58" i="5" s="1"/>
  <c r="FU51" i="5"/>
  <c r="FU52" i="5" s="1"/>
  <c r="FU58" i="5" s="1"/>
  <c r="BO51" i="5"/>
  <c r="BO52" i="5" s="1"/>
  <c r="BO58" i="5" s="1"/>
  <c r="BO59" i="5" s="1"/>
  <c r="BO70" i="5" s="1"/>
  <c r="FS51" i="5"/>
  <c r="FS52" i="5" s="1"/>
  <c r="FS58" i="5" s="1"/>
  <c r="BT51" i="5"/>
  <c r="BT52" i="5" s="1"/>
  <c r="BT58" i="5" s="1"/>
  <c r="BT59" i="5" s="1"/>
  <c r="BT70" i="5" s="1"/>
  <c r="EY51" i="5"/>
  <c r="EY52" i="5" s="1"/>
  <c r="EY58" i="5" s="1"/>
  <c r="AP51" i="5"/>
  <c r="AP52" i="5" s="1"/>
  <c r="AP58" i="5" s="1"/>
  <c r="AP59" i="5" s="1"/>
  <c r="AP70" i="5" s="1"/>
  <c r="DS51" i="5"/>
  <c r="DS52" i="5" s="1"/>
  <c r="DS58" i="5" s="1"/>
  <c r="GG51" i="5"/>
  <c r="GG52" i="5" s="1"/>
  <c r="GG58" i="5" s="1"/>
  <c r="DM51" i="5"/>
  <c r="DM52" i="5" s="1"/>
  <c r="DM58" i="5" s="1"/>
  <c r="DM59" i="5" s="1"/>
  <c r="DM70" i="5" s="1"/>
  <c r="CD51" i="5"/>
  <c r="CD52" i="5" s="1"/>
  <c r="CD58" i="5" s="1"/>
  <c r="CD59" i="5" s="1"/>
  <c r="CD70" i="5" s="1"/>
  <c r="DG51" i="5"/>
  <c r="DG52" i="5" s="1"/>
  <c r="DG58" i="5" s="1"/>
  <c r="DG59" i="5" s="1"/>
  <c r="DG70" i="5" s="1"/>
  <c r="DY51" i="5"/>
  <c r="DY52" i="5" s="1"/>
  <c r="DY58" i="5" s="1"/>
  <c r="FI51" i="5"/>
  <c r="FI52" i="5" s="1"/>
  <c r="FI58" i="5" s="1"/>
  <c r="AZ51" i="5"/>
  <c r="AZ52" i="5" s="1"/>
  <c r="AZ58" i="5" s="1"/>
  <c r="AZ59" i="5" s="1"/>
  <c r="AZ70" i="5" s="1"/>
  <c r="FB51" i="5"/>
  <c r="FB52" i="5" s="1"/>
  <c r="FB58" i="5" s="1"/>
  <c r="FC51" i="5"/>
  <c r="FC52" i="5" s="1"/>
  <c r="FC58" i="5" s="1"/>
  <c r="DT51" i="5"/>
  <c r="DT52" i="5" s="1"/>
  <c r="DT58" i="5" s="1"/>
  <c r="FQ51" i="5"/>
  <c r="FQ52" i="5" s="1"/>
  <c r="FQ58" i="5" s="1"/>
  <c r="CL51" i="5"/>
  <c r="CL52" i="5" s="1"/>
  <c r="CL58" i="5" s="1"/>
  <c r="CL59" i="5" s="1"/>
  <c r="CL70" i="5" s="1"/>
  <c r="CR51" i="5"/>
  <c r="CR52" i="5" s="1"/>
  <c r="CR58" i="5" s="1"/>
  <c r="CR59" i="5" s="1"/>
  <c r="CR70" i="5" s="1"/>
  <c r="EH51" i="5"/>
  <c r="EH52" i="5" s="1"/>
  <c r="EH58" i="5" s="1"/>
  <c r="GI51" i="5"/>
  <c r="GI52" i="5" s="1"/>
  <c r="GI58" i="5" s="1"/>
  <c r="GE51" i="5"/>
  <c r="GE52" i="5" s="1"/>
  <c r="GE58" i="5" s="1"/>
  <c r="M51" i="5"/>
  <c r="M52" i="5" s="1"/>
  <c r="M58" i="5" s="1"/>
  <c r="M59" i="5" s="1"/>
  <c r="BC51" i="5"/>
  <c r="BC52" i="5" s="1"/>
  <c r="BC58" i="5" s="1"/>
  <c r="BC59" i="5" s="1"/>
  <c r="BC70" i="5" s="1"/>
  <c r="S51" i="5"/>
  <c r="S52" i="5" s="1"/>
  <c r="S58" i="5" s="1"/>
  <c r="S59" i="5" s="1"/>
  <c r="S70" i="5" s="1"/>
  <c r="BZ51" i="5"/>
  <c r="BZ52" i="5" s="1"/>
  <c r="BZ58" i="5" s="1"/>
  <c r="BZ59" i="5" s="1"/>
  <c r="BZ70" i="5" s="1"/>
  <c r="FF51" i="5"/>
  <c r="FF52" i="5" s="1"/>
  <c r="FF58" i="5" s="1"/>
  <c r="DH51" i="5"/>
  <c r="DH52" i="5" s="1"/>
  <c r="DH58" i="5" s="1"/>
  <c r="DH59" i="5" s="1"/>
  <c r="DH70" i="5" s="1"/>
  <c r="GM51" i="5"/>
  <c r="GM52" i="5" s="1"/>
  <c r="GM58" i="5" s="1"/>
  <c r="GM59" i="5" s="1"/>
  <c r="GP67" i="5" s="1"/>
  <c r="GP69" i="5" s="1"/>
  <c r="V51" i="5"/>
  <c r="V52" i="5" s="1"/>
  <c r="V58" i="5" s="1"/>
  <c r="V59" i="5" s="1"/>
  <c r="V70" i="5" s="1"/>
  <c r="Z51" i="5"/>
  <c r="Z52" i="5" s="1"/>
  <c r="Z58" i="5" s="1"/>
  <c r="Z59" i="5" s="1"/>
  <c r="Z70" i="5" s="1"/>
  <c r="BU51" i="5"/>
  <c r="BU52" i="5" s="1"/>
  <c r="BU58" i="5" s="1"/>
  <c r="BU59" i="5" s="1"/>
  <c r="BU70" i="5" s="1"/>
  <c r="ED51" i="5"/>
  <c r="ED52" i="5" s="1"/>
  <c r="ED58" i="5" s="1"/>
  <c r="CC51" i="5"/>
  <c r="CC52" i="5" s="1"/>
  <c r="CC58" i="5" s="1"/>
  <c r="CC59" i="5" s="1"/>
  <c r="CC70" i="5" s="1"/>
  <c r="DN51" i="5"/>
  <c r="DN52" i="5" s="1"/>
  <c r="DN58" i="5" s="1"/>
  <c r="DN59" i="5" s="1"/>
  <c r="DN70" i="5" s="1"/>
  <c r="GQ51" i="5"/>
  <c r="GQ52" i="5" s="1"/>
  <c r="GQ58" i="5" s="1"/>
  <c r="GQ59" i="5" s="1"/>
  <c r="GT67" i="5" s="1"/>
  <c r="GT69" i="5" s="1"/>
  <c r="BD51" i="5"/>
  <c r="BD52" i="5" s="1"/>
  <c r="BD58" i="5" s="1"/>
  <c r="BD59" i="5" s="1"/>
  <c r="BD70" i="5" s="1"/>
  <c r="CZ51" i="5"/>
  <c r="CZ52" i="5" s="1"/>
  <c r="CZ58" i="5" s="1"/>
  <c r="CZ59" i="5" s="1"/>
  <c r="CZ70" i="5" s="1"/>
  <c r="BL51" i="5"/>
  <c r="BL52" i="5" s="1"/>
  <c r="BL58" i="5" s="1"/>
  <c r="BL59" i="5" s="1"/>
  <c r="BL70" i="5" s="1"/>
  <c r="K51" i="5"/>
  <c r="K52" i="5" s="1"/>
  <c r="K58" i="5" s="1"/>
  <c r="K59" i="5" s="1"/>
  <c r="N67" i="5" s="1"/>
  <c r="N69" i="5" s="1"/>
  <c r="G51" i="5"/>
  <c r="G52" i="5" s="1"/>
  <c r="G58" i="5" s="1"/>
  <c r="G59" i="5" s="1"/>
  <c r="G70" i="5" s="1"/>
  <c r="EV51" i="5"/>
  <c r="EV52" i="5" s="1"/>
  <c r="EV58" i="5" s="1"/>
  <c r="AS51" i="5"/>
  <c r="AS52" i="5" s="1"/>
  <c r="AS58" i="5" s="1"/>
  <c r="AS59" i="5" s="1"/>
  <c r="AS70" i="5" s="1"/>
  <c r="FK51" i="5"/>
  <c r="FK52" i="5" s="1"/>
  <c r="FK58" i="5" s="1"/>
  <c r="AE51" i="5"/>
  <c r="AE52" i="5" s="1"/>
  <c r="AE58" i="5" s="1"/>
  <c r="AE59" i="5" s="1"/>
  <c r="AE70" i="5" s="1"/>
  <c r="DO51" i="5"/>
  <c r="DO52" i="5" s="1"/>
  <c r="DO58" i="5" s="1"/>
  <c r="DO59" i="5" s="1"/>
  <c r="DO70" i="5" s="1"/>
  <c r="DZ51" i="5"/>
  <c r="DZ52" i="5" s="1"/>
  <c r="DZ58" i="5" s="1"/>
  <c r="CU51" i="5"/>
  <c r="CU52" i="5" s="1"/>
  <c r="CU58" i="5" s="1"/>
  <c r="CU59" i="5" s="1"/>
  <c r="CU70" i="5" s="1"/>
  <c r="BW51" i="5"/>
  <c r="BW52" i="5" s="1"/>
  <c r="BW58" i="5" s="1"/>
  <c r="BW59" i="5" s="1"/>
  <c r="BW70" i="5" s="1"/>
  <c r="EO51" i="5"/>
  <c r="EO52" i="5" s="1"/>
  <c r="EO58" i="5" s="1"/>
  <c r="CH51" i="5"/>
  <c r="CH52" i="5" s="1"/>
  <c r="CH58" i="5" s="1"/>
  <c r="CH59" i="5" s="1"/>
  <c r="CH70" i="5" s="1"/>
  <c r="DA51" i="5"/>
  <c r="DA52" i="5" s="1"/>
  <c r="DA58" i="5" s="1"/>
  <c r="DA59" i="5" s="1"/>
  <c r="DA70" i="5" s="1"/>
  <c r="DR51" i="5"/>
  <c r="DR52" i="5" s="1"/>
  <c r="DR58" i="5" s="1"/>
  <c r="DR59" i="5" s="1"/>
  <c r="DR70" i="5" s="1"/>
  <c r="AH51" i="5"/>
  <c r="AH52" i="5" s="1"/>
  <c r="AH58" i="5" s="1"/>
  <c r="AH59" i="5" s="1"/>
  <c r="AH70" i="5" s="1"/>
  <c r="BJ51" i="5"/>
  <c r="BJ52" i="5" s="1"/>
  <c r="BJ58" i="5" s="1"/>
  <c r="BJ59" i="5" s="1"/>
  <c r="BJ70" i="5" s="1"/>
  <c r="CB51" i="5"/>
  <c r="CB52" i="5" s="1"/>
  <c r="CB58" i="5" s="1"/>
  <c r="CB59" i="5" s="1"/>
  <c r="CB70" i="5" s="1"/>
  <c r="EP51" i="5"/>
  <c r="EP52" i="5" s="1"/>
  <c r="EP58" i="5" s="1"/>
  <c r="FN51" i="5"/>
  <c r="FN52" i="5" s="1"/>
  <c r="FN58" i="5" s="1"/>
  <c r="DK51" i="5"/>
  <c r="DK52" i="5" s="1"/>
  <c r="DK58" i="5" s="1"/>
  <c r="DK59" i="5" s="1"/>
  <c r="DK70" i="5" s="1"/>
  <c r="EM51" i="5"/>
  <c r="EM52" i="5" s="1"/>
  <c r="EM58" i="5" s="1"/>
  <c r="GR51" i="5"/>
  <c r="GR52" i="5" s="1"/>
  <c r="GR58" i="5" s="1"/>
  <c r="GR59" i="5" s="1"/>
  <c r="GU67" i="5" s="1"/>
  <c r="GU69" i="5" s="1"/>
  <c r="CW51" i="5"/>
  <c r="CW52" i="5" s="1"/>
  <c r="CW58" i="5" s="1"/>
  <c r="CW59" i="5" s="1"/>
  <c r="CW70" i="5" s="1"/>
  <c r="CN51" i="5"/>
  <c r="CN52" i="5" s="1"/>
  <c r="CN58" i="5" s="1"/>
  <c r="CN59" i="5" s="1"/>
  <c r="CN70" i="5" s="1"/>
  <c r="GH51" i="5"/>
  <c r="GH52" i="5" s="1"/>
  <c r="GH58" i="5" s="1"/>
  <c r="GB51" i="5"/>
  <c r="GB52" i="5" s="1"/>
  <c r="GB58" i="5" s="1"/>
  <c r="ET51" i="5"/>
  <c r="ET52" i="5" s="1"/>
  <c r="ET58" i="5" s="1"/>
  <c r="EK51" i="5"/>
  <c r="EK52" i="5" s="1"/>
  <c r="EK58" i="5" s="1"/>
  <c r="BI51" i="5"/>
  <c r="BI52" i="5" s="1"/>
  <c r="BI58" i="5" s="1"/>
  <c r="BI59" i="5" s="1"/>
  <c r="BI70" i="5" s="1"/>
  <c r="DX51" i="5"/>
  <c r="DX52" i="5" s="1"/>
  <c r="DX58" i="5" s="1"/>
  <c r="GS67" i="5"/>
  <c r="GS69" i="5" s="1"/>
  <c r="EJ51" i="5"/>
  <c r="EJ52" i="5" s="1"/>
  <c r="EJ58" i="5" s="1"/>
  <c r="AQ51" i="5"/>
  <c r="AQ52" i="5" s="1"/>
  <c r="AQ58" i="5" s="1"/>
  <c r="AQ59" i="5" s="1"/>
  <c r="AQ70" i="5" s="1"/>
  <c r="AJ51" i="5"/>
  <c r="AJ52" i="5" s="1"/>
  <c r="AJ58" i="5" s="1"/>
  <c r="AJ59" i="5" s="1"/>
  <c r="AJ70" i="5" s="1"/>
  <c r="FA51" i="5"/>
  <c r="FA52" i="5" s="1"/>
  <c r="FA58" i="5" s="1"/>
  <c r="FT51" i="5"/>
  <c r="FT52" i="5" s="1"/>
  <c r="FT58" i="5" s="1"/>
  <c r="EG51" i="5"/>
  <c r="EG52" i="5" s="1"/>
  <c r="EG58" i="5" s="1"/>
  <c r="CJ51" i="5"/>
  <c r="CJ52" i="5" s="1"/>
  <c r="CJ58" i="5" s="1"/>
  <c r="CJ59" i="5" s="1"/>
  <c r="CJ70" i="5" s="1"/>
  <c r="GA51" i="5"/>
  <c r="GA52" i="5" s="1"/>
  <c r="GA58" i="5" s="1"/>
  <c r="W51" i="5"/>
  <c r="W52" i="5" s="1"/>
  <c r="W58" i="5" s="1"/>
  <c r="W59" i="5" s="1"/>
  <c r="W70" i="5" s="1"/>
  <c r="H58" i="20"/>
  <c r="EB59" i="5"/>
  <c r="G69" i="5"/>
  <c r="H69" i="5"/>
  <c r="H11" i="20"/>
  <c r="FW59" i="5"/>
  <c r="DX59" i="5" l="1"/>
  <c r="EM59" i="5"/>
  <c r="E22" i="20" s="1"/>
  <c r="H51" i="20"/>
  <c r="EK59" i="5"/>
  <c r="H8" i="20"/>
  <c r="EW59" i="5"/>
  <c r="EW70" i="5" s="1"/>
  <c r="GF59" i="5"/>
  <c r="GF70" i="5" s="1"/>
  <c r="ET59" i="5"/>
  <c r="H24" i="20"/>
  <c r="H63" i="20"/>
  <c r="H25" i="20"/>
  <c r="H13" i="20"/>
  <c r="H52" i="20"/>
  <c r="FE59" i="5"/>
  <c r="FE70" i="5" s="1"/>
  <c r="FG59" i="5"/>
  <c r="H28" i="20"/>
  <c r="FX59" i="5"/>
  <c r="H10" i="20"/>
  <c r="H17" i="20"/>
  <c r="H34" i="20"/>
  <c r="FT59" i="5"/>
  <c r="E55" i="20" s="1"/>
  <c r="H6" i="20"/>
  <c r="FD59" i="5"/>
  <c r="FA59" i="5"/>
  <c r="EU59" i="5"/>
  <c r="EX59" i="5"/>
  <c r="DT59" i="5"/>
  <c r="FU59" i="5"/>
  <c r="GJ59" i="5"/>
  <c r="GJ70" i="5" s="1"/>
  <c r="DU59" i="5"/>
  <c r="DU70" i="5" s="1"/>
  <c r="GD59" i="5"/>
  <c r="H60" i="20"/>
  <c r="H21" i="20"/>
  <c r="H27" i="20"/>
  <c r="H16" i="20"/>
  <c r="H61" i="20"/>
  <c r="FJ59" i="5"/>
  <c r="E45" i="20" s="1"/>
  <c r="FV59" i="5"/>
  <c r="FV70" i="5" s="1"/>
  <c r="FR59" i="5"/>
  <c r="H9" i="20"/>
  <c r="H38" i="20"/>
  <c r="H68" i="20"/>
  <c r="EQ59" i="5"/>
  <c r="EI59" i="5"/>
  <c r="H64" i="20"/>
  <c r="H23" i="20"/>
  <c r="H14" i="20"/>
  <c r="EZ59" i="5"/>
  <c r="H70" i="20"/>
  <c r="H46" i="20"/>
  <c r="FI59" i="5"/>
  <c r="H47" i="20"/>
  <c r="FF59" i="5"/>
  <c r="FF70" i="5" s="1"/>
  <c r="EC59" i="5"/>
  <c r="EC70" i="5" s="1"/>
  <c r="FN59" i="5"/>
  <c r="H31" i="20"/>
  <c r="H54" i="20"/>
  <c r="EF59" i="5"/>
  <c r="E15" i="20" s="1"/>
  <c r="H19" i="20"/>
  <c r="GA59" i="5"/>
  <c r="GE59" i="5"/>
  <c r="GE70" i="5" s="1"/>
  <c r="H37" i="20"/>
  <c r="DS59" i="5"/>
  <c r="H5" i="20"/>
  <c r="FO59" i="5"/>
  <c r="FH59" i="5"/>
  <c r="FH70" i="5" s="1"/>
  <c r="FM59" i="5"/>
  <c r="H53" i="20"/>
  <c r="ES59" i="5"/>
  <c r="E28" i="20" s="1"/>
  <c r="H35" i="20"/>
  <c r="H59" i="20"/>
  <c r="L67" i="5"/>
  <c r="L69" i="5" s="1"/>
  <c r="EN59" i="5"/>
  <c r="H67" i="20"/>
  <c r="H45" i="20"/>
  <c r="H44" i="20"/>
  <c r="FL59" i="5"/>
  <c r="ER59" i="5"/>
  <c r="FP59" i="5"/>
  <c r="H43" i="20"/>
  <c r="N70" i="5"/>
  <c r="EA59" i="5"/>
  <c r="AY67" i="5"/>
  <c r="AY69" i="5" s="1"/>
  <c r="EP59" i="5"/>
  <c r="GB59" i="5"/>
  <c r="ED59" i="5"/>
  <c r="H40" i="20"/>
  <c r="H33" i="20"/>
  <c r="DE67" i="5"/>
  <c r="DE69" i="5" s="1"/>
  <c r="H71" i="20"/>
  <c r="GK59" i="5"/>
  <c r="GK70" i="5" s="1"/>
  <c r="H56" i="20"/>
  <c r="H39" i="20"/>
  <c r="H57" i="20"/>
  <c r="FQ59" i="5"/>
  <c r="H30" i="20"/>
  <c r="H15" i="20"/>
  <c r="DY59" i="5"/>
  <c r="H29" i="20"/>
  <c r="EV59" i="5"/>
  <c r="J70" i="5"/>
  <c r="GQ70" i="5"/>
  <c r="AP67" i="5"/>
  <c r="AP69" i="5" s="1"/>
  <c r="AL67" i="5"/>
  <c r="AL69" i="5" s="1"/>
  <c r="FZ59" i="5"/>
  <c r="GO67" i="5"/>
  <c r="GO69" i="5" s="1"/>
  <c r="BR67" i="5"/>
  <c r="BR69" i="5" s="1"/>
  <c r="AW67" i="5"/>
  <c r="AW69" i="5" s="1"/>
  <c r="EY59" i="5"/>
  <c r="DW59" i="5"/>
  <c r="BS67" i="5"/>
  <c r="BS69" i="5" s="1"/>
  <c r="H48" i="20"/>
  <c r="H12" i="20"/>
  <c r="AN67" i="5"/>
  <c r="AN69" i="5" s="1"/>
  <c r="AM67" i="5"/>
  <c r="AM69" i="5" s="1"/>
  <c r="BT67" i="5"/>
  <c r="BT69" i="5" s="1"/>
  <c r="GV67" i="5"/>
  <c r="GV69" i="5" s="1"/>
  <c r="CC67" i="5"/>
  <c r="CC69" i="5" s="1"/>
  <c r="CU67" i="5"/>
  <c r="CU69" i="5" s="1"/>
  <c r="H3" i="20"/>
  <c r="CA67" i="5"/>
  <c r="CA69" i="5" s="1"/>
  <c r="BN67" i="5"/>
  <c r="BN69" i="5" s="1"/>
  <c r="CE67" i="5"/>
  <c r="CE69" i="5" s="1"/>
  <c r="FC59" i="5"/>
  <c r="CN67" i="5"/>
  <c r="CN69" i="5" s="1"/>
  <c r="DF67" i="5"/>
  <c r="DF69" i="5" s="1"/>
  <c r="AO67" i="5"/>
  <c r="AO69" i="5" s="1"/>
  <c r="AT67" i="5"/>
  <c r="AT69" i="5" s="1"/>
  <c r="H32" i="20"/>
  <c r="L70" i="5"/>
  <c r="BH67" i="5"/>
  <c r="BH69" i="5" s="1"/>
  <c r="EO59" i="5"/>
  <c r="H65" i="20"/>
  <c r="R67" i="5"/>
  <c r="R69" i="5" s="1"/>
  <c r="BM67" i="5"/>
  <c r="BM69" i="5" s="1"/>
  <c r="H42" i="20"/>
  <c r="FY59" i="5"/>
  <c r="CV67" i="5"/>
  <c r="CV69" i="5" s="1"/>
  <c r="EJ59" i="5"/>
  <c r="K70" i="5"/>
  <c r="H4" i="20"/>
  <c r="AX67" i="5"/>
  <c r="AX69" i="5" s="1"/>
  <c r="H49" i="20"/>
  <c r="EL59" i="5"/>
  <c r="CQ67" i="5"/>
  <c r="CQ69" i="5" s="1"/>
  <c r="CP67" i="5"/>
  <c r="CP69" i="5" s="1"/>
  <c r="H50" i="20"/>
  <c r="BU67" i="5"/>
  <c r="BU69" i="5" s="1"/>
  <c r="DZ59" i="5"/>
  <c r="Z67" i="5"/>
  <c r="Z69" i="5" s="1"/>
  <c r="GC59" i="5"/>
  <c r="AA67" i="5"/>
  <c r="AA69" i="5" s="1"/>
  <c r="BC67" i="5"/>
  <c r="BC69" i="5" s="1"/>
  <c r="H70" i="5"/>
  <c r="FB59" i="5"/>
  <c r="AB67" i="5"/>
  <c r="AB69" i="5" s="1"/>
  <c r="CR67" i="5"/>
  <c r="CR69" i="5" s="1"/>
  <c r="T67" i="5"/>
  <c r="T69" i="5" s="1"/>
  <c r="GG59" i="5"/>
  <c r="AS67" i="5"/>
  <c r="AS69" i="5" s="1"/>
  <c r="H18" i="20"/>
  <c r="AQ67" i="5"/>
  <c r="AQ69" i="5" s="1"/>
  <c r="BQ67" i="5"/>
  <c r="BQ69" i="5" s="1"/>
  <c r="CG67" i="5"/>
  <c r="CG69" i="5" s="1"/>
  <c r="CT67" i="5"/>
  <c r="CT69" i="5" s="1"/>
  <c r="H26" i="20"/>
  <c r="EE59" i="5"/>
  <c r="H41" i="20"/>
  <c r="CS67" i="5"/>
  <c r="CS69" i="5" s="1"/>
  <c r="AD67" i="5"/>
  <c r="AD69" i="5" s="1"/>
  <c r="BV67" i="5"/>
  <c r="BV69" i="5" s="1"/>
  <c r="BW67" i="5"/>
  <c r="BW69" i="5" s="1"/>
  <c r="BP67" i="5"/>
  <c r="BP69" i="5" s="1"/>
  <c r="H66" i="20"/>
  <c r="CF67" i="5"/>
  <c r="CF69" i="5" s="1"/>
  <c r="CB67" i="5"/>
  <c r="CB69" i="5" s="1"/>
  <c r="BB67" i="5"/>
  <c r="BB69" i="5" s="1"/>
  <c r="U67" i="5"/>
  <c r="U69" i="5" s="1"/>
  <c r="CM67" i="5"/>
  <c r="CM69" i="5" s="1"/>
  <c r="BO67" i="5"/>
  <c r="BO69" i="5" s="1"/>
  <c r="DV59" i="5"/>
  <c r="AZ67" i="5"/>
  <c r="AZ69" i="5" s="1"/>
  <c r="GI59" i="5"/>
  <c r="H36" i="20"/>
  <c r="FK59" i="5"/>
  <c r="CI67" i="5"/>
  <c r="CI69" i="5" s="1"/>
  <c r="H62" i="20"/>
  <c r="CW67" i="5"/>
  <c r="CW69" i="5" s="1"/>
  <c r="DA67" i="5"/>
  <c r="DA69" i="5" s="1"/>
  <c r="BG67" i="5"/>
  <c r="BG69" i="5" s="1"/>
  <c r="FS59" i="5"/>
  <c r="GM70" i="5"/>
  <c r="J67" i="5"/>
  <c r="J69" i="5" s="1"/>
  <c r="S67" i="5"/>
  <c r="S69" i="5" s="1"/>
  <c r="CD67" i="5"/>
  <c r="CD69" i="5" s="1"/>
  <c r="CO67" i="5"/>
  <c r="CO69" i="5" s="1"/>
  <c r="BY67" i="5"/>
  <c r="BY69" i="5" s="1"/>
  <c r="EH59" i="5"/>
  <c r="H2" i="20"/>
  <c r="AC67" i="5"/>
  <c r="AC69" i="5" s="1"/>
  <c r="DG67" i="5"/>
  <c r="DG69" i="5" s="1"/>
  <c r="AR67" i="5"/>
  <c r="AR69" i="5" s="1"/>
  <c r="BX67" i="5"/>
  <c r="BX69" i="5" s="1"/>
  <c r="BZ67" i="5"/>
  <c r="BZ69" i="5" s="1"/>
  <c r="BD67" i="5"/>
  <c r="BD69" i="5" s="1"/>
  <c r="BA67" i="5"/>
  <c r="BA69" i="5" s="1"/>
  <c r="M70" i="5"/>
  <c r="P67" i="5"/>
  <c r="P69" i="5" s="1"/>
  <c r="AI67" i="5"/>
  <c r="AI69" i="5" s="1"/>
  <c r="AK67" i="5"/>
  <c r="AK69" i="5" s="1"/>
  <c r="DJ67" i="5"/>
  <c r="DJ69" i="5" s="1"/>
  <c r="AE67" i="5"/>
  <c r="AE69" i="5" s="1"/>
  <c r="V67" i="5"/>
  <c r="V69" i="5" s="1"/>
  <c r="DB67" i="5"/>
  <c r="DB69" i="5" s="1"/>
  <c r="AJ67" i="5"/>
  <c r="AJ69" i="5" s="1"/>
  <c r="BJ67" i="5"/>
  <c r="BJ69" i="5" s="1"/>
  <c r="CH67" i="5"/>
  <c r="CH69" i="5" s="1"/>
  <c r="CX67" i="5"/>
  <c r="CX69" i="5" s="1"/>
  <c r="CZ67" i="5"/>
  <c r="CZ69" i="5" s="1"/>
  <c r="BE67" i="5"/>
  <c r="BE69" i="5" s="1"/>
  <c r="CL67" i="5"/>
  <c r="CL69" i="5" s="1"/>
  <c r="DR67" i="5"/>
  <c r="DR69" i="5" s="1"/>
  <c r="BK67" i="5"/>
  <c r="BK69" i="5" s="1"/>
  <c r="AV67" i="5"/>
  <c r="AV69" i="5" s="1"/>
  <c r="DI67" i="5"/>
  <c r="DI69" i="5" s="1"/>
  <c r="AU67" i="5"/>
  <c r="AU69" i="5" s="1"/>
  <c r="BF67" i="5"/>
  <c r="BF69" i="5" s="1"/>
  <c r="DQ67" i="5"/>
  <c r="DQ69" i="5" s="1"/>
  <c r="H22" i="20"/>
  <c r="W67" i="5"/>
  <c r="W69" i="5" s="1"/>
  <c r="Y67" i="5"/>
  <c r="Y69" i="5" s="1"/>
  <c r="EG59" i="5"/>
  <c r="DP67" i="5"/>
  <c r="DP69" i="5" s="1"/>
  <c r="AF67" i="5"/>
  <c r="AF69" i="5" s="1"/>
  <c r="CY67" i="5"/>
  <c r="CY69" i="5" s="1"/>
  <c r="X67" i="5"/>
  <c r="X69" i="5" s="1"/>
  <c r="DH67" i="5"/>
  <c r="DH69" i="5" s="1"/>
  <c r="AH67" i="5"/>
  <c r="AH69" i="5" s="1"/>
  <c r="DO67" i="5"/>
  <c r="DO69" i="5" s="1"/>
  <c r="AG67" i="5"/>
  <c r="AG69" i="5" s="1"/>
  <c r="DL67" i="5"/>
  <c r="DL69" i="5" s="1"/>
  <c r="DC67" i="5"/>
  <c r="DC69" i="5" s="1"/>
  <c r="DD67" i="5"/>
  <c r="DD69" i="5" s="1"/>
  <c r="H55" i="20"/>
  <c r="DM67" i="5"/>
  <c r="DM69" i="5" s="1"/>
  <c r="DK67" i="5"/>
  <c r="DK69" i="5" s="1"/>
  <c r="GR70" i="5"/>
  <c r="BI67" i="5"/>
  <c r="BI69" i="5" s="1"/>
  <c r="DN67" i="5"/>
  <c r="DN69" i="5" s="1"/>
  <c r="GH59" i="5"/>
  <c r="H69" i="20"/>
  <c r="H20" i="20"/>
  <c r="H7" i="20"/>
  <c r="CK67" i="5"/>
  <c r="CK69" i="5" s="1"/>
  <c r="BL67" i="5"/>
  <c r="BL69" i="5" s="1"/>
  <c r="CJ67" i="5"/>
  <c r="CJ69" i="5" s="1"/>
  <c r="E11" i="20"/>
  <c r="E59" i="20"/>
  <c r="FX70" i="5"/>
  <c r="EB70" i="5"/>
  <c r="E71" i="20"/>
  <c r="E30" i="20"/>
  <c r="EU70" i="5"/>
  <c r="DX70" i="5"/>
  <c r="E58" i="20"/>
  <c r="E7" i="20"/>
  <c r="FW70" i="5"/>
  <c r="E50" i="20"/>
  <c r="FO70" i="5"/>
  <c r="FJ70" i="5" l="1"/>
  <c r="E66" i="20"/>
  <c r="FT70" i="5"/>
  <c r="E39" i="20"/>
  <c r="E62" i="20"/>
  <c r="E3" i="20"/>
  <c r="FG70" i="5"/>
  <c r="E48" i="20"/>
  <c r="E35" i="20"/>
  <c r="EZ70" i="5"/>
  <c r="FA70" i="5"/>
  <c r="E65" i="20"/>
  <c r="FI67" i="5"/>
  <c r="FI69" i="5" s="1"/>
  <c r="ET70" i="5"/>
  <c r="E42" i="20"/>
  <c r="EF70" i="5"/>
  <c r="FG67" i="5"/>
  <c r="E49" i="20"/>
  <c r="E12" i="20"/>
  <c r="E67" i="20"/>
  <c r="E2" i="20"/>
  <c r="DS70" i="5"/>
  <c r="E40" i="20"/>
  <c r="E57" i="20"/>
  <c r="E33" i="20"/>
  <c r="E26" i="20"/>
  <c r="EM70" i="5"/>
  <c r="FW67" i="5"/>
  <c r="FM70" i="5"/>
  <c r="E4" i="20"/>
  <c r="E43" i="20"/>
  <c r="E32" i="20"/>
  <c r="EX70" i="5"/>
  <c r="FA67" i="5"/>
  <c r="FA69" i="5" s="1"/>
  <c r="E25" i="20"/>
  <c r="E37" i="20"/>
  <c r="EA70" i="5"/>
  <c r="E18" i="20"/>
  <c r="GD70" i="5"/>
  <c r="E56" i="20"/>
  <c r="DS67" i="5"/>
  <c r="DS69" i="5" s="1"/>
  <c r="E46" i="20"/>
  <c r="E60" i="20"/>
  <c r="E61" i="20"/>
  <c r="E23" i="20"/>
  <c r="FC70" i="5"/>
  <c r="FX67" i="5"/>
  <c r="EJ70" i="5"/>
  <c r="FI70" i="5"/>
  <c r="FN70" i="5"/>
  <c r="FD70" i="5"/>
  <c r="GB70" i="5"/>
  <c r="E47" i="20"/>
  <c r="ES70" i="5"/>
  <c r="EI70" i="5"/>
  <c r="FR70" i="5"/>
  <c r="DT67" i="5"/>
  <c r="C3" i="20" s="1"/>
  <c r="E53" i="20"/>
  <c r="FJ67" i="5"/>
  <c r="FU70" i="5"/>
  <c r="E36" i="20"/>
  <c r="E29" i="20"/>
  <c r="EQ70" i="5"/>
  <c r="FS67" i="5"/>
  <c r="C54" i="20" s="1"/>
  <c r="GI70" i="5"/>
  <c r="E14" i="20"/>
  <c r="GG67" i="5"/>
  <c r="C68" i="20" s="1"/>
  <c r="FQ67" i="5"/>
  <c r="C52" i="20" s="1"/>
  <c r="FP70" i="5"/>
  <c r="DV67" i="5"/>
  <c r="E9" i="20"/>
  <c r="GA70" i="5"/>
  <c r="DY70" i="5"/>
  <c r="DU67" i="5"/>
  <c r="DT70" i="5"/>
  <c r="FH67" i="5"/>
  <c r="C43" i="20" s="1"/>
  <c r="EK70" i="5"/>
  <c r="E20" i="20"/>
  <c r="E44" i="20"/>
  <c r="EH70" i="5"/>
  <c r="DW70" i="5"/>
  <c r="E41" i="20"/>
  <c r="EU67" i="5"/>
  <c r="C30" i="20" s="1"/>
  <c r="EV67" i="5"/>
  <c r="C31" i="20" s="1"/>
  <c r="EN70" i="5"/>
  <c r="EP67" i="5"/>
  <c r="EP69" i="5" s="1"/>
  <c r="EN67" i="5"/>
  <c r="ET67" i="5"/>
  <c r="E27" i="20"/>
  <c r="ER70" i="5"/>
  <c r="FO67" i="5"/>
  <c r="FL70" i="5"/>
  <c r="ES67" i="5"/>
  <c r="E51" i="20"/>
  <c r="EY70" i="5"/>
  <c r="EP70" i="5"/>
  <c r="DZ70" i="5"/>
  <c r="FR67" i="5"/>
  <c r="FQ70" i="5"/>
  <c r="FP67" i="5"/>
  <c r="FZ67" i="5"/>
  <c r="FU67" i="5"/>
  <c r="ED67" i="5"/>
  <c r="E10" i="20"/>
  <c r="EZ67" i="5"/>
  <c r="ED70" i="5"/>
  <c r="E13" i="20"/>
  <c r="E34" i="20"/>
  <c r="E6" i="20"/>
  <c r="E63" i="20"/>
  <c r="GM67" i="5"/>
  <c r="GM69" i="5" s="1"/>
  <c r="GD67" i="5"/>
  <c r="GG70" i="5"/>
  <c r="E52" i="20"/>
  <c r="EE70" i="5"/>
  <c r="EV70" i="5"/>
  <c r="FZ70" i="5"/>
  <c r="FM67" i="5"/>
  <c r="GN67" i="5"/>
  <c r="GN69" i="5" s="1"/>
  <c r="EY67" i="5"/>
  <c r="ER67" i="5"/>
  <c r="EX67" i="5"/>
  <c r="E21" i="20"/>
  <c r="EL70" i="5"/>
  <c r="E8" i="20"/>
  <c r="EW67" i="5"/>
  <c r="EA67" i="5"/>
  <c r="EK67" i="5"/>
  <c r="E31" i="20"/>
  <c r="EM67" i="5"/>
  <c r="FD67" i="5"/>
  <c r="FB67" i="5"/>
  <c r="FN67" i="5"/>
  <c r="GA67" i="5"/>
  <c r="GB67" i="5"/>
  <c r="FF67" i="5"/>
  <c r="FE67" i="5"/>
  <c r="FB70" i="5"/>
  <c r="EL67" i="5"/>
  <c r="FL67" i="5"/>
  <c r="E19" i="20"/>
  <c r="EO67" i="5"/>
  <c r="E24" i="20"/>
  <c r="FY67" i="5"/>
  <c r="FY70" i="5"/>
  <c r="EQ67" i="5"/>
  <c r="EO70" i="5"/>
  <c r="FK70" i="5"/>
  <c r="E38" i="20"/>
  <c r="FC67" i="5"/>
  <c r="GF67" i="5"/>
  <c r="EF67" i="5"/>
  <c r="E54" i="20"/>
  <c r="E68" i="20"/>
  <c r="E17" i="20"/>
  <c r="FV67" i="5"/>
  <c r="E70" i="20"/>
  <c r="GE67" i="5"/>
  <c r="EH67" i="5"/>
  <c r="GI67" i="5"/>
  <c r="EB67" i="5"/>
  <c r="E64" i="20"/>
  <c r="GC67" i="5"/>
  <c r="FT67" i="5"/>
  <c r="GL67" i="5"/>
  <c r="GL69" i="5" s="1"/>
  <c r="FS70" i="5"/>
  <c r="EE67" i="5"/>
  <c r="GC70" i="5"/>
  <c r="DZ67" i="5"/>
  <c r="EC67" i="5"/>
  <c r="GH67" i="5"/>
  <c r="EG67" i="5"/>
  <c r="DW67" i="5"/>
  <c r="GJ67" i="5"/>
  <c r="DY67" i="5"/>
  <c r="EI67" i="5"/>
  <c r="DX67" i="5"/>
  <c r="DV70" i="5"/>
  <c r="E5" i="20"/>
  <c r="FK67" i="5"/>
  <c r="EJ67" i="5"/>
  <c r="EG70" i="5"/>
  <c r="E16" i="20"/>
  <c r="E69" i="20"/>
  <c r="GH70" i="5"/>
  <c r="GK67" i="5"/>
  <c r="FQ69" i="5"/>
  <c r="C36" i="20"/>
  <c r="FH69" i="5" l="1"/>
  <c r="GG69" i="5"/>
  <c r="C44" i="20"/>
  <c r="C2" i="20"/>
  <c r="FS69" i="5"/>
  <c r="C42" i="20"/>
  <c r="EV69" i="5"/>
  <c r="FG69" i="5"/>
  <c r="FW69" i="5"/>
  <c r="EU69" i="5"/>
  <c r="C58" i="20"/>
  <c r="DV69" i="5"/>
  <c r="C18" i="20"/>
  <c r="C70" i="20"/>
  <c r="FF69" i="5"/>
  <c r="EJ69" i="5"/>
  <c r="DW69" i="5"/>
  <c r="DT69" i="5"/>
  <c r="FK69" i="5"/>
  <c r="C16" i="20"/>
  <c r="FT69" i="5"/>
  <c r="C57" i="20"/>
  <c r="FL69" i="5"/>
  <c r="C37" i="20"/>
  <c r="C51" i="20"/>
  <c r="EF69" i="5"/>
  <c r="C60" i="20"/>
  <c r="EK69" i="5"/>
  <c r="C34" i="20"/>
  <c r="GD69" i="5"/>
  <c r="EE69" i="5"/>
  <c r="EH69" i="5"/>
  <c r="C63" i="20"/>
  <c r="EA69" i="5"/>
  <c r="C13" i="20"/>
  <c r="C71" i="20"/>
  <c r="C25" i="20"/>
  <c r="C5" i="20"/>
  <c r="C49" i="20"/>
  <c r="C61" i="20"/>
  <c r="ES69" i="5"/>
  <c r="DU69" i="5"/>
  <c r="C59" i="20"/>
  <c r="C69" i="20"/>
  <c r="C64" i="20"/>
  <c r="C21" i="20"/>
  <c r="C39" i="20"/>
  <c r="FO69" i="5"/>
  <c r="EN69" i="5"/>
  <c r="FX69" i="5"/>
  <c r="C66" i="20"/>
  <c r="C38" i="20"/>
  <c r="EO69" i="5"/>
  <c r="C62" i="20"/>
  <c r="EW69" i="5"/>
  <c r="FM69" i="5"/>
  <c r="C56" i="20"/>
  <c r="C4" i="20"/>
  <c r="C12" i="20"/>
  <c r="EQ69" i="5"/>
  <c r="C22" i="20"/>
  <c r="EX69" i="5"/>
  <c r="FR69" i="5"/>
  <c r="ET69" i="5"/>
  <c r="C8" i="20"/>
  <c r="GF69" i="5"/>
  <c r="C45" i="20"/>
  <c r="FJ69" i="5"/>
  <c r="C7" i="20"/>
  <c r="C9" i="20"/>
  <c r="C11" i="20"/>
  <c r="FE69" i="5"/>
  <c r="ER69" i="5"/>
  <c r="C35" i="20"/>
  <c r="C29" i="20"/>
  <c r="C23" i="20"/>
  <c r="C50" i="20"/>
  <c r="C53" i="20"/>
  <c r="C28" i="20"/>
  <c r="EZ69" i="5"/>
  <c r="FZ69" i="5"/>
  <c r="FP69" i="5"/>
  <c r="ED69" i="5"/>
  <c r="FU69" i="5"/>
  <c r="FC69" i="5"/>
  <c r="EB69" i="5"/>
  <c r="EL69" i="5"/>
  <c r="GC69" i="5"/>
  <c r="C65" i="20"/>
  <c r="FD69" i="5"/>
  <c r="C26" i="20"/>
  <c r="FB69" i="5"/>
  <c r="C47" i="20"/>
  <c r="C48" i="20"/>
  <c r="DX69" i="5"/>
  <c r="C40" i="20"/>
  <c r="GK69" i="5"/>
  <c r="EC69" i="5"/>
  <c r="C33" i="20"/>
  <c r="DZ69" i="5"/>
  <c r="C27" i="20"/>
  <c r="EY69" i="5"/>
  <c r="C20" i="20"/>
  <c r="EM69" i="5"/>
  <c r="GI69" i="5"/>
  <c r="C32" i="20"/>
  <c r="C10" i="20"/>
  <c r="FN69" i="5"/>
  <c r="GA69" i="5"/>
  <c r="EI69" i="5"/>
  <c r="C15" i="20"/>
  <c r="FY69" i="5"/>
  <c r="GB69" i="5"/>
  <c r="C24" i="20"/>
  <c r="C41" i="20"/>
  <c r="C67" i="20"/>
  <c r="GJ69" i="5"/>
  <c r="GE69" i="5"/>
  <c r="DY69" i="5"/>
  <c r="C14" i="20"/>
  <c r="C17" i="20"/>
  <c r="C19" i="20"/>
  <c r="EG69" i="5"/>
  <c r="GH69" i="5"/>
  <c r="C55" i="20"/>
  <c r="FV69" i="5"/>
  <c r="C6" i="20"/>
  <c r="C46" i="20"/>
</calcChain>
</file>

<file path=xl/sharedStrings.xml><?xml version="1.0" encoding="utf-8"?>
<sst xmlns="http://schemas.openxmlformats.org/spreadsheetml/2006/main" count="1675" uniqueCount="602">
  <si>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</si>
  <si>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</si>
  <si>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</si>
  <si>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</si>
  <si>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</si>
  <si>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</si>
  <si>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</si>
  <si>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</si>
  <si>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</si>
  <si>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</si>
  <si>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</si>
  <si>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</si>
  <si>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</si>
  <si>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</si>
  <si>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</si>
  <si>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</si>
  <si>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</si>
  <si>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</si>
  <si>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</si>
  <si>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</si>
  <si>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</si>
  <si>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</si>
  <si>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</si>
  <si>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</si>
  <si>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</si>
  <si>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</si>
  <si>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</si>
  <si>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</si>
  <si>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</si>
  <si>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</si>
  <si>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</si>
  <si>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</si>
  <si>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</si>
  <si>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</si>
  <si>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</si>
  <si>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</si>
  <si>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</si>
  <si>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</si>
  <si>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</si>
  <si>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</si>
  <si>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</si>
  <si>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</si>
  <si>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</si>
  <si>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</si>
  <si>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</si>
  <si>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</si>
  <si>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</si>
  <si>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</si>
  <si>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</si>
  <si>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</si>
  <si>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</si>
  <si>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</si>
  <si>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</si>
  <si>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</si>
  <si>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</si>
  <si>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</si>
  <si>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</si>
  <si>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</si>
  <si>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</si>
  <si>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</si>
  <si>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</si>
  <si>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</si>
  <si>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</si>
  <si>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</si>
  <si>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</si>
  <si>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</si>
  <si>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</si>
  <si>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</si>
  <si>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</si>
  <si>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</si>
  <si>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</si>
  <si>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</si>
  <si>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</si>
  <si>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</si>
  <si>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</si>
  <si>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</si>
  <si>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</si>
  <si>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</si>
  <si>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</si>
  <si>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</si>
  <si>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</si>
  <si>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</si>
  <si>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</si>
  <si>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</si>
  <si>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</si>
  <si>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</si>
  <si>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</si>
  <si>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</si>
  <si>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</si>
  <si>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</si>
  <si>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</si>
  <si>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</si>
  <si>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</si>
  <si>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</si>
  <si>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</si>
  <si>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</si>
  <si>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</si>
  <si>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</si>
  <si>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</si>
  <si>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</si>
  <si>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</si>
  <si>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</si>
  <si>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</si>
  <si>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</si>
  <si>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</si>
  <si>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</si>
  <si>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</si>
  <si>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</si>
  <si>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</si>
  <si>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</si>
  <si>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</si>
  <si>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</si>
  <si>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</si>
  <si>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</si>
  <si>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</si>
  <si>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</si>
  <si>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</si>
  <si>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</si>
  <si>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</si>
  <si>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</si>
  <si>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</si>
  <si>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</si>
  <si>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</si>
  <si>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</si>
  <si>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</si>
  <si>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</si>
  <si>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</si>
  <si>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</si>
  <si>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</si>
  <si>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</si>
  <si>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</si>
  <si>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</si>
  <si>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</si>
  <si>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</si>
  <si>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</si>
  <si>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</si>
  <si>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</si>
  <si>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</si>
  <si>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</si>
  <si>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</si>
  <si>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</si>
  <si>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</si>
  <si>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</si>
  <si>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</si>
  <si>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</si>
  <si>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</si>
  <si>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</si>
  <si>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</si>
  <si>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</si>
  <si>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</si>
  <si>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</si>
  <si>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</si>
  <si>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</si>
  <si>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</si>
  <si>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</si>
  <si>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</si>
  <si>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</si>
  <si>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</si>
  <si>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</si>
  <si>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</si>
  <si>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</si>
  <si>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</si>
  <si>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</si>
  <si>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</si>
  <si>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</si>
  <si>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</si>
  <si>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</si>
  <si>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</si>
  <si>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</si>
  <si>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</si>
  <si>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</si>
  <si>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</si>
  <si>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</si>
  <si>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</si>
  <si>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</si>
  <si>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</si>
  <si>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</si>
  <si>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</si>
  <si>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</si>
  <si>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</si>
  <si>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</si>
  <si>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</si>
  <si>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</si>
  <si>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</si>
  <si>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</si>
  <si>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</si>
  <si>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</si>
  <si>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</si>
  <si>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</si>
  <si>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</si>
  <si>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</si>
  <si>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</si>
  <si>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</si>
  <si>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</si>
  <si>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</si>
  <si>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</si>
  <si>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</si>
  <si>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</si>
  <si>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</si>
  <si>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</si>
  <si>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</si>
  <si>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</si>
  <si>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</si>
  <si>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</si>
  <si>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</si>
  <si>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</si>
  <si>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</si>
  <si>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</si>
  <si>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</si>
  <si>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</si>
  <si>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</si>
  <si>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</si>
  <si>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</si>
  <si>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</si>
  <si>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</si>
  <si>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</si>
  <si>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</si>
  <si>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</si>
  <si>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</si>
  <si>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</si>
  <si>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</si>
  <si>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</si>
  <si>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</si>
  <si>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</si>
  <si>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</si>
  <si>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</si>
  <si>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</si>
  <si>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</si>
  <si>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</si>
  <si>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</si>
  <si>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</si>
  <si>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</si>
  <si>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</si>
  <si>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</si>
  <si>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</si>
  <si>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</si>
  <si>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</si>
  <si>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</si>
  <si>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</si>
  <si>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</si>
  <si>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</si>
  <si>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</si>
  <si>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</si>
  <si>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</si>
  <si>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</si>
  <si>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</si>
  <si>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</si>
  <si>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</si>
  <si>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</si>
  <si>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</si>
  <si>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</si>
  <si>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</si>
  <si>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</si>
  <si>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</si>
  <si>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</si>
  <si>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</si>
  <si>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</si>
  <si>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</si>
  <si>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</si>
  <si>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</si>
  <si>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</si>
  <si>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</si>
  <si>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</si>
  <si>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</si>
  <si>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</si>
  <si>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</si>
  <si>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</si>
  <si>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</si>
  <si>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</si>
  <si>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</si>
  <si>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</si>
  <si>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</si>
  <si>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</si>
  <si>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</si>
  <si>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</si>
  <si>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</si>
  <si>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</si>
  <si>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</si>
  <si>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</si>
  <si>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</si>
  <si>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</si>
  <si>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</si>
  <si>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</si>
  <si>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</si>
  <si>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</si>
  <si>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</si>
  <si>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</si>
  <si>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</si>
  <si>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</si>
  <si>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</si>
  <si>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</si>
  <si>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</si>
  <si>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</si>
  <si>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</si>
  <si>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</si>
  <si>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</si>
  <si>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</si>
  <si>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</si>
  <si>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</si>
  <si>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</si>
  <si>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</si>
  <si>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</si>
  <si>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</si>
  <si>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</si>
  <si>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</si>
  <si>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</si>
  <si>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</si>
  <si>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</si>
  <si>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</si>
  <si>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</si>
  <si>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</si>
  <si>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</si>
  <si>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</si>
  <si>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</si>
  <si>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</si>
  <si>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</si>
  <si>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</si>
  <si>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</si>
  <si>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</si>
  <si>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</si>
  <si>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</si>
  <si>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</si>
  <si>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</si>
  <si>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</si>
  <si>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</si>
  <si>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</si>
  <si>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</si>
  <si>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</si>
  <si>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</si>
  <si>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</si>
  <si>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</si>
  <si>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</si>
  <si>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</si>
  <si>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</si>
  <si>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</si>
  <si>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</si>
  <si>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</si>
  <si>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</si>
  <si>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</si>
  <si>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</si>
  <si>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</si>
  <si>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</si>
  <si>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</si>
  <si>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</si>
  <si>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</si>
  <si>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</si>
  <si>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</si>
  <si>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</si>
  <si>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</si>
  <si>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</si>
  <si>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</si>
  <si>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</si>
  <si>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</si>
  <si>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</si>
  <si>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</si>
  <si>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</si>
  <si>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</si>
  <si>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</si>
  <si>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</si>
  <si>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</si>
  <si>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</si>
  <si>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</si>
  <si>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</si>
  <si>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</si>
  <si>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</si>
  <si>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</si>
  <si>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</si>
  <si>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</si>
  <si>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</si>
  <si>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</si>
  <si>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</si>
  <si>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</si>
  <si>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</si>
  <si>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</si>
  <si>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</si>
  <si>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</si>
  <si>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</si>
  <si>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</si>
  <si>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</si>
  <si>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</si>
  <si>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</si>
  <si>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</si>
  <si>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</si>
  <si>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</si>
  <si>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</si>
  <si>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</si>
  <si>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</si>
  <si>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</si>
  <si>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</si>
  <si>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</si>
  <si>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</si>
  <si>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</si>
  <si>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</si>
  <si>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</si>
  <si>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</si>
  <si>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</si>
  <si>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</si>
  <si>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</si>
  <si>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</si>
  <si>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</si>
  <si>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</si>
  <si>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</si>
  <si>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</si>
  <si>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</si>
  <si>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</si>
  <si>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</si>
  <si>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</si>
  <si>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</si>
  <si>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</si>
  <si>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</si>
  <si>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</si>
  <si>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</si>
  <si>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</si>
  <si>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</si>
  <si>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</si>
  <si>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</si>
  <si>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</si>
  <si>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</si>
  <si>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</si>
  <si>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</si>
  <si>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</si>
  <si>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</si>
  <si>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</si>
  <si>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</si>
  <si>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</si>
  <si>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</si>
  <si>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</si>
  <si>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</si>
  <si>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</si>
  <si>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</si>
  <si>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</si>
  <si>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</si>
  <si>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</si>
  <si>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</si>
  <si>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</si>
  <si>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</si>
  <si>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</si>
  <si>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</si>
  <si>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</si>
  <si>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</si>
  <si>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</si>
  <si>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</si>
  <si>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</si>
  <si>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</si>
  <si>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</si>
  <si>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</si>
  <si>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</si>
  <si>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</si>
  <si>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</si>
  <si>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</si>
  <si>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</si>
  <si>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</si>
  <si>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</si>
  <si>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</si>
  <si>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</si>
  <si>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</si>
  <si>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</si>
  <si>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</si>
  <si>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</si>
  <si>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</si>
  <si>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</si>
  <si>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</si>
  <si>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</si>
  <si>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</si>
  <si>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</si>
  <si>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</si>
  <si>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</si>
  <si>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</si>
  <si>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</si>
  <si>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</si>
  <si>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</si>
  <si>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</si>
  <si>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</si>
  <si>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</si>
  <si>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</si>
  <si>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</si>
  <si>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</si>
  <si>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</si>
  <si>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</si>
  <si>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</si>
  <si>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</si>
  <si>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</si>
  <si>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</si>
  <si>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</si>
  <si>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</si>
  <si>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</si>
  <si>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</si>
  <si>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</si>
  <si>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</si>
  <si>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</si>
  <si>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</si>
  <si>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</si>
  <si>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</si>
  <si>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</si>
  <si>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</si>
  <si>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</si>
  <si>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</si>
  <si>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</si>
  <si>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</si>
  <si>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</si>
  <si>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</si>
  <si>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</si>
  <si>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</si>
  <si>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</si>
  <si>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</si>
  <si>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</si>
  <si>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</si>
  <si>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</si>
  <si>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</si>
  <si>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</si>
  <si>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</si>
  <si>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</si>
  <si>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</si>
  <si>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</si>
  <si>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</si>
  <si>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</si>
  <si>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</si>
  <si>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</si>
  <si>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</si>
  <si>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</si>
  <si>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</si>
  <si>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</si>
  <si>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</si>
  <si>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</si>
  <si>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</si>
  <si>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</si>
  <si>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</si>
  <si>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</si>
  <si>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</si>
  <si>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</si>
  <si>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</si>
  <si>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</si>
  <si>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</si>
  <si>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</si>
  <si>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</si>
  <si>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</si>
  <si>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</si>
  <si>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</si>
  <si>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</si>
  <si>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</si>
  <si>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</si>
  <si>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</si>
  <si>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</si>
  <si>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</si>
  <si>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</si>
  <si>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</si>
  <si>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</si>
  <si>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</si>
  <si>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</si>
  <si>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</si>
  <si>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</si>
  <si>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</si>
  <si>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</si>
  <si>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</si>
  <si>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</si>
  <si>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</si>
  <si>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</si>
  <si>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</si>
  <si>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</si>
  <si>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</si>
  <si>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</si>
  <si>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</si>
  <si>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</si>
  <si>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</si>
  <si>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</si>
  <si>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</si>
  <si>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</si>
  <si>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</si>
  <si>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</si>
  <si>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</si>
  <si>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</si>
  <si>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</si>
  <si>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</si>
  <si>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</si>
  <si>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</si>
  <si>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</si>
  <si>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</si>
  <si>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</si>
  <si>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</si>
  <si>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</si>
  <si>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</si>
  <si>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</si>
  <si>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</si>
  <si>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</si>
  <si>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</si>
  <si>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</si>
  <si>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</si>
  <si>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</si>
  <si>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</si>
  <si>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</si>
  <si>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</si>
  <si>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</si>
  <si>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</si>
  <si>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Aug-04-2017 08:30</t>
  </si>
  <si>
    <t>Jul-2017</t>
  </si>
  <si>
    <t>2017:Jul</t>
  </si>
  <si>
    <t>Aug-04-2017 08:32</t>
  </si>
  <si>
    <t>Aug-01-2017 08:47</t>
  </si>
  <si>
    <t>Aug-30-2017 08:38</t>
  </si>
  <si>
    <t>Aug-30-2017 08:37</t>
  </si>
  <si>
    <t>Aug-30-2017 08:30</t>
  </si>
  <si>
    <t>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</si>
</sst>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-3.4187239980064565E-2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-0.18</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fiscal_ifinal!$H$2:$H$71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1.5812760019935441E-2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24" activePane="bottomRight" state="frozen"/>
      <selection pane="topRight" activeCell="C1" sqref="C1"/>
      <selection pane="bottomLeft" activeCell="A7" sqref="A7"/>
      <selection pane="bottomRight" activeCell="P151" sqref="P151"/>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599</v>
      </c>
      <c r="D6" t="s">
        <v>599</v>
      </c>
      <c r="E6" t="s">
        <v>599</v>
      </c>
      <c r="F6" t="s">
        <v>599</v>
      </c>
      <c r="G6" t="s">
        <v>599</v>
      </c>
      <c r="H6" t="s">
        <v>599</v>
      </c>
      <c r="I6" t="s">
        <v>599</v>
      </c>
      <c r="J6" t="s">
        <v>599</v>
      </c>
      <c r="K6" t="s">
        <v>600</v>
      </c>
      <c r="L6" t="s">
        <v>600</v>
      </c>
      <c r="M6" t="s">
        <v>600</v>
      </c>
      <c r="N6" t="s">
        <v>598</v>
      </c>
      <c r="O6" t="s">
        <v>600</v>
      </c>
      <c r="P6" t="s">
        <v>600</v>
      </c>
      <c r="Q6" t="s">
        <v>591</v>
      </c>
      <c r="R6" t="s">
        <v>599</v>
      </c>
      <c r="S6" t="s">
        <v>541</v>
      </c>
      <c r="T6" t="s">
        <v>600</v>
      </c>
      <c r="U6" s="58" t="s">
        <v>600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590</v>
      </c>
      <c r="B196" s="4">
        <v>42916</v>
      </c>
      <c r="C196" s="5">
        <v>671.5</v>
      </c>
      <c r="D196" s="5">
        <v>578.20000000000005</v>
      </c>
      <c r="E196" s="5">
        <v>2778.6</v>
      </c>
      <c r="F196" s="5">
        <v>2015.3</v>
      </c>
      <c r="G196" s="5">
        <v>1321.1</v>
      </c>
      <c r="H196" s="5">
        <v>469.3</v>
      </c>
      <c r="I196" s="5">
        <v>88.6</v>
      </c>
      <c r="J196" s="5">
        <v>1303.0999999999999</v>
      </c>
      <c r="K196" s="5">
        <v>17030</v>
      </c>
      <c r="L196" s="5">
        <v>11854.4</v>
      </c>
      <c r="M196" s="5">
        <v>13308.6</v>
      </c>
      <c r="N196" s="7">
        <v>1.1226700000000001</v>
      </c>
      <c r="O196" s="5">
        <v>19246.7</v>
      </c>
      <c r="P196" s="11">
        <v>-0.05</v>
      </c>
      <c r="Q196" s="5">
        <v>17058.2</v>
      </c>
      <c r="R196" s="5">
        <v>3330.9</v>
      </c>
      <c r="S196" s="48">
        <v>0</v>
      </c>
      <c r="T196" s="11">
        <v>0.13</v>
      </c>
      <c r="U196" s="59">
        <v>-0.18</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C43" activePane="bottomRight" state="frozen"/>
      <selection pane="topRight" activeCell="C1" sqref="C1"/>
      <selection pane="bottomLeft" activeCell="A11" sqref="A11"/>
      <selection pane="bottomRight" activeCell="GJ74" sqref="GJ74"/>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578.20000000000005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2778.6</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1303.0999999999999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2015.3</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1321.1</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469.3</v>
      </c>
      <c r="GK17">
        <f>IFERROR(INDEX(HaverPull!$B:$XZ,MATCH(Calculations!GK$9,HaverPull!$B:$B,0),MATCH(Calculations!$B17,HaverPull!$B$1:$XZ$1,0)),INDEX(HaverPull!$B:$XZ,MATCH(Calculations!GJ$9,HaverPull!$B:$B,0),MATCH(Calculations!$B17,HaverPull!$B$1:$XZ$1,0)))</f>
        <v>469.3</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17030</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11854.4</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13308.6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1.1226700000000001</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19246.7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-0.05</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3330.9</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1249.7</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1528.8999999999999</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4639.5</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380.70000000000005</v>
      </c>
      <c r="GK35">
        <f t="shared" si="22"/>
        <v>380.70000000000005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1116.9449999999999</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-2724.2160000000003</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-151.35666666666665</v>
      </c>
      <c r="GK41">
        <f ca="1">IF(ISERROR(INDIRECT(ADDRESS(ROW(GK35),COLUMN(GK35)-11))),"n/a",IF(ISNUMBER(INDIRECT(ADDRESS(ROW(GK35),COLUMN(GK35)-11))),Calculations!$C$6*AVERAGE(FZ35:GK35),"n/a"))</f>
        <v>-150.86333333333332</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-398.41266666666718</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-354.87958764968079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12209.27958764968</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3.3200211352674369</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3.2971529561745427</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2.2868179092894181E-2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3.0345482835807402E-2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0.69147438262143635</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1.5812760019935441E-2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-3.4187239980064565E-2</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0.17306343425106641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0.52867382796165197</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-1.3317823050774145E-2</v>
      </c>
      <c r="GK67" s="6">
        <f t="shared" ref="GK67" ca="1" si="211">IF(ISTEXT(GH59), "n/a", AVERAGE(GH59:GK59))</f>
        <v>4.8867058100952919E-3</v>
      </c>
      <c r="GL67" s="6">
        <f t="shared" ref="GL67" ca="1" si="212">IF(ISTEXT(GI59), "n/a", AVERAGE(GI59:GL59))</f>
        <v>-2.8686656434860923E-2</v>
      </c>
      <c r="GM67" s="6">
        <f t="shared" ref="GM67" ca="1" si="213">IF(ISTEXT(GJ59), "n/a", AVERAGE(GJ59:GM59))</f>
        <v>-3.4187239980064565E-2</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-0.28044969897391664</v>
      </c>
      <c r="GK69" s="6">
        <f t="shared" ca="1" si="258"/>
        <v>-0.26283199644985111</v>
      </c>
      <c r="GL69" s="6">
        <f t="shared" ca="1" si="258"/>
        <v>-0.29806193926942692</v>
      </c>
      <c r="GM69" s="6">
        <f t="shared" ca="1" si="258"/>
        <v>-0.30644329060765974</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-0.56286106794171653</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zoomScale="70" zoomScaleNormal="100" zoomScaleSheetLayoutView="70"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62"/>
  <sheetViews>
    <sheetView tabSelected="1" workbookViewId="0">
      <pane ySplit="1" topLeftCell="A2" activePane="bottomLeft" state="frozen"/>
      <selection pane="bottomLeft" activeCell="G9" sqref="G9"/>
    </sheetView>
  </sheetViews>
  <sheetFormatPr defaultRowHeight="15" x14ac:dyDescent="0.25"/>
  <cols>
    <col min="2" max="2" width="10.7109375" bestFit="1" customWidth="1"/>
    <col min="8" max="8" width="9.7109375" bestFit="1" customWidth="1"/>
    <col min="9" max="9" width="9.5703125" bestFit="1" customWidth="1"/>
    <col min="16" max="16" width="12.7109375" bestFit="1" customWidth="1"/>
  </cols>
  <sheetData>
    <row r="1" spans="1:17" x14ac:dyDescent="0.25">
      <c r="A1" t="s">
        <v>601</v>
      </c>
      <c r="B1" t="s">
        <v>344</v>
      </c>
      <c r="C1" t="s">
        <v>397</v>
      </c>
      <c r="D1" t="s">
        <v>398</v>
      </c>
      <c r="E1" t="s">
        <v>399</v>
      </c>
      <c r="F1" s="9" t="s">
        <v>400</v>
      </c>
      <c r="G1" s="9" t="s">
        <v>401</v>
      </c>
      <c r="H1" s="9" t="s">
        <v>402</v>
      </c>
      <c r="I1" s="9" t="s">
        <v>396</v>
      </c>
    </row>
    <row r="2" spans="1:17" x14ac:dyDescent="0.25">
      <c r="A2" t="str">
        <f>CONCATENATE(RIGHT(HaverPull!A127,4), ",",LEFT(HaverPull!A127,2))</f>
        <v>2000,Q1</v>
      </c>
      <c r="B2" s="64">
        <f>INDEX(Calculations!$9:$9, , ROW()+121)</f>
        <v>36616</v>
      </c>
      <c r="C2" s="65">
        <f ca="1">INDEX(Calculations!$1:$80, MATCH("Fiscal_Impact", Calculations!$B:$B, 0), MATCH(fiscal_ifinal!$B2, Calculations!$9:$9, 0))</f>
        <v>0.20857714517999645</v>
      </c>
      <c r="D2" s="66">
        <f>INDEX(Calculations!$1:$80, MATCH("RecessionDummy", Calculations!$B:$B, 0), MATCH(fiscal_ifinal!$B2, Calculations!$9:$9, 0))</f>
        <v>0</v>
      </c>
      <c r="E2" s="65">
        <f ca="1">INDEX(Calculations!$1:$80, MATCH("Fiscal_Impact_bars", Calculations!$B:$B, 0), MATCH(fiscal_ifinal!$B2, Calculations!$9:$9, 0))</f>
        <v>-0.94209804862290814</v>
      </c>
      <c r="F2" s="65">
        <f>INDEX(HaverPull!$B:$XZ,MATCH($B2,HaverPull!$B:$B,0),MATCH("Contribution to %Ch in Real GDP from ""Federal G""",HaverPull!$B$1:$XZ$1,0))</f>
        <v>-0.95</v>
      </c>
      <c r="G2" s="65">
        <f>INDEX(HaverPull!$B:$XZ,MATCH($B2,HaverPull!$B:$B,0),MATCH("Contribution to %Ch in Real GDP from ""S+L G""",HaverPull!$B$1:$XZ$1,0))</f>
        <v>0.36</v>
      </c>
      <c r="H2" s="65">
        <f ca="1">INDEX(Calculations!$A:$GV,MATCH("Contribution of Consumption Growth to Real GDP",Calculations!B$1:B$71,0),MATCH($B2,Calculations!A$9:GV$9))</f>
        <v>-0.35209804862290817</v>
      </c>
      <c r="I2" s="9" t="s">
        <v>403</v>
      </c>
      <c r="L2" s="62"/>
      <c r="M2" s="62"/>
      <c r="N2" s="62"/>
      <c r="O2" s="62"/>
      <c r="P2" s="62"/>
      <c r="Q2" s="62"/>
    </row>
    <row r="3" spans="1:17" x14ac:dyDescent="0.25">
      <c r="A3" t="str">
        <f>CONCATENATE(RIGHT(HaverPull!A128,4), ",",LEFT(HaverPull!A128,2))</f>
        <v>2000,Q2</v>
      </c>
      <c r="B3" s="64">
        <f>INDEX(Calculations!$9:$9, , ROW()+121)</f>
        <v>36707</v>
      </c>
      <c r="C3" s="65">
        <f ca="1">INDEX(Calculations!$1:$80, MATCH("Fiscal_Impact", Calculations!$B:$B, 0), MATCH(fiscal_ifinal!$B3, Calculations!$9:$9, 0))</f>
        <v>0.31188385901110699</v>
      </c>
      <c r="D3" s="66">
        <f>INDEX(Calculations!$1:$80, MATCH("RecessionDummy", Calculations!$B:$B, 0), MATCH(fiscal_ifinal!$B3, Calculations!$9:$9, 0))</f>
        <v>0</v>
      </c>
      <c r="E3" s="65">
        <f ca="1">INDEX(Calculations!$1:$80, MATCH("Fiscal_Impact_bars", Calculations!$B:$B, 0), MATCH(fiscal_ifinal!$B3, Calculations!$9:$9, 0))</f>
        <v>0.63717511754744593</v>
      </c>
      <c r="F3" s="65">
        <f>INDEX(HaverPull!$B:$XZ,MATCH($B3,HaverPull!$B:$B,0),MATCH("Contribution to %Ch in Real GDP from ""Federal G""",HaverPull!$B$1:$XZ$1,0))</f>
        <v>0.88</v>
      </c>
      <c r="G3" s="65">
        <f>INDEX(HaverPull!$B:$XZ,MATCH($B3,HaverPull!$B:$B,0),MATCH("Contribution to %Ch in Real GDP from ""S+L G""",HaverPull!$B$1:$XZ$1,0))</f>
        <v>0.02</v>
      </c>
      <c r="H3" s="65">
        <f ca="1">INDEX(Calculations!$A:$GV,MATCH("Contribution of Consumption Growth to Real GDP",Calculations!B$1:B$71,0),MATCH($B3,Calculations!A$9:GV$9))</f>
        <v>-0.26282488245255409</v>
      </c>
      <c r="L3" s="62"/>
      <c r="M3" s="62"/>
      <c r="N3" s="62"/>
      <c r="O3" s="62"/>
      <c r="P3" s="62"/>
      <c r="Q3" s="62"/>
    </row>
    <row r="4" spans="1:17" x14ac:dyDescent="0.25">
      <c r="A4" t="str">
        <f>CONCATENATE(RIGHT(HaverPull!A129,4), ",",LEFT(HaverPull!A129,2))</f>
        <v>2000,Q3</v>
      </c>
      <c r="B4" s="64">
        <f>INDEX(Calculations!$9:$9, , ROW()+121)</f>
        <v>36799</v>
      </c>
      <c r="C4" s="65">
        <f ca="1">INDEX(Calculations!$1:$80, MATCH("Fiscal_Impact", Calculations!$B:$B, 0), MATCH(fiscal_ifinal!$B4, Calculations!$9:$9, 0))</f>
        <v>0.10059776893960075</v>
      </c>
      <c r="D4" s="66">
        <f>INDEX(Calculations!$1:$80, MATCH("RecessionDummy", Calculations!$B:$B, 0), MATCH(fiscal_ifinal!$B4, Calculations!$9:$9, 0))</f>
        <v>0</v>
      </c>
      <c r="E4" s="65">
        <f ca="1">INDEX(Calculations!$1:$80, MATCH("Fiscal_Impact_bars", Calculations!$B:$B, 0), MATCH(fiscal_ifinal!$B4, Calculations!$9:$9, 0))</f>
        <v>-0.18885200157851684</v>
      </c>
      <c r="F4" s="65">
        <f>INDEX(HaverPull!$B:$XZ,MATCH($B4,HaverPull!$B:$B,0),MATCH("Contribution to %Ch in Real GDP from ""Federal G""",HaverPull!$B$1:$XZ$1,0))</f>
        <v>-0.42</v>
      </c>
      <c r="G4" s="65">
        <f>INDEX(HaverPull!$B:$XZ,MATCH($B4,HaverPull!$B:$B,0),MATCH("Contribution to %Ch in Real GDP from ""S+L G""",HaverPull!$B$1:$XZ$1,0))</f>
        <v>0.27</v>
      </c>
      <c r="H4" s="65">
        <f ca="1">INDEX(Calculations!$A:$GV,MATCH("Contribution of Consumption Growth to Real GDP",Calculations!B$1:B$71,0),MATCH($B4,Calculations!A$9:GV$9))</f>
        <v>-3.885200157851685E-2</v>
      </c>
      <c r="L4" s="62"/>
      <c r="M4" s="62"/>
      <c r="N4" s="62"/>
      <c r="O4" s="62"/>
      <c r="P4" s="62"/>
      <c r="Q4" s="62"/>
    </row>
    <row r="5" spans="1:17" x14ac:dyDescent="0.25">
      <c r="A5" t="str">
        <f>CONCATENATE(RIGHT(HaverPull!A130,4), ",",LEFT(HaverPull!A130,2))</f>
        <v>2000,Q4</v>
      </c>
      <c r="B5" s="64">
        <f>INDEX(Calculations!$9:$9, , ROW()+121)</f>
        <v>36891</v>
      </c>
      <c r="C5" s="65">
        <f ca="1">INDEX(Calculations!$1:$80, MATCH("Fiscal_Impact", Calculations!$B:$B, 0), MATCH(fiscal_ifinal!$B5, Calculations!$9:$9, 0))</f>
        <v>-6.5715868074283923E-2</v>
      </c>
      <c r="D5" s="66">
        <f>INDEX(Calculations!$1:$80, MATCH("RecessionDummy", Calculations!$B:$B, 0), MATCH(fiscal_ifinal!$B5, Calculations!$9:$9, 0))</f>
        <v>0</v>
      </c>
      <c r="E5" s="65">
        <f ca="1">INDEX(Calculations!$1:$80, MATCH("Fiscal_Impact_bars", Calculations!$B:$B, 0), MATCH(fiscal_ifinal!$B5, Calculations!$9:$9, 0))</f>
        <v>0.23091146035684332</v>
      </c>
      <c r="F5" s="65">
        <f>INDEX(HaverPull!$B:$XZ,MATCH($B5,HaverPull!$B:$B,0),MATCH("Contribution to %Ch in Real GDP from ""Federal G""",HaverPull!$B$1:$XZ$1,0))</f>
        <v>-0.13</v>
      </c>
      <c r="G5" s="65">
        <f>INDEX(HaverPull!$B:$XZ,MATCH($B5,HaverPull!$B:$B,0),MATCH("Contribution to %Ch in Real GDP from ""S+L G""",HaverPull!$B$1:$XZ$1,0))</f>
        <v>0.35</v>
      </c>
      <c r="H5" s="65">
        <f ca="1">INDEX(Calculations!$A:$GV,MATCH("Contribution of Consumption Growth to Real GDP",Calculations!B$1:B$71,0),MATCH($B5,Calculations!A$9:GV$9))</f>
        <v>9.1146035684330578E-4</v>
      </c>
      <c r="L5" s="62"/>
      <c r="M5" s="62"/>
      <c r="N5" s="62"/>
      <c r="O5" s="62"/>
      <c r="P5" s="62"/>
      <c r="Q5" s="62"/>
    </row>
    <row r="6" spans="1:17" x14ac:dyDescent="0.25">
      <c r="A6" t="str">
        <f>CONCATENATE(RIGHT(HaverPull!A131,4), ",",LEFT(HaverPull!A131,2))</f>
        <v>2001,Q1</v>
      </c>
      <c r="B6" s="64">
        <f>INDEX(Calculations!$9:$9, , ROW()+121)</f>
        <v>36981</v>
      </c>
      <c r="C6" s="65">
        <f ca="1">INDEX(Calculations!$1:$80, MATCH("Fiscal_Impact", Calculations!$B:$B, 0), MATCH(fiscal_ifinal!$B6, Calculations!$9:$9, 0))</f>
        <v>0.44678496957222402</v>
      </c>
      <c r="D6" s="66">
        <f>INDEX(Calculations!$1:$80, MATCH("RecessionDummy", Calculations!$B:$B, 0), MATCH(fiscal_ifinal!$B6, Calculations!$9:$9, 0))</f>
        <v>0</v>
      </c>
      <c r="E6" s="65">
        <f ca="1">INDEX(Calculations!$1:$80, MATCH("Fiscal_Impact_bars", Calculations!$B:$B, 0), MATCH(fiscal_ifinal!$B6, Calculations!$9:$9, 0))</f>
        <v>1.1079053019631235</v>
      </c>
      <c r="F6" s="65">
        <f>INDEX(HaverPull!$B:$XZ,MATCH($B6,HaverPull!$B:$B,0),MATCH("Contribution to %Ch in Real GDP from ""Federal G""",HaverPull!$B$1:$XZ$1,0))</f>
        <v>0.53</v>
      </c>
      <c r="G6" s="65">
        <f>INDEX(HaverPull!$B:$XZ,MATCH($B6,HaverPull!$B:$B,0),MATCH("Contribution to %Ch in Real GDP from ""S+L G""",HaverPull!$B$1:$XZ$1,0))</f>
        <v>0.54</v>
      </c>
      <c r="H6" s="65">
        <f ca="1">INDEX(Calculations!$A:$GV,MATCH("Contribution of Consumption Growth to Real GDP",Calculations!B$1:B$71,0),MATCH($B6,Calculations!A$9:GV$9))</f>
        <v>3.7905301963123382E-2</v>
      </c>
      <c r="L6" s="62"/>
      <c r="M6" s="62"/>
      <c r="N6" s="62"/>
      <c r="O6" s="62"/>
      <c r="P6" s="62"/>
      <c r="Q6" s="62"/>
    </row>
    <row r="7" spans="1:17" x14ac:dyDescent="0.25">
      <c r="A7" t="str">
        <f>CONCATENATE(RIGHT(HaverPull!A132,4), ",",LEFT(HaverPull!A132,2))</f>
        <v>2001,Q2</v>
      </c>
      <c r="B7" s="64">
        <f>INDEX(Calculations!$9:$9, , ROW()+121)</f>
        <v>37072</v>
      </c>
      <c r="C7" s="65">
        <f ca="1">INDEX(Calculations!$1:$80, MATCH("Fiscal_Impact", Calculations!$B:$B, 0), MATCH(fiscal_ifinal!$B7, Calculations!$9:$9, 0))</f>
        <v>0.66691444939497502</v>
      </c>
      <c r="D7" s="66">
        <f>INDEX(Calculations!$1:$80, MATCH("RecessionDummy", Calculations!$B:$B, 0), MATCH(fiscal_ifinal!$B7, Calculations!$9:$9, 0))</f>
        <v>1</v>
      </c>
      <c r="E7" s="65">
        <f ca="1">INDEX(Calculations!$1:$80, MATCH("Fiscal_Impact_bars", Calculations!$B:$B, 0), MATCH(fiscal_ifinal!$B7, Calculations!$9:$9, 0))</f>
        <v>1.5176930368384498</v>
      </c>
      <c r="F7" s="65">
        <f>INDEX(HaverPull!$B:$XZ,MATCH($B7,HaverPull!$B:$B,0),MATCH("Contribution to %Ch in Real GDP from ""Federal G""",HaverPull!$B$1:$XZ$1,0))</f>
        <v>0.49</v>
      </c>
      <c r="G7" s="65">
        <f>INDEX(HaverPull!$B:$XZ,MATCH($B7,HaverPull!$B:$B,0),MATCH("Contribution to %Ch in Real GDP from ""S+L G""",HaverPull!$B$1:$XZ$1,0))</f>
        <v>0.95</v>
      </c>
      <c r="H7" s="65">
        <f ca="1">INDEX(Calculations!$A:$GV,MATCH("Contribution of Consumption Growth to Real GDP",Calculations!B$1:B$71,0),MATCH($B7,Calculations!A$9:GV$9))</f>
        <v>8.7693036838449936E-2</v>
      </c>
      <c r="L7" s="62"/>
      <c r="M7" s="62"/>
      <c r="N7" s="62"/>
      <c r="O7" s="62"/>
      <c r="P7" s="62"/>
      <c r="Q7" s="62"/>
    </row>
    <row r="8" spans="1:17" x14ac:dyDescent="0.25">
      <c r="A8" t="str">
        <f>CONCATENATE(RIGHT(HaverPull!A133,4), ",",LEFT(HaverPull!A133,2))</f>
        <v>2001,Q3</v>
      </c>
      <c r="B8" s="64">
        <f>INDEX(Calculations!$9:$9, , ROW()+121)</f>
        <v>37164</v>
      </c>
      <c r="C8" s="65">
        <f ca="1">INDEX(Calculations!$1:$80, MATCH("Fiscal_Impact", Calculations!$B:$B, 0), MATCH(fiscal_ifinal!$B8, Calculations!$9:$9, 0))</f>
        <v>0.96230301496999315</v>
      </c>
      <c r="D8" s="66">
        <f>INDEX(Calculations!$1:$80, MATCH("RecessionDummy", Calculations!$B:$B, 0), MATCH(fiscal_ifinal!$B8, Calculations!$9:$9, 0))</f>
        <v>1</v>
      </c>
      <c r="E8" s="65">
        <f ca="1">INDEX(Calculations!$1:$80, MATCH("Fiscal_Impact_bars", Calculations!$B:$B, 0), MATCH(fiscal_ifinal!$B8, Calculations!$9:$9, 0))</f>
        <v>0.99270226072155587</v>
      </c>
      <c r="F8" s="65">
        <f>INDEX(HaverPull!$B:$XZ,MATCH($B8,HaverPull!$B:$B,0),MATCH("Contribution to %Ch in Real GDP from ""Federal G""",HaverPull!$B$1:$XZ$1,0))</f>
        <v>0.21</v>
      </c>
      <c r="G8" s="65">
        <f>INDEX(HaverPull!$B:$XZ,MATCH($B8,HaverPull!$B:$B,0),MATCH("Contribution to %Ch in Real GDP from ""S+L G""",HaverPull!$B$1:$XZ$1,0))</f>
        <v>-0.26</v>
      </c>
      <c r="H8" s="65">
        <f ca="1">INDEX(Calculations!$A:$GV,MATCH("Contribution of Consumption Growth to Real GDP",Calculations!B$1:B$71,0),MATCH($B8,Calculations!A$9:GV$9))</f>
        <v>1.0427022607215559</v>
      </c>
      <c r="L8" s="62"/>
      <c r="M8" s="62"/>
      <c r="N8" s="62"/>
      <c r="O8" s="62"/>
      <c r="P8" s="62"/>
      <c r="Q8" s="62"/>
    </row>
    <row r="9" spans="1:17" x14ac:dyDescent="0.25">
      <c r="A9" t="str">
        <f>CONCATENATE(RIGHT(HaverPull!A134,4), ",",LEFT(HaverPull!A134,2))</f>
        <v>2001,Q4</v>
      </c>
      <c r="B9" s="64">
        <f>INDEX(Calculations!$9:$9, , ROW()+121)</f>
        <v>37256</v>
      </c>
      <c r="C9" s="65">
        <f ca="1">INDEX(Calculations!$1:$80, MATCH("Fiscal_Impact", Calculations!$B:$B, 0), MATCH(fiscal_ifinal!$B9, Calculations!$9:$9, 0))</f>
        <v>1.481600424851605</v>
      </c>
      <c r="D9" s="66">
        <f>INDEX(Calculations!$1:$80, MATCH("RecessionDummy", Calculations!$B:$B, 0), MATCH(fiscal_ifinal!$B9, Calculations!$9:$9, 0))</f>
        <v>1</v>
      </c>
      <c r="E9" s="65">
        <f ca="1">INDEX(Calculations!$1:$80, MATCH("Fiscal_Impact_bars", Calculations!$B:$B, 0), MATCH(fiscal_ifinal!$B9, Calculations!$9:$9, 0))</f>
        <v>2.3081010998832907</v>
      </c>
      <c r="F9" s="65">
        <f>INDEX(HaverPull!$B:$XZ,MATCH($B9,HaverPull!$B:$B,0),MATCH("Contribution to %Ch in Real GDP from ""Federal G""",HaverPull!$B$1:$XZ$1,0))</f>
        <v>0.2</v>
      </c>
      <c r="G9" s="65">
        <f>INDEX(HaverPull!$B:$XZ,MATCH($B9,HaverPull!$B:$B,0),MATCH("Contribution to %Ch in Real GDP from ""S+L G""",HaverPull!$B$1:$XZ$1,0))</f>
        <v>0.88</v>
      </c>
      <c r="H9" s="65">
        <f ca="1">INDEX(Calculations!$A:$GV,MATCH("Contribution of Consumption Growth to Real GDP",Calculations!B$1:B$71,0),MATCH($B9,Calculations!A$9:GV$9))</f>
        <v>1.2381010998832904</v>
      </c>
      <c r="L9" s="62"/>
      <c r="M9" s="62"/>
      <c r="N9" s="62"/>
      <c r="O9" s="62"/>
      <c r="P9" s="62"/>
      <c r="Q9" s="62"/>
    </row>
    <row r="10" spans="1:17" x14ac:dyDescent="0.25">
      <c r="A10" t="str">
        <f>CONCATENATE(RIGHT(HaverPull!A135,4), ",",LEFT(HaverPull!A135,2))</f>
        <v>2002,Q1</v>
      </c>
      <c r="B10" s="64">
        <f>INDEX(Calculations!$9:$9, , ROW()+121)</f>
        <v>37346</v>
      </c>
      <c r="C10" s="65">
        <f ca="1">INDEX(Calculations!$1:$80, MATCH("Fiscal_Impact", Calculations!$B:$B, 0), MATCH(fiscal_ifinal!$B10, Calculations!$9:$9, 0))</f>
        <v>1.7761412580347715</v>
      </c>
      <c r="D10" s="66">
        <f>INDEX(Calculations!$1:$80, MATCH("RecessionDummy", Calculations!$B:$B, 0), MATCH(fiscal_ifinal!$B10, Calculations!$9:$9, 0))</f>
        <v>0</v>
      </c>
      <c r="E10" s="65">
        <f ca="1">INDEX(Calculations!$1:$80, MATCH("Fiscal_Impact_bars", Calculations!$B:$B, 0), MATCH(fiscal_ifinal!$B10, Calculations!$9:$9, 0))</f>
        <v>2.2860686346957895</v>
      </c>
      <c r="F10" s="65">
        <f>INDEX(HaverPull!$B:$XZ,MATCH($B10,HaverPull!$B:$B,0),MATCH("Contribution to %Ch in Real GDP from ""Federal G""",HaverPull!$B$1:$XZ$1,0))</f>
        <v>0.64</v>
      </c>
      <c r="G10" s="65">
        <f>INDEX(HaverPull!$B:$XZ,MATCH($B10,HaverPull!$B:$B,0),MATCH("Contribution to %Ch in Real GDP from ""S+L G""",HaverPull!$B$1:$XZ$1,0))</f>
        <v>0.47</v>
      </c>
      <c r="H10" s="65">
        <f ca="1">INDEX(Calculations!$A:$GV,MATCH("Contribution of Consumption Growth to Real GDP",Calculations!B$1:B$71,0),MATCH($B10,Calculations!A$9:GV$9))</f>
        <v>1.1760686346957894</v>
      </c>
      <c r="L10" s="62"/>
      <c r="M10" s="62"/>
      <c r="N10" s="62"/>
      <c r="O10" s="62"/>
      <c r="P10" s="62"/>
      <c r="Q10" s="62"/>
    </row>
    <row r="11" spans="1:17" x14ac:dyDescent="0.25">
      <c r="A11" t="str">
        <f>CONCATENATE(RIGHT(HaverPull!A136,4), ",",LEFT(HaverPull!A136,2))</f>
        <v>2002,Q2</v>
      </c>
      <c r="B11" s="64">
        <f>INDEX(Calculations!$9:$9, , ROW()+121)</f>
        <v>37437</v>
      </c>
      <c r="C11" s="65">
        <f ca="1">INDEX(Calculations!$1:$80, MATCH("Fiscal_Impact", Calculations!$B:$B, 0), MATCH(fiscal_ifinal!$B11, Calculations!$9:$9, 0))</f>
        <v>1.9861841933983702</v>
      </c>
      <c r="D11" s="66">
        <f>INDEX(Calculations!$1:$80, MATCH("RecessionDummy", Calculations!$B:$B, 0), MATCH(fiscal_ifinal!$B11, Calculations!$9:$9, 0))</f>
        <v>0</v>
      </c>
      <c r="E11" s="65">
        <f ca="1">INDEX(Calculations!$1:$80, MATCH("Fiscal_Impact_bars", Calculations!$B:$B, 0), MATCH(fiscal_ifinal!$B11, Calculations!$9:$9, 0))</f>
        <v>2.3578647782928446</v>
      </c>
      <c r="F11" s="65">
        <f>INDEX(HaverPull!$B:$XZ,MATCH($B11,HaverPull!$B:$B,0),MATCH("Contribution to %Ch in Real GDP from ""Federal G""",HaverPull!$B$1:$XZ$1,0))</f>
        <v>0.62</v>
      </c>
      <c r="G11" s="65">
        <f>INDEX(HaverPull!$B:$XZ,MATCH($B11,HaverPull!$B:$B,0),MATCH("Contribution to %Ch in Real GDP from ""S+L G""",HaverPull!$B$1:$XZ$1,0))</f>
        <v>0.11</v>
      </c>
      <c r="H11" s="65">
        <f ca="1">INDEX(Calculations!$A:$GV,MATCH("Contribution of Consumption Growth to Real GDP",Calculations!B$1:B$71,0),MATCH($B11,Calculations!A$9:GV$9))</f>
        <v>1.6278647782928444</v>
      </c>
      <c r="L11" s="62"/>
      <c r="M11" s="62"/>
      <c r="N11" s="62"/>
      <c r="O11" s="62"/>
      <c r="P11" s="62"/>
      <c r="Q11" s="62"/>
    </row>
    <row r="12" spans="1:17" x14ac:dyDescent="0.25">
      <c r="A12" t="str">
        <f>CONCATENATE(RIGHT(HaverPull!A137,4), ",",LEFT(HaverPull!A137,2))</f>
        <v>2002,Q3</v>
      </c>
      <c r="B12" s="64">
        <f>INDEX(Calculations!$9:$9, , ROW()+121)</f>
        <v>37529</v>
      </c>
      <c r="C12" s="65">
        <f ca="1">INDEX(Calculations!$1:$80, MATCH("Fiscal_Impact", Calculations!$B:$B, 0), MATCH(fiscal_ifinal!$B12, Calculations!$9:$9, 0))</f>
        <v>2.2221236302194836</v>
      </c>
      <c r="D12" s="66">
        <f>INDEX(Calculations!$1:$80, MATCH("RecessionDummy", Calculations!$B:$B, 0), MATCH(fiscal_ifinal!$B12, Calculations!$9:$9, 0))</f>
        <v>0</v>
      </c>
      <c r="E12" s="65">
        <f ca="1">INDEX(Calculations!$1:$80, MATCH("Fiscal_Impact_bars", Calculations!$B:$B, 0), MATCH(fiscal_ifinal!$B12, Calculations!$9:$9, 0))</f>
        <v>1.9364600080060095</v>
      </c>
      <c r="F12" s="65">
        <f>INDEX(HaverPull!$B:$XZ,MATCH($B12,HaverPull!$B:$B,0),MATCH("Contribution to %Ch in Real GDP from ""Federal G""",HaverPull!$B$1:$XZ$1,0))</f>
        <v>0.42</v>
      </c>
      <c r="G12" s="65">
        <f>INDEX(HaverPull!$B:$XZ,MATCH($B12,HaverPull!$B:$B,0),MATCH("Contribution to %Ch in Real GDP from ""S+L G""",HaverPull!$B$1:$XZ$1,0))</f>
        <v>0.17</v>
      </c>
      <c r="H12" s="65">
        <f ca="1">INDEX(Calculations!$A:$GV,MATCH("Contribution of Consumption Growth to Real GDP",Calculations!B$1:B$71,0),MATCH($B12,Calculations!A$9:GV$9))</f>
        <v>1.3464600080060094</v>
      </c>
      <c r="L12" s="62"/>
      <c r="M12" s="62"/>
      <c r="N12" s="62"/>
      <c r="O12" s="62"/>
      <c r="P12" s="62"/>
      <c r="Q12" s="62"/>
    </row>
    <row r="13" spans="1:17" x14ac:dyDescent="0.25">
      <c r="A13" t="str">
        <f>CONCATENATE(RIGHT(HaverPull!A138,4), ",",LEFT(HaverPull!A138,2))</f>
        <v>2002,Q4</v>
      </c>
      <c r="B13" s="64">
        <f>INDEX(Calculations!$9:$9, , ROW()+121)</f>
        <v>37621</v>
      </c>
      <c r="C13" s="65">
        <f ca="1">INDEX(Calculations!$1:$80, MATCH("Fiscal_Impact", Calculations!$B:$B, 0), MATCH(fiscal_ifinal!$B13, Calculations!$9:$9, 0))</f>
        <v>2.0526952299733021</v>
      </c>
      <c r="D13" s="66">
        <f>INDEX(Calculations!$1:$80, MATCH("RecessionDummy", Calculations!$B:$B, 0), MATCH(fiscal_ifinal!$B13, Calculations!$9:$9, 0))</f>
        <v>0</v>
      </c>
      <c r="E13" s="65">
        <f ca="1">INDEX(Calculations!$1:$80, MATCH("Fiscal_Impact_bars", Calculations!$B:$B, 0), MATCH(fiscal_ifinal!$B13, Calculations!$9:$9, 0))</f>
        <v>1.6303874988985649</v>
      </c>
      <c r="F13" s="65">
        <f>INDEX(HaverPull!$B:$XZ,MATCH($B13,HaverPull!$B:$B,0),MATCH("Contribution to %Ch in Real GDP from ""Federal G""",HaverPull!$B$1:$XZ$1,0))</f>
        <v>0.5</v>
      </c>
      <c r="G13" s="65">
        <f>INDEX(HaverPull!$B:$XZ,MATCH($B13,HaverPull!$B:$B,0),MATCH("Contribution to %Ch in Real GDP from ""S+L G""",HaverPull!$B$1:$XZ$1,0))</f>
        <v>0.05</v>
      </c>
      <c r="H13" s="65">
        <f ca="1">INDEX(Calculations!$A:$GV,MATCH("Contribution of Consumption Growth to Real GDP",Calculations!B$1:B$71,0),MATCH($B13,Calculations!A$9:GV$9))</f>
        <v>1.0803874988985649</v>
      </c>
      <c r="L13" s="62"/>
      <c r="M13" s="62"/>
      <c r="N13" s="62"/>
      <c r="O13" s="62"/>
      <c r="P13" s="62"/>
      <c r="Q13" s="62"/>
    </row>
    <row r="14" spans="1:17" x14ac:dyDescent="0.25">
      <c r="A14" t="str">
        <f>CONCATENATE(RIGHT(HaverPull!A139,4), ",",LEFT(HaverPull!A139,2))</f>
        <v>2003,Q1</v>
      </c>
      <c r="B14" s="64">
        <f>INDEX(Calculations!$9:$9, , ROW()+121)</f>
        <v>37711</v>
      </c>
      <c r="C14" s="65">
        <f ca="1">INDEX(Calculations!$1:$80, MATCH("Fiscal_Impact", Calculations!$B:$B, 0), MATCH(fiscal_ifinal!$B14, Calculations!$9:$9, 0))</f>
        <v>1.718304776395863</v>
      </c>
      <c r="D14" s="66">
        <f>INDEX(Calculations!$1:$80, MATCH("RecessionDummy", Calculations!$B:$B, 0), MATCH(fiscal_ifinal!$B14, Calculations!$9:$9, 0))</f>
        <v>0</v>
      </c>
      <c r="E14" s="65">
        <f ca="1">INDEX(Calculations!$1:$80, MATCH("Fiscal_Impact_bars", Calculations!$B:$B, 0), MATCH(fiscal_ifinal!$B14, Calculations!$9:$9, 0))</f>
        <v>0.94850682038603318</v>
      </c>
      <c r="F14" s="65">
        <f>INDEX(HaverPull!$B:$XZ,MATCH($B14,HaverPull!$B:$B,0),MATCH("Contribution to %Ch in Real GDP from ""Federal G""",HaverPull!$B$1:$XZ$1,0))</f>
        <v>0.02</v>
      </c>
      <c r="G14" s="65">
        <f>INDEX(HaverPull!$B:$XZ,MATCH($B14,HaverPull!$B:$B,0),MATCH("Contribution to %Ch in Real GDP from ""S+L G""",HaverPull!$B$1:$XZ$1,0))</f>
        <v>-0.26</v>
      </c>
      <c r="H14" s="65">
        <f ca="1">INDEX(Calculations!$A:$GV,MATCH("Contribution of Consumption Growth to Real GDP",Calculations!B$1:B$71,0),MATCH($B14,Calculations!A$9:GV$9))</f>
        <v>1.1885068203860332</v>
      </c>
      <c r="L14" s="62"/>
      <c r="M14" s="62"/>
      <c r="N14" s="62"/>
      <c r="O14" s="62"/>
      <c r="P14" s="62"/>
      <c r="Q14" s="62"/>
    </row>
    <row r="15" spans="1:17" x14ac:dyDescent="0.25">
      <c r="A15" t="str">
        <f>CONCATENATE(RIGHT(HaverPull!A140,4), ",",LEFT(HaverPull!A140,2))</f>
        <v>2003,Q2</v>
      </c>
      <c r="B15" s="64">
        <f>INDEX(Calculations!$9:$9, , ROW()+121)</f>
        <v>37802</v>
      </c>
      <c r="C15" s="65">
        <f ca="1">INDEX(Calculations!$1:$80, MATCH("Fiscal_Impact", Calculations!$B:$B, 0), MATCH(fiscal_ifinal!$B15, Calculations!$9:$9, 0))</f>
        <v>1.7084047167032321</v>
      </c>
      <c r="D15" s="66">
        <f>INDEX(Calculations!$1:$80, MATCH("RecessionDummy", Calculations!$B:$B, 0), MATCH(fiscal_ifinal!$B15, Calculations!$9:$9, 0))</f>
        <v>0</v>
      </c>
      <c r="E15" s="65">
        <f ca="1">INDEX(Calculations!$1:$80, MATCH("Fiscal_Impact_bars", Calculations!$B:$B, 0), MATCH(fiscal_ifinal!$B15, Calculations!$9:$9, 0))</f>
        <v>2.3182645395223211</v>
      </c>
      <c r="F15" s="65">
        <f>INDEX(HaverPull!$B:$XZ,MATCH($B15,HaverPull!$B:$B,0),MATCH("Contribution to %Ch in Real GDP from ""Federal G""",HaverPull!$B$1:$XZ$1,0))</f>
        <v>1.42</v>
      </c>
      <c r="G15" s="65">
        <f>INDEX(HaverPull!$B:$XZ,MATCH($B15,HaverPull!$B:$B,0),MATCH("Contribution to %Ch in Real GDP from ""S+L G""",HaverPull!$B$1:$XZ$1,0))</f>
        <v>-0.19</v>
      </c>
      <c r="H15" s="65">
        <f ca="1">INDEX(Calculations!$A:$GV,MATCH("Contribution of Consumption Growth to Real GDP",Calculations!B$1:B$71,0),MATCH($B15,Calculations!A$9:GV$9))</f>
        <v>1.0882645395223214</v>
      </c>
      <c r="L15" s="62"/>
      <c r="M15" s="62"/>
      <c r="N15" s="62"/>
      <c r="O15" s="62"/>
      <c r="P15" s="62"/>
      <c r="Q15" s="62"/>
    </row>
    <row r="16" spans="1:17" x14ac:dyDescent="0.25">
      <c r="A16" t="str">
        <f>CONCATENATE(RIGHT(HaverPull!A141,4), ",",LEFT(HaverPull!A141,2))</f>
        <v>2003,Q3</v>
      </c>
      <c r="B16" s="64">
        <f>INDEX(Calculations!$9:$9, , ROW()+121)</f>
        <v>37894</v>
      </c>
      <c r="C16" s="65">
        <f ca="1">INDEX(Calculations!$1:$80, MATCH("Fiscal_Impact", Calculations!$B:$B, 0), MATCH(fiscal_ifinal!$B16, Calculations!$9:$9, 0))</f>
        <v>1.4828270665562828</v>
      </c>
      <c r="D16" s="66">
        <f>INDEX(Calculations!$1:$80, MATCH("RecessionDummy", Calculations!$B:$B, 0), MATCH(fiscal_ifinal!$B16, Calculations!$9:$9, 0))</f>
        <v>0</v>
      </c>
      <c r="E16" s="65">
        <f ca="1">INDEX(Calculations!$1:$80, MATCH("Fiscal_Impact_bars", Calculations!$B:$B, 0), MATCH(fiscal_ifinal!$B16, Calculations!$9:$9, 0))</f>
        <v>1.0341494074182123</v>
      </c>
      <c r="F16" s="65">
        <f>INDEX(HaverPull!$B:$XZ,MATCH($B16,HaverPull!$B:$B,0),MATCH("Contribution to %Ch in Real GDP from ""Federal G""",HaverPull!$B$1:$XZ$1,0))</f>
        <v>-0.16</v>
      </c>
      <c r="G16" s="65">
        <f>INDEX(HaverPull!$B:$XZ,MATCH($B16,HaverPull!$B:$B,0),MATCH("Contribution to %Ch in Real GDP from ""S+L G""",HaverPull!$B$1:$XZ$1,0))</f>
        <v>0.18</v>
      </c>
      <c r="H16" s="65">
        <f ca="1">INDEX(Calculations!$A:$GV,MATCH("Contribution of Consumption Growth to Real GDP",Calculations!B$1:B$71,0),MATCH($B16,Calculations!A$9:GV$9))</f>
        <v>1.0141494074182122</v>
      </c>
      <c r="L16" s="62"/>
      <c r="M16" s="62"/>
      <c r="N16" s="62"/>
      <c r="O16" s="62"/>
      <c r="P16" s="62"/>
      <c r="Q16" s="62"/>
    </row>
    <row r="17" spans="1:17" x14ac:dyDescent="0.25">
      <c r="A17" t="str">
        <f>CONCATENATE(RIGHT(HaverPull!A142,4), ",",LEFT(HaverPull!A142,2))</f>
        <v>2003,Q4</v>
      </c>
      <c r="B17" s="64">
        <f>INDEX(Calculations!$9:$9, , ROW()+121)</f>
        <v>37986</v>
      </c>
      <c r="C17" s="65">
        <f ca="1">INDEX(Calculations!$1:$80, MATCH("Fiscal_Impact", Calculations!$B:$B, 0), MATCH(fiscal_ifinal!$B17, Calculations!$9:$9, 0))</f>
        <v>1.3448213769741721</v>
      </c>
      <c r="D17" s="66">
        <f>INDEX(Calculations!$1:$80, MATCH("RecessionDummy", Calculations!$B:$B, 0), MATCH(fiscal_ifinal!$B17, Calculations!$9:$9, 0))</f>
        <v>0</v>
      </c>
      <c r="E17" s="65">
        <f ca="1">INDEX(Calculations!$1:$80, MATCH("Fiscal_Impact_bars", Calculations!$B:$B, 0), MATCH(fiscal_ifinal!$B17, Calculations!$9:$9, 0))</f>
        <v>1.078364740570122</v>
      </c>
      <c r="F17" s="65">
        <f>INDEX(HaverPull!$B:$XZ,MATCH($B17,HaverPull!$B:$B,0),MATCH("Contribution to %Ch in Real GDP from ""Federal G""",HaverPull!$B$1:$XZ$1,0))</f>
        <v>0.56000000000000005</v>
      </c>
      <c r="G17" s="65">
        <f>INDEX(HaverPull!$B:$XZ,MATCH($B17,HaverPull!$B:$B,0),MATCH("Contribution to %Ch in Real GDP from ""S+L G""",HaverPull!$B$1:$XZ$1,0))</f>
        <v>-0.13</v>
      </c>
      <c r="H17" s="65">
        <f ca="1">INDEX(Calculations!$A:$GV,MATCH("Contribution of Consumption Growth to Real GDP",Calculations!B$1:B$71,0),MATCH($B17,Calculations!A$9:GV$9))</f>
        <v>0.64836474057012206</v>
      </c>
      <c r="L17" s="62"/>
      <c r="M17" s="62"/>
      <c r="N17" s="62"/>
      <c r="O17" s="62"/>
      <c r="P17" s="62"/>
      <c r="Q17" s="62"/>
    </row>
    <row r="18" spans="1:17" x14ac:dyDescent="0.25">
      <c r="A18" t="str">
        <f>CONCATENATE(RIGHT(HaverPull!A143,4), ",",LEFT(HaverPull!A143,2))</f>
        <v>2004,Q1</v>
      </c>
      <c r="B18" s="64">
        <f>INDEX(Calculations!$9:$9, , ROW()+121)</f>
        <v>38077</v>
      </c>
      <c r="C18" s="65">
        <f ca="1">INDEX(Calculations!$1:$80, MATCH("Fiscal_Impact", Calculations!$B:$B, 0), MATCH(fiscal_ifinal!$B18, Calculations!$9:$9, 0))</f>
        <v>1.2574315674823606</v>
      </c>
      <c r="D18" s="66">
        <f>INDEX(Calculations!$1:$80, MATCH("RecessionDummy", Calculations!$B:$B, 0), MATCH(fiscal_ifinal!$B18, Calculations!$9:$9, 0))</f>
        <v>0</v>
      </c>
      <c r="E18" s="65">
        <f ca="1">INDEX(Calculations!$1:$80, MATCH("Fiscal_Impact_bars", Calculations!$B:$B, 0), MATCH(fiscal_ifinal!$B18, Calculations!$9:$9, 0))</f>
        <v>0.59894758241878654</v>
      </c>
      <c r="F18" s="65">
        <f>INDEX(HaverPull!$B:$XZ,MATCH($B18,HaverPull!$B:$B,0),MATCH("Contribution to %Ch in Real GDP from ""Federal G""",HaverPull!$B$1:$XZ$1,0))</f>
        <v>0.2</v>
      </c>
      <c r="G18" s="65">
        <f>INDEX(HaverPull!$B:$XZ,MATCH($B18,HaverPull!$B:$B,0),MATCH("Contribution to %Ch in Real GDP from ""S+L G""",HaverPull!$B$1:$XZ$1,0))</f>
        <v>0.01</v>
      </c>
      <c r="H18" s="65">
        <f ca="1">INDEX(Calculations!$A:$GV,MATCH("Contribution of Consumption Growth to Real GDP",Calculations!B$1:B$71,0),MATCH($B18,Calculations!A$9:GV$9))</f>
        <v>0.38894758241878652</v>
      </c>
      <c r="L18" s="62"/>
      <c r="M18" s="62"/>
      <c r="N18" s="62"/>
      <c r="O18" s="62"/>
      <c r="P18" s="62"/>
      <c r="Q18" s="62"/>
    </row>
    <row r="19" spans="1:17" x14ac:dyDescent="0.25">
      <c r="A19" t="str">
        <f>CONCATENATE(RIGHT(HaverPull!A144,4), ",",LEFT(HaverPull!A144,2))</f>
        <v>2004,Q2</v>
      </c>
      <c r="B19" s="64">
        <f>INDEX(Calculations!$9:$9, , ROW()+121)</f>
        <v>38168</v>
      </c>
      <c r="C19" s="65">
        <f ca="1">INDEX(Calculations!$1:$80, MATCH("Fiscal_Impact", Calculations!$B:$B, 0), MATCH(fiscal_ifinal!$B19, Calculations!$9:$9, 0))</f>
        <v>0.86961740958671574</v>
      </c>
      <c r="D19" s="66">
        <f>INDEX(Calculations!$1:$80, MATCH("RecessionDummy", Calculations!$B:$B, 0), MATCH(fiscal_ifinal!$B19, Calculations!$9:$9, 0))</f>
        <v>0</v>
      </c>
      <c r="E19" s="65">
        <f ca="1">INDEX(Calculations!$1:$80, MATCH("Fiscal_Impact_bars", Calculations!$B:$B, 0), MATCH(fiscal_ifinal!$B19, Calculations!$9:$9, 0))</f>
        <v>0.76700790793974227</v>
      </c>
      <c r="F19" s="65">
        <f>INDEX(HaverPull!$B:$XZ,MATCH($B19,HaverPull!$B:$B,0),MATCH("Contribution to %Ch in Real GDP from ""Federal G""",HaverPull!$B$1:$XZ$1,0))</f>
        <v>0.28999999999999998</v>
      </c>
      <c r="G19" s="65">
        <f>INDEX(HaverPull!$B:$XZ,MATCH($B19,HaverPull!$B:$B,0),MATCH("Contribution to %Ch in Real GDP from ""S+L G""",HaverPull!$B$1:$XZ$1,0))</f>
        <v>0.15</v>
      </c>
      <c r="H19" s="65">
        <f ca="1">INDEX(Calculations!$A:$GV,MATCH("Contribution of Consumption Growth to Real GDP",Calculations!B$1:B$71,0),MATCH($B19,Calculations!A$9:GV$9))</f>
        <v>0.32700790793974233</v>
      </c>
      <c r="L19" s="62"/>
      <c r="M19" s="62"/>
      <c r="N19" s="62"/>
      <c r="O19" s="62"/>
      <c r="P19" s="62"/>
      <c r="Q19" s="62"/>
    </row>
    <row r="20" spans="1:17" x14ac:dyDescent="0.25">
      <c r="A20" t="str">
        <f>CONCATENATE(RIGHT(HaverPull!A145,4), ",",LEFT(HaverPull!A145,2))</f>
        <v>2004,Q3</v>
      </c>
      <c r="B20" s="64">
        <f>INDEX(Calculations!$9:$9, , ROW()+121)</f>
        <v>38260</v>
      </c>
      <c r="C20" s="65">
        <f ca="1">INDEX(Calculations!$1:$80, MATCH("Fiscal_Impact", Calculations!$B:$B, 0), MATCH(fiscal_ifinal!$B20, Calculations!$9:$9, 0))</f>
        <v>0.68843225129400476</v>
      </c>
      <c r="D20" s="66">
        <f>INDEX(Calculations!$1:$80, MATCH("RecessionDummy", Calculations!$B:$B, 0), MATCH(fiscal_ifinal!$B20, Calculations!$9:$9, 0))</f>
        <v>0</v>
      </c>
      <c r="E20" s="65">
        <f ca="1">INDEX(Calculations!$1:$80, MATCH("Fiscal_Impact_bars", Calculations!$B:$B, 0), MATCH(fiscal_ifinal!$B20, Calculations!$9:$9, 0))</f>
        <v>0.30940877424736829</v>
      </c>
      <c r="F20" s="65">
        <f>INDEX(HaverPull!$B:$XZ,MATCH($B20,HaverPull!$B:$B,0),MATCH("Contribution to %Ch in Real GDP from ""Federal G""",HaverPull!$B$1:$XZ$1,0))</f>
        <v>0.51</v>
      </c>
      <c r="G20" s="65">
        <f>INDEX(HaverPull!$B:$XZ,MATCH($B20,HaverPull!$B:$B,0),MATCH("Contribution to %Ch in Real GDP from ""S+L G""",HaverPull!$B$1:$XZ$1,0))</f>
        <v>-0.21</v>
      </c>
      <c r="H20" s="65">
        <f ca="1">INDEX(Calculations!$A:$GV,MATCH("Contribution of Consumption Growth to Real GDP",Calculations!B$1:B$71,0),MATCH($B20,Calculations!A$9:GV$9))</f>
        <v>9.4087742473682838E-3</v>
      </c>
      <c r="L20" s="62"/>
      <c r="M20" s="62"/>
      <c r="N20" s="62"/>
      <c r="O20" s="62"/>
      <c r="P20" s="62"/>
      <c r="Q20" s="62"/>
    </row>
    <row r="21" spans="1:17" x14ac:dyDescent="0.25">
      <c r="A21" t="str">
        <f>CONCATENATE(RIGHT(HaverPull!A146,4), ",",LEFT(HaverPull!A146,2))</f>
        <v>2004,Q4</v>
      </c>
      <c r="B21" s="64">
        <f>INDEX(Calculations!$9:$9, , ROW()+121)</f>
        <v>38352</v>
      </c>
      <c r="C21" s="65">
        <f ca="1">INDEX(Calculations!$1:$80, MATCH("Fiscal_Impact", Calculations!$B:$B, 0), MATCH(fiscal_ifinal!$B21, Calculations!$9:$9, 0))</f>
        <v>0.33712429368125152</v>
      </c>
      <c r="D21" s="66">
        <f>INDEX(Calculations!$1:$80, MATCH("RecessionDummy", Calculations!$B:$B, 0), MATCH(fiscal_ifinal!$B21, Calculations!$9:$9, 0))</f>
        <v>0</v>
      </c>
      <c r="E21" s="65">
        <f ca="1">INDEX(Calculations!$1:$80, MATCH("Fiscal_Impact_bars", Calculations!$B:$B, 0), MATCH(fiscal_ifinal!$B21, Calculations!$9:$9, 0))</f>
        <v>-0.3268670898808913</v>
      </c>
      <c r="F21" s="65">
        <f>INDEX(HaverPull!$B:$XZ,MATCH($B21,HaverPull!$B:$B,0),MATCH("Contribution to %Ch in Real GDP from ""Federal G""",HaverPull!$B$1:$XZ$1,0))</f>
        <v>-0.25</v>
      </c>
      <c r="G21" s="65">
        <f>INDEX(HaverPull!$B:$XZ,MATCH($B21,HaverPull!$B:$B,0),MATCH("Contribution to %Ch in Real GDP from ""S+L G""",HaverPull!$B$1:$XZ$1,0))</f>
        <v>-0.08</v>
      </c>
      <c r="H21" s="65">
        <f ca="1">INDEX(Calculations!$A:$GV,MATCH("Contribution of Consumption Growth to Real GDP",Calculations!B$1:B$71,0),MATCH($B21,Calculations!A$9:GV$9))</f>
        <v>3.1329101191087208E-3</v>
      </c>
      <c r="L21" s="62"/>
      <c r="M21" s="62"/>
      <c r="N21" s="62"/>
      <c r="O21" s="62"/>
      <c r="P21" s="62"/>
      <c r="Q21" s="62"/>
    </row>
    <row r="22" spans="1:17" x14ac:dyDescent="0.25">
      <c r="A22" t="str">
        <f>CONCATENATE(RIGHT(HaverPull!A147,4), ",",LEFT(HaverPull!A147,2))</f>
        <v>2005,Q1</v>
      </c>
      <c r="B22" s="64">
        <f>INDEX(Calculations!$9:$9, , ROW()+121)</f>
        <v>38442</v>
      </c>
      <c r="C22" s="65">
        <f ca="1">INDEX(Calculations!$1:$80, MATCH("Fiscal_Impact", Calculations!$B:$B, 0), MATCH(fiscal_ifinal!$B22, Calculations!$9:$9, 0))</f>
        <v>0.11899890966049499</v>
      </c>
      <c r="D22" s="66">
        <f>INDEX(Calculations!$1:$80, MATCH("RecessionDummy", Calculations!$B:$B, 0), MATCH(fiscal_ifinal!$B22, Calculations!$9:$9, 0))</f>
        <v>0</v>
      </c>
      <c r="E22" s="65">
        <f ca="1">INDEX(Calculations!$1:$80, MATCH("Fiscal_Impact_bars", Calculations!$B:$B, 0), MATCH(fiscal_ifinal!$B22, Calculations!$9:$9, 0))</f>
        <v>-0.27355395366423935</v>
      </c>
      <c r="F22" s="65">
        <f>INDEX(HaverPull!$B:$XZ,MATCH($B22,HaverPull!$B:$B,0),MATCH("Contribution to %Ch in Real GDP from ""Federal G""",HaverPull!$B$1:$XZ$1,0))</f>
        <v>0.17</v>
      </c>
      <c r="G22" s="65">
        <f>INDEX(HaverPull!$B:$XZ,MATCH($B22,HaverPull!$B:$B,0),MATCH("Contribution to %Ch in Real GDP from ""S+L G""",HaverPull!$B$1:$XZ$1,0))</f>
        <v>0</v>
      </c>
      <c r="H22" s="65">
        <f ca="1">INDEX(Calculations!$A:$GV,MATCH("Contribution of Consumption Growth to Real GDP",Calculations!B$1:B$71,0),MATCH($B22,Calculations!A$9:GV$9))</f>
        <v>-0.45355395366423934</v>
      </c>
      <c r="L22" s="62"/>
      <c r="M22" s="62"/>
      <c r="N22" s="62"/>
      <c r="O22" s="62"/>
      <c r="P22" s="62"/>
      <c r="Q22" s="62"/>
    </row>
    <row r="23" spans="1:17" x14ac:dyDescent="0.25">
      <c r="A23" t="str">
        <f>CONCATENATE(RIGHT(HaverPull!A148,4), ",",LEFT(HaverPull!A148,2))</f>
        <v>2005,Q2</v>
      </c>
      <c r="B23" s="64">
        <f>INDEX(Calculations!$9:$9, , ROW()+121)</f>
        <v>38533</v>
      </c>
      <c r="C23" s="65">
        <f ca="1">INDEX(Calculations!$1:$80, MATCH("Fiscal_Impact", Calculations!$B:$B, 0), MATCH(fiscal_ifinal!$B23, Calculations!$9:$9, 0))</f>
        <v>-0.14286962152562835</v>
      </c>
      <c r="D23" s="66">
        <f>INDEX(Calculations!$1:$80, MATCH("RecessionDummy", Calculations!$B:$B, 0), MATCH(fiscal_ifinal!$B23, Calculations!$9:$9, 0))</f>
        <v>0</v>
      </c>
      <c r="E23" s="65">
        <f ca="1">INDEX(Calculations!$1:$80, MATCH("Fiscal_Impact_bars", Calculations!$B:$B, 0), MATCH(fiscal_ifinal!$B23, Calculations!$9:$9, 0))</f>
        <v>-0.28046621680475103</v>
      </c>
      <c r="F23" s="65">
        <f>INDEX(HaverPull!$B:$XZ,MATCH($B23,HaverPull!$B:$B,0),MATCH("Contribution to %Ch in Real GDP from ""Federal G""",HaverPull!$B$1:$XZ$1,0))</f>
        <v>0.06</v>
      </c>
      <c r="G23" s="65">
        <f>INDEX(HaverPull!$B:$XZ,MATCH($B23,HaverPull!$B:$B,0),MATCH("Contribution to %Ch in Real GDP from ""S+L G""",HaverPull!$B$1:$XZ$1,0))</f>
        <v>7.0000000000000007E-2</v>
      </c>
      <c r="H23" s="65">
        <f ca="1">INDEX(Calculations!$A:$GV,MATCH("Contribution of Consumption Growth to Real GDP",Calculations!B$1:B$71,0),MATCH($B23,Calculations!A$9:GV$9))</f>
        <v>-0.42046621680475105</v>
      </c>
      <c r="L23" s="62"/>
      <c r="M23" s="62"/>
      <c r="N23" s="62"/>
      <c r="O23" s="62"/>
      <c r="P23" s="62"/>
      <c r="Q23" s="62"/>
    </row>
    <row r="24" spans="1:17" x14ac:dyDescent="0.25">
      <c r="A24" t="str">
        <f>CONCATENATE(RIGHT(HaverPull!A149,4), ",",LEFT(HaverPull!A149,2))</f>
        <v>2005,Q3</v>
      </c>
      <c r="B24" s="64">
        <f>INDEX(Calculations!$9:$9, , ROW()+121)</f>
        <v>38625</v>
      </c>
      <c r="C24" s="65">
        <f ca="1">INDEX(Calculations!$1:$80, MATCH("Fiscal_Impact", Calculations!$B:$B, 0), MATCH(fiscal_ifinal!$B24, Calculations!$9:$9, 0))</f>
        <v>-0.17186514143648385</v>
      </c>
      <c r="D24" s="66">
        <f>INDEX(Calculations!$1:$80, MATCH("RecessionDummy", Calculations!$B:$B, 0), MATCH(fiscal_ifinal!$B24, Calculations!$9:$9, 0))</f>
        <v>0</v>
      </c>
      <c r="E24" s="65">
        <f ca="1">INDEX(Calculations!$1:$80, MATCH("Fiscal_Impact_bars", Calculations!$B:$B, 0), MATCH(fiscal_ifinal!$B24, Calculations!$9:$9, 0))</f>
        <v>0.1934266946039464</v>
      </c>
      <c r="F24" s="65">
        <f>INDEX(HaverPull!$B:$XZ,MATCH($B24,HaverPull!$B:$B,0),MATCH("Contribution to %Ch in Real GDP from ""Federal G""",HaverPull!$B$1:$XZ$1,0))</f>
        <v>0.53</v>
      </c>
      <c r="G24" s="65">
        <f>INDEX(HaverPull!$B:$XZ,MATCH($B24,HaverPull!$B:$B,0),MATCH("Contribution to %Ch in Real GDP from ""S+L G""",HaverPull!$B$1:$XZ$1,0))</f>
        <v>7.0000000000000007E-2</v>
      </c>
      <c r="H24" s="65">
        <f ca="1">INDEX(Calculations!$A:$GV,MATCH("Contribution of Consumption Growth to Real GDP",Calculations!B$1:B$71,0),MATCH($B24,Calculations!A$9:GV$9))</f>
        <v>-0.40657330539605357</v>
      </c>
      <c r="L24" s="62"/>
      <c r="M24" s="62"/>
      <c r="N24" s="62"/>
      <c r="O24" s="62"/>
      <c r="P24" s="62"/>
      <c r="Q24" s="62"/>
    </row>
    <row r="25" spans="1:17" x14ac:dyDescent="0.25">
      <c r="A25" t="str">
        <f>CONCATENATE(RIGHT(HaverPull!A150,4), ",",LEFT(HaverPull!A150,2))</f>
        <v>2005,Q4</v>
      </c>
      <c r="B25" s="64">
        <f>INDEX(Calculations!$9:$9, , ROW()+121)</f>
        <v>38717</v>
      </c>
      <c r="C25" s="65">
        <f ca="1">INDEX(Calculations!$1:$80, MATCH("Fiscal_Impact", Calculations!$B:$B, 0), MATCH(fiscal_ifinal!$B25, Calculations!$9:$9, 0))</f>
        <v>-0.2788978543909264</v>
      </c>
      <c r="D25" s="66">
        <f>INDEX(Calculations!$1:$80, MATCH("RecessionDummy", Calculations!$B:$B, 0), MATCH(fiscal_ifinal!$B25, Calculations!$9:$9, 0))</f>
        <v>0</v>
      </c>
      <c r="E25" s="65">
        <f ca="1">INDEX(Calculations!$1:$80, MATCH("Fiscal_Impact_bars", Calculations!$B:$B, 0), MATCH(fiscal_ifinal!$B25, Calculations!$9:$9, 0))</f>
        <v>-0.75499794169866163</v>
      </c>
      <c r="F25" s="65">
        <f>INDEX(HaverPull!$B:$XZ,MATCH($B25,HaverPull!$B:$B,0),MATCH("Contribution to %Ch in Real GDP from ""Federal G""",HaverPull!$B$1:$XZ$1,0))</f>
        <v>-0.43</v>
      </c>
      <c r="G25" s="65">
        <f>INDEX(HaverPull!$B:$XZ,MATCH($B25,HaverPull!$B:$B,0),MATCH("Contribution to %Ch in Real GDP from ""S+L G""",HaverPull!$B$1:$XZ$1,0))</f>
        <v>0.15</v>
      </c>
      <c r="H25" s="65">
        <f ca="1">INDEX(Calculations!$A:$GV,MATCH("Contribution of Consumption Growth to Real GDP",Calculations!B$1:B$71,0),MATCH($B25,Calculations!A$9:GV$9))</f>
        <v>-0.46499794169866171</v>
      </c>
      <c r="L25" s="62"/>
      <c r="M25" s="62"/>
      <c r="N25" s="62"/>
      <c r="O25" s="62"/>
      <c r="P25" s="62"/>
      <c r="Q25" s="62"/>
    </row>
    <row r="26" spans="1:17" x14ac:dyDescent="0.25">
      <c r="A26" t="str">
        <f>CONCATENATE(RIGHT(HaverPull!A151,4), ",",LEFT(HaverPull!A151,2))</f>
        <v>2006,Q1</v>
      </c>
      <c r="B26" s="64">
        <f>INDEX(Calculations!$9:$9, , ROW()+121)</f>
        <v>38807</v>
      </c>
      <c r="C26" s="65">
        <f ca="1">INDEX(Calculations!$1:$80, MATCH("Fiscal_Impact", Calculations!$B:$B, 0), MATCH(fiscal_ifinal!$B26, Calculations!$9:$9, 0))</f>
        <v>-0.1926483113139113</v>
      </c>
      <c r="D26" s="66">
        <f>INDEX(Calculations!$1:$80, MATCH("RecessionDummy", Calculations!$B:$B, 0), MATCH(fiscal_ifinal!$B26, Calculations!$9:$9, 0))</f>
        <v>0</v>
      </c>
      <c r="E26" s="65">
        <f ca="1">INDEX(Calculations!$1:$80, MATCH("Fiscal_Impact_bars", Calculations!$B:$B, 0), MATCH(fiscal_ifinal!$B26, Calculations!$9:$9, 0))</f>
        <v>7.1444218643821111E-2</v>
      </c>
      <c r="F26" s="65">
        <f>INDEX(HaverPull!$B:$XZ,MATCH($B26,HaverPull!$B:$B,0),MATCH("Contribution to %Ch in Real GDP from ""Federal G""",HaverPull!$B$1:$XZ$1,0))</f>
        <v>0.71</v>
      </c>
      <c r="G26" s="65">
        <f>INDEX(HaverPull!$B:$XZ,MATCH($B26,HaverPull!$B:$B,0),MATCH("Contribution to %Ch in Real GDP from ""S+L G""",HaverPull!$B$1:$XZ$1,0))</f>
        <v>-0.11</v>
      </c>
      <c r="H26" s="65">
        <f ca="1">INDEX(Calculations!$A:$GV,MATCH("Contribution of Consumption Growth to Real GDP",Calculations!B$1:B$71,0),MATCH($B26,Calculations!A$9:GV$9))</f>
        <v>-0.53855578135617888</v>
      </c>
      <c r="L26" s="62"/>
      <c r="M26" s="62"/>
      <c r="N26" s="62"/>
      <c r="O26" s="62"/>
      <c r="P26" s="62"/>
      <c r="Q26" s="62"/>
    </row>
    <row r="27" spans="1:17" x14ac:dyDescent="0.25">
      <c r="A27" t="str">
        <f>CONCATENATE(RIGHT(HaverPull!A152,4), ",",LEFT(HaverPull!A152,2))</f>
        <v>2006,Q2</v>
      </c>
      <c r="B27" s="64">
        <f>INDEX(Calculations!$9:$9, , ROW()+121)</f>
        <v>38898</v>
      </c>
      <c r="C27" s="65">
        <f ca="1">INDEX(Calculations!$1:$80, MATCH("Fiscal_Impact", Calculations!$B:$B, 0), MATCH(fiscal_ifinal!$B27, Calculations!$9:$9, 0))</f>
        <v>-0.20236469663777237</v>
      </c>
      <c r="D27" s="66">
        <f>INDEX(Calculations!$1:$80, MATCH("RecessionDummy", Calculations!$B:$B, 0), MATCH(fiscal_ifinal!$B27, Calculations!$9:$9, 0))</f>
        <v>0</v>
      </c>
      <c r="E27" s="65">
        <f ca="1">INDEX(Calculations!$1:$80, MATCH("Fiscal_Impact_bars", Calculations!$B:$B, 0), MATCH(fiscal_ifinal!$B27, Calculations!$9:$9, 0))</f>
        <v>-0.31933175810019543</v>
      </c>
      <c r="F27" s="65">
        <f>INDEX(HaverPull!$B:$XZ,MATCH($B27,HaverPull!$B:$B,0),MATCH("Contribution to %Ch in Real GDP from ""Federal G""",HaverPull!$B$1:$XZ$1,0))</f>
        <v>-0.04</v>
      </c>
      <c r="G27" s="65">
        <f>INDEX(HaverPull!$B:$XZ,MATCH($B27,HaverPull!$B:$B,0),MATCH("Contribution to %Ch in Real GDP from ""S+L G""",HaverPull!$B$1:$XZ$1,0))</f>
        <v>0.31</v>
      </c>
      <c r="H27" s="65">
        <f ca="1">INDEX(Calculations!$A:$GV,MATCH("Contribution of Consumption Growth to Real GDP",Calculations!B$1:B$71,0),MATCH($B27,Calculations!A$9:GV$9))</f>
        <v>-0.58933175810019545</v>
      </c>
      <c r="L27" s="62"/>
      <c r="M27" s="62"/>
      <c r="N27" s="62"/>
      <c r="O27" s="62"/>
      <c r="P27" s="62"/>
      <c r="Q27" s="62"/>
    </row>
    <row r="28" spans="1:17" x14ac:dyDescent="0.25">
      <c r="A28" t="str">
        <f>CONCATENATE(RIGHT(HaverPull!A153,4), ",",LEFT(HaverPull!A153,2))</f>
        <v>2006,Q3</v>
      </c>
      <c r="B28" s="64">
        <f>INDEX(Calculations!$9:$9, , ROW()+121)</f>
        <v>38990</v>
      </c>
      <c r="C28" s="65">
        <f ca="1">INDEX(Calculations!$1:$80, MATCH("Fiscal_Impact", Calculations!$B:$B, 0), MATCH(fiscal_ifinal!$B28, Calculations!$9:$9, 0))</f>
        <v>-0.27972316089594917</v>
      </c>
      <c r="D28" s="66">
        <f>INDEX(Calculations!$1:$80, MATCH("RecessionDummy", Calculations!$B:$B, 0), MATCH(fiscal_ifinal!$B28, Calculations!$9:$9, 0))</f>
        <v>0</v>
      </c>
      <c r="E28" s="65">
        <f ca="1">INDEX(Calculations!$1:$80, MATCH("Fiscal_Impact_bars", Calculations!$B:$B, 0), MATCH(fiscal_ifinal!$B28, Calculations!$9:$9, 0))</f>
        <v>-0.11600716242876083</v>
      </c>
      <c r="F28" s="65">
        <f>INDEX(HaverPull!$B:$XZ,MATCH($B28,HaverPull!$B:$B,0),MATCH("Contribution to %Ch in Real GDP from ""Federal G""",HaverPull!$B$1:$XZ$1,0))</f>
        <v>0.01</v>
      </c>
      <c r="G28" s="65">
        <f>INDEX(HaverPull!$B:$XZ,MATCH($B28,HaverPull!$B:$B,0),MATCH("Contribution to %Ch in Real GDP from ""S+L G""",HaverPull!$B$1:$XZ$1,0))</f>
        <v>0.16</v>
      </c>
      <c r="H28" s="65">
        <f ca="1">INDEX(Calculations!$A:$GV,MATCH("Contribution of Consumption Growth to Real GDP",Calculations!B$1:B$71,0),MATCH($B28,Calculations!A$9:GV$9))</f>
        <v>-0.27600716242876083</v>
      </c>
      <c r="L28" s="62"/>
      <c r="M28" s="62"/>
      <c r="N28" s="62"/>
      <c r="O28" s="62"/>
      <c r="P28" s="62"/>
      <c r="Q28" s="62"/>
    </row>
    <row r="29" spans="1:17" x14ac:dyDescent="0.25">
      <c r="A29" t="str">
        <f>CONCATENATE(RIGHT(HaverPull!A154,4), ",",LEFT(HaverPull!A154,2))</f>
        <v>2006,Q4</v>
      </c>
      <c r="B29" s="64">
        <f>INDEX(Calculations!$9:$9, , ROW()+121)</f>
        <v>39082</v>
      </c>
      <c r="C29" s="65">
        <f ca="1">INDEX(Calculations!$1:$80, MATCH("Fiscal_Impact", Calculations!$B:$B, 0), MATCH(fiscal_ifinal!$B29, Calculations!$9:$9, 0))</f>
        <v>-6.0091867897963405E-2</v>
      </c>
      <c r="D29" s="66">
        <f>INDEX(Calculations!$1:$80, MATCH("RecessionDummy", Calculations!$B:$B, 0), MATCH(fiscal_ifinal!$B29, Calculations!$9:$9, 0))</f>
        <v>0</v>
      </c>
      <c r="E29" s="65">
        <f ca="1">INDEX(Calculations!$1:$80, MATCH("Fiscal_Impact_bars", Calculations!$B:$B, 0), MATCH(fiscal_ifinal!$B29, Calculations!$9:$9, 0))</f>
        <v>0.12352723029328155</v>
      </c>
      <c r="F29" s="65">
        <f>INDEX(HaverPull!$B:$XZ,MATCH($B29,HaverPull!$B:$B,0),MATCH("Contribution to %Ch in Real GDP from ""Federal G""",HaverPull!$B$1:$XZ$1,0))</f>
        <v>0.3</v>
      </c>
      <c r="G29" s="65">
        <f>INDEX(HaverPull!$B:$XZ,MATCH($B29,HaverPull!$B:$B,0),MATCH("Contribution to %Ch in Real GDP from ""S+L G""",HaverPull!$B$1:$XZ$1,0))</f>
        <v>0.2</v>
      </c>
      <c r="H29" s="65">
        <f ca="1">INDEX(Calculations!$A:$GV,MATCH("Contribution of Consumption Growth to Real GDP",Calculations!B$1:B$71,0),MATCH($B29,Calculations!A$9:GV$9))</f>
        <v>-0.38647276970671846</v>
      </c>
    </row>
    <row r="30" spans="1:17" x14ac:dyDescent="0.25">
      <c r="A30" t="str">
        <f>CONCATENATE(RIGHT(HaverPull!A155,4), ",",LEFT(HaverPull!A155,2))</f>
        <v>2007,Q1</v>
      </c>
      <c r="B30" s="64">
        <f>INDEX(Calculations!$9:$9, , ROW()+121)</f>
        <v>39172</v>
      </c>
      <c r="C30" s="65">
        <f ca="1">INDEX(Calculations!$1:$80, MATCH("Fiscal_Impact", Calculations!$B:$B, 0), MATCH(fiscal_ifinal!$B30, Calculations!$9:$9, 0))</f>
        <v>-0.19241227468730299</v>
      </c>
      <c r="D30" s="66">
        <f>INDEX(Calculations!$1:$80, MATCH("RecessionDummy", Calculations!$B:$B, 0), MATCH(fiscal_ifinal!$B30, Calculations!$9:$9, 0))</f>
        <v>0</v>
      </c>
      <c r="E30" s="65">
        <f ca="1">INDEX(Calculations!$1:$80, MATCH("Fiscal_Impact_bars", Calculations!$B:$B, 0), MATCH(fiscal_ifinal!$B30, Calculations!$9:$9, 0))</f>
        <v>-0.45783740851353716</v>
      </c>
      <c r="F30" s="65">
        <f>INDEX(HaverPull!$B:$XZ,MATCH($B30,HaverPull!$B:$B,0),MATCH("Contribution to %Ch in Real GDP from ""Federal G""",HaverPull!$B$1:$XZ$1,0))</f>
        <v>-0.39</v>
      </c>
      <c r="G30" s="65">
        <f>INDEX(HaverPull!$B:$XZ,MATCH($B30,HaverPull!$B:$B,0),MATCH("Contribution to %Ch in Real GDP from ""S+L G""",HaverPull!$B$1:$XZ$1,0))</f>
        <v>0.23</v>
      </c>
      <c r="H30" s="65">
        <f ca="1">INDEX(Calculations!$A:$GV,MATCH("Contribution of Consumption Growth to Real GDP",Calculations!B$1:B$71,0),MATCH($B30,Calculations!A$9:GV$9))</f>
        <v>-0.29783740851353718</v>
      </c>
    </row>
    <row r="31" spans="1:17" x14ac:dyDescent="0.25">
      <c r="A31" t="str">
        <f>CONCATENATE(RIGHT(HaverPull!A156,4), ",",LEFT(HaverPull!A156,2))</f>
        <v>2007,Q2</v>
      </c>
      <c r="B31" s="64">
        <f>INDEX(Calculations!$9:$9, , ROW()+121)</f>
        <v>39263</v>
      </c>
      <c r="C31" s="65">
        <f ca="1">INDEX(Calculations!$1:$80, MATCH("Fiscal_Impact", Calculations!$B:$B, 0), MATCH(fiscal_ifinal!$B31, Calculations!$9:$9, 0))</f>
        <v>-3.5871447839165141E-2</v>
      </c>
      <c r="D31" s="66">
        <f>INDEX(Calculations!$1:$80, MATCH("RecessionDummy", Calculations!$B:$B, 0), MATCH(fiscal_ifinal!$B31, Calculations!$9:$9, 0))</f>
        <v>0</v>
      </c>
      <c r="E31" s="65">
        <f ca="1">INDEX(Calculations!$1:$80, MATCH("Fiscal_Impact_bars", Calculations!$B:$B, 0), MATCH(fiscal_ifinal!$B31, Calculations!$9:$9, 0))</f>
        <v>0.30683154929235584</v>
      </c>
      <c r="F31" s="65">
        <f>INDEX(HaverPull!$B:$XZ,MATCH($B31,HaverPull!$B:$B,0),MATCH("Contribution to %Ch in Real GDP from ""Federal G""",HaverPull!$B$1:$XZ$1,0))</f>
        <v>0.46</v>
      </c>
      <c r="G31" s="65">
        <f>INDEX(HaverPull!$B:$XZ,MATCH($B31,HaverPull!$B:$B,0),MATCH("Contribution to %Ch in Real GDP from ""S+L G""",HaverPull!$B$1:$XZ$1,0))</f>
        <v>0.2</v>
      </c>
      <c r="H31" s="65">
        <f ca="1">INDEX(Calculations!$A:$GV,MATCH("Contribution of Consumption Growth to Real GDP",Calculations!B$1:B$71,0),MATCH($B31,Calculations!A$9:GV$9))</f>
        <v>-0.35316845070764419</v>
      </c>
    </row>
    <row r="32" spans="1:17" x14ac:dyDescent="0.25">
      <c r="A32" t="str">
        <f>CONCATENATE(RIGHT(HaverPull!A157,4), ",",LEFT(HaverPull!A157,2))</f>
        <v>2007,Q3</v>
      </c>
      <c r="B32" s="64">
        <f>INDEX(Calculations!$9:$9, , ROW()+121)</f>
        <v>39355</v>
      </c>
      <c r="C32" s="65">
        <f ca="1">INDEX(Calculations!$1:$80, MATCH("Fiscal_Impact", Calculations!$B:$B, 0), MATCH(fiscal_ifinal!$B32, Calculations!$9:$9, 0))</f>
        <v>9.6429143533644596E-2</v>
      </c>
      <c r="D32" s="66">
        <f>INDEX(Calculations!$1:$80, MATCH("RecessionDummy", Calculations!$B:$B, 0), MATCH(fiscal_ifinal!$B32, Calculations!$9:$9, 0))</f>
        <v>0</v>
      </c>
      <c r="E32" s="65">
        <f ca="1">INDEX(Calculations!$1:$80, MATCH("Fiscal_Impact_bars", Calculations!$B:$B, 0), MATCH(fiscal_ifinal!$B32, Calculations!$9:$9, 0))</f>
        <v>0.41319520306247814</v>
      </c>
      <c r="F32" s="65">
        <f>INDEX(HaverPull!$B:$XZ,MATCH($B32,HaverPull!$B:$B,0),MATCH("Contribution to %Ch in Real GDP from ""Federal G""",HaverPull!$B$1:$XZ$1,0))</f>
        <v>0.55000000000000004</v>
      </c>
      <c r="G32" s="65">
        <f>INDEX(HaverPull!$B:$XZ,MATCH($B32,HaverPull!$B:$B,0),MATCH("Contribution to %Ch in Real GDP from ""S+L G""",HaverPull!$B$1:$XZ$1,0))</f>
        <v>0.01</v>
      </c>
      <c r="H32" s="65">
        <f ca="1">INDEX(Calculations!$A:$GV,MATCH("Contribution of Consumption Growth to Real GDP",Calculations!B$1:B$71,0),MATCH($B32,Calculations!A$9:GV$9))</f>
        <v>-0.14680479693752194</v>
      </c>
    </row>
    <row r="33" spans="1:8" x14ac:dyDescent="0.25">
      <c r="A33" t="str">
        <f>CONCATENATE(RIGHT(HaverPull!A158,4), ",",LEFT(HaverPull!A158,2))</f>
        <v>2007,Q4</v>
      </c>
      <c r="B33" s="64">
        <f>INDEX(Calculations!$9:$9, , ROW()+121)</f>
        <v>39447</v>
      </c>
      <c r="C33" s="65">
        <f ca="1">INDEX(Calculations!$1:$80, MATCH("Fiscal_Impact", Calculations!$B:$B, 0), MATCH(fiscal_ifinal!$B33, Calculations!$9:$9, 0))</f>
        <v>0.1569259566203357</v>
      </c>
      <c r="D33" s="66">
        <f>INDEX(Calculations!$1:$80, MATCH("RecessionDummy", Calculations!$B:$B, 0), MATCH(fiscal_ifinal!$B33, Calculations!$9:$9, 0))</f>
        <v>0</v>
      </c>
      <c r="E33" s="65">
        <f ca="1">INDEX(Calculations!$1:$80, MATCH("Fiscal_Impact_bars", Calculations!$B:$B, 0), MATCH(fiscal_ifinal!$B33, Calculations!$9:$9, 0))</f>
        <v>0.36551448264004605</v>
      </c>
      <c r="F33" s="65">
        <f>INDEX(HaverPull!$B:$XZ,MATCH($B33,HaverPull!$B:$B,0),MATCH("Contribution to %Ch in Real GDP from ""Federal G""",HaverPull!$B$1:$XZ$1,0))</f>
        <v>0.16</v>
      </c>
      <c r="G33" s="65">
        <f>INDEX(HaverPull!$B:$XZ,MATCH($B33,HaverPull!$B:$B,0),MATCH("Contribution to %Ch in Real GDP from ""S+L G""",HaverPull!$B$1:$XZ$1,0))</f>
        <v>0.15</v>
      </c>
      <c r="H33" s="65">
        <f ca="1">INDEX(Calculations!$A:$GV,MATCH("Contribution of Consumption Growth to Real GDP",Calculations!B$1:B$71,0),MATCH($B33,Calculations!A$9:GV$9))</f>
        <v>5.5514482640046048E-2</v>
      </c>
    </row>
    <row r="34" spans="1:8" x14ac:dyDescent="0.25">
      <c r="A34" t="str">
        <f>CONCATENATE(RIGHT(HaverPull!A159,4), ",",LEFT(HaverPull!A159,2))</f>
        <v>2008,Q1</v>
      </c>
      <c r="B34" s="64">
        <f>INDEX(Calculations!$9:$9, , ROW()+121)</f>
        <v>39538</v>
      </c>
      <c r="C34" s="65">
        <f ca="1">INDEX(Calculations!$1:$80, MATCH("Fiscal_Impact", Calculations!$B:$B, 0), MATCH(fiscal_ifinal!$B34, Calculations!$9:$9, 0))</f>
        <v>0.36606180894782625</v>
      </c>
      <c r="D34" s="66">
        <f>INDEX(Calculations!$1:$80, MATCH("RecessionDummy", Calculations!$B:$B, 0), MATCH(fiscal_ifinal!$B34, Calculations!$9:$9, 0))</f>
        <v>1</v>
      </c>
      <c r="E34" s="65">
        <f ca="1">INDEX(Calculations!$1:$80, MATCH("Fiscal_Impact_bars", Calculations!$B:$B, 0), MATCH(fiscal_ifinal!$B34, Calculations!$9:$9, 0))</f>
        <v>0.37870600079642486</v>
      </c>
      <c r="F34" s="65">
        <f>INDEX(HaverPull!$B:$XZ,MATCH($B34,HaverPull!$B:$B,0),MATCH("Contribution to %Ch in Real GDP from ""Federal G""",HaverPull!$B$1:$XZ$1,0))</f>
        <v>0.47</v>
      </c>
      <c r="G34" s="65">
        <f>INDEX(HaverPull!$B:$XZ,MATCH($B34,HaverPull!$B:$B,0),MATCH("Contribution to %Ch in Real GDP from ""S+L G""",HaverPull!$B$1:$XZ$1,0))</f>
        <v>-0.15</v>
      </c>
      <c r="H34" s="65">
        <f ca="1">INDEX(Calculations!$A:$GV,MATCH("Contribution of Consumption Growth to Real GDP",Calculations!B$1:B$71,0),MATCH($B34,Calculations!A$9:GV$9))</f>
        <v>5.870600079642483E-2</v>
      </c>
    </row>
    <row r="35" spans="1:8" x14ac:dyDescent="0.25">
      <c r="A35" t="str">
        <f>CONCATENATE(RIGHT(HaverPull!A160,4), ",",LEFT(HaverPull!A160,2))</f>
        <v>2008,Q2</v>
      </c>
      <c r="B35" s="64">
        <f>INDEX(Calculations!$9:$9, , ROW()+121)</f>
        <v>39629</v>
      </c>
      <c r="C35" s="65">
        <f ca="1">INDEX(Calculations!$1:$80, MATCH("Fiscal_Impact", Calculations!$B:$B, 0), MATCH(fiscal_ifinal!$B35, Calculations!$9:$9, 0))</f>
        <v>0.98744133331774009</v>
      </c>
      <c r="D35" s="66">
        <f>INDEX(Calculations!$1:$80, MATCH("RecessionDummy", Calculations!$B:$B, 0), MATCH(fiscal_ifinal!$B35, Calculations!$9:$9, 0))</f>
        <v>1</v>
      </c>
      <c r="E35" s="65">
        <f ca="1">INDEX(Calculations!$1:$80, MATCH("Fiscal_Impact_bars", Calculations!$B:$B, 0), MATCH(fiscal_ifinal!$B35, Calculations!$9:$9, 0))</f>
        <v>2.7923496467720113</v>
      </c>
      <c r="F35" s="65">
        <f>INDEX(HaverPull!$B:$XZ,MATCH($B35,HaverPull!$B:$B,0),MATCH("Contribution to %Ch in Real GDP from ""Federal G""",HaverPull!$B$1:$XZ$1,0))</f>
        <v>0.56000000000000005</v>
      </c>
      <c r="G35" s="65">
        <f>INDEX(HaverPull!$B:$XZ,MATCH($B35,HaverPull!$B:$B,0),MATCH("Contribution to %Ch in Real GDP from ""S+L G""",HaverPull!$B$1:$XZ$1,0))</f>
        <v>7.0000000000000007E-2</v>
      </c>
      <c r="H35" s="65">
        <f ca="1">INDEX(Calculations!$A:$GV,MATCH("Contribution of Consumption Growth to Real GDP",Calculations!B$1:B$71,0),MATCH($B35,Calculations!A$9:GV$9))</f>
        <v>2.1723496467720111</v>
      </c>
    </row>
    <row r="36" spans="1:8" x14ac:dyDescent="0.25">
      <c r="A36" t="str">
        <f>CONCATENATE(RIGHT(HaverPull!A161,4), ",",LEFT(HaverPull!A161,2))</f>
        <v>2008,Q3</v>
      </c>
      <c r="B36" s="64">
        <f>INDEX(Calculations!$9:$9, , ROW()+121)</f>
        <v>39721</v>
      </c>
      <c r="C36" s="65">
        <f ca="1">INDEX(Calculations!$1:$80, MATCH("Fiscal_Impact", Calculations!$B:$B, 0), MATCH(fiscal_ifinal!$B36, Calculations!$9:$9, 0))</f>
        <v>1.3886903526417678</v>
      </c>
      <c r="D36" s="66">
        <f>INDEX(Calculations!$1:$80, MATCH("RecessionDummy", Calculations!$B:$B, 0), MATCH(fiscal_ifinal!$B36, Calculations!$9:$9, 0))</f>
        <v>1</v>
      </c>
      <c r="E36" s="65">
        <f ca="1">INDEX(Calculations!$1:$80, MATCH("Fiscal_Impact_bars", Calculations!$B:$B, 0), MATCH(fiscal_ifinal!$B36, Calculations!$9:$9, 0))</f>
        <v>2.0181912803585886</v>
      </c>
      <c r="F36" s="65">
        <f>INDEX(HaverPull!$B:$XZ,MATCH($B36,HaverPull!$B:$B,0),MATCH("Contribution to %Ch in Real GDP from ""Federal G""",HaverPull!$B$1:$XZ$1,0))</f>
        <v>0.91</v>
      </c>
      <c r="G36" s="65">
        <f>INDEX(HaverPull!$B:$XZ,MATCH($B36,HaverPull!$B:$B,0),MATCH("Contribution to %Ch in Real GDP from ""S+L G""",HaverPull!$B$1:$XZ$1,0))</f>
        <v>0.22</v>
      </c>
      <c r="H36" s="65">
        <f ca="1">INDEX(Calculations!$A:$GV,MATCH("Contribution of Consumption Growth to Real GDP",Calculations!B$1:B$71,0),MATCH($B36,Calculations!A$9:GV$9))</f>
        <v>0.88819128035858885</v>
      </c>
    </row>
    <row r="37" spans="1:8" x14ac:dyDescent="0.25">
      <c r="A37" t="str">
        <f>CONCATENATE(RIGHT(HaverPull!A162,4), ",",LEFT(HaverPull!A162,2))</f>
        <v>2008,Q4</v>
      </c>
      <c r="B37" s="64">
        <f>INDEX(Calculations!$9:$9, , ROW()+121)</f>
        <v>39813</v>
      </c>
      <c r="C37" s="65">
        <f ca="1">INDEX(Calculations!$1:$80, MATCH("Fiscal_Impact", Calculations!$B:$B, 0), MATCH(fiscal_ifinal!$B37, Calculations!$9:$9, 0))</f>
        <v>1.6171019645826699</v>
      </c>
      <c r="D37" s="66">
        <f>INDEX(Calculations!$1:$80, MATCH("RecessionDummy", Calculations!$B:$B, 0), MATCH(fiscal_ifinal!$B37, Calculations!$9:$9, 0))</f>
        <v>1</v>
      </c>
      <c r="E37" s="65">
        <f ca="1">INDEX(Calculations!$1:$80, MATCH("Fiscal_Impact_bars", Calculations!$B:$B, 0), MATCH(fiscal_ifinal!$B37, Calculations!$9:$9, 0))</f>
        <v>1.2791609304036549</v>
      </c>
      <c r="F37" s="65">
        <f>INDEX(HaverPull!$B:$XZ,MATCH($B37,HaverPull!$B:$B,0),MATCH("Contribution to %Ch in Real GDP from ""Federal G""",HaverPull!$B$1:$XZ$1,0))</f>
        <v>0.56000000000000005</v>
      </c>
      <c r="G37" s="65">
        <f>INDEX(HaverPull!$B:$XZ,MATCH($B37,HaverPull!$B:$B,0),MATCH("Contribution to %Ch in Real GDP from ""S+L G""",HaverPull!$B$1:$XZ$1,0))</f>
        <v>0</v>
      </c>
      <c r="H37" s="65">
        <f ca="1">INDEX(Calculations!$A:$GV,MATCH("Contribution of Consumption Growth to Real GDP",Calculations!B$1:B$71,0),MATCH($B37,Calculations!A$9:GV$9))</f>
        <v>0.71916093040365481</v>
      </c>
    </row>
    <row r="38" spans="1:8" x14ac:dyDescent="0.25">
      <c r="A38" t="str">
        <f>CONCATENATE(RIGHT(HaverPull!A163,4), ",",LEFT(HaverPull!A163,2))</f>
        <v>2009,Q1</v>
      </c>
      <c r="B38" s="64">
        <f>INDEX(Calculations!$9:$9, , ROW()+121)</f>
        <v>39903</v>
      </c>
      <c r="C38" s="65">
        <f ca="1">INDEX(Calculations!$1:$80, MATCH("Fiscal_Impact", Calculations!$B:$B, 0), MATCH(fiscal_ifinal!$B38, Calculations!$9:$9, 0))</f>
        <v>2.1625954478134792</v>
      </c>
      <c r="D38" s="66">
        <f>INDEX(Calculations!$1:$80, MATCH("RecessionDummy", Calculations!$B:$B, 0), MATCH(fiscal_ifinal!$B38, Calculations!$9:$9, 0))</f>
        <v>1</v>
      </c>
      <c r="E38" s="65">
        <f ca="1">INDEX(Calculations!$1:$80, MATCH("Fiscal_Impact_bars", Calculations!$B:$B, 0), MATCH(fiscal_ifinal!$B38, Calculations!$9:$9, 0))</f>
        <v>2.5606799337196624</v>
      </c>
      <c r="F38" s="65">
        <f>INDEX(HaverPull!$B:$XZ,MATCH($B38,HaverPull!$B:$B,0),MATCH("Contribution to %Ch in Real GDP from ""Federal G""",HaverPull!$B$1:$XZ$1,0))</f>
        <v>-0.24</v>
      </c>
      <c r="G38" s="65">
        <f>INDEX(HaverPull!$B:$XZ,MATCH($B38,HaverPull!$B:$B,0),MATCH("Contribution to %Ch in Real GDP from ""S+L G""",HaverPull!$B$1:$XZ$1,0))</f>
        <v>0.39</v>
      </c>
      <c r="H38" s="65">
        <f ca="1">INDEX(Calculations!$A:$GV,MATCH("Contribution of Consumption Growth to Real GDP",Calculations!B$1:B$71,0),MATCH($B38,Calculations!A$9:GV$9))</f>
        <v>2.4106799337196625</v>
      </c>
    </row>
    <row r="39" spans="1:8" x14ac:dyDescent="0.25">
      <c r="A39" t="str">
        <f>CONCATENATE(RIGHT(HaverPull!A164,4), ",",LEFT(HaverPull!A164,2))</f>
        <v>2009,Q2</v>
      </c>
      <c r="B39" s="64">
        <f>INDEX(Calculations!$9:$9, , ROW()+121)</f>
        <v>39994</v>
      </c>
      <c r="C39" s="65">
        <f ca="1">INDEX(Calculations!$1:$80, MATCH("Fiscal_Impact", Calculations!$B:$B, 0), MATCH(fiscal_ifinal!$B39, Calculations!$9:$9, 0))</f>
        <v>2.2241732102894671</v>
      </c>
      <c r="D39" s="66">
        <f>INDEX(Calculations!$1:$80, MATCH("RecessionDummy", Calculations!$B:$B, 0), MATCH(fiscal_ifinal!$B39, Calculations!$9:$9, 0))</f>
        <v>1</v>
      </c>
      <c r="E39" s="65">
        <f ca="1">INDEX(Calculations!$1:$80, MATCH("Fiscal_Impact_bars", Calculations!$B:$B, 0), MATCH(fiscal_ifinal!$B39, Calculations!$9:$9, 0))</f>
        <v>3.0386606966759637</v>
      </c>
      <c r="F39" s="65">
        <f>INDEX(HaverPull!$B:$XZ,MATCH($B39,HaverPull!$B:$B,0),MATCH("Contribution to %Ch in Real GDP from ""Federal G""",HaverPull!$B$1:$XZ$1,0))</f>
        <v>1.0900000000000001</v>
      </c>
      <c r="G39" s="65">
        <f>INDEX(HaverPull!$B:$XZ,MATCH($B39,HaverPull!$B:$B,0),MATCH("Contribution to %Ch in Real GDP from ""S+L G""",HaverPull!$B$1:$XZ$1,0))</f>
        <v>0.47</v>
      </c>
      <c r="H39" s="65">
        <f ca="1">INDEX(Calculations!$A:$GV,MATCH("Contribution of Consumption Growth to Real GDP",Calculations!B$1:B$71,0),MATCH($B39,Calculations!A$9:GV$9))</f>
        <v>1.4786606966759637</v>
      </c>
    </row>
    <row r="40" spans="1:8" x14ac:dyDescent="0.25">
      <c r="A40" t="str">
        <f>CONCATENATE(RIGHT(HaverPull!A165,4), ",",LEFT(HaverPull!A165,2))</f>
        <v>2009,Q3</v>
      </c>
      <c r="B40" s="64">
        <f>INDEX(Calculations!$9:$9, , ROW()+121)</f>
        <v>40086</v>
      </c>
      <c r="C40" s="65">
        <f ca="1">INDEX(Calculations!$1:$80, MATCH("Fiscal_Impact", Calculations!$B:$B, 0), MATCH(fiscal_ifinal!$B40, Calculations!$9:$9, 0))</f>
        <v>2.4520086666560612</v>
      </c>
      <c r="D40" s="66">
        <f>INDEX(Calculations!$1:$80, MATCH("RecessionDummy", Calculations!$B:$B, 0), MATCH(fiscal_ifinal!$B40, Calculations!$9:$9, 0))</f>
        <v>0</v>
      </c>
      <c r="E40" s="65">
        <f ca="1">INDEX(Calculations!$1:$80, MATCH("Fiscal_Impact_bars", Calculations!$B:$B, 0), MATCH(fiscal_ifinal!$B40, Calculations!$9:$9, 0))</f>
        <v>2.9295331058249632</v>
      </c>
      <c r="F40" s="65">
        <f>INDEX(HaverPull!$B:$XZ,MATCH($B40,HaverPull!$B:$B,0),MATCH("Contribution to %Ch in Real GDP from ""Federal G""",HaverPull!$B$1:$XZ$1,0))</f>
        <v>0.47</v>
      </c>
      <c r="G40" s="65">
        <f>INDEX(HaverPull!$B:$XZ,MATCH($B40,HaverPull!$B:$B,0),MATCH("Contribution to %Ch in Real GDP from ""S+L G""",HaverPull!$B$1:$XZ$1,0))</f>
        <v>0.01</v>
      </c>
      <c r="H40" s="65">
        <f ca="1">INDEX(Calculations!$A:$GV,MATCH("Contribution of Consumption Growth to Real GDP",Calculations!B$1:B$71,0),MATCH($B40,Calculations!A$9:GV$9))</f>
        <v>2.4495331058249632</v>
      </c>
    </row>
    <row r="41" spans="1:8" x14ac:dyDescent="0.25">
      <c r="A41" t="str">
        <f>CONCATENATE(RIGHT(HaverPull!A166,4), ",",LEFT(HaverPull!A166,2))</f>
        <v>2009,Q4</v>
      </c>
      <c r="B41" s="64">
        <f>INDEX(Calculations!$9:$9, , ROW()+121)</f>
        <v>40178</v>
      </c>
      <c r="C41" s="65">
        <f ca="1">INDEX(Calculations!$1:$80, MATCH("Fiscal_Impact", Calculations!$B:$B, 0), MATCH(fiscal_ifinal!$B41, Calculations!$9:$9, 0))</f>
        <v>2.6702504346044376</v>
      </c>
      <c r="D41" s="66">
        <f>INDEX(Calculations!$1:$80, MATCH("RecessionDummy", Calculations!$B:$B, 0), MATCH(fiscal_ifinal!$B41, Calculations!$9:$9, 0))</f>
        <v>0</v>
      </c>
      <c r="E41" s="65">
        <f ca="1">INDEX(Calculations!$1:$80, MATCH("Fiscal_Impact_bars", Calculations!$B:$B, 0), MATCH(fiscal_ifinal!$B41, Calculations!$9:$9, 0))</f>
        <v>2.1521280021971614</v>
      </c>
      <c r="F41" s="65">
        <f>INDEX(HaverPull!$B:$XZ,MATCH($B41,HaverPull!$B:$B,0),MATCH("Contribution to %Ch in Real GDP from ""Federal G""",HaverPull!$B$1:$XZ$1,0))</f>
        <v>0.02</v>
      </c>
      <c r="G41" s="65">
        <f>INDEX(HaverPull!$B:$XZ,MATCH($B41,HaverPull!$B:$B,0),MATCH("Contribution to %Ch in Real GDP from ""S+L G""",HaverPull!$B$1:$XZ$1,0))</f>
        <v>-0.19</v>
      </c>
      <c r="H41" s="65">
        <f ca="1">INDEX(Calculations!$A:$GV,MATCH("Contribution of Consumption Growth to Real GDP",Calculations!B$1:B$71,0),MATCH($B41,Calculations!A$9:GV$9))</f>
        <v>2.3221280021971613</v>
      </c>
    </row>
    <row r="42" spans="1:8" x14ac:dyDescent="0.25">
      <c r="A42" t="str">
        <f>CONCATENATE(RIGHT(HaverPull!A167,4), ",",LEFT(HaverPull!A167,2))</f>
        <v>2010,Q1</v>
      </c>
      <c r="B42" s="64">
        <f>INDEX(Calculations!$9:$9, , ROW()+121)</f>
        <v>40268</v>
      </c>
      <c r="C42" s="65">
        <f ca="1">INDEX(Calculations!$1:$80, MATCH("Fiscal_Impact", Calculations!$B:$B, 0), MATCH(fiscal_ifinal!$B42, Calculations!$9:$9, 0))</f>
        <v>2.4236258997122313</v>
      </c>
      <c r="D42" s="66">
        <f>INDEX(Calculations!$1:$80, MATCH("RecessionDummy", Calculations!$B:$B, 0), MATCH(fiscal_ifinal!$B42, Calculations!$9:$9, 0))</f>
        <v>0</v>
      </c>
      <c r="E42" s="65">
        <f ca="1">INDEX(Calculations!$1:$80, MATCH("Fiscal_Impact_bars", Calculations!$B:$B, 0), MATCH(fiscal_ifinal!$B42, Calculations!$9:$9, 0))</f>
        <v>1.5741817941508369</v>
      </c>
      <c r="F42" s="65">
        <f>INDEX(HaverPull!$B:$XZ,MATCH($B42,HaverPull!$B:$B,0),MATCH("Contribution to %Ch in Real GDP from ""Federal G""",HaverPull!$B$1:$XZ$1,0))</f>
        <v>0.32</v>
      </c>
      <c r="G42" s="65">
        <f>INDEX(HaverPull!$B:$XZ,MATCH($B42,HaverPull!$B:$B,0),MATCH("Contribution to %Ch in Real GDP from ""S+L G""",HaverPull!$B$1:$XZ$1,0))</f>
        <v>-0.95</v>
      </c>
      <c r="H42" s="65">
        <f ca="1">INDEX(Calculations!$A:$GV,MATCH("Contribution of Consumption Growth to Real GDP",Calculations!B$1:B$71,0),MATCH($B42,Calculations!A$9:GV$9))</f>
        <v>2.2041817941508368</v>
      </c>
    </row>
    <row r="43" spans="1:8" x14ac:dyDescent="0.25">
      <c r="A43" t="str">
        <f>CONCATENATE(RIGHT(HaverPull!A168,4), ",",LEFT(HaverPull!A168,2))</f>
        <v>2010,Q2</v>
      </c>
      <c r="B43" s="64">
        <f>INDEX(Calculations!$9:$9, , ROW()+121)</f>
        <v>40359</v>
      </c>
      <c r="C43" s="65">
        <f ca="1">INDEX(Calculations!$1:$80, MATCH("Fiscal_Impact", Calculations!$B:$B, 0), MATCH(fiscal_ifinal!$B43, Calculations!$9:$9, 0))</f>
        <v>2.1428255801294496</v>
      </c>
      <c r="D43" s="66">
        <f>INDEX(Calculations!$1:$80, MATCH("RecessionDummy", Calculations!$B:$B, 0), MATCH(fiscal_ifinal!$B43, Calculations!$9:$9, 0))</f>
        <v>0</v>
      </c>
      <c r="E43" s="65">
        <f ca="1">INDEX(Calculations!$1:$80, MATCH("Fiscal_Impact_bars", Calculations!$B:$B, 0), MATCH(fiscal_ifinal!$B43, Calculations!$9:$9, 0))</f>
        <v>1.9154594183448355</v>
      </c>
      <c r="F43" s="65">
        <f>INDEX(HaverPull!$B:$XZ,MATCH($B43,HaverPull!$B:$B,0),MATCH("Contribution to %Ch in Real GDP from ""Federal G""",HaverPull!$B$1:$XZ$1,0))</f>
        <v>0.71</v>
      </c>
      <c r="G43" s="65">
        <f>INDEX(HaverPull!$B:$XZ,MATCH($B43,HaverPull!$B:$B,0),MATCH("Contribution to %Ch in Real GDP from ""S+L G""",HaverPull!$B$1:$XZ$1,0))</f>
        <v>-0.1</v>
      </c>
      <c r="H43" s="65">
        <f ca="1">INDEX(Calculations!$A:$GV,MATCH("Contribution of Consumption Growth to Real GDP",Calculations!B$1:B$71,0),MATCH($B43,Calculations!A$9:GV$9))</f>
        <v>1.3054594183448356</v>
      </c>
    </row>
    <row r="44" spans="1:8" x14ac:dyDescent="0.25">
      <c r="A44" t="str">
        <f>CONCATENATE(RIGHT(HaverPull!A169,4), ",",LEFT(HaverPull!A169,2))</f>
        <v>2010,Q3</v>
      </c>
      <c r="B44" s="64">
        <f>INDEX(Calculations!$9:$9, , ROW()+121)</f>
        <v>40451</v>
      </c>
      <c r="C44" s="65">
        <f ca="1">INDEX(Calculations!$1:$80, MATCH("Fiscal_Impact", Calculations!$B:$B, 0), MATCH(fiscal_ifinal!$B44, Calculations!$9:$9, 0))</f>
        <v>1.7051909459763424</v>
      </c>
      <c r="D44" s="66">
        <f>INDEX(Calculations!$1:$80, MATCH("RecessionDummy", Calculations!$B:$B, 0), MATCH(fiscal_ifinal!$B44, Calculations!$9:$9, 0))</f>
        <v>0</v>
      </c>
      <c r="E44" s="65">
        <f ca="1">INDEX(Calculations!$1:$80, MATCH("Fiscal_Impact_bars", Calculations!$B:$B, 0), MATCH(fiscal_ifinal!$B44, Calculations!$9:$9, 0))</f>
        <v>1.178994569212535</v>
      </c>
      <c r="F44" s="65">
        <f>INDEX(HaverPull!$B:$XZ,MATCH($B44,HaverPull!$B:$B,0),MATCH("Contribution to %Ch in Real GDP from ""Federal G""",HaverPull!$B$1:$XZ$1,0))</f>
        <v>0.32</v>
      </c>
      <c r="G44" s="65">
        <f>INDEX(HaverPull!$B:$XZ,MATCH($B44,HaverPull!$B:$B,0),MATCH("Contribution to %Ch in Real GDP from ""S+L G""",HaverPull!$B$1:$XZ$1,0))</f>
        <v>-0.39</v>
      </c>
      <c r="H44" s="65">
        <f ca="1">INDEX(Calculations!$A:$GV,MATCH("Contribution of Consumption Growth to Real GDP",Calculations!B$1:B$71,0),MATCH($B44,Calculations!A$9:GV$9))</f>
        <v>1.248994569212535</v>
      </c>
    </row>
    <row r="45" spans="1:8" x14ac:dyDescent="0.25">
      <c r="A45" t="str">
        <f>CONCATENATE(RIGHT(HaverPull!A170,4), ",",LEFT(HaverPull!A170,2))</f>
        <v>2010,Q4</v>
      </c>
      <c r="B45" s="64">
        <f>INDEX(Calculations!$9:$9, , ROW()+121)</f>
        <v>40543</v>
      </c>
      <c r="C45" s="65">
        <f ca="1">INDEX(Calculations!$1:$80, MATCH("Fiscal_Impact", Calculations!$B:$B, 0), MATCH(fiscal_ifinal!$B45, Calculations!$9:$9, 0))</f>
        <v>1.2064363972032999</v>
      </c>
      <c r="D45" s="66">
        <f>INDEX(Calculations!$1:$80, MATCH("RecessionDummy", Calculations!$B:$B, 0), MATCH(fiscal_ifinal!$B45, Calculations!$9:$9, 0))</f>
        <v>0</v>
      </c>
      <c r="E45" s="65">
        <f ca="1">INDEX(Calculations!$1:$80, MATCH("Fiscal_Impact_bars", Calculations!$B:$B, 0), MATCH(fiscal_ifinal!$B45, Calculations!$9:$9, 0))</f>
        <v>0.15710980710499201</v>
      </c>
      <c r="F45" s="65">
        <f>INDEX(HaverPull!$B:$XZ,MATCH($B45,HaverPull!$B:$B,0),MATCH("Contribution to %Ch in Real GDP from ""Federal G""",HaverPull!$B$1:$XZ$1,0))</f>
        <v>-0.23</v>
      </c>
      <c r="G45" s="65">
        <f>INDEX(HaverPull!$B:$XZ,MATCH($B45,HaverPull!$B:$B,0),MATCH("Contribution to %Ch in Real GDP from ""S+L G""",HaverPull!$B$1:$XZ$1,0))</f>
        <v>-0.63</v>
      </c>
      <c r="H45" s="65">
        <f ca="1">INDEX(Calculations!$A:$GV,MATCH("Contribution of Consumption Growth to Real GDP",Calculations!B$1:B$71,0),MATCH($B45,Calculations!A$9:GV$9))</f>
        <v>1.027109807104992</v>
      </c>
    </row>
    <row r="46" spans="1:8" x14ac:dyDescent="0.25">
      <c r="A46" t="str">
        <f>CONCATENATE(RIGHT(HaverPull!A171,4), ",",LEFT(HaverPull!A171,2))</f>
        <v>2011,Q1</v>
      </c>
      <c r="B46" s="64">
        <f>INDEX(Calculations!$9:$9, , ROW()+121)</f>
        <v>40633</v>
      </c>
      <c r="C46" s="65">
        <f ca="1">INDEX(Calculations!$1:$80, MATCH("Fiscal_Impact", Calculations!$B:$B, 0), MATCH(fiscal_ifinal!$B46, Calculations!$9:$9, 0))</f>
        <v>0.34875358184314526</v>
      </c>
      <c r="D46" s="66">
        <f>INDEX(Calculations!$1:$80, MATCH("RecessionDummy", Calculations!$B:$B, 0), MATCH(fiscal_ifinal!$B46, Calculations!$9:$9, 0))</f>
        <v>0</v>
      </c>
      <c r="E46" s="65">
        <f ca="1">INDEX(Calculations!$1:$80, MATCH("Fiscal_Impact_bars", Calculations!$B:$B, 0), MATCH(fiscal_ifinal!$B46, Calculations!$9:$9, 0))</f>
        <v>-1.8565494672897815</v>
      </c>
      <c r="F46" s="65">
        <f>INDEX(HaverPull!$B:$XZ,MATCH($B46,HaverPull!$B:$B,0),MATCH("Contribution to %Ch in Real GDP from ""Federal G""",HaverPull!$B$1:$XZ$1,0))</f>
        <v>-0.95</v>
      </c>
      <c r="G46" s="65">
        <f>INDEX(HaverPull!$B:$XZ,MATCH($B46,HaverPull!$B:$B,0),MATCH("Contribution to %Ch in Real GDP from ""S+L G""",HaverPull!$B$1:$XZ$1,0))</f>
        <v>-0.65</v>
      </c>
      <c r="H46" s="65">
        <f ca="1">INDEX(Calculations!$A:$GV,MATCH("Contribution of Consumption Growth to Real GDP",Calculations!B$1:B$71,0),MATCH($B46,Calculations!A$9:GV$9))</f>
        <v>-0.25654946728978151</v>
      </c>
    </row>
    <row r="47" spans="1:8" x14ac:dyDescent="0.25">
      <c r="A47" t="str">
        <f>CONCATENATE(RIGHT(HaverPull!A172,4), ",",LEFT(HaverPull!A172,2))</f>
        <v>2011,Q2</v>
      </c>
      <c r="B47" s="64">
        <f>INDEX(Calculations!$9:$9, , ROW()+121)</f>
        <v>40724</v>
      </c>
      <c r="C47" s="65">
        <f ca="1">INDEX(Calculations!$1:$80, MATCH("Fiscal_Impact", Calculations!$B:$B, 0), MATCH(fiscal_ifinal!$B47, Calculations!$9:$9, 0))</f>
        <v>-0.26418103886456701</v>
      </c>
      <c r="D47" s="66">
        <f>INDEX(Calculations!$1:$80, MATCH("RecessionDummy", Calculations!$B:$B, 0), MATCH(fiscal_ifinal!$B47, Calculations!$9:$9, 0))</f>
        <v>0</v>
      </c>
      <c r="E47" s="65">
        <f ca="1">INDEX(Calculations!$1:$80, MATCH("Fiscal_Impact_bars", Calculations!$B:$B, 0), MATCH(fiscal_ifinal!$B47, Calculations!$9:$9, 0))</f>
        <v>-0.53627906448601348</v>
      </c>
      <c r="F47" s="65">
        <f>INDEX(HaverPull!$B:$XZ,MATCH($B47,HaverPull!$B:$B,0),MATCH("Contribution to %Ch in Real GDP from ""Federal G""",HaverPull!$B$1:$XZ$1,0))</f>
        <v>0.14000000000000001</v>
      </c>
      <c r="G47" s="65">
        <f>INDEX(HaverPull!$B:$XZ,MATCH($B47,HaverPull!$B:$B,0),MATCH("Contribution to %Ch in Real GDP from ""S+L G""",HaverPull!$B$1:$XZ$1,0))</f>
        <v>-0.22</v>
      </c>
      <c r="H47" s="65">
        <f ca="1">INDEX(Calculations!$A:$GV,MATCH("Contribution of Consumption Growth to Real GDP",Calculations!B$1:B$71,0),MATCH($B47,Calculations!A$9:GV$9))</f>
        <v>-0.45627906448601346</v>
      </c>
    </row>
    <row r="48" spans="1:8" x14ac:dyDescent="0.25">
      <c r="A48" t="str">
        <f>CONCATENATE(RIGHT(HaverPull!A173,4), ",",LEFT(HaverPull!A173,2))</f>
        <v>2011,Q3</v>
      </c>
      <c r="B48" s="64">
        <f>INDEX(Calculations!$9:$9, , ROW()+121)</f>
        <v>40816</v>
      </c>
      <c r="C48" s="65">
        <f ca="1">INDEX(Calculations!$1:$80, MATCH("Fiscal_Impact", Calculations!$B:$B, 0), MATCH(fiscal_ifinal!$B48, Calculations!$9:$9, 0))</f>
        <v>-0.84489866953424053</v>
      </c>
      <c r="D48" s="66">
        <f>INDEX(Calculations!$1:$80, MATCH("RecessionDummy", Calculations!$B:$B, 0), MATCH(fiscal_ifinal!$B48, Calculations!$9:$9, 0))</f>
        <v>0</v>
      </c>
      <c r="E48" s="65">
        <f ca="1">INDEX(Calculations!$1:$80, MATCH("Fiscal_Impact_bars", Calculations!$B:$B, 0), MATCH(fiscal_ifinal!$B48, Calculations!$9:$9, 0))</f>
        <v>-1.1438759534661593</v>
      </c>
      <c r="F48" s="65">
        <f>INDEX(HaverPull!$B:$XZ,MATCH($B48,HaverPull!$B:$B,0),MATCH("Contribution to %Ch in Real GDP from ""Federal G""",HaverPull!$B$1:$XZ$1,0))</f>
        <v>-0.35</v>
      </c>
      <c r="G48" s="65">
        <f>INDEX(HaverPull!$B:$XZ,MATCH($B48,HaverPull!$B:$B,0),MATCH("Contribution to %Ch in Real GDP from ""S+L G""",HaverPull!$B$1:$XZ$1,0))</f>
        <v>-0.17</v>
      </c>
      <c r="H48" s="65">
        <f ca="1">INDEX(Calculations!$A:$GV,MATCH("Contribution of Consumption Growth to Real GDP",Calculations!B$1:B$71,0),MATCH($B48,Calculations!A$9:GV$9))</f>
        <v>-0.62387595346615921</v>
      </c>
    </row>
    <row r="49" spans="1:8" x14ac:dyDescent="0.25">
      <c r="A49" t="str">
        <f>CONCATENATE(RIGHT(HaverPull!A174,4), ",",LEFT(HaverPull!A174,2))</f>
        <v>2011,Q4</v>
      </c>
      <c r="B49" s="64">
        <f>INDEX(Calculations!$9:$9, , ROW()+121)</f>
        <v>40908</v>
      </c>
      <c r="C49" s="65">
        <f ca="1">INDEX(Calculations!$1:$80, MATCH("Fiscal_Impact", Calculations!$B:$B, 0), MATCH(fiscal_ifinal!$B49, Calculations!$9:$9, 0))</f>
        <v>-1.1318374806301932</v>
      </c>
      <c r="D49" s="66">
        <f>INDEX(Calculations!$1:$80, MATCH("RecessionDummy", Calculations!$B:$B, 0), MATCH(fiscal_ifinal!$B49, Calculations!$9:$9, 0))</f>
        <v>0</v>
      </c>
      <c r="E49" s="65">
        <f ca="1">INDEX(Calculations!$1:$80, MATCH("Fiscal_Impact_bars", Calculations!$B:$B, 0), MATCH(fiscal_ifinal!$B49, Calculations!$9:$9, 0))</f>
        <v>-0.99064543727881849</v>
      </c>
      <c r="F49" s="65">
        <f>INDEX(HaverPull!$B:$XZ,MATCH($B49,HaverPull!$B:$B,0),MATCH("Contribution to %Ch in Real GDP from ""Federal G""",HaverPull!$B$1:$XZ$1,0))</f>
        <v>-0.21</v>
      </c>
      <c r="G49" s="65">
        <f>INDEX(HaverPull!$B:$XZ,MATCH($B49,HaverPull!$B:$B,0),MATCH("Contribution to %Ch in Real GDP from ""S+L G""",HaverPull!$B$1:$XZ$1,0))</f>
        <v>-0.1</v>
      </c>
      <c r="H49" s="65">
        <f ca="1">INDEX(Calculations!$A:$GV,MATCH("Contribution of Consumption Growth to Real GDP",Calculations!B$1:B$71,0),MATCH($B49,Calculations!A$9:GV$9))</f>
        <v>-0.68064543727881854</v>
      </c>
    </row>
    <row r="50" spans="1:8" x14ac:dyDescent="0.25">
      <c r="A50" t="str">
        <f>CONCATENATE(RIGHT(HaverPull!A175,4), ",",LEFT(HaverPull!A175,2))</f>
        <v>2012,Q1</v>
      </c>
      <c r="B50" s="64">
        <f>INDEX(Calculations!$9:$9, , ROW()+121)</f>
        <v>40999</v>
      </c>
      <c r="C50" s="65">
        <f ca="1">INDEX(Calculations!$1:$80, MATCH("Fiscal_Impact", Calculations!$B:$B, 0), MATCH(fiscal_ifinal!$B50, Calculations!$9:$9, 0))</f>
        <v>-0.96341050816847096</v>
      </c>
      <c r="D50" s="66">
        <f>INDEX(Calculations!$1:$80, MATCH("RecessionDummy", Calculations!$B:$B, 0), MATCH(fiscal_ifinal!$B50, Calculations!$9:$9, 0))</f>
        <v>0</v>
      </c>
      <c r="E50" s="65">
        <f ca="1">INDEX(Calculations!$1:$80, MATCH("Fiscal_Impact_bars", Calculations!$B:$B, 0), MATCH(fiscal_ifinal!$B50, Calculations!$9:$9, 0))</f>
        <v>-1.1828415774428922</v>
      </c>
      <c r="F50" s="65">
        <f>INDEX(HaverPull!$B:$XZ,MATCH($B50,HaverPull!$B:$B,0),MATCH("Contribution to %Ch in Real GDP from ""Federal G""",HaverPull!$B$1:$XZ$1,0))</f>
        <v>-0.03</v>
      </c>
      <c r="G50" s="65">
        <f>INDEX(HaverPull!$B:$XZ,MATCH($B50,HaverPull!$B:$B,0),MATCH("Contribution to %Ch in Real GDP from ""S+L G""",HaverPull!$B$1:$XZ$1,0))</f>
        <v>-0.36</v>
      </c>
      <c r="H50" s="65">
        <f ca="1">INDEX(Calculations!$A:$GV,MATCH("Contribution of Consumption Growth to Real GDP",Calculations!B$1:B$71,0),MATCH($B50,Calculations!A$9:GV$9))</f>
        <v>-0.78284157744289218</v>
      </c>
    </row>
    <row r="51" spans="1:8" x14ac:dyDescent="0.25">
      <c r="A51" t="str">
        <f>CONCATENATE(RIGHT(HaverPull!A176,4), ",",LEFT(HaverPull!A176,2))</f>
        <v>2012,Q2</v>
      </c>
      <c r="B51" s="64">
        <f>INDEX(Calculations!$9:$9, , ROW()+121)</f>
        <v>41090</v>
      </c>
      <c r="C51" s="65">
        <f ca="1">INDEX(Calculations!$1:$80, MATCH("Fiscal_Impact", Calculations!$B:$B, 0), MATCH(fiscal_ifinal!$B51, Calculations!$9:$9, 0))</f>
        <v>-1.0790108282856412</v>
      </c>
      <c r="D51" s="66">
        <f>INDEX(Calculations!$1:$80, MATCH("RecessionDummy", Calculations!$B:$B, 0), MATCH(fiscal_ifinal!$B51, Calculations!$9:$9, 0))</f>
        <v>0</v>
      </c>
      <c r="E51" s="65">
        <f ca="1">INDEX(Calculations!$1:$80, MATCH("Fiscal_Impact_bars", Calculations!$B:$B, 0), MATCH(fiscal_ifinal!$B51, Calculations!$9:$9, 0))</f>
        <v>-0.99868034495469393</v>
      </c>
      <c r="F51" s="65">
        <f>INDEX(HaverPull!$B:$XZ,MATCH($B51,HaverPull!$B:$B,0),MATCH("Contribution to %Ch in Real GDP from ""Federal G""",HaverPull!$B$1:$XZ$1,0))</f>
        <v>-0.24</v>
      </c>
      <c r="G51" s="65">
        <f>INDEX(HaverPull!$B:$XZ,MATCH($B51,HaverPull!$B:$B,0),MATCH("Contribution to %Ch in Real GDP from ""S+L G""",HaverPull!$B$1:$XZ$1,0))</f>
        <v>-0.14000000000000001</v>
      </c>
      <c r="H51" s="65">
        <f ca="1">INDEX(Calculations!$A:$GV,MATCH("Contribution of Consumption Growth to Real GDP",Calculations!B$1:B$71,0),MATCH($B51,Calculations!A$9:GV$9))</f>
        <v>-0.60868034495469392</v>
      </c>
    </row>
    <row r="52" spans="1:8" x14ac:dyDescent="0.25">
      <c r="A52" t="str">
        <f>CONCATENATE(RIGHT(HaverPull!A177,4), ",",LEFT(HaverPull!A177,2))</f>
        <v>2012,Q3</v>
      </c>
      <c r="B52" s="64">
        <f>INDEX(Calculations!$9:$9, , ROW()+121)</f>
        <v>41182</v>
      </c>
      <c r="C52" s="65">
        <f ca="1">INDEX(Calculations!$1:$80, MATCH("Fiscal_Impact", Calculations!$B:$B, 0), MATCH(fiscal_ifinal!$B52, Calculations!$9:$9, 0))</f>
        <v>-0.95528241383656276</v>
      </c>
      <c r="D52" s="66">
        <f>INDEX(Calculations!$1:$80, MATCH("RecessionDummy", Calculations!$B:$B, 0), MATCH(fiscal_ifinal!$B52, Calculations!$9:$9, 0))</f>
        <v>0</v>
      </c>
      <c r="E52" s="65">
        <f ca="1">INDEX(Calculations!$1:$80, MATCH("Fiscal_Impact_bars", Calculations!$B:$B, 0), MATCH(fiscal_ifinal!$B52, Calculations!$9:$9, 0))</f>
        <v>-0.64896229566984642</v>
      </c>
      <c r="F52" s="65">
        <f>INDEX(HaverPull!$B:$XZ,MATCH($B52,HaverPull!$B:$B,0),MATCH("Contribution to %Ch in Real GDP from ""Federal G""",HaverPull!$B$1:$XZ$1,0))</f>
        <v>0.04</v>
      </c>
      <c r="G52" s="65">
        <f>INDEX(HaverPull!$B:$XZ,MATCH($B52,HaverPull!$B:$B,0),MATCH("Contribution to %Ch in Real GDP from ""S+L G""",HaverPull!$B$1:$XZ$1,0))</f>
        <v>-0.26</v>
      </c>
      <c r="H52" s="65">
        <f ca="1">INDEX(Calculations!$A:$GV,MATCH("Contribution of Consumption Growth to Real GDP",Calculations!B$1:B$71,0),MATCH($B52,Calculations!A$9:GV$9))</f>
        <v>-0.42896229566984639</v>
      </c>
    </row>
    <row r="53" spans="1:8" x14ac:dyDescent="0.25">
      <c r="A53" t="str">
        <f>CONCATENATE(RIGHT(HaverPull!A178,4), ",",LEFT(HaverPull!A178,2))</f>
        <v>2012,Q4</v>
      </c>
      <c r="B53" s="64">
        <f>INDEX(Calculations!$9:$9, , ROW()+121)</f>
        <v>41274</v>
      </c>
      <c r="C53" s="65">
        <f ca="1">INDEX(Calculations!$1:$80, MATCH("Fiscal_Impact", Calculations!$B:$B, 0), MATCH(fiscal_ifinal!$B53, Calculations!$9:$9, 0))</f>
        <v>-1.0242574642914284</v>
      </c>
      <c r="D53" s="66">
        <f>INDEX(Calculations!$1:$80, MATCH("RecessionDummy", Calculations!$B:$B, 0), MATCH(fiscal_ifinal!$B53, Calculations!$9:$9, 0))</f>
        <v>0</v>
      </c>
      <c r="E53" s="65">
        <f ca="1">INDEX(Calculations!$1:$80, MATCH("Fiscal_Impact_bars", Calculations!$B:$B, 0), MATCH(fiscal_ifinal!$B53, Calculations!$9:$9, 0))</f>
        <v>-1.2665456390982812</v>
      </c>
      <c r="F53" s="65">
        <f>INDEX(HaverPull!$B:$XZ,MATCH($B53,HaverPull!$B:$B,0),MATCH("Contribution to %Ch in Real GDP from ""Federal G""",HaverPull!$B$1:$XZ$1,0))</f>
        <v>-0.45</v>
      </c>
      <c r="G53" s="65">
        <f>INDEX(HaverPull!$B:$XZ,MATCH($B53,HaverPull!$B:$B,0),MATCH("Contribution to %Ch in Real GDP from ""S+L G""",HaverPull!$B$1:$XZ$1,0))</f>
        <v>-0.3</v>
      </c>
      <c r="H53" s="65">
        <f ca="1">INDEX(Calculations!$A:$GV,MATCH("Contribution of Consumption Growth to Real GDP",Calculations!B$1:B$71,0),MATCH($B53,Calculations!A$9:GV$9))</f>
        <v>-0.51654563909828122</v>
      </c>
    </row>
    <row r="54" spans="1:8" x14ac:dyDescent="0.25">
      <c r="A54" t="str">
        <f>CONCATENATE(RIGHT(HaverPull!A179,4), ",",LEFT(HaverPull!A179,2))</f>
        <v>2013,Q1</v>
      </c>
      <c r="B54" s="64">
        <f>INDEX(Calculations!$9:$9, , ROW()+121)</f>
        <v>41364</v>
      </c>
      <c r="C54" s="65">
        <f ca="1">INDEX(Calculations!$1:$80, MATCH("Fiscal_Impact", Calculations!$B:$B, 0), MATCH(fiscal_ifinal!$B54, Calculations!$9:$9, 0))</f>
        <v>-1.1463098254253639</v>
      </c>
      <c r="D54" s="66">
        <f>INDEX(Calculations!$1:$80, MATCH("RecessionDummy", Calculations!$B:$B, 0), MATCH(fiscal_ifinal!$B54, Calculations!$9:$9, 0))</f>
        <v>0</v>
      </c>
      <c r="E54" s="65">
        <f ca="1">INDEX(Calculations!$1:$80, MATCH("Fiscal_Impact_bars", Calculations!$B:$B, 0), MATCH(fiscal_ifinal!$B54, Calculations!$9:$9, 0))</f>
        <v>-1.6710510219786339</v>
      </c>
      <c r="F54" s="65">
        <f>INDEX(HaverPull!$B:$XZ,MATCH($B54,HaverPull!$B:$B,0),MATCH("Contribution to %Ch in Real GDP from ""Federal G""",HaverPull!$B$1:$XZ$1,0))</f>
        <v>-0.86</v>
      </c>
      <c r="G54" s="65">
        <f>INDEX(HaverPull!$B:$XZ,MATCH($B54,HaverPull!$B:$B,0),MATCH("Contribution to %Ch in Real GDP from ""S+L G""",HaverPull!$B$1:$XZ$1,0))</f>
        <v>0.02</v>
      </c>
      <c r="H54" s="65">
        <f ca="1">INDEX(Calculations!$A:$GV,MATCH("Contribution of Consumption Growth to Real GDP",Calculations!B$1:B$71,0),MATCH($B54,Calculations!A$9:GV$9))</f>
        <v>-0.84105102197863391</v>
      </c>
    </row>
    <row r="55" spans="1:8" x14ac:dyDescent="0.25">
      <c r="A55" t="str">
        <f>CONCATENATE(RIGHT(HaverPull!A180,4), ",",LEFT(HaverPull!A180,2))</f>
        <v>2013,Q2</v>
      </c>
      <c r="B55" s="64">
        <f>INDEX(Calculations!$9:$9, , ROW()+121)</f>
        <v>41455</v>
      </c>
      <c r="C55" s="65">
        <f ca="1">INDEX(Calculations!$1:$80, MATCH("Fiscal_Impact", Calculations!$B:$B, 0), MATCH(fiscal_ifinal!$B55, Calculations!$9:$9, 0))</f>
        <v>-1.2046362985219579</v>
      </c>
      <c r="D55" s="66">
        <f>INDEX(Calculations!$1:$80, MATCH("RecessionDummy", Calculations!$B:$B, 0), MATCH(fiscal_ifinal!$B55, Calculations!$9:$9, 0))</f>
        <v>0</v>
      </c>
      <c r="E55" s="65">
        <f ca="1">INDEX(Calculations!$1:$80, MATCH("Fiscal_Impact_bars", Calculations!$B:$B, 0), MATCH(fiscal_ifinal!$B55, Calculations!$9:$9, 0))</f>
        <v>-1.2319862373410702</v>
      </c>
      <c r="F55" s="65">
        <f>INDEX(HaverPull!$B:$XZ,MATCH($B55,HaverPull!$B:$B,0),MATCH("Contribution to %Ch in Real GDP from ""Federal G""",HaverPull!$B$1:$XZ$1,0))</f>
        <v>-0.41</v>
      </c>
      <c r="G55" s="65">
        <f>INDEX(HaverPull!$B:$XZ,MATCH($B55,HaverPull!$B:$B,0),MATCH("Contribution to %Ch in Real GDP from ""S+L G""",HaverPull!$B$1:$XZ$1,0))</f>
        <v>0.03</v>
      </c>
      <c r="H55" s="65">
        <f ca="1">INDEX(Calculations!$A:$GV,MATCH("Contribution of Consumption Growth to Real GDP",Calculations!B$1:B$71,0),MATCH($B55,Calculations!A$9:GV$9))</f>
        <v>-0.86198623734107016</v>
      </c>
    </row>
    <row r="56" spans="1:8" x14ac:dyDescent="0.25">
      <c r="A56" t="str">
        <f>CONCATENATE(RIGHT(HaverPull!A181,4), ",",LEFT(HaverPull!A181,2))</f>
        <v>2013,Q3</v>
      </c>
      <c r="B56" s="64">
        <f>INDEX(Calculations!$9:$9, , ROW()+121)</f>
        <v>41547</v>
      </c>
      <c r="C56" s="65">
        <f ca="1">INDEX(Calculations!$1:$80, MATCH("Fiscal_Impact", Calculations!$B:$B, 0), MATCH(fiscal_ifinal!$B56, Calculations!$9:$9, 0))</f>
        <v>-1.2381713660940719</v>
      </c>
      <c r="D56" s="66">
        <f>INDEX(Calculations!$1:$80, MATCH("RecessionDummy", Calculations!$B:$B, 0), MATCH(fiscal_ifinal!$B56, Calculations!$9:$9, 0))</f>
        <v>0</v>
      </c>
      <c r="E56" s="65">
        <f ca="1">INDEX(Calculations!$1:$80, MATCH("Fiscal_Impact_bars", Calculations!$B:$B, 0), MATCH(fiscal_ifinal!$B56, Calculations!$9:$9, 0))</f>
        <v>-0.78310256595830219</v>
      </c>
      <c r="F56" s="65">
        <f>INDEX(HaverPull!$B:$XZ,MATCH($B56,HaverPull!$B:$B,0),MATCH("Contribution to %Ch in Real GDP from ""Federal G""",HaverPull!$B$1:$XZ$1,0))</f>
        <v>-0.39</v>
      </c>
      <c r="G56" s="65">
        <f>INDEX(HaverPull!$B:$XZ,MATCH($B56,HaverPull!$B:$B,0),MATCH("Contribution to %Ch in Real GDP from ""S+L G""",HaverPull!$B$1:$XZ$1,0))</f>
        <v>0.01</v>
      </c>
      <c r="H56" s="65">
        <f ca="1">INDEX(Calculations!$A:$GV,MATCH("Contribution of Consumption Growth to Real GDP",Calculations!B$1:B$71,0),MATCH($B56,Calculations!A$9:GV$9))</f>
        <v>-0.41310256595830214</v>
      </c>
    </row>
    <row r="57" spans="1:8" x14ac:dyDescent="0.25">
      <c r="A57" t="str">
        <f>CONCATENATE(RIGHT(HaverPull!A182,4), ",",LEFT(HaverPull!A182,2))</f>
        <v>2013,Q4</v>
      </c>
      <c r="B57" s="64">
        <f>INDEX(Calculations!$9:$9, , ROW()+121)</f>
        <v>41639</v>
      </c>
      <c r="C57" s="65">
        <f ca="1">INDEX(Calculations!$1:$80, MATCH("Fiscal_Impact", Calculations!$B:$B, 0), MATCH(fiscal_ifinal!$B57, Calculations!$9:$9, 0))</f>
        <v>-1.1666257934698181</v>
      </c>
      <c r="D57" s="66">
        <f>INDEX(Calculations!$1:$80, MATCH("RecessionDummy", Calculations!$B:$B, 0), MATCH(fiscal_ifinal!$B57, Calculations!$9:$9, 0))</f>
        <v>0</v>
      </c>
      <c r="E57" s="65">
        <f ca="1">INDEX(Calculations!$1:$80, MATCH("Fiscal_Impact_bars", Calculations!$B:$B, 0), MATCH(fiscal_ifinal!$B57, Calculations!$9:$9, 0))</f>
        <v>-0.98036334860126684</v>
      </c>
      <c r="F57" s="65">
        <f>INDEX(HaverPull!$B:$XZ,MATCH($B57,HaverPull!$B:$B,0),MATCH("Contribution to %Ch in Real GDP from ""Federal G""",HaverPull!$B$1:$XZ$1,0))</f>
        <v>-0.42</v>
      </c>
      <c r="G57" s="65">
        <f>INDEX(HaverPull!$B:$XZ,MATCH($B57,HaverPull!$B:$B,0),MATCH("Contribution to %Ch in Real GDP from ""S+L G""",HaverPull!$B$1:$XZ$1,0))</f>
        <v>-0.11</v>
      </c>
      <c r="H57" s="65">
        <f ca="1">INDEX(Calculations!$A:$GV,MATCH("Contribution of Consumption Growth to Real GDP",Calculations!B$1:B$71,0),MATCH($B57,Calculations!A$9:GV$9))</f>
        <v>-0.45036334860126687</v>
      </c>
    </row>
    <row r="58" spans="1:8" x14ac:dyDescent="0.25">
      <c r="A58" t="str">
        <f>CONCATENATE(RIGHT(HaverPull!A183,4), ",",LEFT(HaverPull!A183,2))</f>
        <v>2014,Q1</v>
      </c>
      <c r="B58" s="64">
        <f>INDEX(Calculations!$9:$9, , ROW()+121)</f>
        <v>41729</v>
      </c>
      <c r="C58" s="65">
        <f ca="1">INDEX(Calculations!$1:$80, MATCH("Fiscal_Impact", Calculations!$B:$B, 0), MATCH(fiscal_ifinal!$B58, Calculations!$9:$9, 0))</f>
        <v>-0.92587990406803677</v>
      </c>
      <c r="D58" s="66">
        <f>INDEX(Calculations!$1:$80, MATCH("RecessionDummy", Calculations!$B:$B, 0), MATCH(fiscal_ifinal!$B58, Calculations!$9:$9, 0))</f>
        <v>0</v>
      </c>
      <c r="E58" s="65">
        <f ca="1">INDEX(Calculations!$1:$80, MATCH("Fiscal_Impact_bars", Calculations!$B:$B, 0), MATCH(fiscal_ifinal!$B58, Calculations!$9:$9, 0))</f>
        <v>-0.70806746437150803</v>
      </c>
      <c r="F58" s="65">
        <f>INDEX(HaverPull!$B:$XZ,MATCH($B58,HaverPull!$B:$B,0),MATCH("Contribution to %Ch in Real GDP from ""Federal G""",HaverPull!$B$1:$XZ$1,0))</f>
        <v>-0.03</v>
      </c>
      <c r="G58" s="65">
        <f>INDEX(HaverPull!$B:$XZ,MATCH($B58,HaverPull!$B:$B,0),MATCH("Contribution to %Ch in Real GDP from ""S+L G""",HaverPull!$B$1:$XZ$1,0))</f>
        <v>-0.09</v>
      </c>
      <c r="H58" s="65">
        <f ca="1">INDEX(Calculations!$A:$GV,MATCH("Contribution of Consumption Growth to Real GDP",Calculations!B$1:B$71,0),MATCH($B58,Calculations!A$9:GV$9))</f>
        <v>-0.59806746437150804</v>
      </c>
    </row>
    <row r="59" spans="1:8" x14ac:dyDescent="0.25">
      <c r="A59" t="str">
        <f>CONCATENATE(RIGHT(HaverPull!A184,4), ",",LEFT(HaverPull!A184,2))</f>
        <v>2014,Q2</v>
      </c>
      <c r="B59" s="64">
        <f>INDEX(Calculations!$9:$9, , ROW()+121)</f>
        <v>41820</v>
      </c>
      <c r="C59" s="65">
        <f ca="1">INDEX(Calculations!$1:$80, MATCH("Fiscal_Impact", Calculations!$B:$B, 0), MATCH(fiscal_ifinal!$B59, Calculations!$9:$9, 0))</f>
        <v>-0.6656451664968398</v>
      </c>
      <c r="D59" s="66">
        <f>INDEX(Calculations!$1:$80, MATCH("RecessionDummy", Calculations!$B:$B, 0), MATCH(fiscal_ifinal!$B59, Calculations!$9:$9, 0))</f>
        <v>0</v>
      </c>
      <c r="E59" s="65">
        <f ca="1">INDEX(Calculations!$1:$80, MATCH("Fiscal_Impact_bars", Calculations!$B:$B, 0), MATCH(fiscal_ifinal!$B59, Calculations!$9:$9, 0))</f>
        <v>-0.19104728705628188</v>
      </c>
      <c r="F59" s="65">
        <f>INDEX(HaverPull!$B:$XZ,MATCH($B59,HaverPull!$B:$B,0),MATCH("Contribution to %Ch in Real GDP from ""Federal G""",HaverPull!$B$1:$XZ$1,0))</f>
        <v>-0.11</v>
      </c>
      <c r="G59" s="65">
        <f>INDEX(HaverPull!$B:$XZ,MATCH($B59,HaverPull!$B:$B,0),MATCH("Contribution to %Ch in Real GDP from ""S+L G""",HaverPull!$B$1:$XZ$1,0))</f>
        <v>0.31</v>
      </c>
      <c r="H59" s="65">
        <f ca="1">INDEX(Calculations!$A:$GV,MATCH("Contribution of Consumption Growth to Real GDP",Calculations!B$1:B$71,0),MATCH($B59,Calculations!A$9:GV$9))</f>
        <v>-0.39104728705628189</v>
      </c>
    </row>
    <row r="60" spans="1:8" x14ac:dyDescent="0.25">
      <c r="A60" t="str">
        <f>CONCATENATE(RIGHT(HaverPull!A185,4), ",",LEFT(HaverPull!A185,2))</f>
        <v>2014,Q3</v>
      </c>
      <c r="B60" s="64">
        <f>INDEX(Calculations!$9:$9, , ROW()+121)</f>
        <v>41912</v>
      </c>
      <c r="C60" s="65">
        <f ca="1">INDEX(Calculations!$1:$80, MATCH("Fiscal_Impact", Calculations!$B:$B, 0), MATCH(fiscal_ifinal!$B60, Calculations!$9:$9, 0))</f>
        <v>-0.44899561469127514</v>
      </c>
      <c r="D60" s="66">
        <f>INDEX(Calculations!$1:$80, MATCH("RecessionDummy", Calculations!$B:$B, 0), MATCH(fiscal_ifinal!$B60, Calculations!$9:$9, 0))</f>
        <v>0</v>
      </c>
      <c r="E60" s="65">
        <f ca="1">INDEX(Calculations!$1:$80, MATCH("Fiscal_Impact_bars", Calculations!$B:$B, 0), MATCH(fiscal_ifinal!$B60, Calculations!$9:$9, 0))</f>
        <v>8.3495641263956144E-2</v>
      </c>
      <c r="F60" s="65">
        <f>INDEX(HaverPull!$B:$XZ,MATCH($B60,HaverPull!$B:$B,0),MATCH("Contribution to %Ch in Real GDP from ""Federal G""",HaverPull!$B$1:$XZ$1,0))</f>
        <v>0.22</v>
      </c>
      <c r="G60" s="65">
        <f>INDEX(HaverPull!$B:$XZ,MATCH($B60,HaverPull!$B:$B,0),MATCH("Contribution to %Ch in Real GDP from ""S+L G""",HaverPull!$B$1:$XZ$1,0))</f>
        <v>0.17</v>
      </c>
      <c r="H60" s="65">
        <f ca="1">INDEX(Calculations!$A:$GV,MATCH("Contribution of Consumption Growth to Real GDP",Calculations!B$1:B$71,0),MATCH($B60,Calculations!A$9:GV$9))</f>
        <v>-0.30650435873604387</v>
      </c>
    </row>
    <row r="61" spans="1:8" x14ac:dyDescent="0.25">
      <c r="A61" t="str">
        <f>CONCATENATE(RIGHT(HaverPull!A186,4), ",",LEFT(HaverPull!A186,2))</f>
        <v>2014,Q4</v>
      </c>
      <c r="B61" s="64">
        <f>INDEX(Calculations!$9:$9, , ROW()+121)</f>
        <v>42004</v>
      </c>
      <c r="C61" s="65">
        <f ca="1">INDEX(Calculations!$1:$80, MATCH("Fiscal_Impact", Calculations!$B:$B, 0), MATCH(fiscal_ifinal!$B61, Calculations!$9:$9, 0))</f>
        <v>-0.28573567892797985</v>
      </c>
      <c r="D61" s="66">
        <f>INDEX(Calculations!$1:$80, MATCH("RecessionDummy", Calculations!$B:$B, 0), MATCH(fiscal_ifinal!$B61, Calculations!$9:$9, 0))</f>
        <v>0</v>
      </c>
      <c r="E61" s="65">
        <f ca="1">INDEX(Calculations!$1:$80, MATCH("Fiscal_Impact_bars", Calculations!$B:$B, 0), MATCH(fiscal_ifinal!$B61, Calculations!$9:$9, 0))</f>
        <v>-0.32732360554808565</v>
      </c>
      <c r="F61" s="65">
        <f>INDEX(HaverPull!$B:$XZ,MATCH($B61,HaverPull!$B:$B,0),MATCH("Contribution to %Ch in Real GDP from ""Federal G""",HaverPull!$B$1:$XZ$1,0))</f>
        <v>-0.4</v>
      </c>
      <c r="G61" s="65">
        <f>INDEX(HaverPull!$B:$XZ,MATCH($B61,HaverPull!$B:$B,0),MATCH("Contribution to %Ch in Real GDP from ""S+L G""",HaverPull!$B$1:$XZ$1,0))</f>
        <v>0.28000000000000003</v>
      </c>
      <c r="H61" s="65">
        <f ca="1">INDEX(Calculations!$A:$GV,MATCH("Contribution of Consumption Growth to Real GDP",Calculations!B$1:B$71,0),MATCH($B61,Calculations!A$9:GV$9))</f>
        <v>-0.21732360554808566</v>
      </c>
    </row>
    <row r="62" spans="1:8" x14ac:dyDescent="0.25">
      <c r="A62" t="str">
        <f>CONCATENATE(RIGHT(HaverPull!A187,4), ",",LEFT(HaverPull!A187,2))</f>
        <v>2015,Q1</v>
      </c>
      <c r="B62" s="64">
        <f>INDEX(Calculations!$9:$9, , ROW()+121)</f>
        <v>42094</v>
      </c>
      <c r="C62" s="65">
        <f ca="1">INDEX(Calculations!$1:$80, MATCH("Fiscal_Impact", Calculations!$B:$B, 0), MATCH(fiscal_ifinal!$B62, Calculations!$9:$9, 0))</f>
        <v>-4.7958077572838861E-2</v>
      </c>
      <c r="D62" s="66">
        <f>INDEX(Calculations!$1:$80, MATCH("RecessionDummy", Calculations!$B:$B, 0), MATCH(fiscal_ifinal!$B62, Calculations!$9:$9, 0))</f>
        <v>0</v>
      </c>
      <c r="E62" s="65">
        <f ca="1">INDEX(Calculations!$1:$80, MATCH("Fiscal_Impact_bars", Calculations!$B:$B, 0), MATCH(fiscal_ifinal!$B62, Calculations!$9:$9, 0))</f>
        <v>0.24304294104905594</v>
      </c>
      <c r="F62" s="65">
        <f>INDEX(HaverPull!$B:$XZ,MATCH($B62,HaverPull!$B:$B,0),MATCH("Contribution to %Ch in Real GDP from ""Federal G""",HaverPull!$B$1:$XZ$1,0))</f>
        <v>0.11</v>
      </c>
      <c r="G62" s="65">
        <f>INDEX(HaverPull!$B:$XZ,MATCH($B62,HaverPull!$B:$B,0),MATCH("Contribution to %Ch in Real GDP from ""S+L G""",HaverPull!$B$1:$XZ$1,0))</f>
        <v>0.17</v>
      </c>
      <c r="H62" s="65">
        <f ca="1">INDEX(Calculations!$A:$GV,MATCH("Contribution of Consumption Growth to Real GDP",Calculations!B$1:B$71,0),MATCH($B62,Calculations!A$9:GV$9))</f>
        <v>-2.695705895094409E-2</v>
      </c>
    </row>
    <row r="63" spans="1:8" x14ac:dyDescent="0.25">
      <c r="A63" t="str">
        <f>CONCATENATE(RIGHT(HaverPull!A188,4), ",",LEFT(HaverPull!A188,2))</f>
        <v>2015,Q2</v>
      </c>
      <c r="B63" s="64">
        <f>INDEX(Calculations!$9:$9, , ROW()+121)</f>
        <v>42185</v>
      </c>
      <c r="C63" s="65">
        <f ca="1">INDEX(Calculations!$1:$80, MATCH("Fiscal_Impact", Calculations!$B:$B, 0), MATCH(fiscal_ifinal!$B63, Calculations!$9:$9, 0))</f>
        <v>0.14702002722759669</v>
      </c>
      <c r="D63" s="66">
        <f>INDEX(Calculations!$1:$80, MATCH("RecessionDummy", Calculations!$B:$B, 0), MATCH(fiscal_ifinal!$B63, Calculations!$9:$9, 0))</f>
        <v>0</v>
      </c>
      <c r="E63" s="65">
        <f ca="1">INDEX(Calculations!$1:$80, MATCH("Fiscal_Impact_bars", Calculations!$B:$B, 0), MATCH(fiscal_ifinal!$B63, Calculations!$9:$9, 0))</f>
        <v>0.58886513214546032</v>
      </c>
      <c r="F63" s="65">
        <f>INDEX(HaverPull!$B:$XZ,MATCH($B63,HaverPull!$B:$B,0),MATCH("Contribution to %Ch in Real GDP from ""Federal G""",HaverPull!$B$1:$XZ$1,0))</f>
        <v>0.12</v>
      </c>
      <c r="G63" s="65">
        <f>INDEX(HaverPull!$B:$XZ,MATCH($B63,HaverPull!$B:$B,0),MATCH("Contribution to %Ch in Real GDP from ""S+L G""",HaverPull!$B$1:$XZ$1,0))</f>
        <v>0.48</v>
      </c>
      <c r="H63" s="65">
        <f ca="1">INDEX(Calculations!$A:$GV,MATCH("Contribution of Consumption Growth to Real GDP",Calculations!B$1:B$71,0),MATCH($B63,Calculations!A$9:GV$9))</f>
        <v>-1.1134867854539611E-2</v>
      </c>
    </row>
    <row r="64" spans="1:8" x14ac:dyDescent="0.25">
      <c r="A64" t="str">
        <f>CONCATENATE(RIGHT(HaverPull!A189,4), ",",LEFT(HaverPull!A189,2))</f>
        <v>2015,Q3</v>
      </c>
      <c r="B64" s="64">
        <f>INDEX(Calculations!$9:$9, , ROW()+121)</f>
        <v>42277</v>
      </c>
      <c r="C64" s="65">
        <f ca="1">INDEX(Calculations!$1:$80, MATCH("Fiscal_Impact", Calculations!$B:$B, 0), MATCH(fiscal_ifinal!$B64, Calculations!$9:$9, 0))</f>
        <v>0.17020811659797846</v>
      </c>
      <c r="D64" s="66">
        <f>INDEX(Calculations!$1:$80, MATCH("RecessionDummy", Calculations!$B:$B, 0), MATCH(fiscal_ifinal!$B64, Calculations!$9:$9, 0))</f>
        <v>0</v>
      </c>
      <c r="E64" s="65">
        <f ca="1">INDEX(Calculations!$1:$80, MATCH("Fiscal_Impact_bars", Calculations!$B:$B, 0), MATCH(fiscal_ifinal!$B64, Calculations!$9:$9, 0))</f>
        <v>0.17624799874548325</v>
      </c>
      <c r="F64" s="65">
        <f>INDEX(HaverPull!$B:$XZ,MATCH($B64,HaverPull!$B:$B,0),MATCH("Contribution to %Ch in Real GDP from ""Federal G""",HaverPull!$B$1:$XZ$1,0))</f>
        <v>-7.0000000000000007E-2</v>
      </c>
      <c r="G64" s="65">
        <f>INDEX(HaverPull!$B:$XZ,MATCH($B64,HaverPull!$B:$B,0),MATCH("Contribution to %Ch in Real GDP from ""S+L G""",HaverPull!$B$1:$XZ$1,0))</f>
        <v>0.28000000000000003</v>
      </c>
      <c r="H64" s="65">
        <f ca="1">INDEX(Calculations!$A:$GV,MATCH("Contribution of Consumption Growth to Real GDP",Calculations!B$1:B$71,0),MATCH($B64,Calculations!A$9:GV$9))</f>
        <v>-3.3752001254516752E-2</v>
      </c>
    </row>
    <row r="65" spans="1:8" x14ac:dyDescent="0.25">
      <c r="A65" t="str">
        <f>CONCATENATE(RIGHT(HaverPull!A190,4), ",",LEFT(HaverPull!A190,2))</f>
        <v>2015,Q4</v>
      </c>
      <c r="B65" s="64">
        <f>INDEX(Calculations!$9:$9, , ROW()+121)</f>
        <v>42369</v>
      </c>
      <c r="C65" s="65">
        <f ca="1">INDEX(Calculations!$1:$80, MATCH("Fiscal_Impact", Calculations!$B:$B, 0), MATCH(fiscal_ifinal!$B65, Calculations!$9:$9, 0))</f>
        <v>0.22720544770571147</v>
      </c>
      <c r="D65" s="66">
        <f>INDEX(Calculations!$1:$80, MATCH("RecessionDummy", Calculations!$B:$B, 0), MATCH(fiscal_ifinal!$B65, Calculations!$9:$9, 0))</f>
        <v>0</v>
      </c>
      <c r="E65" s="65">
        <f ca="1">INDEX(Calculations!$1:$80, MATCH("Fiscal_Impact_bars", Calculations!$B:$B, 0), MATCH(fiscal_ifinal!$B65, Calculations!$9:$9, 0))</f>
        <v>-9.9334281117153658E-2</v>
      </c>
      <c r="F65" s="65">
        <f>INDEX(HaverPull!$B:$XZ,MATCH($B65,HaverPull!$B:$B,0),MATCH("Contribution to %Ch in Real GDP from ""Federal G""",HaverPull!$B$1:$XZ$1,0))</f>
        <v>0.17</v>
      </c>
      <c r="G65" s="65">
        <f>INDEX(HaverPull!$B:$XZ,MATCH($B65,HaverPull!$B:$B,0),MATCH("Contribution to %Ch in Real GDP from ""S+L G""",HaverPull!$B$1:$XZ$1,0))</f>
        <v>-0.12</v>
      </c>
      <c r="H65" s="65">
        <f ca="1">INDEX(Calculations!$A:$GV,MATCH("Contribution of Consumption Growth to Real GDP",Calculations!B$1:B$71,0),MATCH($B65,Calculations!A$9:GV$9))</f>
        <v>-0.14933428111715366</v>
      </c>
    </row>
    <row r="66" spans="1:8" x14ac:dyDescent="0.25">
      <c r="A66" t="str">
        <f>CONCATENATE(RIGHT(HaverPull!A191,4), ",",LEFT(HaverPull!A191,2))</f>
        <v>2016,Q1</v>
      </c>
      <c r="B66" s="64">
        <f>INDEX(Calculations!$9:$9, , ROW()+121)</f>
        <v>42460</v>
      </c>
      <c r="C66" s="65">
        <f ca="1">INDEX(Calculations!$1:$80, MATCH("Fiscal_Impact", Calculations!$B:$B, 0), MATCH(fiscal_ifinal!$B66, Calculations!$9:$9, 0))</f>
        <v>0.25027903589697159</v>
      </c>
      <c r="D66" s="66">
        <f>INDEX(Calculations!$1:$80, MATCH("RecessionDummy", Calculations!$B:$B, 0), MATCH(fiscal_ifinal!$B66, Calculations!$9:$9, 0))</f>
        <v>0</v>
      </c>
      <c r="E66" s="65">
        <f ca="1">INDEX(Calculations!$1:$80, MATCH("Fiscal_Impact_bars", Calculations!$B:$B, 0), MATCH(fiscal_ifinal!$B66, Calculations!$9:$9, 0))</f>
        <v>0.33533729381409649</v>
      </c>
      <c r="F66" s="65">
        <f>INDEX(HaverPull!$B:$XZ,MATCH($B66,HaverPull!$B:$B,0),MATCH("Contribution to %Ch in Real GDP from ""Federal G""",HaverPull!$B$1:$XZ$1,0))</f>
        <v>-0.1</v>
      </c>
      <c r="G66" s="65">
        <f>INDEX(HaverPull!$B:$XZ,MATCH($B66,HaverPull!$B:$B,0),MATCH("Contribution to %Ch in Real GDP from ""S+L G""",HaverPull!$B$1:$XZ$1,0))</f>
        <v>0.42</v>
      </c>
      <c r="H66" s="65">
        <f ca="1">INDEX(Calculations!$A:$GV,MATCH("Contribution of Consumption Growth to Real GDP",Calculations!B$1:B$71,0),MATCH($B66,Calculations!A$9:GV$9))</f>
        <v>1.533729381409646E-2</v>
      </c>
    </row>
    <row r="67" spans="1:8" x14ac:dyDescent="0.25">
      <c r="A67" t="str">
        <f>CONCATENATE(RIGHT(HaverPull!A192,4), ",",LEFT(HaverPull!A192,2))</f>
        <v>2016,Q2</v>
      </c>
      <c r="B67" s="64">
        <f>INDEX(Calculations!$9:$9, , ROW()+121)</f>
        <v>42551</v>
      </c>
      <c r="C67" s="65">
        <f ca="1">INDEX(Calculations!$1:$80, MATCH("Fiscal_Impact", Calculations!$B:$B, 0), MATCH(fiscal_ifinal!$B67, Calculations!$9:$9, 0))</f>
        <v>6.8208563987255832E-2</v>
      </c>
      <c r="D67" s="66">
        <f>INDEX(Calculations!$1:$80, MATCH("RecessionDummy", Calculations!$B:$B, 0), MATCH(fiscal_ifinal!$B67, Calculations!$9:$9, 0))</f>
        <v>0</v>
      </c>
      <c r="E67" s="65">
        <f ca="1">INDEX(Calculations!$1:$80, MATCH("Fiscal_Impact_bars", Calculations!$B:$B, 0), MATCH(fiscal_ifinal!$B67, Calculations!$9:$9, 0))</f>
        <v>-0.13941675549340279</v>
      </c>
      <c r="F67" s="65">
        <f>INDEX(HaverPull!$B:$XZ,MATCH($B67,HaverPull!$B:$B,0),MATCH("Contribution to %Ch in Real GDP from ""Federal G""",HaverPull!$B$1:$XZ$1,0))</f>
        <v>-0.06</v>
      </c>
      <c r="G67" s="65">
        <f>INDEX(HaverPull!$B:$XZ,MATCH($B67,HaverPull!$B:$B,0),MATCH("Contribution to %Ch in Real GDP from ""S+L G""",HaverPull!$B$1:$XZ$1,0))</f>
        <v>-0.11</v>
      </c>
      <c r="H67" s="65">
        <f ca="1">INDEX(Calculations!$A:$GV,MATCH("Contribution of Consumption Growth to Real GDP",Calculations!B$1:B$71,0),MATCH($B67,Calculations!A$9:GV$9))</f>
        <v>2.0583244506597213E-2</v>
      </c>
    </row>
    <row r="68" spans="1:8" x14ac:dyDescent="0.25">
      <c r="A68" t="str">
        <f>CONCATENATE(RIGHT(HaverPull!A193,4), ",",LEFT(HaverPull!A193,2))</f>
        <v>2016,Q3</v>
      </c>
      <c r="B68" s="64">
        <f>INDEX(Calculations!$9:$9, , ROW()+121)</f>
        <v>42643</v>
      </c>
      <c r="C68" s="70">
        <f ca="1">INDEX(Calculations!$1:$80, MATCH("Fiscal_Impact", Calculations!$B:$B, 0), MATCH(fiscal_ifinal!$B68, Calculations!$9:$9, 0))</f>
        <v>7.1637118925393997E-3</v>
      </c>
      <c r="D68" s="66">
        <f>INDEX(Calculations!$1:$80, MATCH("RecessionDummy", Calculations!$B:$B, 0), MATCH(fiscal_ifinal!$B68, Calculations!$9:$9, 0))</f>
        <v>0</v>
      </c>
      <c r="E68" s="70">
        <f ca="1">INDEX(Calculations!$1:$80, MATCH("Fiscal_Impact_bars", Calculations!$B:$B, 0), MATCH(fiscal_ifinal!$B68, Calculations!$9:$9, 0))</f>
        <v>-6.7931409633382456E-2</v>
      </c>
      <c r="F68" s="65">
        <f>INDEX(HaverPull!$B:$XZ,MATCH($B68,HaverPull!$B:$B,0),MATCH("Contribution to %Ch in Real GDP from ""Federal G""",HaverPull!$B$1:$XZ$1,0))</f>
        <v>0.11</v>
      </c>
      <c r="G68" s="65">
        <f>INDEX(HaverPull!$B:$XZ,MATCH($B68,HaverPull!$B:$B,0),MATCH("Contribution to %Ch in Real GDP from ""S+L G""",HaverPull!$B$1:$XZ$1,0))</f>
        <v>-0.02</v>
      </c>
      <c r="H68" s="65">
        <f ca="1">INDEX(Calculations!$A:$GV,MATCH("Contribution of Consumption Growth to Real GDP",Calculations!B$1:B$71,0),MATCH($B68,Calculations!A$9:GV$9))</f>
        <v>-0.15793140963338245</v>
      </c>
    </row>
    <row r="69" spans="1:8" x14ac:dyDescent="0.25">
      <c r="A69" t="str">
        <f>CONCATENATE(RIGHT(HaverPull!A194,4), ",",LEFT(HaverPull!A194,2))</f>
        <v>2016,Q4</v>
      </c>
      <c r="B69" s="64">
        <f>INDEX(Calculations!$9:$9, , ROW()+121)</f>
        <v>42735</v>
      </c>
      <c r="C69" s="70">
        <f ca="1">INDEX(Calculations!$1:$80, MATCH("Fiscal_Impact", Calculations!$B:$B, 0), MATCH(fiscal_ifinal!$B69, Calculations!$9:$9, 0))</f>
        <v>5.0005639746829741E-2</v>
      </c>
      <c r="D69" s="66">
        <f>INDEX(Calculations!$1:$80, MATCH("RecessionDummy", Calculations!$B:$B, 0), MATCH(fiscal_ifinal!$B69, Calculations!$9:$9, 0))</f>
        <v>0</v>
      </c>
      <c r="E69" s="70">
        <f ca="1">INDEX(Calculations!$1:$80, MATCH("Fiscal_Impact_bars", Calculations!$B:$B, 0), MATCH(fiscal_ifinal!$B69, Calculations!$9:$9, 0))</f>
        <v>7.2033430300007723E-2</v>
      </c>
      <c r="F69" s="65">
        <f>INDEX(HaverPull!$B:$XZ,MATCH($B69,HaverPull!$B:$B,0),MATCH("Contribution to %Ch in Real GDP from ""Federal G""",HaverPull!$B$1:$XZ$1,0))</f>
        <v>-0.03</v>
      </c>
      <c r="G69" s="65">
        <f>INDEX(HaverPull!$B:$XZ,MATCH($B69,HaverPull!$B:$B,0),MATCH("Contribution to %Ch in Real GDP from ""S+L G""",HaverPull!$B$1:$XZ$1,0))</f>
        <v>0.06</v>
      </c>
      <c r="H69" s="65">
        <f ca="1">INDEX(Calculations!$A:$GV,MATCH("Contribution of Consumption Growth to Real GDP",Calculations!B$1:B$71,0),MATCH($B69,Calculations!A$9:GV$9))</f>
        <v>4.2033430300007717E-2</v>
      </c>
    </row>
    <row r="70" spans="1:8" x14ac:dyDescent="0.25">
      <c r="A70" t="str">
        <f>CONCATENATE(RIGHT(HaverPull!A195,4), ",",LEFT(HaverPull!A195,2))</f>
        <v>2017,Q1</v>
      </c>
      <c r="B70" s="64">
        <f>INDEX(Calculations!$9:$9, , ROW()+121)</f>
        <v>42825</v>
      </c>
      <c r="C70" s="70">
        <f ca="1">INDEX(Calculations!$1:$80, MATCH("Fiscal_Impact", Calculations!$B:$B, 0), MATCH(fiscal_ifinal!$B70, Calculations!$9:$9, 0))</f>
        <v>-3.9625201929108705E-2</v>
      </c>
      <c r="D70" s="66">
        <f>INDEX(Calculations!$1:$80, MATCH("RecessionDummy", Calculations!$B:$B, 0), MATCH(fiscal_ifinal!$B70, Calculations!$9:$9, 0))</f>
        <v>0</v>
      </c>
      <c r="E70" s="70">
        <f ca="1">INDEX(Calculations!$1:$80, MATCH("Fiscal_Impact_bars", Calculations!$B:$B, 0), MATCH(fiscal_ifinal!$B70, Calculations!$9:$9, 0))</f>
        <v>-2.318607288965728E-2</v>
      </c>
      <c r="F70" s="65">
        <f>INDEX(HaverPull!$B:$XZ,MATCH($B70,HaverPull!$B:$B,0),MATCH("Contribution to %Ch in Real GDP from ""Federal G""",HaverPull!$B$1:$XZ$1,0))</f>
        <v>-0.16</v>
      </c>
      <c r="G70" s="65">
        <f>INDEX(HaverPull!$B:$XZ,MATCH($B70,HaverPull!$B:$B,0),MATCH("Contribution to %Ch in Real GDP from ""S+L G""",HaverPull!$B$1:$XZ$1,0))</f>
        <v>0.05</v>
      </c>
      <c r="H70" s="65">
        <f ca="1">INDEX(Calculations!$A:$GV,MATCH("Contribution of Consumption Growth to Real GDP",Calculations!B$1:B$71,0),MATCH($B70,Calculations!A$9:GV$9))</f>
        <v>8.681392711034272E-2</v>
      </c>
    </row>
    <row r="71" spans="1:8" x14ac:dyDescent="0.25">
      <c r="A71" t="str">
        <f>CONCATENATE(RIGHT(HaverPull!A196,4), ",",LEFT(HaverPull!A196,2))</f>
        <v>2017,Q2</v>
      </c>
      <c r="B71" s="64">
        <f>INDEX(Calculations!$9:$9, , ROW()+121)</f>
        <v>42916</v>
      </c>
      <c r="C71" s="70">
        <f ca="1">INDEX(Calculations!$1:$80, MATCH("Fiscal_Impact", Calculations!$B:$B, 0), MATCH(fiscal_ifinal!$B71, Calculations!$9:$9, 0))</f>
        <v>-1.3317823050774145E-2</v>
      </c>
      <c r="D71" s="66">
        <f>INDEX(Calculations!$1:$80, MATCH("RecessionDummy", Calculations!$B:$B, 0), MATCH(fiscal_ifinal!$B71, Calculations!$9:$9, 0))</f>
        <v>0</v>
      </c>
      <c r="E71" s="70">
        <f ca="1">INDEX(Calculations!$1:$80, MATCH("Fiscal_Impact_bars", Calculations!$B:$B, 0), MATCH(fiscal_ifinal!$B71, Calculations!$9:$9, 0))</f>
        <v>-3.4187239980064565E-2</v>
      </c>
      <c r="F71" s="65">
        <f>INDEX(HaverPull!$B:$XZ,MATCH($B71,HaverPull!$B:$B,0),MATCH("Contribution to %Ch in Real GDP from ""Federal G""",HaverPull!$B$1:$XZ$1,0))</f>
        <v>0.13</v>
      </c>
      <c r="G71" s="65">
        <f>INDEX(HaverPull!$B:$XZ,MATCH($B71,HaverPull!$B:$B,0),MATCH("Contribution to %Ch in Real GDP from ""S+L G""",HaverPull!$B$1:$XZ$1,0))</f>
        <v>-0.18</v>
      </c>
      <c r="H71" s="65">
        <f ca="1">INDEX(Calculations!$A:$GV,MATCH("Contribution of Consumption Growth to Real GDP",Calculations!B$1:B$71,0),MATCH($B71,Calculations!A$9:GV$9))</f>
        <v>1.5812760019935441E-2</v>
      </c>
    </row>
    <row r="72" spans="1:8" x14ac:dyDescent="0.25">
      <c r="B72" s="64"/>
      <c r="C72" s="70"/>
      <c r="D72" s="66"/>
      <c r="E72" s="70"/>
      <c r="F72" s="65"/>
      <c r="G72" s="65"/>
      <c r="H72" s="65"/>
    </row>
    <row r="73" spans="1:8" x14ac:dyDescent="0.25">
      <c r="B73" s="64"/>
      <c r="C73" s="65"/>
      <c r="D73" s="66"/>
      <c r="E73" s="65"/>
      <c r="F73" s="65"/>
      <c r="G73" s="65"/>
      <c r="H73" s="65"/>
    </row>
    <row r="74" spans="1:8" x14ac:dyDescent="0.25">
      <c r="B74" s="64"/>
      <c r="C74" s="65"/>
      <c r="D74" s="66"/>
      <c r="E74" s="65"/>
      <c r="F74" s="65"/>
      <c r="G74" s="65"/>
      <c r="H74" s="65"/>
    </row>
    <row r="75" spans="1:8" x14ac:dyDescent="0.25">
      <c r="B75" s="64"/>
      <c r="C75" s="65"/>
      <c r="D75" s="66"/>
      <c r="E75" s="65"/>
      <c r="F75" s="65"/>
      <c r="G75" s="65"/>
      <c r="H75" s="65"/>
    </row>
    <row r="76" spans="1:8" x14ac:dyDescent="0.25">
      <c r="B76" s="64"/>
      <c r="C76" s="65"/>
      <c r="D76" s="66"/>
      <c r="E76" s="65"/>
      <c r="F76" s="65"/>
      <c r="G76" s="65"/>
      <c r="H76" s="65"/>
    </row>
    <row r="77" spans="1:8" x14ac:dyDescent="0.25">
      <c r="B77" s="64"/>
      <c r="C77" s="65"/>
      <c r="D77" s="66"/>
      <c r="E77" s="65"/>
      <c r="F77" s="65"/>
      <c r="G77" s="65"/>
      <c r="H77" s="65"/>
    </row>
    <row r="78" spans="1:8" x14ac:dyDescent="0.25">
      <c r="B78" s="64"/>
      <c r="C78" s="65"/>
      <c r="D78" s="66"/>
      <c r="E78" s="65"/>
      <c r="F78" s="65"/>
      <c r="G78" s="65"/>
      <c r="H78" s="65"/>
    </row>
    <row r="79" spans="1:8" x14ac:dyDescent="0.25">
      <c r="B79" s="64"/>
      <c r="C79" s="65"/>
      <c r="D79" s="66"/>
      <c r="E79" s="65"/>
      <c r="F79" s="65"/>
      <c r="G79" s="65"/>
      <c r="H79" s="65"/>
    </row>
    <row r="80" spans="1:8" x14ac:dyDescent="0.25">
      <c r="B80" s="64"/>
      <c r="C80" s="65"/>
      <c r="D80" s="66"/>
      <c r="E80" s="65"/>
      <c r="F80" s="65"/>
      <c r="G80" s="65"/>
      <c r="H80" s="65"/>
    </row>
    <row r="81" spans="2:8" x14ac:dyDescent="0.25">
      <c r="B81" s="64"/>
      <c r="C81" s="65"/>
      <c r="D81" s="66"/>
      <c r="E81" s="65"/>
      <c r="F81" s="65"/>
      <c r="G81" s="65"/>
      <c r="H81" s="65"/>
    </row>
    <row r="82" spans="2:8" x14ac:dyDescent="0.25">
      <c r="B82" s="64"/>
      <c r="C82" s="65"/>
      <c r="D82" s="66"/>
      <c r="E82" s="65"/>
      <c r="F82" s="65"/>
      <c r="G82" s="65"/>
      <c r="H82" s="65"/>
    </row>
    <row r="83" spans="2:8" x14ac:dyDescent="0.25">
      <c r="B83" s="64"/>
      <c r="C83" s="65"/>
      <c r="D83" s="66"/>
      <c r="E83" s="65"/>
      <c r="F83" s="65"/>
      <c r="G83" s="65"/>
      <c r="H83" s="65"/>
    </row>
    <row r="84" spans="2:8" x14ac:dyDescent="0.25">
      <c r="B84" s="64"/>
      <c r="C84" s="65"/>
      <c r="D84" s="66"/>
      <c r="E84" s="65"/>
      <c r="F84" s="65"/>
      <c r="G84" s="65"/>
      <c r="H84" s="65"/>
    </row>
    <row r="85" spans="2:8" x14ac:dyDescent="0.25">
      <c r="B85" s="64"/>
      <c r="C85" s="65"/>
      <c r="D85" s="66"/>
      <c r="E85" s="65"/>
      <c r="F85" s="65"/>
      <c r="G85" s="65"/>
      <c r="H85" s="65"/>
    </row>
    <row r="86" spans="2:8" x14ac:dyDescent="0.25">
      <c r="B86" s="64"/>
      <c r="C86" s="65"/>
      <c r="D86" s="66"/>
      <c r="E86" s="65"/>
      <c r="F86" s="65"/>
      <c r="G86" s="65"/>
      <c r="H86" s="65"/>
    </row>
    <row r="87" spans="2:8" x14ac:dyDescent="0.25">
      <c r="B87" s="64"/>
      <c r="C87" s="65"/>
      <c r="D87" s="66"/>
      <c r="E87" s="65"/>
      <c r="F87" s="65"/>
      <c r="G87" s="65"/>
      <c r="H87" s="65"/>
    </row>
    <row r="88" spans="2:8" x14ac:dyDescent="0.25">
      <c r="B88" s="64"/>
      <c r="C88" s="65"/>
      <c r="D88" s="66"/>
      <c r="E88" s="65"/>
      <c r="F88" s="65"/>
      <c r="G88" s="65"/>
      <c r="H88" s="65"/>
    </row>
    <row r="89" spans="2:8" x14ac:dyDescent="0.25">
      <c r="B89" s="64"/>
      <c r="C89" s="65"/>
      <c r="D89" s="66"/>
      <c r="E89" s="65"/>
      <c r="F89" s="65"/>
      <c r="G89" s="65"/>
      <c r="H89" s="65"/>
    </row>
    <row r="90" spans="2:8" x14ac:dyDescent="0.25">
      <c r="B90" s="64"/>
      <c r="C90" s="65"/>
      <c r="D90" s="66"/>
      <c r="E90" s="65"/>
      <c r="F90" s="65"/>
      <c r="G90" s="65"/>
      <c r="H90" s="65"/>
    </row>
    <row r="91" spans="2:8" x14ac:dyDescent="0.25">
      <c r="B91" s="64"/>
      <c r="C91" s="65"/>
      <c r="D91" s="66"/>
      <c r="E91" s="65"/>
      <c r="F91" s="65"/>
      <c r="G91" s="65"/>
      <c r="H91" s="65"/>
    </row>
    <row r="92" spans="2:8" x14ac:dyDescent="0.25">
      <c r="B92" s="64"/>
      <c r="C92" s="65"/>
      <c r="D92" s="66"/>
      <c r="E92" s="65"/>
      <c r="F92" s="65"/>
      <c r="G92" s="65"/>
      <c r="H92" s="65"/>
    </row>
    <row r="93" spans="2:8" x14ac:dyDescent="0.25">
      <c r="B93" s="64"/>
      <c r="C93" s="65"/>
      <c r="D93" s="66"/>
      <c r="E93" s="65"/>
      <c r="F93" s="65"/>
      <c r="G93" s="65"/>
      <c r="H93" s="65"/>
    </row>
    <row r="94" spans="2:8" x14ac:dyDescent="0.25">
      <c r="B94" s="64"/>
      <c r="C94" s="65"/>
      <c r="D94" s="66"/>
      <c r="E94" s="65"/>
      <c r="F94" s="65"/>
      <c r="G94" s="65"/>
      <c r="H94" s="65"/>
    </row>
    <row r="95" spans="2:8" x14ac:dyDescent="0.25">
      <c r="B95" s="64"/>
      <c r="C95" s="65"/>
      <c r="D95" s="66"/>
      <c r="E95" s="65"/>
      <c r="F95" s="65"/>
      <c r="G95" s="65"/>
      <c r="H95" s="65"/>
    </row>
    <row r="96" spans="2:8" x14ac:dyDescent="0.25">
      <c r="B96" s="64"/>
      <c r="C96" s="65"/>
      <c r="D96" s="66"/>
      <c r="E96" s="65"/>
      <c r="F96" s="65"/>
      <c r="G96" s="65"/>
      <c r="H96" s="65"/>
    </row>
    <row r="97" spans="2:8" x14ac:dyDescent="0.25">
      <c r="B97" s="64"/>
      <c r="C97" s="65"/>
      <c r="D97" s="66"/>
      <c r="E97" s="65"/>
      <c r="F97" s="65"/>
      <c r="G97" s="65"/>
      <c r="H97" s="65"/>
    </row>
    <row r="98" spans="2:8" x14ac:dyDescent="0.25">
      <c r="B98" s="64"/>
      <c r="C98" s="65"/>
      <c r="D98" s="66"/>
      <c r="E98" s="65"/>
      <c r="F98" s="65"/>
      <c r="G98" s="65"/>
      <c r="H98" s="65"/>
    </row>
    <row r="99" spans="2:8" x14ac:dyDescent="0.25">
      <c r="B99" s="64"/>
      <c r="C99" s="65"/>
      <c r="D99" s="66"/>
      <c r="E99" s="65"/>
      <c r="F99" s="65"/>
      <c r="G99" s="65"/>
      <c r="H99" s="65"/>
    </row>
    <row r="100" spans="2:8" x14ac:dyDescent="0.25">
      <c r="B100" s="64"/>
      <c r="C100" s="65"/>
      <c r="D100" s="66"/>
      <c r="E100" s="65"/>
      <c r="F100" s="65"/>
      <c r="G100" s="65"/>
      <c r="H100" s="65"/>
    </row>
    <row r="101" spans="2:8" x14ac:dyDescent="0.25">
      <c r="B101" s="64"/>
      <c r="C101" s="65"/>
      <c r="D101" s="66"/>
      <c r="E101" s="65"/>
      <c r="F101" s="65"/>
      <c r="G101" s="65"/>
      <c r="H101" s="65"/>
    </row>
    <row r="102" spans="2:8" x14ac:dyDescent="0.25">
      <c r="B102" s="64"/>
      <c r="C102" s="65"/>
      <c r="D102" s="66"/>
      <c r="E102" s="65"/>
      <c r="F102" s="65"/>
      <c r="G102" s="65"/>
      <c r="H102" s="65"/>
    </row>
    <row r="103" spans="2:8" x14ac:dyDescent="0.25">
      <c r="B103" s="64"/>
      <c r="C103" s="65"/>
      <c r="D103" s="66"/>
      <c r="E103" s="65"/>
      <c r="F103" s="65"/>
      <c r="G103" s="65"/>
      <c r="H103" s="65"/>
    </row>
    <row r="104" spans="2:8" x14ac:dyDescent="0.25">
      <c r="B104" s="64"/>
      <c r="C104" s="65"/>
      <c r="D104" s="66"/>
      <c r="E104" s="65"/>
      <c r="F104" s="65"/>
      <c r="G104" s="65"/>
      <c r="H104" s="65"/>
    </row>
    <row r="105" spans="2:8" x14ac:dyDescent="0.25">
      <c r="B105" s="64"/>
      <c r="C105" s="65"/>
      <c r="D105" s="66"/>
      <c r="E105" s="65"/>
      <c r="F105" s="65"/>
      <c r="G105" s="65"/>
      <c r="H105" s="65"/>
    </row>
    <row r="106" spans="2:8" x14ac:dyDescent="0.25">
      <c r="B106" s="64"/>
      <c r="C106" s="65"/>
      <c r="D106" s="66"/>
      <c r="E106" s="65"/>
      <c r="F106" s="65"/>
      <c r="G106" s="65"/>
      <c r="H106" s="65"/>
    </row>
    <row r="107" spans="2:8" x14ac:dyDescent="0.25">
      <c r="B107" s="64"/>
      <c r="C107" s="65"/>
      <c r="D107" s="66"/>
      <c r="E107" s="65"/>
      <c r="F107" s="65"/>
      <c r="G107" s="65"/>
      <c r="H107" s="65"/>
    </row>
    <row r="108" spans="2:8" x14ac:dyDescent="0.25">
      <c r="B108" s="64"/>
      <c r="C108" s="65"/>
      <c r="D108" s="66"/>
      <c r="E108" s="65"/>
      <c r="F108" s="65"/>
      <c r="G108" s="65"/>
      <c r="H108" s="65"/>
    </row>
    <row r="109" spans="2:8" x14ac:dyDescent="0.25">
      <c r="B109" s="64"/>
      <c r="C109" s="65"/>
      <c r="D109" s="66"/>
      <c r="E109" s="65"/>
      <c r="F109" s="65"/>
      <c r="G109" s="65"/>
      <c r="H109" s="65"/>
    </row>
    <row r="110" spans="2:8" x14ac:dyDescent="0.25">
      <c r="B110" s="64"/>
      <c r="C110" s="65"/>
      <c r="D110" s="66"/>
      <c r="E110" s="65"/>
      <c r="F110" s="65"/>
      <c r="G110" s="65"/>
      <c r="H110" s="65"/>
    </row>
    <row r="111" spans="2:8" x14ac:dyDescent="0.25">
      <c r="B111" s="64"/>
      <c r="C111" s="65"/>
      <c r="D111" s="66"/>
      <c r="E111" s="65"/>
      <c r="F111" s="65"/>
      <c r="G111" s="65"/>
      <c r="H111" s="65"/>
    </row>
    <row r="112" spans="2:8" x14ac:dyDescent="0.25">
      <c r="B112" s="64"/>
      <c r="C112" s="65"/>
      <c r="D112" s="66"/>
      <c r="E112" s="65"/>
      <c r="F112" s="65"/>
      <c r="G112" s="65"/>
      <c r="H112" s="65"/>
    </row>
    <row r="113" spans="2:8" x14ac:dyDescent="0.25">
      <c r="B113" s="64"/>
      <c r="C113" s="65"/>
      <c r="D113" s="66"/>
      <c r="E113" s="65"/>
      <c r="F113" s="65"/>
      <c r="G113" s="65"/>
      <c r="H113" s="65"/>
    </row>
    <row r="114" spans="2:8" x14ac:dyDescent="0.25">
      <c r="B114" s="64"/>
      <c r="C114" s="65"/>
      <c r="D114" s="66"/>
      <c r="E114" s="65"/>
      <c r="F114" s="65"/>
      <c r="G114" s="65"/>
      <c r="H114" s="65"/>
    </row>
    <row r="115" spans="2:8" x14ac:dyDescent="0.25">
      <c r="B115" s="64"/>
      <c r="C115" s="65"/>
      <c r="D115" s="66"/>
      <c r="E115" s="65"/>
      <c r="F115" s="65"/>
      <c r="G115" s="65"/>
      <c r="H115" s="65"/>
    </row>
    <row r="116" spans="2:8" x14ac:dyDescent="0.25">
      <c r="B116" s="64"/>
      <c r="C116" s="65"/>
      <c r="D116" s="66"/>
      <c r="E116" s="65"/>
      <c r="F116" s="65"/>
      <c r="G116" s="65"/>
      <c r="H116" s="65"/>
    </row>
    <row r="117" spans="2:8" x14ac:dyDescent="0.25">
      <c r="B117" s="64"/>
      <c r="C117" s="65"/>
      <c r="D117" s="66"/>
      <c r="E117" s="65"/>
      <c r="F117" s="65"/>
      <c r="G117" s="65"/>
      <c r="H117" s="65"/>
    </row>
    <row r="118" spans="2:8" x14ac:dyDescent="0.25">
      <c r="B118" s="64"/>
      <c r="C118" s="65"/>
      <c r="D118" s="66"/>
      <c r="E118" s="65"/>
      <c r="F118" s="65"/>
      <c r="G118" s="65"/>
      <c r="H118" s="65"/>
    </row>
    <row r="119" spans="2:8" x14ac:dyDescent="0.25">
      <c r="B119" s="64"/>
      <c r="C119" s="65"/>
      <c r="D119" s="66"/>
      <c r="E119" s="65"/>
      <c r="F119" s="65"/>
      <c r="G119" s="65"/>
      <c r="H119" s="65"/>
    </row>
    <row r="120" spans="2:8" x14ac:dyDescent="0.25">
      <c r="B120" s="64"/>
      <c r="C120" s="65"/>
      <c r="D120" s="66"/>
      <c r="E120" s="65"/>
      <c r="F120" s="65"/>
      <c r="G120" s="65"/>
      <c r="H120" s="65"/>
    </row>
    <row r="121" spans="2:8" x14ac:dyDescent="0.25">
      <c r="B121" s="64"/>
      <c r="C121" s="65"/>
      <c r="D121" s="66"/>
      <c r="E121" s="65"/>
      <c r="F121" s="65"/>
      <c r="G121" s="65"/>
      <c r="H121" s="65"/>
    </row>
    <row r="122" spans="2:8" x14ac:dyDescent="0.25">
      <c r="B122" s="64"/>
      <c r="C122" s="65"/>
      <c r="D122" s="66"/>
      <c r="E122" s="65"/>
      <c r="F122" s="65"/>
      <c r="G122" s="65"/>
      <c r="H122" s="65"/>
    </row>
    <row r="123" spans="2:8" x14ac:dyDescent="0.25">
      <c r="B123" s="64"/>
      <c r="C123" s="65"/>
      <c r="D123" s="66"/>
      <c r="E123" s="65"/>
      <c r="F123" s="65"/>
      <c r="G123" s="65"/>
      <c r="H123" s="65"/>
    </row>
    <row r="124" spans="2:8" x14ac:dyDescent="0.25">
      <c r="B124" s="64"/>
      <c r="C124" s="65"/>
      <c r="D124" s="66"/>
      <c r="E124" s="65"/>
      <c r="F124" s="65"/>
      <c r="G124" s="65"/>
      <c r="H124" s="65"/>
    </row>
    <row r="125" spans="2:8" x14ac:dyDescent="0.25">
      <c r="B125" s="64"/>
      <c r="C125" s="65"/>
      <c r="D125" s="66"/>
      <c r="E125" s="65"/>
      <c r="F125" s="65"/>
      <c r="G125" s="65"/>
      <c r="H125" s="65"/>
    </row>
    <row r="126" spans="2:8" x14ac:dyDescent="0.25">
      <c r="B126" s="64"/>
      <c r="C126" s="65"/>
      <c r="D126" s="66"/>
      <c r="E126" s="65"/>
      <c r="F126" s="65"/>
      <c r="G126" s="65"/>
      <c r="H126" s="65"/>
    </row>
    <row r="127" spans="2:8" x14ac:dyDescent="0.25">
      <c r="B127" s="64"/>
      <c r="C127" s="65"/>
      <c r="D127" s="66"/>
      <c r="E127" s="65"/>
      <c r="F127" s="65"/>
      <c r="G127" s="65"/>
      <c r="H127" s="65"/>
    </row>
    <row r="128" spans="2:8" x14ac:dyDescent="0.25">
      <c r="B128" s="64"/>
      <c r="C128" s="65"/>
      <c r="D128" s="66"/>
      <c r="E128" s="65"/>
      <c r="F128" s="65"/>
      <c r="G128" s="65"/>
      <c r="H128" s="65"/>
    </row>
    <row r="129" spans="2:8" x14ac:dyDescent="0.25">
      <c r="B129" s="64"/>
      <c r="C129" s="65"/>
      <c r="D129" s="66"/>
      <c r="E129" s="65"/>
      <c r="F129" s="65"/>
      <c r="G129" s="65"/>
      <c r="H129" s="65"/>
    </row>
    <row r="130" spans="2:8" x14ac:dyDescent="0.25">
      <c r="B130" s="64"/>
      <c r="C130" s="65"/>
      <c r="D130" s="66"/>
      <c r="E130" s="65"/>
      <c r="F130" s="65"/>
      <c r="G130" s="65"/>
      <c r="H130" s="65"/>
    </row>
    <row r="131" spans="2:8" x14ac:dyDescent="0.25">
      <c r="B131" s="64"/>
      <c r="C131" s="65"/>
      <c r="D131" s="66"/>
      <c r="E131" s="65"/>
      <c r="F131" s="65"/>
      <c r="G131" s="65"/>
      <c r="H131" s="65"/>
    </row>
    <row r="132" spans="2:8" x14ac:dyDescent="0.25">
      <c r="B132" s="64"/>
      <c r="C132" s="65"/>
      <c r="D132" s="66"/>
      <c r="E132" s="65"/>
      <c r="F132" s="65"/>
      <c r="G132" s="65"/>
      <c r="H132" s="65"/>
    </row>
    <row r="133" spans="2:8" x14ac:dyDescent="0.25">
      <c r="B133" s="64"/>
      <c r="C133" s="65"/>
      <c r="D133" s="66"/>
      <c r="E133" s="65"/>
      <c r="F133" s="65"/>
      <c r="G133" s="65"/>
      <c r="H133" s="65"/>
    </row>
    <row r="134" spans="2:8" x14ac:dyDescent="0.25">
      <c r="B134" s="64"/>
      <c r="C134" s="65"/>
      <c r="D134" s="66"/>
      <c r="E134" s="65"/>
      <c r="F134" s="65"/>
      <c r="G134" s="65"/>
      <c r="H134" s="65"/>
    </row>
    <row r="135" spans="2:8" x14ac:dyDescent="0.25">
      <c r="B135" s="64"/>
      <c r="C135" s="65"/>
      <c r="D135" s="66"/>
      <c r="E135" s="65"/>
      <c r="F135" s="65"/>
      <c r="G135" s="65"/>
      <c r="H135" s="65"/>
    </row>
    <row r="136" spans="2:8" x14ac:dyDescent="0.25">
      <c r="B136" s="64"/>
      <c r="C136" s="65"/>
      <c r="D136" s="66"/>
      <c r="E136" s="65"/>
      <c r="F136" s="65"/>
      <c r="G136" s="65"/>
      <c r="H136" s="65"/>
    </row>
    <row r="137" spans="2:8" x14ac:dyDescent="0.25">
      <c r="B137" s="64"/>
      <c r="C137" s="65"/>
      <c r="D137" s="66"/>
      <c r="E137" s="65"/>
      <c r="F137" s="65"/>
      <c r="G137" s="65"/>
      <c r="H137" s="65"/>
    </row>
    <row r="138" spans="2:8" x14ac:dyDescent="0.25">
      <c r="B138" s="64"/>
      <c r="C138" s="65"/>
      <c r="D138" s="66"/>
      <c r="E138" s="65"/>
      <c r="F138" s="65"/>
      <c r="G138" s="65"/>
      <c r="H138" s="65"/>
    </row>
    <row r="139" spans="2:8" x14ac:dyDescent="0.25">
      <c r="B139" s="64"/>
      <c r="C139" s="65"/>
      <c r="D139" s="66"/>
      <c r="E139" s="65"/>
      <c r="F139" s="65"/>
      <c r="G139" s="65"/>
      <c r="H139" s="65"/>
    </row>
    <row r="140" spans="2:8" x14ac:dyDescent="0.25">
      <c r="B140" s="64"/>
      <c r="C140" s="65"/>
      <c r="D140" s="66"/>
      <c r="E140" s="65"/>
      <c r="F140" s="65"/>
      <c r="G140" s="65"/>
      <c r="H140" s="65"/>
    </row>
    <row r="141" spans="2:8" x14ac:dyDescent="0.25">
      <c r="B141" s="64"/>
      <c r="C141" s="65"/>
      <c r="D141" s="66"/>
      <c r="E141" s="65"/>
      <c r="F141" s="65"/>
      <c r="G141" s="65"/>
      <c r="H141" s="65"/>
    </row>
    <row r="142" spans="2:8" x14ac:dyDescent="0.25">
      <c r="B142" s="64"/>
      <c r="C142" s="65"/>
      <c r="D142" s="66"/>
      <c r="E142" s="65"/>
      <c r="F142" s="65"/>
      <c r="G142" s="65"/>
      <c r="H142" s="65"/>
    </row>
    <row r="143" spans="2:8" x14ac:dyDescent="0.25">
      <c r="B143" s="64"/>
      <c r="C143" s="65"/>
      <c r="D143" s="66"/>
      <c r="E143" s="65"/>
      <c r="F143" s="65"/>
      <c r="G143" s="65"/>
      <c r="H143" s="65"/>
    </row>
    <row r="144" spans="2:8" x14ac:dyDescent="0.25">
      <c r="B144" s="64"/>
      <c r="C144" s="65"/>
      <c r="D144" s="66"/>
      <c r="E144" s="65"/>
      <c r="F144" s="65"/>
      <c r="G144" s="65"/>
      <c r="H144" s="65"/>
    </row>
    <row r="145" spans="2:8" x14ac:dyDescent="0.25">
      <c r="B145" s="64"/>
      <c r="C145" s="65"/>
      <c r="D145" s="66"/>
      <c r="E145" s="65"/>
      <c r="F145" s="65"/>
      <c r="G145" s="65"/>
      <c r="H145" s="65"/>
    </row>
    <row r="146" spans="2:8" x14ac:dyDescent="0.25">
      <c r="B146" s="64"/>
      <c r="C146" s="65"/>
      <c r="D146" s="66"/>
      <c r="E146" s="65"/>
      <c r="F146" s="65"/>
      <c r="G146" s="65"/>
      <c r="H146" s="65"/>
    </row>
    <row r="147" spans="2:8" x14ac:dyDescent="0.25">
      <c r="B147" s="64"/>
      <c r="C147" s="65"/>
      <c r="D147" s="66"/>
      <c r="E147" s="65"/>
      <c r="F147" s="65"/>
      <c r="G147" s="65"/>
      <c r="H147" s="65"/>
    </row>
    <row r="148" spans="2:8" x14ac:dyDescent="0.25">
      <c r="B148" s="64"/>
      <c r="C148" s="65"/>
      <c r="D148" s="66"/>
      <c r="E148" s="65"/>
      <c r="F148" s="65"/>
      <c r="G148" s="65"/>
      <c r="H148" s="65"/>
    </row>
    <row r="149" spans="2:8" x14ac:dyDescent="0.25">
      <c r="B149" s="64"/>
      <c r="C149" s="65"/>
      <c r="D149" s="66"/>
      <c r="E149" s="65"/>
      <c r="F149" s="65"/>
      <c r="G149" s="65"/>
      <c r="H149" s="65"/>
    </row>
    <row r="150" spans="2:8" x14ac:dyDescent="0.25">
      <c r="B150" s="64"/>
      <c r="C150" s="65"/>
      <c r="D150" s="66"/>
      <c r="E150" s="65"/>
      <c r="F150" s="65"/>
      <c r="G150" s="65"/>
      <c r="H150" s="65"/>
    </row>
    <row r="151" spans="2:8" x14ac:dyDescent="0.25">
      <c r="B151" s="64"/>
      <c r="C151" s="65"/>
      <c r="D151" s="66"/>
      <c r="E151" s="65"/>
      <c r="F151" s="65"/>
      <c r="G151" s="65"/>
      <c r="H151" s="65"/>
    </row>
    <row r="152" spans="2:8" x14ac:dyDescent="0.25">
      <c r="B152" s="64"/>
      <c r="C152" s="65"/>
      <c r="D152" s="66"/>
      <c r="E152" s="65"/>
      <c r="F152" s="65"/>
      <c r="G152" s="65"/>
      <c r="H152" s="65"/>
    </row>
    <row r="153" spans="2:8" x14ac:dyDescent="0.25">
      <c r="B153" s="51"/>
    </row>
    <row r="154" spans="2:8" x14ac:dyDescent="0.25">
      <c r="B154" s="51"/>
    </row>
    <row r="155" spans="2:8" x14ac:dyDescent="0.25">
      <c r="B155" s="51"/>
    </row>
    <row r="156" spans="2:8" x14ac:dyDescent="0.25">
      <c r="B156" s="51"/>
    </row>
    <row r="157" spans="2:8" x14ac:dyDescent="0.25">
      <c r="B157" s="51"/>
    </row>
    <row r="158" spans="2:8" x14ac:dyDescent="0.25">
      <c r="B158" s="51"/>
    </row>
    <row r="159" spans="2:8" x14ac:dyDescent="0.25">
      <c r="B159" s="51"/>
    </row>
    <row r="160" spans="2:8" x14ac:dyDescent="0.25">
      <c r="B160" s="51"/>
    </row>
    <row r="161" spans="2:2" x14ac:dyDescent="0.25">
      <c r="B161" s="51"/>
    </row>
    <row r="162" spans="2:2" x14ac:dyDescent="0.25">
      <c r="B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545</v>
      </c>
      <c r="R1" s="93" t="s">
        <v>546</v>
      </c>
      <c r="S1" s="92" t="s">
        <v>547</v>
      </c>
      <c r="T1" s="92" t="s">
        <v>548</v>
      </c>
      <c r="V1" s="15" t="s">
        <v>552</v>
      </c>
      <c r="W1" s="15" t="s">
        <v>61</v>
      </c>
      <c r="X1" t="s">
        <v>549</v>
      </c>
      <c r="Y1" t="s">
        <v>413</v>
      </c>
    </row>
    <row r="2" spans="1:25" x14ac:dyDescent="0.25">
      <c r="A2" t="s">
        <v>57</v>
      </c>
      <c r="C2" t="s">
        <v>422</v>
      </c>
      <c r="D2" t="s">
        <v>57</v>
      </c>
      <c r="F2" t="s">
        <v>536</v>
      </c>
      <c r="G2" t="s">
        <v>57</v>
      </c>
      <c r="I2" t="s">
        <v>538</v>
      </c>
      <c r="J2" t="s">
        <v>57</v>
      </c>
      <c r="L2" t="s">
        <v>540</v>
      </c>
      <c r="M2" t="s">
        <v>57</v>
      </c>
      <c r="O2" t="s">
        <v>544</v>
      </c>
      <c r="Q2" s="93"/>
      <c r="R2" s="93"/>
      <c r="S2" s="92"/>
      <c r="T2" s="92"/>
      <c r="V2" t="s">
        <v>57</v>
      </c>
      <c r="X2" t="s">
        <v>551</v>
      </c>
      <c r="Y2" t="s">
        <v>413</v>
      </c>
    </row>
    <row r="3" spans="1:25" x14ac:dyDescent="0.25">
      <c r="A3" t="s">
        <v>59</v>
      </c>
      <c r="C3" t="s">
        <v>421</v>
      </c>
      <c r="D3" t="s">
        <v>59</v>
      </c>
      <c r="F3" t="s">
        <v>421</v>
      </c>
      <c r="G3" t="s">
        <v>59</v>
      </c>
      <c r="I3" t="s">
        <v>537</v>
      </c>
      <c r="J3" t="s">
        <v>59</v>
      </c>
      <c r="L3" t="s">
        <v>539</v>
      </c>
      <c r="M3" t="s">
        <v>59</v>
      </c>
      <c r="O3" t="s">
        <v>543</v>
      </c>
      <c r="Q3" s="93"/>
      <c r="R3" s="93"/>
      <c r="S3" s="92"/>
      <c r="T3" s="92"/>
      <c r="V3" t="s">
        <v>59</v>
      </c>
      <c r="X3" t="s">
        <v>369</v>
      </c>
    </row>
    <row r="4" spans="1:25" ht="15" customHeight="1" x14ac:dyDescent="0.25">
      <c r="A4" t="s">
        <v>418</v>
      </c>
      <c r="C4" t="s">
        <v>594</v>
      </c>
      <c r="D4" t="s">
        <v>418</v>
      </c>
      <c r="F4" t="s">
        <v>594</v>
      </c>
      <c r="G4" t="s">
        <v>418</v>
      </c>
      <c r="I4" t="s">
        <v>594</v>
      </c>
      <c r="J4" t="s">
        <v>418</v>
      </c>
      <c r="L4" t="s">
        <v>594</v>
      </c>
      <c r="M4" t="s">
        <v>418</v>
      </c>
      <c r="O4" t="s">
        <v>594</v>
      </c>
      <c r="Q4" s="93"/>
      <c r="R4" s="93"/>
      <c r="S4" s="92"/>
      <c r="T4" s="92"/>
      <c r="V4" t="s">
        <v>418</v>
      </c>
      <c r="X4" t="s">
        <v>590</v>
      </c>
    </row>
    <row r="5" spans="1:25" ht="15" customHeight="1" x14ac:dyDescent="0.25">
      <c r="A5" t="s">
        <v>417</v>
      </c>
      <c r="C5" t="s">
        <v>420</v>
      </c>
      <c r="D5" t="s">
        <v>417</v>
      </c>
      <c r="F5" t="s">
        <v>420</v>
      </c>
      <c r="G5" t="s">
        <v>417</v>
      </c>
      <c r="I5" t="s">
        <v>420</v>
      </c>
      <c r="J5" t="s">
        <v>417</v>
      </c>
      <c r="L5" t="s">
        <v>420</v>
      </c>
      <c r="M5" t="s">
        <v>417</v>
      </c>
      <c r="O5" t="s">
        <v>542</v>
      </c>
      <c r="Q5" s="93"/>
      <c r="R5" s="93"/>
      <c r="S5" s="92"/>
      <c r="T5" s="92"/>
      <c r="V5" t="s">
        <v>417</v>
      </c>
      <c r="X5" t="s">
        <v>420</v>
      </c>
    </row>
    <row r="6" spans="1:25" ht="15" customHeight="1" x14ac:dyDescent="0.25">
      <c r="A6" t="s">
        <v>60</v>
      </c>
      <c r="C6" t="s">
        <v>593</v>
      </c>
      <c r="D6" t="s">
        <v>60</v>
      </c>
      <c r="F6" t="s">
        <v>593</v>
      </c>
      <c r="G6" t="s">
        <v>60</v>
      </c>
      <c r="I6" t="s">
        <v>593</v>
      </c>
      <c r="J6" t="s">
        <v>60</v>
      </c>
      <c r="L6" t="s">
        <v>596</v>
      </c>
      <c r="M6" t="s">
        <v>60</v>
      </c>
      <c r="O6" t="s">
        <v>597</v>
      </c>
      <c r="Q6" s="93"/>
      <c r="R6" s="93"/>
      <c r="S6" s="92"/>
      <c r="T6" s="92"/>
      <c r="V6" t="s">
        <v>60</v>
      </c>
      <c r="X6" t="s">
        <v>598</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550</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553</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554</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555</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556</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557</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558</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559</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560</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561</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562</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563</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564</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565</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566</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567</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568</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569</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570</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571</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572</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573</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574</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575</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576</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577</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578</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579</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580</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581</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582</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583</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584</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585</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586</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587</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588</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589</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592</v>
      </c>
      <c r="W45" s="71">
        <v>42916</v>
      </c>
      <c r="X45" s="5">
        <v>211.1</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5098</v>
      </c>
      <c r="D121" t="s">
        <v>535</v>
      </c>
      <c r="E121" s="71">
        <v>42916</v>
      </c>
      <c r="F121" s="48">
        <v>14446</v>
      </c>
      <c r="G121" t="s">
        <v>535</v>
      </c>
      <c r="H121" s="71">
        <v>42916</v>
      </c>
      <c r="I121" s="5">
        <v>2191.1</v>
      </c>
      <c r="J121" t="s">
        <v>535</v>
      </c>
      <c r="K121" s="71">
        <v>42916</v>
      </c>
      <c r="L121" s="48">
        <v>0</v>
      </c>
      <c r="M121" t="s">
        <v>535</v>
      </c>
      <c r="N121" s="71">
        <v>42916</v>
      </c>
      <c r="O121" s="48">
        <v>0</v>
      </c>
      <c r="Q121" s="6">
        <f t="shared" si="4"/>
        <v>38000</v>
      </c>
      <c r="R121" s="79">
        <f t="shared" si="6"/>
        <v>15000</v>
      </c>
      <c r="S121" s="72">
        <f t="shared" si="5"/>
        <v>-800.0000000001819</v>
      </c>
      <c r="T121" s="80">
        <f t="shared" si="7"/>
        <v>-1633.3333333333637</v>
      </c>
    </row>
    <row r="122" spans="1:20" x14ac:dyDescent="0.25">
      <c r="A122" t="s">
        <v>595</v>
      </c>
      <c r="B122" s="71">
        <v>42947</v>
      </c>
      <c r="C122" s="48">
        <v>5095</v>
      </c>
      <c r="D122" t="s">
        <v>595</v>
      </c>
      <c r="E122" s="71">
        <v>42947</v>
      </c>
      <c r="F122" s="48">
        <v>14453</v>
      </c>
      <c r="G122" t="s">
        <v>595</v>
      </c>
      <c r="H122" s="71">
        <v>42947</v>
      </c>
      <c r="I122" s="5">
        <v>2188.9</v>
      </c>
      <c r="J122" t="s">
        <v>595</v>
      </c>
      <c r="K122" s="71">
        <v>42947</v>
      </c>
      <c r="L122" s="48">
        <v>0</v>
      </c>
      <c r="M122" t="s">
        <v>595</v>
      </c>
      <c r="N122" s="71">
        <v>42947</v>
      </c>
      <c r="O122" s="48">
        <v>0</v>
      </c>
      <c r="Q122" s="6">
        <f t="shared" si="4"/>
        <v>4000</v>
      </c>
      <c r="R122" s="79">
        <f t="shared" si="6"/>
        <v>9666.6666666666661</v>
      </c>
      <c r="S122" s="72">
        <f t="shared" si="5"/>
        <v>-2199.9999999998181</v>
      </c>
      <c r="T122" s="80">
        <f t="shared" si="7"/>
        <v>-1666.6666666666667</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A939D9E-468D-438C-A67D-230BBF42A5D5}"/>
</file>

<file path=customXml/itemProps2.xml><?xml version="1.0" encoding="utf-8"?>
<ds:datastoreItem xmlns:ds="http://schemas.openxmlformats.org/officeDocument/2006/customXml" ds:itemID="{C922F78F-4BBD-44D8-A845-7EFC20288322}"/>
</file>

<file path=customXml/itemProps3.xml><?xml version="1.0" encoding="utf-8"?>
<ds:datastoreItem xmlns:ds="http://schemas.openxmlformats.org/officeDocument/2006/customXml" ds:itemID="{3A380D3F-7648-4C93-929C-0C15AF06390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2017-08-30T12:53:00Z</cp:lastPrinted>
  <dcterms:created xsi:type="dcterms:W3CDTF">2014-09-08T20:08:32Z</dcterms:created>
  <dcterms:modified xsi:type="dcterms:W3CDTF">2017-08-30T16:06:23Z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