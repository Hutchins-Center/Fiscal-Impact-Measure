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theme/theme1.xml" ContentType="application/vnd.openxmlformats-officedocument.theme+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4.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externalLinks/externalLink1.xml" ContentType="application/vnd.openxmlformats-officedocument.spreadsheetml.externalLink+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5-26-2017\"/>
    </mc:Choice>
  </mc:AlternateContent>
  <bookViews>
    <workbookView xWindow="0" yWindow="0" windowWidth="19200" windowHeight="11460" activeTab="1"/>
  </bookViews>
  <sheets>
    <sheet name="MASTER" sheetId="1" r:id="rId1"/>
    <sheet name="HaverPull" sheetId="2" r:id="rId2"/>
    <sheet name="Calculations" sheetId="5" r:id="rId3"/>
    <sheet name="fiscal_impact" sheetId="19" r:id="rId4"/>
    <sheet name="fiscal_iFinal" sheetId="20" r:id="rId5"/>
  </sheets>
  <externalReferences>
    <externalReference r:id="rId6"/>
  </externalReferences>
  <definedNames>
    <definedName name="_DLX3.USE">'[1]Spending by Category (2)'!$1:$6</definedName>
    <definedName name="_DLX4.USE" localSheetId="3">#REF!</definedName>
    <definedName name="_DLX4.USE">#REF!</definedName>
    <definedName name="DLX1.USE">HaverPull!$2:$6</definedName>
    <definedName name="DLX2.USE">#REF!</definedName>
    <definedName name="DLX3.USE">#REF!</definedName>
    <definedName name="_xlnm.Print_Area" localSheetId="3">fiscal_impact!$A$1:$I$47</definedName>
  </definedNames>
  <calcPr calcId="162913" concurrentCalc="0"/>
</workbook>
</file>

<file path=xl/calcChain.xml><?xml version="1.0" encoding="utf-8"?>
<calcChain xmlns="http://schemas.openxmlformats.org/spreadsheetml/2006/main">
  <c r="GI38" i="5" l="1"/>
  <c r="GI39" i="5"/>
  <c r="GI40" i="5"/>
  <c r="GI41" i="5"/>
  <c r="GI45" i="5"/>
  <c r="GI46" i="5"/>
  <c r="GI47" i="5"/>
  <c r="GH38" i="5"/>
  <c r="GH39" i="5"/>
  <c r="GH40" i="5"/>
  <c r="GH41" i="5"/>
  <c r="GH45" i="5"/>
  <c r="GH46" i="5"/>
  <c r="GH47" i="5"/>
  <c r="GI51" i="5"/>
  <c r="GI52" i="5"/>
  <c r="GI58" i="5"/>
  <c r="GI59" i="5"/>
  <c r="GF38" i="5"/>
  <c r="GF39" i="5"/>
  <c r="GF40" i="5"/>
  <c r="GF41" i="5"/>
  <c r="GF45" i="5"/>
  <c r="GF46" i="5"/>
  <c r="GF47" i="5"/>
  <c r="GE38" i="5"/>
  <c r="GE39" i="5"/>
  <c r="GE40" i="5"/>
  <c r="GE41" i="5"/>
  <c r="GE45" i="5"/>
  <c r="GE46" i="5"/>
  <c r="GE47" i="5"/>
  <c r="GF51" i="5"/>
  <c r="GF52" i="5"/>
  <c r="GF58" i="5"/>
  <c r="GF59" i="5"/>
  <c r="GG38" i="5"/>
  <c r="GG39" i="5"/>
  <c r="GG40" i="5"/>
  <c r="GG41" i="5"/>
  <c r="GG45" i="5"/>
  <c r="GG46" i="5"/>
  <c r="GG47" i="5"/>
  <c r="GG51" i="5"/>
  <c r="GG52" i="5"/>
  <c r="GG58" i="5"/>
  <c r="GG59" i="5"/>
  <c r="GH51" i="5"/>
  <c r="GH52" i="5"/>
  <c r="GH58" i="5"/>
  <c r="GH59" i="5"/>
  <c r="GI67" i="5"/>
  <c r="GD38" i="5"/>
  <c r="GD39" i="5"/>
  <c r="GD40" i="5"/>
  <c r="GD41" i="5"/>
  <c r="GD45" i="5"/>
  <c r="GD46" i="5"/>
  <c r="GD47" i="5"/>
  <c r="GE51" i="5"/>
  <c r="GE52" i="5"/>
  <c r="GE58" i="5"/>
  <c r="GE59" i="5"/>
  <c r="GH67" i="5"/>
  <c r="GC38" i="5"/>
  <c r="GC39" i="5"/>
  <c r="GC40" i="5"/>
  <c r="GC41" i="5"/>
  <c r="GC45" i="5"/>
  <c r="GC46" i="5"/>
  <c r="GC47" i="5"/>
  <c r="GD51" i="5"/>
  <c r="GD52" i="5"/>
  <c r="GD58" i="5"/>
  <c r="GD59" i="5"/>
  <c r="GG67" i="5"/>
  <c r="GB38" i="5"/>
  <c r="GB39" i="5"/>
  <c r="GB40" i="5"/>
  <c r="GB41" i="5"/>
  <c r="GB45" i="5"/>
  <c r="GB46" i="5"/>
  <c r="GB47" i="5"/>
  <c r="GC51" i="5"/>
  <c r="GC52" i="5"/>
  <c r="GC58" i="5"/>
  <c r="GC59" i="5"/>
  <c r="GF67" i="5"/>
  <c r="GA38" i="5"/>
  <c r="GA39" i="5"/>
  <c r="GA40" i="5"/>
  <c r="GA41" i="5"/>
  <c r="GA45" i="5"/>
  <c r="GA46" i="5"/>
  <c r="GA47" i="5"/>
  <c r="GB51" i="5"/>
  <c r="GB52" i="5"/>
  <c r="GB58" i="5"/>
  <c r="GB59" i="5"/>
  <c r="GE67" i="5"/>
  <c r="FZ38" i="5"/>
  <c r="FZ39" i="5"/>
  <c r="FZ40" i="5"/>
  <c r="FZ41" i="5"/>
  <c r="FZ45" i="5"/>
  <c r="FZ46" i="5"/>
  <c r="FZ47" i="5"/>
  <c r="GA51" i="5"/>
  <c r="GA52" i="5"/>
  <c r="GA58" i="5"/>
  <c r="GA59" i="5"/>
  <c r="GD67" i="5"/>
  <c r="FY38" i="5"/>
  <c r="FY39" i="5"/>
  <c r="FY40" i="5"/>
  <c r="FY41" i="5"/>
  <c r="FY45" i="5"/>
  <c r="FY46" i="5"/>
  <c r="FY47" i="5"/>
  <c r="FZ51" i="5"/>
  <c r="FZ52" i="5"/>
  <c r="FZ58" i="5"/>
  <c r="FZ59" i="5"/>
  <c r="GC67" i="5"/>
  <c r="FX38" i="5"/>
  <c r="FX39" i="5"/>
  <c r="FX40" i="5"/>
  <c r="FX41" i="5"/>
  <c r="FX45" i="5"/>
  <c r="FX46" i="5"/>
  <c r="FX47" i="5"/>
  <c r="FY51" i="5"/>
  <c r="FY52" i="5"/>
  <c r="FY58" i="5"/>
  <c r="FY59" i="5"/>
  <c r="GB67" i="5"/>
  <c r="FW38" i="5"/>
  <c r="FW39" i="5"/>
  <c r="FW40" i="5"/>
  <c r="FW41" i="5"/>
  <c r="FW45" i="5"/>
  <c r="FW46" i="5"/>
  <c r="FW47" i="5"/>
  <c r="FX51" i="5"/>
  <c r="FX52" i="5"/>
  <c r="FX58" i="5"/>
  <c r="FX59" i="5"/>
  <c r="GA67" i="5"/>
  <c r="FV38" i="5"/>
  <c r="FV39" i="5"/>
  <c r="FV40" i="5"/>
  <c r="FV41" i="5"/>
  <c r="FV45" i="5"/>
  <c r="FV46" i="5"/>
  <c r="FV47" i="5"/>
  <c r="FW51" i="5"/>
  <c r="FW52" i="5"/>
  <c r="FW58" i="5"/>
  <c r="FW59" i="5"/>
  <c r="FZ67" i="5"/>
  <c r="FU38" i="5"/>
  <c r="FU39" i="5"/>
  <c r="FU40" i="5"/>
  <c r="FU41" i="5"/>
  <c r="FU45" i="5"/>
  <c r="FU46" i="5"/>
  <c r="FU47" i="5"/>
  <c r="FV51" i="5"/>
  <c r="FV52" i="5"/>
  <c r="FV58" i="5"/>
  <c r="FV59" i="5"/>
  <c r="FY67" i="5"/>
  <c r="FT38" i="5"/>
  <c r="FT39" i="5"/>
  <c r="FT40" i="5"/>
  <c r="FT41" i="5"/>
  <c r="FT45" i="5"/>
  <c r="FT46" i="5"/>
  <c r="FT47" i="5"/>
  <c r="FU51" i="5"/>
  <c r="FU52" i="5"/>
  <c r="FU58" i="5"/>
  <c r="FU59" i="5"/>
  <c r="FX67" i="5"/>
  <c r="FS38" i="5"/>
  <c r="FS39" i="5"/>
  <c r="FS40" i="5"/>
  <c r="FS41" i="5"/>
  <c r="FS45" i="5"/>
  <c r="FS46" i="5"/>
  <c r="FS47" i="5"/>
  <c r="FT51" i="5"/>
  <c r="FT52" i="5"/>
  <c r="FT58" i="5"/>
  <c r="FT59" i="5"/>
  <c r="FW67" i="5"/>
  <c r="FR38" i="5"/>
  <c r="FR39" i="5"/>
  <c r="FR40" i="5"/>
  <c r="FR41" i="5"/>
  <c r="FR45" i="5"/>
  <c r="FR46" i="5"/>
  <c r="FR47" i="5"/>
  <c r="FS51" i="5"/>
  <c r="FS52" i="5"/>
  <c r="FS58" i="5"/>
  <c r="FS59" i="5"/>
  <c r="FV67" i="5"/>
  <c r="FQ38" i="5"/>
  <c r="FQ39" i="5"/>
  <c r="FQ40" i="5"/>
  <c r="FQ41" i="5"/>
  <c r="FQ45" i="5"/>
  <c r="FQ46" i="5"/>
  <c r="FQ47" i="5"/>
  <c r="FR51" i="5"/>
  <c r="FR52" i="5"/>
  <c r="FR58" i="5"/>
  <c r="FR59" i="5"/>
  <c r="FU67" i="5"/>
  <c r="FP38" i="5"/>
  <c r="FP39" i="5"/>
  <c r="FP40" i="5"/>
  <c r="FP41" i="5"/>
  <c r="FP45" i="5"/>
  <c r="FP46" i="5"/>
  <c r="FP47" i="5"/>
  <c r="FQ51" i="5"/>
  <c r="FQ52" i="5"/>
  <c r="FQ58" i="5"/>
  <c r="FQ59" i="5"/>
  <c r="FT67" i="5"/>
  <c r="FO38" i="5"/>
  <c r="FO39" i="5"/>
  <c r="FO40" i="5"/>
  <c r="FO41" i="5"/>
  <c r="FO45" i="5"/>
  <c r="FO46" i="5"/>
  <c r="FO47" i="5"/>
  <c r="FP51" i="5"/>
  <c r="FP52" i="5"/>
  <c r="FP58" i="5"/>
  <c r="FP59" i="5"/>
  <c r="FS67" i="5"/>
  <c r="FN38" i="5"/>
  <c r="FN39" i="5"/>
  <c r="FN40" i="5"/>
  <c r="FN41" i="5"/>
  <c r="FN45" i="5"/>
  <c r="FN46" i="5"/>
  <c r="FN47" i="5"/>
  <c r="FO51" i="5"/>
  <c r="FO52" i="5"/>
  <c r="FO58" i="5"/>
  <c r="FO59" i="5"/>
  <c r="FR67" i="5"/>
  <c r="FM38" i="5"/>
  <c r="FM39" i="5"/>
  <c r="FM40" i="5"/>
  <c r="FM41" i="5"/>
  <c r="FM45" i="5"/>
  <c r="FM46" i="5"/>
  <c r="FM47" i="5"/>
  <c r="FN51" i="5"/>
  <c r="FN52" i="5"/>
  <c r="FN58" i="5"/>
  <c r="FN59" i="5"/>
  <c r="FQ67" i="5"/>
  <c r="FL38" i="5"/>
  <c r="FL39" i="5"/>
  <c r="FL40" i="5"/>
  <c r="FL41" i="5"/>
  <c r="FL45" i="5"/>
  <c r="FL46" i="5"/>
  <c r="FL47" i="5"/>
  <c r="FM51" i="5"/>
  <c r="FM52" i="5"/>
  <c r="FM58" i="5"/>
  <c r="FM59" i="5"/>
  <c r="FP67" i="5"/>
  <c r="FK38" i="5"/>
  <c r="FK39" i="5"/>
  <c r="FK40" i="5"/>
  <c r="FK41" i="5"/>
  <c r="FK45" i="5"/>
  <c r="FK46" i="5"/>
  <c r="FK47" i="5"/>
  <c r="FL51" i="5"/>
  <c r="FL52" i="5"/>
  <c r="FL58" i="5"/>
  <c r="FL59" i="5"/>
  <c r="FO67" i="5"/>
  <c r="FJ38" i="5"/>
  <c r="FJ39" i="5"/>
  <c r="FJ40" i="5"/>
  <c r="FJ41" i="5"/>
  <c r="FJ45" i="5"/>
  <c r="FJ46" i="5"/>
  <c r="FJ47" i="5"/>
  <c r="FK51" i="5"/>
  <c r="FK52" i="5"/>
  <c r="FK58" i="5"/>
  <c r="FK59" i="5"/>
  <c r="FN67" i="5"/>
  <c r="FI38" i="5"/>
  <c r="FI39" i="5"/>
  <c r="FI40" i="5"/>
  <c r="FI41" i="5"/>
  <c r="FI45" i="5"/>
  <c r="FI46" i="5"/>
  <c r="FI47" i="5"/>
  <c r="FJ51" i="5"/>
  <c r="FJ52" i="5"/>
  <c r="FJ58" i="5"/>
  <c r="FJ59" i="5"/>
  <c r="FM67" i="5"/>
  <c r="FH38" i="5"/>
  <c r="FH39" i="5"/>
  <c r="FH40" i="5"/>
  <c r="FH41" i="5"/>
  <c r="FH45" i="5"/>
  <c r="FH46" i="5"/>
  <c r="FH47" i="5"/>
  <c r="FI51" i="5"/>
  <c r="FI52" i="5"/>
  <c r="FI58" i="5"/>
  <c r="FI59" i="5"/>
  <c r="FL67" i="5"/>
  <c r="FG38" i="5"/>
  <c r="FG39" i="5"/>
  <c r="FG40" i="5"/>
  <c r="FG41" i="5"/>
  <c r="FG45" i="5"/>
  <c r="FG46" i="5"/>
  <c r="FG47" i="5"/>
  <c r="FH51" i="5"/>
  <c r="FH52" i="5"/>
  <c r="FH58" i="5"/>
  <c r="FH59" i="5"/>
  <c r="FK67" i="5"/>
  <c r="FF38" i="5"/>
  <c r="FF39" i="5"/>
  <c r="FF40" i="5"/>
  <c r="FF41" i="5"/>
  <c r="FF45" i="5"/>
  <c r="FF46" i="5"/>
  <c r="FF47" i="5"/>
  <c r="FG51" i="5"/>
  <c r="FG52" i="5"/>
  <c r="FG58" i="5"/>
  <c r="FG59" i="5"/>
  <c r="FJ67" i="5"/>
  <c r="FE38" i="5"/>
  <c r="FE39" i="5"/>
  <c r="FE40" i="5"/>
  <c r="FE41" i="5"/>
  <c r="FE45" i="5"/>
  <c r="FE46" i="5"/>
  <c r="FE47" i="5"/>
  <c r="FF51" i="5"/>
  <c r="FF52" i="5"/>
  <c r="FF58" i="5"/>
  <c r="FF59" i="5"/>
  <c r="FI67" i="5"/>
  <c r="FD38" i="5"/>
  <c r="FD39" i="5"/>
  <c r="FD40" i="5"/>
  <c r="FD41" i="5"/>
  <c r="FD45" i="5"/>
  <c r="FD46" i="5"/>
  <c r="FD47" i="5"/>
  <c r="FE51" i="5"/>
  <c r="FE52" i="5"/>
  <c r="FE58" i="5"/>
  <c r="FE59" i="5"/>
  <c r="FH67" i="5"/>
  <c r="FC38" i="5"/>
  <c r="FC39" i="5"/>
  <c r="FC40" i="5"/>
  <c r="FC41" i="5"/>
  <c r="FC45" i="5"/>
  <c r="FC46" i="5"/>
  <c r="FC47" i="5"/>
  <c r="FD51" i="5"/>
  <c r="FD52" i="5"/>
  <c r="FD58" i="5"/>
  <c r="FD59" i="5"/>
  <c r="FG67" i="5"/>
  <c r="FB38" i="5"/>
  <c r="FB39" i="5"/>
  <c r="FB40" i="5"/>
  <c r="FB41" i="5"/>
  <c r="FB45" i="5"/>
  <c r="FB46" i="5"/>
  <c r="FB47" i="5"/>
  <c r="FC51" i="5"/>
  <c r="FC52" i="5"/>
  <c r="FC58" i="5"/>
  <c r="FC59" i="5"/>
  <c r="FF67" i="5"/>
  <c r="FA38" i="5"/>
  <c r="FA39" i="5"/>
  <c r="FA40" i="5"/>
  <c r="FA41" i="5"/>
  <c r="FA45" i="5"/>
  <c r="FA46" i="5"/>
  <c r="FA47" i="5"/>
  <c r="FB51" i="5"/>
  <c r="FB52" i="5"/>
  <c r="FB58" i="5"/>
  <c r="FB59" i="5"/>
  <c r="FE67" i="5"/>
  <c r="EZ38" i="5"/>
  <c r="EZ39" i="5"/>
  <c r="EZ40" i="5"/>
  <c r="EZ41" i="5"/>
  <c r="EZ45" i="5"/>
  <c r="EZ46" i="5"/>
  <c r="EZ47" i="5"/>
  <c r="FA51" i="5"/>
  <c r="FA52" i="5"/>
  <c r="FA58" i="5"/>
  <c r="FA59" i="5"/>
  <c r="FD67" i="5"/>
  <c r="EY38" i="5"/>
  <c r="EY39" i="5"/>
  <c r="EY40" i="5"/>
  <c r="EY41" i="5"/>
  <c r="EY45" i="5"/>
  <c r="EY46" i="5"/>
  <c r="EY47" i="5"/>
  <c r="EZ51" i="5"/>
  <c r="EZ52" i="5"/>
  <c r="EZ58" i="5"/>
  <c r="EZ59" i="5"/>
  <c r="FC67" i="5"/>
  <c r="EX38" i="5"/>
  <c r="EX39" i="5"/>
  <c r="EX40" i="5"/>
  <c r="EX41" i="5"/>
  <c r="EX45" i="5"/>
  <c r="EX46" i="5"/>
  <c r="EX47" i="5"/>
  <c r="EY51" i="5"/>
  <c r="EY52" i="5"/>
  <c r="EY58" i="5"/>
  <c r="EY59" i="5"/>
  <c r="FB67" i="5"/>
  <c r="EW38" i="5"/>
  <c r="EW39" i="5"/>
  <c r="EW40" i="5"/>
  <c r="EW41" i="5"/>
  <c r="EW45" i="5"/>
  <c r="EW46" i="5"/>
  <c r="EW47" i="5"/>
  <c r="EX51" i="5"/>
  <c r="EX52" i="5"/>
  <c r="EX58" i="5"/>
  <c r="EX59" i="5"/>
  <c r="FA67" i="5"/>
  <c r="EV38" i="5"/>
  <c r="EV39" i="5"/>
  <c r="EV40" i="5"/>
  <c r="EV41" i="5"/>
  <c r="EV45" i="5"/>
  <c r="EV46" i="5"/>
  <c r="EV47" i="5"/>
  <c r="EW51" i="5"/>
  <c r="EW52" i="5"/>
  <c r="EW58" i="5"/>
  <c r="EW59" i="5"/>
  <c r="EZ67" i="5"/>
  <c r="EU38" i="5"/>
  <c r="EU39" i="5"/>
  <c r="EU40" i="5"/>
  <c r="EU41" i="5"/>
  <c r="EU45" i="5"/>
  <c r="EU46" i="5"/>
  <c r="EU47" i="5"/>
  <c r="EV51" i="5"/>
  <c r="EV52" i="5"/>
  <c r="EV58" i="5"/>
  <c r="EV59" i="5"/>
  <c r="EY67" i="5"/>
  <c r="ET38" i="5"/>
  <c r="ET39" i="5"/>
  <c r="ET40" i="5"/>
  <c r="ET41" i="5"/>
  <c r="ET45" i="5"/>
  <c r="ET46" i="5"/>
  <c r="ET47" i="5"/>
  <c r="EU51" i="5"/>
  <c r="EU52" i="5"/>
  <c r="EU58" i="5"/>
  <c r="EU59" i="5"/>
  <c r="EX67" i="5"/>
  <c r="ES38" i="5"/>
  <c r="ES39" i="5"/>
  <c r="ES40" i="5"/>
  <c r="ES41" i="5"/>
  <c r="ES45" i="5"/>
  <c r="ES46" i="5"/>
  <c r="ES47" i="5"/>
  <c r="ET51" i="5"/>
  <c r="ET52" i="5"/>
  <c r="ET58" i="5"/>
  <c r="ET59" i="5"/>
  <c r="EW67" i="5"/>
  <c r="ER38" i="5"/>
  <c r="ER39" i="5"/>
  <c r="ER40" i="5"/>
  <c r="ER41" i="5"/>
  <c r="ER45" i="5"/>
  <c r="ER46" i="5"/>
  <c r="ER47" i="5"/>
  <c r="ES51" i="5"/>
  <c r="ES52" i="5"/>
  <c r="ES58" i="5"/>
  <c r="ES59" i="5"/>
  <c r="EV67" i="5"/>
  <c r="EQ38" i="5"/>
  <c r="EQ39" i="5"/>
  <c r="EQ40" i="5"/>
  <c r="EQ41" i="5"/>
  <c r="EQ45" i="5"/>
  <c r="EQ46" i="5"/>
  <c r="EQ47" i="5"/>
  <c r="ER51" i="5"/>
  <c r="ER52" i="5"/>
  <c r="ER58" i="5"/>
  <c r="ER59" i="5"/>
  <c r="EU67" i="5"/>
  <c r="EP38" i="5"/>
  <c r="EP39" i="5"/>
  <c r="EP40" i="5"/>
  <c r="EP41" i="5"/>
  <c r="EP45" i="5"/>
  <c r="EP46" i="5"/>
  <c r="EP47" i="5"/>
  <c r="EQ51" i="5"/>
  <c r="EQ52" i="5"/>
  <c r="EQ58" i="5"/>
  <c r="EQ59" i="5"/>
  <c r="ET67" i="5"/>
  <c r="EO38" i="5"/>
  <c r="EO39" i="5"/>
  <c r="EO40" i="5"/>
  <c r="EO41" i="5"/>
  <c r="EO45" i="5"/>
  <c r="EO46" i="5"/>
  <c r="EO47" i="5"/>
  <c r="EP51" i="5"/>
  <c r="EP52" i="5"/>
  <c r="EP58" i="5"/>
  <c r="EP59" i="5"/>
  <c r="ES67" i="5"/>
  <c r="EN38" i="5"/>
  <c r="EN39" i="5"/>
  <c r="EN40" i="5"/>
  <c r="EN41" i="5"/>
  <c r="EN45" i="5"/>
  <c r="EN46" i="5"/>
  <c r="EN47" i="5"/>
  <c r="EO51" i="5"/>
  <c r="EO52" i="5"/>
  <c r="EO58" i="5"/>
  <c r="EO59" i="5"/>
  <c r="ER67" i="5"/>
  <c r="EM38" i="5"/>
  <c r="EM39" i="5"/>
  <c r="EM40" i="5"/>
  <c r="EM41" i="5"/>
  <c r="EM45" i="5"/>
  <c r="EM46" i="5"/>
  <c r="EM47" i="5"/>
  <c r="EN51" i="5"/>
  <c r="EN52" i="5"/>
  <c r="EN58" i="5"/>
  <c r="EN59" i="5"/>
  <c r="EQ67" i="5"/>
  <c r="EL38" i="5"/>
  <c r="EL39" i="5"/>
  <c r="EL40" i="5"/>
  <c r="EL41" i="5"/>
  <c r="EL45" i="5"/>
  <c r="EL46" i="5"/>
  <c r="EL47" i="5"/>
  <c r="EM51" i="5"/>
  <c r="EM52" i="5"/>
  <c r="EM58" i="5"/>
  <c r="EM59" i="5"/>
  <c r="EP67" i="5"/>
  <c r="EK38" i="5"/>
  <c r="EK39" i="5"/>
  <c r="EK40" i="5"/>
  <c r="EK41" i="5"/>
  <c r="EK45" i="5"/>
  <c r="EK46" i="5"/>
  <c r="EK47" i="5"/>
  <c r="EL51" i="5"/>
  <c r="EL52" i="5"/>
  <c r="EL58" i="5"/>
  <c r="EL59" i="5"/>
  <c r="EO67" i="5"/>
  <c r="EJ38" i="5"/>
  <c r="EJ39" i="5"/>
  <c r="EJ40" i="5"/>
  <c r="EJ41" i="5"/>
  <c r="EJ45" i="5"/>
  <c r="EJ46" i="5"/>
  <c r="EJ47" i="5"/>
  <c r="EK51" i="5"/>
  <c r="EK52" i="5"/>
  <c r="EK58" i="5"/>
  <c r="EK59" i="5"/>
  <c r="EN67" i="5"/>
  <c r="EI38" i="5"/>
  <c r="EI39" i="5"/>
  <c r="EI40" i="5"/>
  <c r="EI41" i="5"/>
  <c r="EI45" i="5"/>
  <c r="EI46" i="5"/>
  <c r="EI47" i="5"/>
  <c r="EJ51" i="5"/>
  <c r="EJ52" i="5"/>
  <c r="EJ58" i="5"/>
  <c r="EJ59" i="5"/>
  <c r="EM67" i="5"/>
  <c r="EH38" i="5"/>
  <c r="EH39" i="5"/>
  <c r="EH40" i="5"/>
  <c r="EH41" i="5"/>
  <c r="EH45" i="5"/>
  <c r="EH46" i="5"/>
  <c r="EH47" i="5"/>
  <c r="EI51" i="5"/>
  <c r="EI52" i="5"/>
  <c r="EI58" i="5"/>
  <c r="EI59" i="5"/>
  <c r="EL67" i="5"/>
  <c r="EG38" i="5"/>
  <c r="EG39" i="5"/>
  <c r="EG40" i="5"/>
  <c r="EG41" i="5"/>
  <c r="EG45" i="5"/>
  <c r="EG46" i="5"/>
  <c r="EG47" i="5"/>
  <c r="EH51" i="5"/>
  <c r="EH52" i="5"/>
  <c r="EH58" i="5"/>
  <c r="EH59" i="5"/>
  <c r="EK67" i="5"/>
  <c r="EF38" i="5"/>
  <c r="EF39" i="5"/>
  <c r="EF40" i="5"/>
  <c r="EF41" i="5"/>
  <c r="EF45" i="5"/>
  <c r="EF46" i="5"/>
  <c r="EF47" i="5"/>
  <c r="EG51" i="5"/>
  <c r="EG52" i="5"/>
  <c r="EG58" i="5"/>
  <c r="EG59" i="5"/>
  <c r="EJ67" i="5"/>
  <c r="EE38" i="5"/>
  <c r="EE39" i="5"/>
  <c r="EE40" i="5"/>
  <c r="EE41" i="5"/>
  <c r="EE45" i="5"/>
  <c r="EE46" i="5"/>
  <c r="EE47" i="5"/>
  <c r="EF51" i="5"/>
  <c r="EF52" i="5"/>
  <c r="EF58" i="5"/>
  <c r="EF59" i="5"/>
  <c r="EI67" i="5"/>
  <c r="ED38" i="5"/>
  <c r="ED39" i="5"/>
  <c r="ED40" i="5"/>
  <c r="ED41" i="5"/>
  <c r="ED45" i="5"/>
  <c r="ED46" i="5"/>
  <c r="ED47" i="5"/>
  <c r="EE51" i="5"/>
  <c r="EE52" i="5"/>
  <c r="EE58" i="5"/>
  <c r="EE59" i="5"/>
  <c r="EH67" i="5"/>
  <c r="EC38" i="5"/>
  <c r="EC39" i="5"/>
  <c r="EC40" i="5"/>
  <c r="EC41" i="5"/>
  <c r="EC45" i="5"/>
  <c r="EC46" i="5"/>
  <c r="EC47" i="5"/>
  <c r="ED51" i="5"/>
  <c r="ED52" i="5"/>
  <c r="ED58" i="5"/>
  <c r="ED59" i="5"/>
  <c r="EG67" i="5"/>
  <c r="EB38" i="5"/>
  <c r="EB39" i="5"/>
  <c r="EB40" i="5"/>
  <c r="EB41" i="5"/>
  <c r="EB45" i="5"/>
  <c r="EB46" i="5"/>
  <c r="EB47" i="5"/>
  <c r="EC51" i="5"/>
  <c r="EC52" i="5"/>
  <c r="EC58" i="5"/>
  <c r="EC59" i="5"/>
  <c r="EF67" i="5"/>
  <c r="EA38" i="5"/>
  <c r="EA39" i="5"/>
  <c r="EA40" i="5"/>
  <c r="EA41" i="5"/>
  <c r="EA45" i="5"/>
  <c r="EA46" i="5"/>
  <c r="EA47" i="5"/>
  <c r="EB51" i="5"/>
  <c r="EB52" i="5"/>
  <c r="EB58" i="5"/>
  <c r="EB59" i="5"/>
  <c r="EE67" i="5"/>
  <c r="DZ38" i="5"/>
  <c r="DZ39" i="5"/>
  <c r="DZ40" i="5"/>
  <c r="DZ41" i="5"/>
  <c r="DZ45" i="5"/>
  <c r="DZ46" i="5"/>
  <c r="DZ47" i="5"/>
  <c r="EA51" i="5"/>
  <c r="EA52" i="5"/>
  <c r="EA58" i="5"/>
  <c r="EA59" i="5"/>
  <c r="ED67" i="5"/>
  <c r="DY38" i="5"/>
  <c r="DY39" i="5"/>
  <c r="DY40" i="5"/>
  <c r="DY41" i="5"/>
  <c r="DY45" i="5"/>
  <c r="DY46" i="5"/>
  <c r="DY47" i="5"/>
  <c r="DZ51" i="5"/>
  <c r="DZ52" i="5"/>
  <c r="DZ58" i="5"/>
  <c r="DZ59" i="5"/>
  <c r="EC67" i="5"/>
  <c r="DX38" i="5"/>
  <c r="DX39" i="5"/>
  <c r="DX40" i="5"/>
  <c r="DX41" i="5"/>
  <c r="DX45" i="5"/>
  <c r="DX46" i="5"/>
  <c r="DX47" i="5"/>
  <c r="DY51" i="5"/>
  <c r="DY52" i="5"/>
  <c r="DY58" i="5"/>
  <c r="DY59" i="5"/>
  <c r="EB67" i="5"/>
  <c r="DW38" i="5"/>
  <c r="DW39" i="5"/>
  <c r="DW40" i="5"/>
  <c r="DW41" i="5"/>
  <c r="DW45" i="5"/>
  <c r="DW46" i="5"/>
  <c r="DW47" i="5"/>
  <c r="DX51" i="5"/>
  <c r="DX52" i="5"/>
  <c r="DX58" i="5"/>
  <c r="DX59" i="5"/>
  <c r="EA67" i="5"/>
  <c r="DV38" i="5"/>
  <c r="DV39" i="5"/>
  <c r="DV40" i="5"/>
  <c r="DV41" i="5"/>
  <c r="DV45" i="5"/>
  <c r="DV46" i="5"/>
  <c r="DV47" i="5"/>
  <c r="DW51" i="5"/>
  <c r="DW52" i="5"/>
  <c r="DW58" i="5"/>
  <c r="DW59" i="5"/>
  <c r="DZ67" i="5"/>
  <c r="DU38" i="5"/>
  <c r="DU39" i="5"/>
  <c r="DU40" i="5"/>
  <c r="DU41" i="5"/>
  <c r="DU45" i="5"/>
  <c r="DU46" i="5"/>
  <c r="DU47" i="5"/>
  <c r="DV51" i="5"/>
  <c r="DV52" i="5"/>
  <c r="DV58" i="5"/>
  <c r="DV59" i="5"/>
  <c r="DY67" i="5"/>
  <c r="DT38" i="5"/>
  <c r="DT39" i="5"/>
  <c r="DT40" i="5"/>
  <c r="DT41" i="5"/>
  <c r="DT45" i="5"/>
  <c r="DT46" i="5"/>
  <c r="DT47" i="5"/>
  <c r="DU51" i="5"/>
  <c r="DU52" i="5"/>
  <c r="DU58" i="5"/>
  <c r="DU59" i="5"/>
  <c r="DX67" i="5"/>
  <c r="DS38" i="5"/>
  <c r="DS39" i="5"/>
  <c r="DS40" i="5"/>
  <c r="DS41" i="5"/>
  <c r="DS45" i="5"/>
  <c r="DS46" i="5"/>
  <c r="DS47" i="5"/>
  <c r="DT51" i="5"/>
  <c r="DT52" i="5"/>
  <c r="DT58" i="5"/>
  <c r="DT59" i="5"/>
  <c r="DW67" i="5"/>
  <c r="DR38" i="5"/>
  <c r="DR39" i="5"/>
  <c r="DR40" i="5"/>
  <c r="DR41" i="5"/>
  <c r="DR45" i="5"/>
  <c r="DR46" i="5"/>
  <c r="DR47" i="5"/>
  <c r="DS51" i="5"/>
  <c r="DS52" i="5"/>
  <c r="DS58" i="5"/>
  <c r="DS59" i="5"/>
  <c r="DV67" i="5"/>
  <c r="DQ38" i="5"/>
  <c r="DQ39" i="5"/>
  <c r="DQ40" i="5"/>
  <c r="DQ41" i="5"/>
  <c r="DQ45" i="5"/>
  <c r="DQ46" i="5"/>
  <c r="DQ47" i="5"/>
  <c r="DR51" i="5"/>
  <c r="DR52" i="5"/>
  <c r="DR58" i="5"/>
  <c r="DR59" i="5"/>
  <c r="DU67" i="5"/>
  <c r="DP38" i="5"/>
  <c r="DP39" i="5"/>
  <c r="DP40" i="5"/>
  <c r="DP41" i="5"/>
  <c r="DP45" i="5"/>
  <c r="DP46" i="5"/>
  <c r="DP47" i="5"/>
  <c r="DQ51" i="5"/>
  <c r="DQ52" i="5"/>
  <c r="DQ58" i="5"/>
  <c r="DQ59" i="5"/>
  <c r="DT67" i="5"/>
  <c r="DO38" i="5"/>
  <c r="DO39" i="5"/>
  <c r="DO40" i="5"/>
  <c r="DO41" i="5"/>
  <c r="DO45" i="5"/>
  <c r="DO46" i="5"/>
  <c r="DO47" i="5"/>
  <c r="DP51" i="5"/>
  <c r="DP52" i="5"/>
  <c r="DP58" i="5"/>
  <c r="DP59" i="5"/>
  <c r="DS67" i="5"/>
  <c r="GJ38" i="5"/>
  <c r="GJ45" i="5"/>
  <c r="GJ46" i="5"/>
  <c r="GJ47" i="5"/>
  <c r="GJ51" i="5"/>
  <c r="GJ52" i="5"/>
  <c r="GJ58" i="5"/>
  <c r="GJ59" i="5"/>
  <c r="GJ67" i="5"/>
  <c r="GF11" i="5"/>
  <c r="GF12" i="5"/>
  <c r="GF32" i="5"/>
  <c r="GG11" i="5"/>
  <c r="GG12" i="5"/>
  <c r="GG32" i="5"/>
  <c r="GH11" i="5"/>
  <c r="GH12" i="5"/>
  <c r="GH32" i="5"/>
  <c r="GI11" i="5"/>
  <c r="GI12" i="5"/>
  <c r="GI32" i="5"/>
  <c r="GF13" i="5"/>
  <c r="GF33" i="5"/>
  <c r="GG13" i="5"/>
  <c r="GG33" i="5"/>
  <c r="GH13" i="5"/>
  <c r="GH33" i="5"/>
  <c r="GI13" i="5"/>
  <c r="GI33" i="5"/>
  <c r="GB14" i="5"/>
  <c r="GB15" i="5"/>
  <c r="GB16" i="5"/>
  <c r="GB34" i="5"/>
  <c r="GI14" i="5"/>
  <c r="GI15" i="5"/>
  <c r="GI16" i="5"/>
  <c r="GI34" i="5"/>
  <c r="GH14" i="5"/>
  <c r="GH15" i="5"/>
  <c r="GH16" i="5"/>
  <c r="GH34" i="5"/>
  <c r="GC14" i="5"/>
  <c r="GC15" i="5"/>
  <c r="GC16" i="5"/>
  <c r="GC34" i="5"/>
  <c r="GD14" i="5"/>
  <c r="GD15" i="5"/>
  <c r="GD16" i="5"/>
  <c r="GD34" i="5"/>
  <c r="GE14" i="5"/>
  <c r="GE15" i="5"/>
  <c r="GE16" i="5"/>
  <c r="GE34" i="5"/>
  <c r="GF14" i="5"/>
  <c r="GF15" i="5"/>
  <c r="GF16" i="5"/>
  <c r="GF34" i="5"/>
  <c r="GG14" i="5"/>
  <c r="GG15" i="5"/>
  <c r="GG16" i="5"/>
  <c r="GG34" i="5"/>
  <c r="FX17" i="5"/>
  <c r="FX18" i="5"/>
  <c r="FX35" i="5"/>
  <c r="FY17" i="5"/>
  <c r="FY18" i="5"/>
  <c r="FY35" i="5"/>
  <c r="FZ17" i="5"/>
  <c r="FZ18" i="5"/>
  <c r="FZ35" i="5"/>
  <c r="GA17" i="5"/>
  <c r="GA18" i="5"/>
  <c r="GA35" i="5"/>
  <c r="GB17" i="5"/>
  <c r="GB18" i="5"/>
  <c r="GB35" i="5"/>
  <c r="GC17" i="5"/>
  <c r="GC18" i="5"/>
  <c r="GC35" i="5"/>
  <c r="GD17" i="5"/>
  <c r="GD18" i="5"/>
  <c r="GD35" i="5"/>
  <c r="GE17" i="5"/>
  <c r="GE18" i="5"/>
  <c r="GE35" i="5"/>
  <c r="GF17" i="5"/>
  <c r="GF18" i="5"/>
  <c r="GF35" i="5"/>
  <c r="GG17" i="5"/>
  <c r="GG18" i="5"/>
  <c r="GG35" i="5"/>
  <c r="GH17" i="5"/>
  <c r="GH18" i="5"/>
  <c r="GH35" i="5"/>
  <c r="GI17" i="5"/>
  <c r="GI18" i="5"/>
  <c r="GI35" i="5"/>
  <c r="GI23" i="5"/>
  <c r="GI21" i="5"/>
  <c r="GE11" i="5"/>
  <c r="GE12" i="5"/>
  <c r="GE32" i="5"/>
  <c r="GE13" i="5"/>
  <c r="GE33" i="5"/>
  <c r="GA14" i="5"/>
  <c r="GA15" i="5"/>
  <c r="GA16" i="5"/>
  <c r="GA34" i="5"/>
  <c r="FW17" i="5"/>
  <c r="FW18" i="5"/>
  <c r="FW35" i="5"/>
  <c r="GH23" i="5"/>
  <c r="GH21" i="5"/>
  <c r="GI50" i="5"/>
  <c r="GI22" i="5"/>
  <c r="GI24" i="5"/>
  <c r="GI57" i="5"/>
  <c r="G70" i="20"/>
  <c r="F70" i="20"/>
  <c r="E70" i="20"/>
  <c r="GI25" i="5"/>
  <c r="D70" i="20"/>
  <c r="GI27" i="5"/>
  <c r="C70" i="20"/>
  <c r="GC11" i="5"/>
  <c r="GC12" i="5"/>
  <c r="GC32" i="5"/>
  <c r="GD11" i="5"/>
  <c r="GD12" i="5"/>
  <c r="GD32" i="5"/>
  <c r="GC13" i="5"/>
  <c r="GC33" i="5"/>
  <c r="GD13" i="5"/>
  <c r="GD33" i="5"/>
  <c r="FY14" i="5"/>
  <c r="FY15" i="5"/>
  <c r="FY16" i="5"/>
  <c r="FY34" i="5"/>
  <c r="FZ14" i="5"/>
  <c r="FZ15" i="5"/>
  <c r="FZ16" i="5"/>
  <c r="FZ34" i="5"/>
  <c r="FU17" i="5"/>
  <c r="FU18" i="5"/>
  <c r="FU35" i="5"/>
  <c r="FV17" i="5"/>
  <c r="FV18" i="5"/>
  <c r="FV35" i="5"/>
  <c r="GF23" i="5"/>
  <c r="GF21" i="5"/>
  <c r="GB11" i="5"/>
  <c r="GB12" i="5"/>
  <c r="GB32" i="5"/>
  <c r="GB13" i="5"/>
  <c r="GB33" i="5"/>
  <c r="FX14" i="5"/>
  <c r="FX15" i="5"/>
  <c r="FX16" i="5"/>
  <c r="FX34" i="5"/>
  <c r="FT17" i="5"/>
  <c r="FT18" i="5"/>
  <c r="FT35" i="5"/>
  <c r="GE23" i="5"/>
  <c r="GE21" i="5"/>
  <c r="GF50" i="5"/>
  <c r="GF22" i="5"/>
  <c r="GF24" i="5"/>
  <c r="GF57" i="5"/>
  <c r="GF25" i="5"/>
  <c r="GG23" i="5"/>
  <c r="GG21" i="5"/>
  <c r="GG50" i="5"/>
  <c r="GG22" i="5"/>
  <c r="GG24" i="5"/>
  <c r="GG57" i="5"/>
  <c r="GG25" i="5"/>
  <c r="GH50" i="5"/>
  <c r="GH22" i="5"/>
  <c r="GH24" i="5"/>
  <c r="GH57" i="5"/>
  <c r="GH25" i="5"/>
  <c r="B70" i="20"/>
  <c r="A70" i="20"/>
  <c r="DQ11" i="5"/>
  <c r="DQ12" i="5"/>
  <c r="DQ32" i="5"/>
  <c r="DR11" i="5"/>
  <c r="DR12" i="5"/>
  <c r="DR32" i="5"/>
  <c r="DS11" i="5"/>
  <c r="DS12" i="5"/>
  <c r="DS32" i="5"/>
  <c r="DT11" i="5"/>
  <c r="DT12" i="5"/>
  <c r="DT32" i="5"/>
  <c r="DQ13" i="5"/>
  <c r="DQ33" i="5"/>
  <c r="DR13" i="5"/>
  <c r="DR33" i="5"/>
  <c r="DS13" i="5"/>
  <c r="DS33" i="5"/>
  <c r="DT13" i="5"/>
  <c r="DT33" i="5"/>
  <c r="DM14" i="5"/>
  <c r="DM15" i="5"/>
  <c r="DM16" i="5"/>
  <c r="DM34" i="5"/>
  <c r="DT14" i="5"/>
  <c r="DT15" i="5"/>
  <c r="DT16" i="5"/>
  <c r="DT34" i="5"/>
  <c r="DS14" i="5"/>
  <c r="DS15" i="5"/>
  <c r="DS16" i="5"/>
  <c r="DS34" i="5"/>
  <c r="DN14" i="5"/>
  <c r="DN15" i="5"/>
  <c r="DN16" i="5"/>
  <c r="DN34" i="5"/>
  <c r="DO14" i="5"/>
  <c r="DO15" i="5"/>
  <c r="DO16" i="5"/>
  <c r="DO34" i="5"/>
  <c r="DP14" i="5"/>
  <c r="DP15" i="5"/>
  <c r="DP16" i="5"/>
  <c r="DP34" i="5"/>
  <c r="DQ14" i="5"/>
  <c r="DQ15" i="5"/>
  <c r="DQ16" i="5"/>
  <c r="DQ34" i="5"/>
  <c r="DR14" i="5"/>
  <c r="DR15" i="5"/>
  <c r="DR16" i="5"/>
  <c r="DR34" i="5"/>
  <c r="DI17" i="5"/>
  <c r="DI18" i="5"/>
  <c r="DI35" i="5"/>
  <c r="DJ17" i="5"/>
  <c r="DJ18" i="5"/>
  <c r="DJ35" i="5"/>
  <c r="DK17" i="5"/>
  <c r="DK18" i="5"/>
  <c r="DK35" i="5"/>
  <c r="DL17" i="5"/>
  <c r="DL18" i="5"/>
  <c r="DL35" i="5"/>
  <c r="DM17" i="5"/>
  <c r="DM18" i="5"/>
  <c r="DM35" i="5"/>
  <c r="DN17" i="5"/>
  <c r="DN18" i="5"/>
  <c r="DN35" i="5"/>
  <c r="DO17" i="5"/>
  <c r="DO18" i="5"/>
  <c r="DO35" i="5"/>
  <c r="DP17" i="5"/>
  <c r="DP18" i="5"/>
  <c r="DP35" i="5"/>
  <c r="DQ17" i="5"/>
  <c r="DQ18" i="5"/>
  <c r="DQ35" i="5"/>
  <c r="DR17" i="5"/>
  <c r="DR18" i="5"/>
  <c r="DR35" i="5"/>
  <c r="DS17" i="5"/>
  <c r="DS18" i="5"/>
  <c r="DS35" i="5"/>
  <c r="DT17" i="5"/>
  <c r="DT18" i="5"/>
  <c r="DT35" i="5"/>
  <c r="DT23" i="5"/>
  <c r="DT21" i="5"/>
  <c r="DP11" i="5"/>
  <c r="DP12" i="5"/>
  <c r="DP32" i="5"/>
  <c r="DP13" i="5"/>
  <c r="DP33" i="5"/>
  <c r="DL14" i="5"/>
  <c r="DL15" i="5"/>
  <c r="DL16" i="5"/>
  <c r="DL34" i="5"/>
  <c r="DH17" i="5"/>
  <c r="DH18" i="5"/>
  <c r="DH35" i="5"/>
  <c r="DS23" i="5"/>
  <c r="DS21" i="5"/>
  <c r="DT50" i="5"/>
  <c r="DT22" i="5"/>
  <c r="DT24" i="5"/>
  <c r="DT57" i="5"/>
  <c r="A3" i="20"/>
  <c r="G3" i="20"/>
  <c r="DU11" i="5"/>
  <c r="DU12" i="5"/>
  <c r="DU32" i="5"/>
  <c r="DU13" i="5"/>
  <c r="DU33" i="5"/>
  <c r="DU14" i="5"/>
  <c r="DU15" i="5"/>
  <c r="DU16" i="5"/>
  <c r="DU34" i="5"/>
  <c r="DU17" i="5"/>
  <c r="DU18" i="5"/>
  <c r="DU35" i="5"/>
  <c r="DU23" i="5"/>
  <c r="DU21" i="5"/>
  <c r="DU50" i="5"/>
  <c r="DU22" i="5"/>
  <c r="DU24" i="5"/>
  <c r="DU57" i="5"/>
  <c r="A4" i="20"/>
  <c r="G4" i="20"/>
  <c r="DV11" i="5"/>
  <c r="DV12" i="5"/>
  <c r="DV32" i="5"/>
  <c r="DV13" i="5"/>
  <c r="DV33" i="5"/>
  <c r="DV14" i="5"/>
  <c r="DV15" i="5"/>
  <c r="DV16" i="5"/>
  <c r="DV34" i="5"/>
  <c r="DV17" i="5"/>
  <c r="DV18" i="5"/>
  <c r="DV35" i="5"/>
  <c r="DV23" i="5"/>
  <c r="DV21" i="5"/>
  <c r="DV50" i="5"/>
  <c r="DV22" i="5"/>
  <c r="DV24" i="5"/>
  <c r="DV57" i="5"/>
  <c r="A5" i="20"/>
  <c r="G5" i="20"/>
  <c r="DW11" i="5"/>
  <c r="DW12" i="5"/>
  <c r="DW32" i="5"/>
  <c r="DW13" i="5"/>
  <c r="DW33" i="5"/>
  <c r="DW14" i="5"/>
  <c r="DW15" i="5"/>
  <c r="DW16" i="5"/>
  <c r="DW34" i="5"/>
  <c r="DW17" i="5"/>
  <c r="DW18" i="5"/>
  <c r="DW35" i="5"/>
  <c r="DW23" i="5"/>
  <c r="DW21" i="5"/>
  <c r="DW50" i="5"/>
  <c r="DW22" i="5"/>
  <c r="DW24" i="5"/>
  <c r="DW57" i="5"/>
  <c r="A6" i="20"/>
  <c r="G6" i="20"/>
  <c r="DX11" i="5"/>
  <c r="DX12" i="5"/>
  <c r="DX32" i="5"/>
  <c r="DX13" i="5"/>
  <c r="DX33" i="5"/>
  <c r="DX14" i="5"/>
  <c r="DX15" i="5"/>
  <c r="DX16" i="5"/>
  <c r="DX34" i="5"/>
  <c r="DX17" i="5"/>
  <c r="DX18" i="5"/>
  <c r="DX35" i="5"/>
  <c r="DX23" i="5"/>
  <c r="DX21" i="5"/>
  <c r="DX50" i="5"/>
  <c r="DX22" i="5"/>
  <c r="DX24" i="5"/>
  <c r="DX57" i="5"/>
  <c r="A7" i="20"/>
  <c r="G7" i="20"/>
  <c r="DY11" i="5"/>
  <c r="DY12" i="5"/>
  <c r="DY32" i="5"/>
  <c r="DY13" i="5"/>
  <c r="DY33" i="5"/>
  <c r="DY14" i="5"/>
  <c r="DY15" i="5"/>
  <c r="DY16" i="5"/>
  <c r="DY34" i="5"/>
  <c r="DY17" i="5"/>
  <c r="DY18" i="5"/>
  <c r="DY35" i="5"/>
  <c r="DY23" i="5"/>
  <c r="DY21" i="5"/>
  <c r="DY50" i="5"/>
  <c r="DY22" i="5"/>
  <c r="DY24" i="5"/>
  <c r="DY57" i="5"/>
  <c r="A8" i="20"/>
  <c r="G8" i="20"/>
  <c r="DZ11" i="5"/>
  <c r="DZ12" i="5"/>
  <c r="DZ32" i="5"/>
  <c r="DZ13" i="5"/>
  <c r="DZ33" i="5"/>
  <c r="DZ14" i="5"/>
  <c r="DZ15" i="5"/>
  <c r="DZ16" i="5"/>
  <c r="DZ34" i="5"/>
  <c r="DZ17" i="5"/>
  <c r="DZ18" i="5"/>
  <c r="DZ35" i="5"/>
  <c r="DZ23" i="5"/>
  <c r="DZ21" i="5"/>
  <c r="DZ50" i="5"/>
  <c r="DZ22" i="5"/>
  <c r="DZ24" i="5"/>
  <c r="DZ57" i="5"/>
  <c r="A9" i="20"/>
  <c r="G9" i="20"/>
  <c r="EA11" i="5"/>
  <c r="EA12" i="5"/>
  <c r="EA32" i="5"/>
  <c r="EA13" i="5"/>
  <c r="EA33" i="5"/>
  <c r="EA14" i="5"/>
  <c r="EA15" i="5"/>
  <c r="EA16" i="5"/>
  <c r="EA34" i="5"/>
  <c r="EA17" i="5"/>
  <c r="EA18" i="5"/>
  <c r="EA35" i="5"/>
  <c r="EA23" i="5"/>
  <c r="EA21" i="5"/>
  <c r="EA50" i="5"/>
  <c r="EA22" i="5"/>
  <c r="EA24" i="5"/>
  <c r="EA57" i="5"/>
  <c r="A10" i="20"/>
  <c r="G10" i="20"/>
  <c r="EB11" i="5"/>
  <c r="EB12" i="5"/>
  <c r="EB32" i="5"/>
  <c r="EB13" i="5"/>
  <c r="EB33" i="5"/>
  <c r="EB14" i="5"/>
  <c r="EB15" i="5"/>
  <c r="EB16" i="5"/>
  <c r="EB34" i="5"/>
  <c r="EB17" i="5"/>
  <c r="EB18" i="5"/>
  <c r="EB35" i="5"/>
  <c r="EB23" i="5"/>
  <c r="EB21" i="5"/>
  <c r="EB50" i="5"/>
  <c r="EB22" i="5"/>
  <c r="EB24" i="5"/>
  <c r="EB57" i="5"/>
  <c r="A11" i="20"/>
  <c r="G11" i="20"/>
  <c r="EC11" i="5"/>
  <c r="EC12" i="5"/>
  <c r="EC32" i="5"/>
  <c r="EC13" i="5"/>
  <c r="EC33" i="5"/>
  <c r="EC14" i="5"/>
  <c r="EC15" i="5"/>
  <c r="EC16" i="5"/>
  <c r="EC34" i="5"/>
  <c r="EC17" i="5"/>
  <c r="EC18" i="5"/>
  <c r="EC35" i="5"/>
  <c r="EC23" i="5"/>
  <c r="EC21" i="5"/>
  <c r="EC50" i="5"/>
  <c r="EC22" i="5"/>
  <c r="EC24" i="5"/>
  <c r="EC57" i="5"/>
  <c r="A12" i="20"/>
  <c r="G12" i="20"/>
  <c r="ED11" i="5"/>
  <c r="ED12" i="5"/>
  <c r="ED32" i="5"/>
  <c r="ED13" i="5"/>
  <c r="ED33" i="5"/>
  <c r="ED14" i="5"/>
  <c r="ED15" i="5"/>
  <c r="ED16" i="5"/>
  <c r="ED34" i="5"/>
  <c r="ED17" i="5"/>
  <c r="ED18" i="5"/>
  <c r="ED35" i="5"/>
  <c r="ED23" i="5"/>
  <c r="ED21" i="5"/>
  <c r="ED50" i="5"/>
  <c r="ED22" i="5"/>
  <c r="ED24" i="5"/>
  <c r="ED57" i="5"/>
  <c r="A13" i="20"/>
  <c r="G13" i="20"/>
  <c r="EE11" i="5"/>
  <c r="EE12" i="5"/>
  <c r="EE32" i="5"/>
  <c r="EE13" i="5"/>
  <c r="EE33" i="5"/>
  <c r="EE14" i="5"/>
  <c r="EE15" i="5"/>
  <c r="EE16" i="5"/>
  <c r="EE34" i="5"/>
  <c r="EE17" i="5"/>
  <c r="EE18" i="5"/>
  <c r="EE35" i="5"/>
  <c r="EE23" i="5"/>
  <c r="EE21" i="5"/>
  <c r="EE50" i="5"/>
  <c r="EE22" i="5"/>
  <c r="EE24" i="5"/>
  <c r="EE57" i="5"/>
  <c r="A14" i="20"/>
  <c r="G14" i="20"/>
  <c r="EF11" i="5"/>
  <c r="EF12" i="5"/>
  <c r="EF32" i="5"/>
  <c r="EF13" i="5"/>
  <c r="EF33" i="5"/>
  <c r="EF14" i="5"/>
  <c r="EF15" i="5"/>
  <c r="EF16" i="5"/>
  <c r="EF34" i="5"/>
  <c r="EF17" i="5"/>
  <c r="EF18" i="5"/>
  <c r="EF35" i="5"/>
  <c r="EF23" i="5"/>
  <c r="EF21" i="5"/>
  <c r="EF50" i="5"/>
  <c r="EF22" i="5"/>
  <c r="EF24" i="5"/>
  <c r="EF57" i="5"/>
  <c r="A15" i="20"/>
  <c r="G15" i="20"/>
  <c r="EG11" i="5"/>
  <c r="EG12" i="5"/>
  <c r="EG32" i="5"/>
  <c r="EG13" i="5"/>
  <c r="EG33" i="5"/>
  <c r="EG14" i="5"/>
  <c r="EG15" i="5"/>
  <c r="EG16" i="5"/>
  <c r="EG34" i="5"/>
  <c r="EG17" i="5"/>
  <c r="EG18" i="5"/>
  <c r="EG35" i="5"/>
  <c r="EG23" i="5"/>
  <c r="EG21" i="5"/>
  <c r="EG50" i="5"/>
  <c r="EG22" i="5"/>
  <c r="EG24" i="5"/>
  <c r="EG57" i="5"/>
  <c r="A16" i="20"/>
  <c r="G16" i="20"/>
  <c r="EH11" i="5"/>
  <c r="EH12" i="5"/>
  <c r="EH32" i="5"/>
  <c r="EH13" i="5"/>
  <c r="EH33" i="5"/>
  <c r="EH14" i="5"/>
  <c r="EH15" i="5"/>
  <c r="EH16" i="5"/>
  <c r="EH34" i="5"/>
  <c r="EH17" i="5"/>
  <c r="EH18" i="5"/>
  <c r="EH35" i="5"/>
  <c r="EH23" i="5"/>
  <c r="EH21" i="5"/>
  <c r="EH50" i="5"/>
  <c r="EH22" i="5"/>
  <c r="EH24" i="5"/>
  <c r="EH57" i="5"/>
  <c r="A17" i="20"/>
  <c r="G17" i="20"/>
  <c r="EI11" i="5"/>
  <c r="EI12" i="5"/>
  <c r="EI32" i="5"/>
  <c r="EI13" i="5"/>
  <c r="EI33" i="5"/>
  <c r="EI14" i="5"/>
  <c r="EI15" i="5"/>
  <c r="EI16" i="5"/>
  <c r="EI34" i="5"/>
  <c r="EI17" i="5"/>
  <c r="EI18" i="5"/>
  <c r="EI35" i="5"/>
  <c r="EI23" i="5"/>
  <c r="EI21" i="5"/>
  <c r="EI50" i="5"/>
  <c r="EI22" i="5"/>
  <c r="EI24" i="5"/>
  <c r="EI57" i="5"/>
  <c r="A18" i="20"/>
  <c r="G18" i="20"/>
  <c r="EJ11" i="5"/>
  <c r="EJ12" i="5"/>
  <c r="EJ32" i="5"/>
  <c r="EJ13" i="5"/>
  <c r="EJ33" i="5"/>
  <c r="EJ14" i="5"/>
  <c r="EJ15" i="5"/>
  <c r="EJ16" i="5"/>
  <c r="EJ34" i="5"/>
  <c r="EJ17" i="5"/>
  <c r="EJ18" i="5"/>
  <c r="EJ35" i="5"/>
  <c r="EJ23" i="5"/>
  <c r="EJ21" i="5"/>
  <c r="EJ50" i="5"/>
  <c r="EJ22" i="5"/>
  <c r="EJ24" i="5"/>
  <c r="EJ57" i="5"/>
  <c r="A19" i="20"/>
  <c r="G19" i="20"/>
  <c r="EK11" i="5"/>
  <c r="EK12" i="5"/>
  <c r="EK32" i="5"/>
  <c r="EK13" i="5"/>
  <c r="EK33" i="5"/>
  <c r="EK14" i="5"/>
  <c r="EK15" i="5"/>
  <c r="EK16" i="5"/>
  <c r="EK34" i="5"/>
  <c r="EK17" i="5"/>
  <c r="EK18" i="5"/>
  <c r="EK35" i="5"/>
  <c r="EK23" i="5"/>
  <c r="EK21" i="5"/>
  <c r="EK50" i="5"/>
  <c r="EK22" i="5"/>
  <c r="EK24" i="5"/>
  <c r="EK57" i="5"/>
  <c r="A20" i="20"/>
  <c r="G20" i="20"/>
  <c r="EL11" i="5"/>
  <c r="EL12" i="5"/>
  <c r="EL32" i="5"/>
  <c r="EL13" i="5"/>
  <c r="EL33" i="5"/>
  <c r="EL14" i="5"/>
  <c r="EL15" i="5"/>
  <c r="EL16" i="5"/>
  <c r="EL34" i="5"/>
  <c r="EL17" i="5"/>
  <c r="EL18" i="5"/>
  <c r="EL35" i="5"/>
  <c r="EL23" i="5"/>
  <c r="EL21" i="5"/>
  <c r="EL50" i="5"/>
  <c r="EL22" i="5"/>
  <c r="EL24" i="5"/>
  <c r="EL57" i="5"/>
  <c r="A21" i="20"/>
  <c r="G21" i="20"/>
  <c r="EM11" i="5"/>
  <c r="EM12" i="5"/>
  <c r="EM32" i="5"/>
  <c r="EM13" i="5"/>
  <c r="EM33" i="5"/>
  <c r="EM14" i="5"/>
  <c r="EM15" i="5"/>
  <c r="EM16" i="5"/>
  <c r="EM34" i="5"/>
  <c r="EM17" i="5"/>
  <c r="EM18" i="5"/>
  <c r="EM35" i="5"/>
  <c r="EM23" i="5"/>
  <c r="EM21" i="5"/>
  <c r="EM50" i="5"/>
  <c r="EM22" i="5"/>
  <c r="EM24" i="5"/>
  <c r="EM57" i="5"/>
  <c r="A22" i="20"/>
  <c r="G22" i="20"/>
  <c r="EN11" i="5"/>
  <c r="EN12" i="5"/>
  <c r="EN32" i="5"/>
  <c r="EN13" i="5"/>
  <c r="EN33" i="5"/>
  <c r="EN14" i="5"/>
  <c r="EN15" i="5"/>
  <c r="EN16" i="5"/>
  <c r="EN34" i="5"/>
  <c r="EN17" i="5"/>
  <c r="EN18" i="5"/>
  <c r="EN35" i="5"/>
  <c r="EN23" i="5"/>
  <c r="EN21" i="5"/>
  <c r="EN50" i="5"/>
  <c r="EN22" i="5"/>
  <c r="EN24" i="5"/>
  <c r="EN57" i="5"/>
  <c r="A23" i="20"/>
  <c r="G23" i="20"/>
  <c r="EO11" i="5"/>
  <c r="EO12" i="5"/>
  <c r="EO32" i="5"/>
  <c r="EO13" i="5"/>
  <c r="EO33" i="5"/>
  <c r="EO14" i="5"/>
  <c r="EO15" i="5"/>
  <c r="EO16" i="5"/>
  <c r="EO34" i="5"/>
  <c r="EO17" i="5"/>
  <c r="EO18" i="5"/>
  <c r="EO35" i="5"/>
  <c r="EO23" i="5"/>
  <c r="EO21" i="5"/>
  <c r="EO50" i="5"/>
  <c r="EO22" i="5"/>
  <c r="EO24" i="5"/>
  <c r="EO57" i="5"/>
  <c r="A24" i="20"/>
  <c r="G24" i="20"/>
  <c r="EP11" i="5"/>
  <c r="EP12" i="5"/>
  <c r="EP32" i="5"/>
  <c r="EP13" i="5"/>
  <c r="EP33" i="5"/>
  <c r="EP14" i="5"/>
  <c r="EP15" i="5"/>
  <c r="EP16" i="5"/>
  <c r="EP34" i="5"/>
  <c r="EP17" i="5"/>
  <c r="EP18" i="5"/>
  <c r="EP35" i="5"/>
  <c r="EP23" i="5"/>
  <c r="EP21" i="5"/>
  <c r="EP50" i="5"/>
  <c r="EP22" i="5"/>
  <c r="EP24" i="5"/>
  <c r="EP57" i="5"/>
  <c r="A25" i="20"/>
  <c r="G25" i="20"/>
  <c r="EQ11" i="5"/>
  <c r="EQ12" i="5"/>
  <c r="EQ32" i="5"/>
  <c r="EQ13" i="5"/>
  <c r="EQ33" i="5"/>
  <c r="EQ14" i="5"/>
  <c r="EQ15" i="5"/>
  <c r="EQ16" i="5"/>
  <c r="EQ34" i="5"/>
  <c r="EQ17" i="5"/>
  <c r="EQ18" i="5"/>
  <c r="EQ35" i="5"/>
  <c r="EQ23" i="5"/>
  <c r="EQ21" i="5"/>
  <c r="EQ50" i="5"/>
  <c r="EQ22" i="5"/>
  <c r="EQ24" i="5"/>
  <c r="EQ57" i="5"/>
  <c r="A26" i="20"/>
  <c r="G26" i="20"/>
  <c r="ER11" i="5"/>
  <c r="ER12" i="5"/>
  <c r="ER32" i="5"/>
  <c r="ER13" i="5"/>
  <c r="ER33" i="5"/>
  <c r="ER14" i="5"/>
  <c r="ER15" i="5"/>
  <c r="ER16" i="5"/>
  <c r="ER34" i="5"/>
  <c r="ER17" i="5"/>
  <c r="ER18" i="5"/>
  <c r="ER35" i="5"/>
  <c r="ER23" i="5"/>
  <c r="ER21" i="5"/>
  <c r="ER50" i="5"/>
  <c r="ER22" i="5"/>
  <c r="ER24" i="5"/>
  <c r="ER57" i="5"/>
  <c r="A27" i="20"/>
  <c r="G27" i="20"/>
  <c r="ES11" i="5"/>
  <c r="ES12" i="5"/>
  <c r="ES32" i="5"/>
  <c r="ES13" i="5"/>
  <c r="ES33" i="5"/>
  <c r="ES14" i="5"/>
  <c r="ES15" i="5"/>
  <c r="ES16" i="5"/>
  <c r="ES34" i="5"/>
  <c r="ES17" i="5"/>
  <c r="ES18" i="5"/>
  <c r="ES35" i="5"/>
  <c r="ES23" i="5"/>
  <c r="ES21" i="5"/>
  <c r="ES50" i="5"/>
  <c r="ES22" i="5"/>
  <c r="ES24" i="5"/>
  <c r="ES57" i="5"/>
  <c r="A28" i="20"/>
  <c r="G28" i="20"/>
  <c r="ET11" i="5"/>
  <c r="ET12" i="5"/>
  <c r="ET32" i="5"/>
  <c r="ET13" i="5"/>
  <c r="ET33" i="5"/>
  <c r="ET14" i="5"/>
  <c r="ET15" i="5"/>
  <c r="ET16" i="5"/>
  <c r="ET34" i="5"/>
  <c r="ET17" i="5"/>
  <c r="ET18" i="5"/>
  <c r="ET35" i="5"/>
  <c r="ET23" i="5"/>
  <c r="ET21" i="5"/>
  <c r="ET50" i="5"/>
  <c r="ET22" i="5"/>
  <c r="ET24" i="5"/>
  <c r="ET57" i="5"/>
  <c r="A29" i="20"/>
  <c r="G29" i="20"/>
  <c r="EU11" i="5"/>
  <c r="EU12" i="5"/>
  <c r="EU32" i="5"/>
  <c r="EU13" i="5"/>
  <c r="EU33" i="5"/>
  <c r="EU14" i="5"/>
  <c r="EU15" i="5"/>
  <c r="EU16" i="5"/>
  <c r="EU34" i="5"/>
  <c r="EU17" i="5"/>
  <c r="EU18" i="5"/>
  <c r="EU35" i="5"/>
  <c r="EU23" i="5"/>
  <c r="EU21" i="5"/>
  <c r="EU50" i="5"/>
  <c r="EU22" i="5"/>
  <c r="EU24" i="5"/>
  <c r="EU57" i="5"/>
  <c r="A30" i="20"/>
  <c r="G30" i="20"/>
  <c r="EV11" i="5"/>
  <c r="EV12" i="5"/>
  <c r="EV32" i="5"/>
  <c r="EV13" i="5"/>
  <c r="EV33" i="5"/>
  <c r="EV14" i="5"/>
  <c r="EV15" i="5"/>
  <c r="EV16" i="5"/>
  <c r="EV34" i="5"/>
  <c r="EV17" i="5"/>
  <c r="EV18" i="5"/>
  <c r="EV35" i="5"/>
  <c r="EV23" i="5"/>
  <c r="EV21" i="5"/>
  <c r="EV50" i="5"/>
  <c r="EV22" i="5"/>
  <c r="EV24" i="5"/>
  <c r="EV57" i="5"/>
  <c r="A31" i="20"/>
  <c r="G31" i="20"/>
  <c r="EW11" i="5"/>
  <c r="EW12" i="5"/>
  <c r="EW32" i="5"/>
  <c r="EW13" i="5"/>
  <c r="EW33" i="5"/>
  <c r="EW14" i="5"/>
  <c r="EW15" i="5"/>
  <c r="EW16" i="5"/>
  <c r="EW34" i="5"/>
  <c r="EW17" i="5"/>
  <c r="EW18" i="5"/>
  <c r="EW35" i="5"/>
  <c r="EW23" i="5"/>
  <c r="EW21" i="5"/>
  <c r="EW50" i="5"/>
  <c r="EW22" i="5"/>
  <c r="EW24" i="5"/>
  <c r="EW57" i="5"/>
  <c r="A32" i="20"/>
  <c r="G32" i="20"/>
  <c r="EX11" i="5"/>
  <c r="EX12" i="5"/>
  <c r="EX32" i="5"/>
  <c r="EX13" i="5"/>
  <c r="EX33" i="5"/>
  <c r="EX14" i="5"/>
  <c r="EX15" i="5"/>
  <c r="EX16" i="5"/>
  <c r="EX34" i="5"/>
  <c r="EX17" i="5"/>
  <c r="EX18" i="5"/>
  <c r="EX35" i="5"/>
  <c r="EX23" i="5"/>
  <c r="EX21" i="5"/>
  <c r="EX50" i="5"/>
  <c r="EX22" i="5"/>
  <c r="EX24" i="5"/>
  <c r="EX57" i="5"/>
  <c r="A33" i="20"/>
  <c r="G33" i="20"/>
  <c r="EY11" i="5"/>
  <c r="EY12" i="5"/>
  <c r="EY32" i="5"/>
  <c r="EY13" i="5"/>
  <c r="EY33" i="5"/>
  <c r="EY14" i="5"/>
  <c r="EY15" i="5"/>
  <c r="EY16" i="5"/>
  <c r="EY34" i="5"/>
  <c r="EY17" i="5"/>
  <c r="EY18" i="5"/>
  <c r="EY35" i="5"/>
  <c r="EY23" i="5"/>
  <c r="EY21" i="5"/>
  <c r="EY50" i="5"/>
  <c r="EY22" i="5"/>
  <c r="EY24" i="5"/>
  <c r="EY57" i="5"/>
  <c r="A34" i="20"/>
  <c r="G34" i="20"/>
  <c r="EZ11" i="5"/>
  <c r="EZ12" i="5"/>
  <c r="EZ32" i="5"/>
  <c r="EZ13" i="5"/>
  <c r="EZ33" i="5"/>
  <c r="EZ14" i="5"/>
  <c r="EZ15" i="5"/>
  <c r="EZ16" i="5"/>
  <c r="EZ34" i="5"/>
  <c r="EZ17" i="5"/>
  <c r="EZ18" i="5"/>
  <c r="EZ35" i="5"/>
  <c r="EZ23" i="5"/>
  <c r="EZ21" i="5"/>
  <c r="EZ50" i="5"/>
  <c r="EZ22" i="5"/>
  <c r="EZ24" i="5"/>
  <c r="EZ57" i="5"/>
  <c r="A35" i="20"/>
  <c r="G35" i="20"/>
  <c r="FA11" i="5"/>
  <c r="FA12" i="5"/>
  <c r="FA32" i="5"/>
  <c r="FA13" i="5"/>
  <c r="FA33" i="5"/>
  <c r="FA14" i="5"/>
  <c r="FA15" i="5"/>
  <c r="FA16" i="5"/>
  <c r="FA34" i="5"/>
  <c r="FA17" i="5"/>
  <c r="FA18" i="5"/>
  <c r="FA35" i="5"/>
  <c r="FA23" i="5"/>
  <c r="FA21" i="5"/>
  <c r="FA50" i="5"/>
  <c r="FA22" i="5"/>
  <c r="FA24" i="5"/>
  <c r="FA57" i="5"/>
  <c r="A36" i="20"/>
  <c r="G36" i="20"/>
  <c r="FB11" i="5"/>
  <c r="FB12" i="5"/>
  <c r="FB32" i="5"/>
  <c r="FB13" i="5"/>
  <c r="FB33" i="5"/>
  <c r="FB14" i="5"/>
  <c r="FB15" i="5"/>
  <c r="FB16" i="5"/>
  <c r="FB34" i="5"/>
  <c r="FB17" i="5"/>
  <c r="FB18" i="5"/>
  <c r="FB35" i="5"/>
  <c r="FB23" i="5"/>
  <c r="FB21" i="5"/>
  <c r="FB50" i="5"/>
  <c r="FB22" i="5"/>
  <c r="FB24" i="5"/>
  <c r="FB57" i="5"/>
  <c r="A37" i="20"/>
  <c r="G37" i="20"/>
  <c r="FC11" i="5"/>
  <c r="FC12" i="5"/>
  <c r="FC32" i="5"/>
  <c r="FC13" i="5"/>
  <c r="FC33" i="5"/>
  <c r="FC14" i="5"/>
  <c r="FC15" i="5"/>
  <c r="FC16" i="5"/>
  <c r="FC34" i="5"/>
  <c r="FC17" i="5"/>
  <c r="FC18" i="5"/>
  <c r="FC35" i="5"/>
  <c r="FC23" i="5"/>
  <c r="FC21" i="5"/>
  <c r="FC50" i="5"/>
  <c r="FC22" i="5"/>
  <c r="FC24" i="5"/>
  <c r="FC57" i="5"/>
  <c r="A38" i="20"/>
  <c r="G38" i="20"/>
  <c r="FD11" i="5"/>
  <c r="FD12" i="5"/>
  <c r="FD32" i="5"/>
  <c r="FD13" i="5"/>
  <c r="FD33" i="5"/>
  <c r="FD14" i="5"/>
  <c r="FD15" i="5"/>
  <c r="FD16" i="5"/>
  <c r="FD34" i="5"/>
  <c r="FD17" i="5"/>
  <c r="FD18" i="5"/>
  <c r="FD35" i="5"/>
  <c r="FD23" i="5"/>
  <c r="FD21" i="5"/>
  <c r="FD50" i="5"/>
  <c r="FD22" i="5"/>
  <c r="FD24" i="5"/>
  <c r="FD57" i="5"/>
  <c r="A39" i="20"/>
  <c r="G39" i="20"/>
  <c r="FE11" i="5"/>
  <c r="FE12" i="5"/>
  <c r="FE32" i="5"/>
  <c r="FE13" i="5"/>
  <c r="FE33" i="5"/>
  <c r="FE14" i="5"/>
  <c r="FE15" i="5"/>
  <c r="FE16" i="5"/>
  <c r="FE34" i="5"/>
  <c r="FE17" i="5"/>
  <c r="FE18" i="5"/>
  <c r="FE35" i="5"/>
  <c r="FE23" i="5"/>
  <c r="FE21" i="5"/>
  <c r="FE50" i="5"/>
  <c r="FE22" i="5"/>
  <c r="FE24" i="5"/>
  <c r="FE57" i="5"/>
  <c r="A40" i="20"/>
  <c r="G40" i="20"/>
  <c r="FF11" i="5"/>
  <c r="FF12" i="5"/>
  <c r="FF32" i="5"/>
  <c r="FF13" i="5"/>
  <c r="FF33" i="5"/>
  <c r="FF14" i="5"/>
  <c r="FF15" i="5"/>
  <c r="FF16" i="5"/>
  <c r="FF34" i="5"/>
  <c r="FF17" i="5"/>
  <c r="FF18" i="5"/>
  <c r="FF35" i="5"/>
  <c r="FF23" i="5"/>
  <c r="FF21" i="5"/>
  <c r="FF50" i="5"/>
  <c r="FF22" i="5"/>
  <c r="FF24" i="5"/>
  <c r="FF57" i="5"/>
  <c r="A41" i="20"/>
  <c r="G41" i="20"/>
  <c r="FG11" i="5"/>
  <c r="FG12" i="5"/>
  <c r="FG32" i="5"/>
  <c r="FG13" i="5"/>
  <c r="FG33" i="5"/>
  <c r="FG14" i="5"/>
  <c r="FG15" i="5"/>
  <c r="FG16" i="5"/>
  <c r="FG34" i="5"/>
  <c r="FG17" i="5"/>
  <c r="FG18" i="5"/>
  <c r="FG35" i="5"/>
  <c r="FG23" i="5"/>
  <c r="FG21" i="5"/>
  <c r="FG50" i="5"/>
  <c r="FG22" i="5"/>
  <c r="FG24" i="5"/>
  <c r="FG57" i="5"/>
  <c r="A42" i="20"/>
  <c r="G42" i="20"/>
  <c r="FH11" i="5"/>
  <c r="FH12" i="5"/>
  <c r="FH32" i="5"/>
  <c r="FH13" i="5"/>
  <c r="FH33" i="5"/>
  <c r="FH14" i="5"/>
  <c r="FH15" i="5"/>
  <c r="FH16" i="5"/>
  <c r="FH34" i="5"/>
  <c r="FH17" i="5"/>
  <c r="FH18" i="5"/>
  <c r="FH35" i="5"/>
  <c r="FH23" i="5"/>
  <c r="FH21" i="5"/>
  <c r="FH50" i="5"/>
  <c r="FH22" i="5"/>
  <c r="FH24" i="5"/>
  <c r="FH57" i="5"/>
  <c r="A43" i="20"/>
  <c r="G43" i="20"/>
  <c r="FI11" i="5"/>
  <c r="FI12" i="5"/>
  <c r="FI32" i="5"/>
  <c r="FI13" i="5"/>
  <c r="FI33" i="5"/>
  <c r="FI14" i="5"/>
  <c r="FI15" i="5"/>
  <c r="FI16" i="5"/>
  <c r="FI34" i="5"/>
  <c r="FI17" i="5"/>
  <c r="FI18" i="5"/>
  <c r="FI35" i="5"/>
  <c r="FI23" i="5"/>
  <c r="FI21" i="5"/>
  <c r="FI50" i="5"/>
  <c r="FI22" i="5"/>
  <c r="FI24" i="5"/>
  <c r="FI57" i="5"/>
  <c r="A44" i="20"/>
  <c r="G44" i="20"/>
  <c r="FJ11" i="5"/>
  <c r="FJ12" i="5"/>
  <c r="FJ32" i="5"/>
  <c r="FJ13" i="5"/>
  <c r="FJ33" i="5"/>
  <c r="FJ14" i="5"/>
  <c r="FJ15" i="5"/>
  <c r="FJ16" i="5"/>
  <c r="FJ34" i="5"/>
  <c r="FJ17" i="5"/>
  <c r="FJ18" i="5"/>
  <c r="FJ35" i="5"/>
  <c r="FJ23" i="5"/>
  <c r="FJ21" i="5"/>
  <c r="FJ50" i="5"/>
  <c r="FJ22" i="5"/>
  <c r="FJ24" i="5"/>
  <c r="FJ57" i="5"/>
  <c r="A45" i="20"/>
  <c r="G45" i="20"/>
  <c r="FK11" i="5"/>
  <c r="FK12" i="5"/>
  <c r="FK32" i="5"/>
  <c r="FK13" i="5"/>
  <c r="FK33" i="5"/>
  <c r="FK14" i="5"/>
  <c r="FK15" i="5"/>
  <c r="FK16" i="5"/>
  <c r="FK34" i="5"/>
  <c r="FK17" i="5"/>
  <c r="FK18" i="5"/>
  <c r="FK35" i="5"/>
  <c r="FK23" i="5"/>
  <c r="FK21" i="5"/>
  <c r="FK50" i="5"/>
  <c r="FK22" i="5"/>
  <c r="FK24" i="5"/>
  <c r="FK57" i="5"/>
  <c r="A46" i="20"/>
  <c r="G46" i="20"/>
  <c r="FL11" i="5"/>
  <c r="FL12" i="5"/>
  <c r="FL32" i="5"/>
  <c r="FL13" i="5"/>
  <c r="FL33" i="5"/>
  <c r="FL14" i="5"/>
  <c r="FL15" i="5"/>
  <c r="FL16" i="5"/>
  <c r="FL34" i="5"/>
  <c r="FL17" i="5"/>
  <c r="FL18" i="5"/>
  <c r="FL35" i="5"/>
  <c r="FL23" i="5"/>
  <c r="FL21" i="5"/>
  <c r="FL50" i="5"/>
  <c r="FL22" i="5"/>
  <c r="FL24" i="5"/>
  <c r="FL57" i="5"/>
  <c r="A47" i="20"/>
  <c r="G47" i="20"/>
  <c r="FM11" i="5"/>
  <c r="FM12" i="5"/>
  <c r="FM32" i="5"/>
  <c r="FM13" i="5"/>
  <c r="FM33" i="5"/>
  <c r="FM14" i="5"/>
  <c r="FM15" i="5"/>
  <c r="FM16" i="5"/>
  <c r="FM34" i="5"/>
  <c r="FM17" i="5"/>
  <c r="FM18" i="5"/>
  <c r="FM35" i="5"/>
  <c r="FM23" i="5"/>
  <c r="FM21" i="5"/>
  <c r="FM50" i="5"/>
  <c r="FM22" i="5"/>
  <c r="FM24" i="5"/>
  <c r="FM57" i="5"/>
  <c r="A48" i="20"/>
  <c r="G48" i="20"/>
  <c r="FN11" i="5"/>
  <c r="FN12" i="5"/>
  <c r="FN32" i="5"/>
  <c r="FN13" i="5"/>
  <c r="FN33" i="5"/>
  <c r="FN14" i="5"/>
  <c r="FN15" i="5"/>
  <c r="FN16" i="5"/>
  <c r="FN34" i="5"/>
  <c r="FN17" i="5"/>
  <c r="FN18" i="5"/>
  <c r="FN35" i="5"/>
  <c r="FN23" i="5"/>
  <c r="FN21" i="5"/>
  <c r="FN50" i="5"/>
  <c r="FN22" i="5"/>
  <c r="FN24" i="5"/>
  <c r="FN57" i="5"/>
  <c r="A49" i="20"/>
  <c r="G49" i="20"/>
  <c r="FO11" i="5"/>
  <c r="FO12" i="5"/>
  <c r="FO32" i="5"/>
  <c r="FO13" i="5"/>
  <c r="FO33" i="5"/>
  <c r="FO14" i="5"/>
  <c r="FO15" i="5"/>
  <c r="FO16" i="5"/>
  <c r="FO34" i="5"/>
  <c r="FO17" i="5"/>
  <c r="FO18" i="5"/>
  <c r="FO35" i="5"/>
  <c r="FO23" i="5"/>
  <c r="FO21" i="5"/>
  <c r="FO50" i="5"/>
  <c r="FO22" i="5"/>
  <c r="FO24" i="5"/>
  <c r="FO57" i="5"/>
  <c r="A50" i="20"/>
  <c r="G50" i="20"/>
  <c r="FP11" i="5"/>
  <c r="FP12" i="5"/>
  <c r="FP32" i="5"/>
  <c r="FP13" i="5"/>
  <c r="FP33" i="5"/>
  <c r="FP14" i="5"/>
  <c r="FP15" i="5"/>
  <c r="FP16" i="5"/>
  <c r="FP34" i="5"/>
  <c r="FP17" i="5"/>
  <c r="FP18" i="5"/>
  <c r="FP35" i="5"/>
  <c r="FP23" i="5"/>
  <c r="FP21" i="5"/>
  <c r="FP50" i="5"/>
  <c r="FP22" i="5"/>
  <c r="FP24" i="5"/>
  <c r="FP57" i="5"/>
  <c r="A51" i="20"/>
  <c r="G51" i="20"/>
  <c r="FQ11" i="5"/>
  <c r="FQ12" i="5"/>
  <c r="FQ32" i="5"/>
  <c r="FQ13" i="5"/>
  <c r="FQ33" i="5"/>
  <c r="FQ14" i="5"/>
  <c r="FQ15" i="5"/>
  <c r="FQ16" i="5"/>
  <c r="FQ34" i="5"/>
  <c r="FQ17" i="5"/>
  <c r="FQ18" i="5"/>
  <c r="FQ35" i="5"/>
  <c r="FQ23" i="5"/>
  <c r="FQ21" i="5"/>
  <c r="FQ50" i="5"/>
  <c r="FQ22" i="5"/>
  <c r="FQ24" i="5"/>
  <c r="FQ57" i="5"/>
  <c r="A52" i="20"/>
  <c r="G52" i="20"/>
  <c r="FR11" i="5"/>
  <c r="FR12" i="5"/>
  <c r="FR32" i="5"/>
  <c r="FR13" i="5"/>
  <c r="FR33" i="5"/>
  <c r="FR14" i="5"/>
  <c r="FR15" i="5"/>
  <c r="FR16" i="5"/>
  <c r="FR34" i="5"/>
  <c r="FR17" i="5"/>
  <c r="FR18" i="5"/>
  <c r="FR35" i="5"/>
  <c r="FR23" i="5"/>
  <c r="FR21" i="5"/>
  <c r="FR50" i="5"/>
  <c r="FR22" i="5"/>
  <c r="FR24" i="5"/>
  <c r="FR57" i="5"/>
  <c r="A53" i="20"/>
  <c r="G53" i="20"/>
  <c r="FS11" i="5"/>
  <c r="FS12" i="5"/>
  <c r="FS32" i="5"/>
  <c r="FS13" i="5"/>
  <c r="FS33" i="5"/>
  <c r="FS14" i="5"/>
  <c r="FS15" i="5"/>
  <c r="FS16" i="5"/>
  <c r="FS34" i="5"/>
  <c r="FS17" i="5"/>
  <c r="FS18" i="5"/>
  <c r="FS35" i="5"/>
  <c r="FS23" i="5"/>
  <c r="FS21" i="5"/>
  <c r="FS50" i="5"/>
  <c r="FS22" i="5"/>
  <c r="FS24" i="5"/>
  <c r="FS57" i="5"/>
  <c r="A54" i="20"/>
  <c r="G54" i="20"/>
  <c r="FT11" i="5"/>
  <c r="FT12" i="5"/>
  <c r="FT32" i="5"/>
  <c r="FT13" i="5"/>
  <c r="FT33" i="5"/>
  <c r="FT14" i="5"/>
  <c r="FT15" i="5"/>
  <c r="FT16" i="5"/>
  <c r="FT34" i="5"/>
  <c r="FT23" i="5"/>
  <c r="FT21" i="5"/>
  <c r="FT50" i="5"/>
  <c r="FT22" i="5"/>
  <c r="FT24" i="5"/>
  <c r="FT57" i="5"/>
  <c r="A55" i="20"/>
  <c r="G55" i="20"/>
  <c r="FU11" i="5"/>
  <c r="FU12" i="5"/>
  <c r="FU32" i="5"/>
  <c r="FU13" i="5"/>
  <c r="FU33" i="5"/>
  <c r="FU14" i="5"/>
  <c r="FU15" i="5"/>
  <c r="FU16" i="5"/>
  <c r="FU34" i="5"/>
  <c r="FU23" i="5"/>
  <c r="FU21" i="5"/>
  <c r="FU50" i="5"/>
  <c r="FU22" i="5"/>
  <c r="FU24" i="5"/>
  <c r="FU57" i="5"/>
  <c r="A56" i="20"/>
  <c r="G56" i="20"/>
  <c r="FV11" i="5"/>
  <c r="FV12" i="5"/>
  <c r="FV32" i="5"/>
  <c r="FV13" i="5"/>
  <c r="FV33" i="5"/>
  <c r="FV14" i="5"/>
  <c r="FV15" i="5"/>
  <c r="FV16" i="5"/>
  <c r="FV34" i="5"/>
  <c r="FV23" i="5"/>
  <c r="FV21" i="5"/>
  <c r="FV50" i="5"/>
  <c r="FV22" i="5"/>
  <c r="FV24" i="5"/>
  <c r="FV57" i="5"/>
  <c r="A57" i="20"/>
  <c r="G57" i="20"/>
  <c r="FW11" i="5"/>
  <c r="FW12" i="5"/>
  <c r="FW32" i="5"/>
  <c r="FW13" i="5"/>
  <c r="FW33" i="5"/>
  <c r="FW14" i="5"/>
  <c r="FW15" i="5"/>
  <c r="FW16" i="5"/>
  <c r="FW34" i="5"/>
  <c r="FW23" i="5"/>
  <c r="FW21" i="5"/>
  <c r="FW50" i="5"/>
  <c r="FW22" i="5"/>
  <c r="FW24" i="5"/>
  <c r="FW57" i="5"/>
  <c r="A58" i="20"/>
  <c r="G58" i="20"/>
  <c r="FX11" i="5"/>
  <c r="FX12" i="5"/>
  <c r="FX32" i="5"/>
  <c r="FX13" i="5"/>
  <c r="FX33" i="5"/>
  <c r="FX23" i="5"/>
  <c r="FX21" i="5"/>
  <c r="FX50" i="5"/>
  <c r="FX22" i="5"/>
  <c r="FX24" i="5"/>
  <c r="FX57" i="5"/>
  <c r="A59" i="20"/>
  <c r="G59" i="20"/>
  <c r="FY11" i="5"/>
  <c r="FY12" i="5"/>
  <c r="FY32" i="5"/>
  <c r="FY13" i="5"/>
  <c r="FY33" i="5"/>
  <c r="FY23" i="5"/>
  <c r="FY21" i="5"/>
  <c r="FY50" i="5"/>
  <c r="FY22" i="5"/>
  <c r="FY24" i="5"/>
  <c r="FY57" i="5"/>
  <c r="A60" i="20"/>
  <c r="G60" i="20"/>
  <c r="FZ11" i="5"/>
  <c r="FZ12" i="5"/>
  <c r="FZ32" i="5"/>
  <c r="FZ13" i="5"/>
  <c r="FZ33" i="5"/>
  <c r="FZ23" i="5"/>
  <c r="FZ21" i="5"/>
  <c r="FZ50" i="5"/>
  <c r="FZ22" i="5"/>
  <c r="FZ24" i="5"/>
  <c r="FZ57" i="5"/>
  <c r="A61" i="20"/>
  <c r="G61" i="20"/>
  <c r="GA11" i="5"/>
  <c r="GA12" i="5"/>
  <c r="GA32" i="5"/>
  <c r="GA13" i="5"/>
  <c r="GA33" i="5"/>
  <c r="GA23" i="5"/>
  <c r="GA21" i="5"/>
  <c r="GA50" i="5"/>
  <c r="GA22" i="5"/>
  <c r="GA24" i="5"/>
  <c r="GA57" i="5"/>
  <c r="A62" i="20"/>
  <c r="G62" i="20"/>
  <c r="GB23" i="5"/>
  <c r="GB21" i="5"/>
  <c r="GB50" i="5"/>
  <c r="GB22" i="5"/>
  <c r="GB24" i="5"/>
  <c r="GB57" i="5"/>
  <c r="A63" i="20"/>
  <c r="G63" i="20"/>
  <c r="GC23" i="5"/>
  <c r="GC21" i="5"/>
  <c r="GC50" i="5"/>
  <c r="GC22" i="5"/>
  <c r="GC24" i="5"/>
  <c r="GC57" i="5"/>
  <c r="A64" i="20"/>
  <c r="G64" i="20"/>
  <c r="GD23" i="5"/>
  <c r="GD21" i="5"/>
  <c r="GD50" i="5"/>
  <c r="GD22" i="5"/>
  <c r="GD24" i="5"/>
  <c r="GD57" i="5"/>
  <c r="A65" i="20"/>
  <c r="G65" i="20"/>
  <c r="GE50" i="5"/>
  <c r="GE22" i="5"/>
  <c r="GE24" i="5"/>
  <c r="GE57" i="5"/>
  <c r="A66" i="20"/>
  <c r="G66" i="20"/>
  <c r="A67" i="20"/>
  <c r="G67" i="20"/>
  <c r="A68" i="20"/>
  <c r="G68" i="20"/>
  <c r="A69" i="20"/>
  <c r="G69" i="20"/>
  <c r="DO11" i="5"/>
  <c r="DO12" i="5"/>
  <c r="DO32" i="5"/>
  <c r="DO13" i="5"/>
  <c r="DO33" i="5"/>
  <c r="DK14" i="5"/>
  <c r="DK15" i="5"/>
  <c r="DK16" i="5"/>
  <c r="DK34" i="5"/>
  <c r="DG17" i="5"/>
  <c r="DG18" i="5"/>
  <c r="DG35" i="5"/>
  <c r="DR23" i="5"/>
  <c r="DR21" i="5"/>
  <c r="DS50" i="5"/>
  <c r="DS22" i="5"/>
  <c r="DS24" i="5"/>
  <c r="DS57" i="5"/>
  <c r="A2" i="20"/>
  <c r="G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5" i="5"/>
  <c r="D3" i="20"/>
  <c r="DU25" i="5"/>
  <c r="D4" i="20"/>
  <c r="DV25" i="5"/>
  <c r="D5" i="20"/>
  <c r="DW25" i="5"/>
  <c r="D6" i="20"/>
  <c r="DX25" i="5"/>
  <c r="D7" i="20"/>
  <c r="DY25" i="5"/>
  <c r="D8" i="20"/>
  <c r="DZ25" i="5"/>
  <c r="D9" i="20"/>
  <c r="EA25" i="5"/>
  <c r="D10" i="20"/>
  <c r="EB25" i="5"/>
  <c r="D11" i="20"/>
  <c r="EC25" i="5"/>
  <c r="D12" i="20"/>
  <c r="ED25" i="5"/>
  <c r="D13" i="20"/>
  <c r="EE25" i="5"/>
  <c r="D14" i="20"/>
  <c r="EF25" i="5"/>
  <c r="D15" i="20"/>
  <c r="EG25" i="5"/>
  <c r="D16" i="20"/>
  <c r="EH25" i="5"/>
  <c r="D17" i="20"/>
  <c r="EI25" i="5"/>
  <c r="D18" i="20"/>
  <c r="EJ25" i="5"/>
  <c r="D19" i="20"/>
  <c r="EK25" i="5"/>
  <c r="D20" i="20"/>
  <c r="EL25" i="5"/>
  <c r="D21" i="20"/>
  <c r="EM25" i="5"/>
  <c r="D22" i="20"/>
  <c r="EN25" i="5"/>
  <c r="D23" i="20"/>
  <c r="EO25" i="5"/>
  <c r="D24" i="20"/>
  <c r="EP25" i="5"/>
  <c r="D25" i="20"/>
  <c r="EQ25" i="5"/>
  <c r="D26" i="20"/>
  <c r="ER25" i="5"/>
  <c r="D27" i="20"/>
  <c r="ES25" i="5"/>
  <c r="D28" i="20"/>
  <c r="ET25" i="5"/>
  <c r="D29" i="20"/>
  <c r="EU25" i="5"/>
  <c r="D30" i="20"/>
  <c r="EV25" i="5"/>
  <c r="D31" i="20"/>
  <c r="EW25" i="5"/>
  <c r="D32" i="20"/>
  <c r="EX25" i="5"/>
  <c r="D33" i="20"/>
  <c r="EY25" i="5"/>
  <c r="D34" i="20"/>
  <c r="EZ25" i="5"/>
  <c r="D35" i="20"/>
  <c r="FA25" i="5"/>
  <c r="D36" i="20"/>
  <c r="FB25" i="5"/>
  <c r="D37" i="20"/>
  <c r="FC25" i="5"/>
  <c r="D38" i="20"/>
  <c r="FD25" i="5"/>
  <c r="D39" i="20"/>
  <c r="FE25" i="5"/>
  <c r="D40" i="20"/>
  <c r="FF25" i="5"/>
  <c r="D41" i="20"/>
  <c r="FG25" i="5"/>
  <c r="D42" i="20"/>
  <c r="FH25" i="5"/>
  <c r="D43" i="20"/>
  <c r="FI25" i="5"/>
  <c r="D44" i="20"/>
  <c r="FJ25" i="5"/>
  <c r="D45" i="20"/>
  <c r="FK25" i="5"/>
  <c r="D46" i="20"/>
  <c r="FL25" i="5"/>
  <c r="D47" i="20"/>
  <c r="FM25" i="5"/>
  <c r="D48" i="20"/>
  <c r="FN25" i="5"/>
  <c r="D49" i="20"/>
  <c r="FO25" i="5"/>
  <c r="D50" i="20"/>
  <c r="FP25" i="5"/>
  <c r="D51" i="20"/>
  <c r="FQ25" i="5"/>
  <c r="D52" i="20"/>
  <c r="FR25" i="5"/>
  <c r="D53" i="20"/>
  <c r="FS25" i="5"/>
  <c r="D54" i="20"/>
  <c r="FT25" i="5"/>
  <c r="D55" i="20"/>
  <c r="FU25" i="5"/>
  <c r="D56" i="20"/>
  <c r="FV25" i="5"/>
  <c r="D57" i="20"/>
  <c r="FW25" i="5"/>
  <c r="D58" i="20"/>
  <c r="FX25" i="5"/>
  <c r="D59" i="20"/>
  <c r="FY25" i="5"/>
  <c r="D60" i="20"/>
  <c r="FZ25" i="5"/>
  <c r="D61" i="20"/>
  <c r="GA25" i="5"/>
  <c r="D62" i="20"/>
  <c r="GB25" i="5"/>
  <c r="D63" i="20"/>
  <c r="GC25" i="5"/>
  <c r="D64" i="20"/>
  <c r="GD25" i="5"/>
  <c r="D65" i="20"/>
  <c r="GE25" i="5"/>
  <c r="D66" i="20"/>
  <c r="D67" i="20"/>
  <c r="D68" i="20"/>
  <c r="D69" i="20"/>
  <c r="DS25" i="5"/>
  <c r="D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DM11" i="5"/>
  <c r="DM12" i="5"/>
  <c r="DM32" i="5"/>
  <c r="DN11" i="5"/>
  <c r="DN12" i="5"/>
  <c r="DN32" i="5"/>
  <c r="DM13" i="5"/>
  <c r="DM33" i="5"/>
  <c r="DN13" i="5"/>
  <c r="DN33" i="5"/>
  <c r="DI14" i="5"/>
  <c r="DI15" i="5"/>
  <c r="DI16" i="5"/>
  <c r="DI34" i="5"/>
  <c r="DJ14" i="5"/>
  <c r="DJ15" i="5"/>
  <c r="DJ16" i="5"/>
  <c r="DJ34" i="5"/>
  <c r="DE17" i="5"/>
  <c r="DE18" i="5"/>
  <c r="DE35" i="5"/>
  <c r="DF17" i="5"/>
  <c r="DF18" i="5"/>
  <c r="DF35" i="5"/>
  <c r="DP23" i="5"/>
  <c r="DP21" i="5"/>
  <c r="DL11" i="5"/>
  <c r="DL12" i="5"/>
  <c r="DL32" i="5"/>
  <c r="DL13" i="5"/>
  <c r="DL33" i="5"/>
  <c r="DH14" i="5"/>
  <c r="DH15" i="5"/>
  <c r="DH16" i="5"/>
  <c r="DH34" i="5"/>
  <c r="DD17" i="5"/>
  <c r="DD18" i="5"/>
  <c r="DD35" i="5"/>
  <c r="DO23" i="5"/>
  <c r="DO21" i="5"/>
  <c r="DP50" i="5"/>
  <c r="DP22" i="5"/>
  <c r="DP24" i="5"/>
  <c r="DP57" i="5"/>
  <c r="DP25" i="5"/>
  <c r="DQ23" i="5"/>
  <c r="DQ21" i="5"/>
  <c r="DQ50" i="5"/>
  <c r="DQ22" i="5"/>
  <c r="DQ24" i="5"/>
  <c r="DQ57" i="5"/>
  <c r="DQ25" i="5"/>
  <c r="DR50" i="5"/>
  <c r="DR22" i="5"/>
  <c r="DR24" i="5"/>
  <c r="DR57" i="5"/>
  <c r="DR25" i="5"/>
  <c r="B2" i="20"/>
  <c r="B3" i="20"/>
  <c r="B4" i="20"/>
  <c r="B5" i="20"/>
  <c r="B6" i="20"/>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L11" i="5"/>
  <c r="L12" i="5"/>
  <c r="L32" i="5"/>
  <c r="M11" i="5"/>
  <c r="M12" i="5"/>
  <c r="M32" i="5"/>
  <c r="N11" i="5"/>
  <c r="N12" i="5"/>
  <c r="N32" i="5"/>
  <c r="O11" i="5"/>
  <c r="O12" i="5"/>
  <c r="O32" i="5"/>
  <c r="O38" i="5"/>
  <c r="L13" i="5"/>
  <c r="L33" i="5"/>
  <c r="M13" i="5"/>
  <c r="M33" i="5"/>
  <c r="N13" i="5"/>
  <c r="N33" i="5"/>
  <c r="O13" i="5"/>
  <c r="O33" i="5"/>
  <c r="O39"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O40"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41" i="5"/>
  <c r="O45" i="5"/>
  <c r="O23" i="5"/>
  <c r="O46" i="5"/>
  <c r="O21" i="5"/>
  <c r="O47" i="5"/>
  <c r="K11" i="5"/>
  <c r="K12" i="5"/>
  <c r="K32" i="5"/>
  <c r="N38" i="5"/>
  <c r="K13" i="5"/>
  <c r="K33" i="5"/>
  <c r="N39" i="5"/>
  <c r="G14" i="5"/>
  <c r="G15" i="5"/>
  <c r="G16" i="5"/>
  <c r="G34" i="5"/>
  <c r="N40" i="5"/>
  <c r="C17" i="5"/>
  <c r="C18" i="5"/>
  <c r="C35" i="5"/>
  <c r="N41" i="5"/>
  <c r="N45" i="5"/>
  <c r="N23" i="5"/>
  <c r="N46" i="5"/>
  <c r="N21" i="5"/>
  <c r="N47" i="5"/>
  <c r="O51" i="5"/>
  <c r="O50" i="5"/>
  <c r="O52" i="5"/>
  <c r="O22" i="5"/>
  <c r="O24" i="5"/>
  <c r="O57" i="5"/>
  <c r="O58" i="5"/>
  <c r="O25" i="5"/>
  <c r="O59" i="5"/>
  <c r="C38" i="5"/>
  <c r="C39" i="5"/>
  <c r="C40" i="5"/>
  <c r="C41" i="5"/>
  <c r="C45" i="5"/>
  <c r="C23" i="5"/>
  <c r="C46" i="5"/>
  <c r="C21" i="5"/>
  <c r="C47" i="5"/>
  <c r="C51" i="5"/>
  <c r="C50" i="5"/>
  <c r="C52" i="5"/>
  <c r="C22" i="5"/>
  <c r="C24" i="5"/>
  <c r="C57" i="5"/>
  <c r="C58" i="5"/>
  <c r="C25" i="5"/>
  <c r="C59" i="5"/>
  <c r="C19" i="5"/>
  <c r="C54" i="5"/>
  <c r="C64" i="5"/>
  <c r="C70" i="5"/>
  <c r="P11" i="5"/>
  <c r="P12" i="5"/>
  <c r="P32" i="5"/>
  <c r="P38" i="5"/>
  <c r="P13" i="5"/>
  <c r="P33" i="5"/>
  <c r="P39" i="5"/>
  <c r="P14" i="5"/>
  <c r="P15" i="5"/>
  <c r="P16" i="5"/>
  <c r="P34" i="5"/>
  <c r="P40" i="5"/>
  <c r="P17" i="5"/>
  <c r="P18" i="5"/>
  <c r="P35" i="5"/>
  <c r="P41" i="5"/>
  <c r="P45" i="5"/>
  <c r="P23" i="5"/>
  <c r="P46" i="5"/>
  <c r="P21" i="5"/>
  <c r="P47" i="5"/>
  <c r="P51" i="5"/>
  <c r="P50" i="5"/>
  <c r="P52" i="5"/>
  <c r="P22" i="5"/>
  <c r="P24" i="5"/>
  <c r="P57" i="5"/>
  <c r="P58" i="5"/>
  <c r="S11" i="5"/>
  <c r="S12" i="5"/>
  <c r="S32" i="5"/>
  <c r="T11" i="5"/>
  <c r="T12" i="5"/>
  <c r="T32" i="5"/>
  <c r="U11" i="5"/>
  <c r="U12" i="5"/>
  <c r="U32" i="5"/>
  <c r="V11" i="5"/>
  <c r="V12" i="5"/>
  <c r="V32" i="5"/>
  <c r="V38" i="5"/>
  <c r="S13" i="5"/>
  <c r="S33" i="5"/>
  <c r="T13" i="5"/>
  <c r="T33" i="5"/>
  <c r="U13" i="5"/>
  <c r="U33" i="5"/>
  <c r="V13" i="5"/>
  <c r="V33" i="5"/>
  <c r="V39" i="5"/>
  <c r="V14" i="5"/>
  <c r="V15" i="5"/>
  <c r="V16" i="5"/>
  <c r="V34" i="5"/>
  <c r="U14" i="5"/>
  <c r="U15" i="5"/>
  <c r="U16" i="5"/>
  <c r="U34" i="5"/>
  <c r="Q14" i="5"/>
  <c r="Q15" i="5"/>
  <c r="Q16" i="5"/>
  <c r="Q34" i="5"/>
  <c r="R14" i="5"/>
  <c r="R15" i="5"/>
  <c r="R16" i="5"/>
  <c r="R34" i="5"/>
  <c r="S14" i="5"/>
  <c r="S15" i="5"/>
  <c r="S16" i="5"/>
  <c r="S34" i="5"/>
  <c r="T14" i="5"/>
  <c r="T15" i="5"/>
  <c r="T16" i="5"/>
  <c r="T34" i="5"/>
  <c r="V40" i="5"/>
  <c r="Q17" i="5"/>
  <c r="Q18" i="5"/>
  <c r="Q35" i="5"/>
  <c r="R17" i="5"/>
  <c r="R18" i="5"/>
  <c r="R35" i="5"/>
  <c r="S17" i="5"/>
  <c r="S18" i="5"/>
  <c r="S35" i="5"/>
  <c r="T17" i="5"/>
  <c r="T18" i="5"/>
  <c r="T35" i="5"/>
  <c r="U17" i="5"/>
  <c r="U18" i="5"/>
  <c r="U35" i="5"/>
  <c r="V17" i="5"/>
  <c r="V18" i="5"/>
  <c r="V35" i="5"/>
  <c r="V41" i="5"/>
  <c r="V45" i="5"/>
  <c r="V23" i="5"/>
  <c r="V46" i="5"/>
  <c r="V21" i="5"/>
  <c r="V47" i="5"/>
  <c r="R11" i="5"/>
  <c r="R12" i="5"/>
  <c r="R32" i="5"/>
  <c r="U38" i="5"/>
  <c r="R13" i="5"/>
  <c r="R33" i="5"/>
  <c r="U39" i="5"/>
  <c r="U40" i="5"/>
  <c r="U41" i="5"/>
  <c r="U45" i="5"/>
  <c r="U23" i="5"/>
  <c r="U46" i="5"/>
  <c r="U21" i="5"/>
  <c r="U47" i="5"/>
  <c r="V51" i="5"/>
  <c r="V50" i="5"/>
  <c r="V52" i="5"/>
  <c r="V22" i="5"/>
  <c r="V24" i="5"/>
  <c r="V57" i="5"/>
  <c r="V58"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J25" i="5"/>
  <c r="GV24" i="5"/>
  <c r="GU24" i="5"/>
  <c r="GT24" i="5"/>
  <c r="GS24" i="5"/>
  <c r="GR24" i="5"/>
  <c r="GQ24" i="5"/>
  <c r="GP24" i="5"/>
  <c r="GO24" i="5"/>
  <c r="GN24" i="5"/>
  <c r="GM24" i="5"/>
  <c r="GL24" i="5"/>
  <c r="GK24" i="5"/>
  <c r="GJ24" i="5"/>
  <c r="GV23" i="5"/>
  <c r="GU23" i="5"/>
  <c r="GT23" i="5"/>
  <c r="GS23" i="5"/>
  <c r="GR23" i="5"/>
  <c r="GQ23" i="5"/>
  <c r="GP23" i="5"/>
  <c r="GO23" i="5"/>
  <c r="GN23" i="5"/>
  <c r="GM23" i="5"/>
  <c r="GL23" i="5"/>
  <c r="GK23" i="5"/>
  <c r="GJ23" i="5"/>
  <c r="GV22" i="5"/>
  <c r="GV57" i="5"/>
  <c r="GU22" i="5"/>
  <c r="GU57" i="5"/>
  <c r="GT22" i="5"/>
  <c r="GT57" i="5"/>
  <c r="GS22" i="5"/>
  <c r="GS57" i="5"/>
  <c r="GR22" i="5"/>
  <c r="GR57" i="5"/>
  <c r="GQ22" i="5"/>
  <c r="GQ57" i="5"/>
  <c r="GP22" i="5"/>
  <c r="GP57" i="5"/>
  <c r="GO22" i="5"/>
  <c r="GO57" i="5"/>
  <c r="GN22" i="5"/>
  <c r="GN57" i="5"/>
  <c r="GM22" i="5"/>
  <c r="GM57" i="5"/>
  <c r="GL22" i="5"/>
  <c r="GL57" i="5"/>
  <c r="GK22" i="5"/>
  <c r="GK57" i="5"/>
  <c r="GJ22" i="5"/>
  <c r="GV21" i="5"/>
  <c r="GU21" i="5"/>
  <c r="GT21" i="5"/>
  <c r="GS21" i="5"/>
  <c r="GR21" i="5"/>
  <c r="GQ21" i="5"/>
  <c r="GP21" i="5"/>
  <c r="GO21" i="5"/>
  <c r="GN21" i="5"/>
  <c r="GM21" i="5"/>
  <c r="GL21" i="5"/>
  <c r="GK21" i="5"/>
  <c r="GJ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V35" i="5"/>
  <c r="GU17" i="5"/>
  <c r="GU35" i="5"/>
  <c r="GT17" i="5"/>
  <c r="GT35" i="5"/>
  <c r="GS17" i="5"/>
  <c r="GS35" i="5"/>
  <c r="GR17" i="5"/>
  <c r="GQ17" i="5"/>
  <c r="GQ35" i="5"/>
  <c r="GP17" i="5"/>
  <c r="GP35" i="5"/>
  <c r="GO17" i="5"/>
  <c r="GO35" i="5"/>
  <c r="GN17" i="5"/>
  <c r="GN35" i="5"/>
  <c r="GM17" i="5"/>
  <c r="GM35" i="5"/>
  <c r="GL17" i="5"/>
  <c r="GL35" i="5"/>
  <c r="GK17" i="5"/>
  <c r="GK35"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c r="GU11" i="5"/>
  <c r="GU32" i="5"/>
  <c r="GT11" i="5"/>
  <c r="GT32" i="5"/>
  <c r="GS11" i="5"/>
  <c r="GS32" i="5"/>
  <c r="GR11" i="5"/>
  <c r="GR32" i="5"/>
  <c r="GQ11" i="5"/>
  <c r="GQ32" i="5"/>
  <c r="GP11" i="5"/>
  <c r="GP32" i="5"/>
  <c r="GO11" i="5"/>
  <c r="GO32" i="5"/>
  <c r="GN11" i="5"/>
  <c r="GN32" i="5"/>
  <c r="GM11" i="5"/>
  <c r="GM32" i="5"/>
  <c r="GL11" i="5"/>
  <c r="GL32" i="5"/>
  <c r="GK11" i="5"/>
  <c r="GK32" i="5"/>
  <c r="GJ11" i="5"/>
  <c r="GJ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L40" i="5"/>
  <c r="GJ40" i="5"/>
  <c r="GJ35" i="5"/>
  <c r="GQ41" i="5"/>
  <c r="GP40" i="5"/>
  <c r="GK41" i="5"/>
  <c r="GO38" i="5"/>
  <c r="GN40" i="5"/>
  <c r="GT40" i="5"/>
  <c r="GK38" i="5"/>
  <c r="GT38" i="5"/>
  <c r="GK40" i="5"/>
  <c r="GR41" i="5"/>
  <c r="GS40" i="5"/>
  <c r="GO40" i="5"/>
  <c r="GQ40" i="5"/>
  <c r="GL41" i="5"/>
  <c r="GO41" i="5"/>
  <c r="GR38" i="5"/>
  <c r="GL38" i="5"/>
  <c r="GR40" i="5"/>
  <c r="GP38" i="5"/>
  <c r="GS38" i="5"/>
  <c r="GS41" i="5"/>
  <c r="GP41" i="5"/>
  <c r="GM40" i="5"/>
  <c r="GU40" i="5"/>
  <c r="GT41" i="5"/>
  <c r="GM41" i="5"/>
  <c r="GV40" i="5"/>
  <c r="GN41" i="5"/>
  <c r="GN38" i="5"/>
  <c r="GV38" i="5"/>
  <c r="GU38" i="5"/>
  <c r="GM38" i="5"/>
  <c r="GV41" i="5"/>
  <c r="GQ38" i="5"/>
  <c r="GR35" i="5"/>
  <c r="GJ57"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J50" i="5"/>
  <c r="GS33" i="5"/>
  <c r="GC62" i="5"/>
  <c r="GS62" i="5"/>
  <c r="GI53" i="5"/>
  <c r="GQ50" i="5"/>
  <c r="GB53" i="5"/>
  <c r="GJ54" i="5"/>
  <c r="GR53" i="5"/>
  <c r="GQ33" i="5"/>
  <c r="GQ54" i="5"/>
  <c r="GP33" i="5"/>
  <c r="FZ62" i="5"/>
  <c r="GH62" i="5"/>
  <c r="GP62" i="5"/>
  <c r="GI54" i="5"/>
  <c r="GA53" i="5"/>
  <c r="GQ53"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GO45" i="5"/>
  <c r="GO46" i="5"/>
  <c r="GO47" i="5"/>
  <c r="GQ45" i="5"/>
  <c r="GQ46" i="5"/>
  <c r="GQ47" i="5"/>
  <c r="GK45" i="5"/>
  <c r="GK46" i="5"/>
  <c r="GK47" i="5"/>
  <c r="GR45" i="5"/>
  <c r="GR46" i="5"/>
  <c r="GR47" i="5"/>
  <c r="GS45" i="5"/>
  <c r="GS46" i="5"/>
  <c r="GS47" i="5"/>
  <c r="GP45" i="5"/>
  <c r="GP46" i="5"/>
  <c r="GP47" i="5"/>
  <c r="GL45" i="5"/>
  <c r="GL46" i="5"/>
  <c r="GL47" i="5"/>
  <c r="GT45" i="5"/>
  <c r="GT46" i="5"/>
  <c r="GT47" i="5"/>
  <c r="GM45" i="5"/>
  <c r="GM46" i="5"/>
  <c r="GM47" i="5"/>
  <c r="GU45" i="5"/>
  <c r="GU46" i="5"/>
  <c r="GU47" i="5"/>
  <c r="GN45" i="5"/>
  <c r="GN46" i="5"/>
  <c r="GN47" i="5"/>
  <c r="GV45" i="5"/>
  <c r="GV46" i="5"/>
  <c r="GV47"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GU41" i="5"/>
  <c r="GJ41" i="5"/>
  <c r="GV39" i="5"/>
  <c r="GT39"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GQ51" i="5"/>
  <c r="GQ52" i="5"/>
  <c r="GQ58" i="5"/>
  <c r="GO51" i="5"/>
  <c r="GO52" i="5"/>
  <c r="GO58" i="5"/>
  <c r="GU51" i="5"/>
  <c r="GU52" i="5"/>
  <c r="GU58" i="5"/>
  <c r="GS51" i="5"/>
  <c r="GS52" i="5"/>
  <c r="GS58" i="5"/>
  <c r="GM51" i="5"/>
  <c r="GM52" i="5"/>
  <c r="GM58"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N51" i="5"/>
  <c r="GN52" i="5"/>
  <c r="GN58" i="5"/>
  <c r="GP64" i="5"/>
  <c r="ED62" i="5"/>
  <c r="ER62" i="5"/>
  <c r="EC62" i="5"/>
  <c r="GK64" i="5"/>
  <c r="FZ63" i="5"/>
  <c r="GV51" i="5"/>
  <c r="GV52" i="5"/>
  <c r="GV58" i="5"/>
  <c r="FZ64" i="5"/>
  <c r="GH63" i="5"/>
  <c r="GK68" i="5"/>
  <c r="GG63" i="5"/>
  <c r="GK51" i="5"/>
  <c r="GK52" i="5"/>
  <c r="GK58" i="5"/>
  <c r="GL51" i="5"/>
  <c r="GL52" i="5"/>
  <c r="GL58" i="5"/>
  <c r="GP51" i="5"/>
  <c r="GP52" i="5"/>
  <c r="GP58" i="5"/>
  <c r="GT51" i="5"/>
  <c r="GT52" i="5"/>
  <c r="GT58" i="5"/>
  <c r="GR51" i="5"/>
  <c r="GR52" i="5"/>
  <c r="GR58" i="5"/>
  <c r="AG64" i="5"/>
  <c r="GJ68" i="5"/>
  <c r="GI68" i="5"/>
  <c r="GH68" i="5"/>
  <c r="EG63" i="5"/>
  <c r="GG68" i="5"/>
  <c r="CJ63" i="5"/>
  <c r="CJ64" i="5"/>
  <c r="GF68" i="5"/>
  <c r="GP59" i="5"/>
  <c r="GQ59" i="5"/>
  <c r="GL59" i="5"/>
  <c r="GV59" i="5"/>
  <c r="GS59" i="5"/>
  <c r="GK59" i="5"/>
  <c r="GU59" i="5"/>
  <c r="GO59" i="5"/>
  <c r="GR59" i="5"/>
  <c r="GM59" i="5"/>
  <c r="GT59" i="5"/>
  <c r="GN59"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V70" i="5"/>
  <c r="GR67" i="5"/>
  <c r="GR69" i="5"/>
  <c r="GL70" i="5"/>
  <c r="GN70" i="5"/>
  <c r="GQ70" i="5"/>
  <c r="GU70" i="5"/>
  <c r="GP70" i="5"/>
  <c r="GJ70" i="5"/>
  <c r="GT70" i="5"/>
  <c r="GN67" i="5"/>
  <c r="GN69" i="5"/>
  <c r="GR70" i="5"/>
  <c r="GS70" i="5"/>
  <c r="GP67" i="5"/>
  <c r="GP69" i="5"/>
  <c r="GI70" i="5"/>
  <c r="GS67" i="5"/>
  <c r="GS69" i="5"/>
  <c r="GM67" i="5"/>
  <c r="GM69" i="5"/>
  <c r="GL67" i="5"/>
  <c r="GL69" i="5"/>
  <c r="GU67" i="5"/>
  <c r="GU69" i="5"/>
  <c r="GO67" i="5"/>
  <c r="GO69" i="5"/>
  <c r="GK70" i="5"/>
  <c r="GO70" i="5"/>
  <c r="GV67" i="5"/>
  <c r="GV69" i="5"/>
  <c r="GQ67" i="5"/>
  <c r="GQ69" i="5"/>
  <c r="GT67" i="5"/>
  <c r="GT69" i="5"/>
  <c r="GM70"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AF39" i="5"/>
  <c r="AA38" i="5"/>
  <c r="CH40" i="5"/>
  <c r="AZ41" i="5"/>
  <c r="CS38" i="5"/>
  <c r="AT40" i="5"/>
  <c r="Y38" i="5"/>
  <c r="J40" i="5"/>
  <c r="CM38" i="5"/>
  <c r="BG40" i="5"/>
  <c r="DH38" i="5"/>
  <c r="BX41" i="5"/>
  <c r="BN38" i="5"/>
  <c r="BP39" i="5"/>
  <c r="AE38" i="5"/>
  <c r="DI41" i="5"/>
  <c r="BH41" i="5"/>
  <c r="AS38" i="5"/>
  <c r="CQ39" i="5"/>
  <c r="AT38" i="5"/>
  <c r="CS39" i="5"/>
  <c r="BL40" i="5"/>
  <c r="DG41" i="5"/>
  <c r="BT38" i="5"/>
  <c r="CE38" i="5"/>
  <c r="AM41" i="5"/>
  <c r="BL41" i="5"/>
  <c r="BY38" i="5"/>
  <c r="DN39" i="5"/>
  <c r="AW39" i="5"/>
  <c r="BJ39" i="5"/>
  <c r="CR39" i="5"/>
  <c r="L38" i="5"/>
  <c r="AE41" i="5"/>
  <c r="DH40" i="5"/>
  <c r="CE39" i="5"/>
  <c r="J38" i="5"/>
  <c r="D39" i="5"/>
  <c r="X38" i="5"/>
  <c r="CU39" i="5"/>
  <c r="G38" i="5"/>
  <c r="CO40" i="5"/>
  <c r="AL41" i="5"/>
  <c r="CT40" i="5"/>
  <c r="BH38" i="5"/>
  <c r="AE40" i="5"/>
  <c r="BK38" i="5"/>
  <c r="CQ38" i="5"/>
  <c r="DC38" i="5"/>
  <c r="AL39" i="5"/>
  <c r="DI39" i="5"/>
  <c r="BR40" i="5"/>
  <c r="F40" i="5"/>
  <c r="CN39" i="5"/>
  <c r="BM39" i="5"/>
  <c r="BO39" i="5"/>
  <c r="L39" i="5"/>
  <c r="CE40" i="5"/>
  <c r="DG38" i="5"/>
  <c r="AF41" i="5"/>
  <c r="CH41" i="5"/>
  <c r="CG39" i="5"/>
  <c r="AK39" i="5"/>
  <c r="T41" i="5"/>
  <c r="AX40" i="5"/>
  <c r="CC41" i="5"/>
  <c r="CZ41" i="5"/>
  <c r="M38" i="5"/>
  <c r="AZ39" i="5"/>
  <c r="Z38" i="5"/>
  <c r="X39" i="5"/>
  <c r="BF41" i="5"/>
  <c r="CT39" i="5"/>
  <c r="BH39" i="5"/>
  <c r="H40" i="5"/>
  <c r="DC40" i="5"/>
  <c r="BL39" i="5"/>
  <c r="BH40" i="5"/>
  <c r="CD41" i="5"/>
  <c r="Z41" i="5"/>
  <c r="AA41" i="5"/>
  <c r="BJ41" i="5"/>
  <c r="BF38" i="5"/>
  <c r="T38" i="5"/>
  <c r="AW40" i="5"/>
  <c r="CO41" i="5"/>
  <c r="DG40" i="5"/>
  <c r="R41" i="5"/>
  <c r="BT41" i="5"/>
  <c r="CN40" i="5"/>
  <c r="H38" i="5"/>
  <c r="W40" i="5"/>
  <c r="AS39" i="5"/>
  <c r="DA40" i="5"/>
  <c r="BN41" i="5"/>
  <c r="DB41" i="5"/>
  <c r="DI40" i="5"/>
  <c r="BU39" i="5"/>
  <c r="I40" i="5"/>
  <c r="BV39" i="5"/>
  <c r="AD41" i="5"/>
  <c r="CU41" i="5"/>
  <c r="AQ39" i="5"/>
  <c r="CQ40" i="5"/>
  <c r="AC39" i="5"/>
  <c r="CX39" i="5"/>
  <c r="AY38" i="5"/>
  <c r="DD41" i="5"/>
  <c r="DK39" i="5"/>
  <c r="BA41" i="5"/>
  <c r="CA39" i="5"/>
  <c r="CX40" i="5"/>
  <c r="CI38" i="5"/>
  <c r="AU38" i="5"/>
  <c r="D41" i="5"/>
  <c r="S38" i="5"/>
  <c r="CP41" i="5"/>
  <c r="Q40" i="5"/>
  <c r="BS38" i="5"/>
  <c r="BO41" i="5"/>
  <c r="CP38" i="5"/>
  <c r="CD38" i="5"/>
  <c r="CX41" i="5"/>
  <c r="AC40" i="5"/>
  <c r="AH41" i="5"/>
  <c r="AL38" i="5"/>
  <c r="CA40" i="5"/>
  <c r="BA39" i="5"/>
  <c r="AF40" i="5"/>
  <c r="BI39" i="5"/>
  <c r="BI41" i="5"/>
  <c r="AY41" i="5"/>
  <c r="CB40" i="5"/>
  <c r="GU39" i="5"/>
  <c r="BZ39" i="5"/>
  <c r="BC40" i="5"/>
  <c r="BS41" i="5"/>
  <c r="CL39" i="5"/>
  <c r="AO39" i="5"/>
  <c r="AC38" i="5"/>
  <c r="GR39" i="5"/>
  <c r="D40" i="5"/>
  <c r="AP38" i="5"/>
  <c r="DJ39" i="5"/>
  <c r="CI40" i="5"/>
  <c r="BP38" i="5"/>
  <c r="DE39" i="5"/>
  <c r="F39" i="5"/>
  <c r="AW41" i="5"/>
  <c r="BB40" i="5"/>
  <c r="AI39" i="5"/>
  <c r="I39" i="5"/>
  <c r="BB39" i="5"/>
  <c r="AJ39" i="5"/>
  <c r="AQ38" i="5"/>
  <c r="BY41" i="5"/>
  <c r="R39" i="5"/>
  <c r="J41" i="5"/>
  <c r="AP40" i="5"/>
  <c r="BU40" i="5"/>
  <c r="BV38" i="5"/>
  <c r="AB39" i="5"/>
  <c r="AV40" i="5"/>
  <c r="DK38" i="5"/>
  <c r="BB38" i="5"/>
  <c r="CT38" i="5"/>
  <c r="Y39" i="5"/>
  <c r="AN41" i="5"/>
  <c r="CS40" i="5"/>
  <c r="CF38" i="5"/>
  <c r="BC39" i="5"/>
  <c r="DH39" i="5"/>
  <c r="F38" i="5"/>
  <c r="GO39" i="5"/>
  <c r="CW41" i="5"/>
  <c r="X40" i="5"/>
  <c r="E40" i="5"/>
  <c r="AR40" i="5"/>
  <c r="CY38" i="5"/>
  <c r="M41" i="5"/>
  <c r="CO38" i="5"/>
  <c r="CU38" i="5"/>
  <c r="BF39" i="5"/>
  <c r="DD40" i="5"/>
  <c r="AS40" i="5"/>
  <c r="W38" i="5"/>
  <c r="CI39" i="5"/>
  <c r="CN38" i="5"/>
  <c r="BW39" i="5"/>
  <c r="I38" i="5"/>
  <c r="CM41" i="5"/>
  <c r="Q39" i="5"/>
  <c r="AN40" i="5"/>
  <c r="BM41" i="5"/>
  <c r="CJ38" i="5"/>
  <c r="AN39" i="5"/>
  <c r="BM38" i="5"/>
  <c r="BE41" i="5"/>
  <c r="BD40" i="5"/>
  <c r="BF40" i="5"/>
  <c r="BB41" i="5"/>
  <c r="DI38" i="5"/>
  <c r="AO40" i="5"/>
  <c r="GK39" i="5"/>
  <c r="AF38" i="5"/>
  <c r="CB39" i="5"/>
  <c r="CP40" i="5"/>
  <c r="CC40" i="5"/>
  <c r="R38" i="5"/>
  <c r="BU38" i="5"/>
  <c r="BE38" i="5"/>
  <c r="BM40" i="5"/>
  <c r="CY39" i="5"/>
  <c r="AX41" i="5"/>
  <c r="F41" i="5"/>
  <c r="BD38" i="5"/>
  <c r="S41" i="5"/>
  <c r="BX38" i="5"/>
  <c r="T40" i="5"/>
  <c r="DA41" i="5"/>
  <c r="AO41" i="5"/>
  <c r="CL38" i="5"/>
  <c r="CH38" i="5"/>
  <c r="CV38" i="5"/>
  <c r="AV41" i="5"/>
  <c r="AU40" i="5"/>
  <c r="BK39" i="5"/>
  <c r="CR40" i="5"/>
  <c r="CA38" i="5"/>
  <c r="CY41" i="5"/>
  <c r="AL40" i="5"/>
  <c r="CA41" i="5"/>
  <c r="D38" i="5"/>
  <c r="BK40" i="5"/>
  <c r="DN38" i="5"/>
  <c r="AM40" i="5"/>
  <c r="BR41" i="5"/>
  <c r="K41" i="5"/>
  <c r="H39" i="5"/>
  <c r="BW40" i="5"/>
  <c r="AI40" i="5"/>
  <c r="BY40" i="5"/>
  <c r="AR41" i="5"/>
  <c r="BX39" i="5"/>
  <c r="DM38" i="5"/>
  <c r="GS39" i="5"/>
  <c r="BW38" i="5"/>
  <c r="CV41" i="5"/>
  <c r="CZ38" i="5"/>
  <c r="BU41" i="5"/>
  <c r="CH39" i="5"/>
  <c r="CU40" i="5"/>
  <c r="AX38" i="5"/>
  <c r="CK41" i="5"/>
  <c r="CN41" i="5"/>
  <c r="CJ41" i="5"/>
  <c r="AK41" i="5"/>
  <c r="BX40" i="5"/>
  <c r="CO39" i="5"/>
  <c r="DM40" i="5"/>
  <c r="R40" i="5"/>
  <c r="CL41" i="5"/>
  <c r="CE41" i="5"/>
  <c r="J39" i="5"/>
  <c r="DK41" i="5"/>
  <c r="CZ39" i="5"/>
  <c r="AP41" i="5"/>
  <c r="DA38" i="5"/>
  <c r="AJ41" i="5"/>
  <c r="L41" i="5"/>
  <c r="BI40" i="5"/>
  <c r="DE41" i="5"/>
  <c r="DD39" i="5"/>
  <c r="BK41" i="5"/>
  <c r="AK40" i="5"/>
  <c r="DC41" i="5"/>
  <c r="AI41" i="5"/>
  <c r="AA40" i="5"/>
  <c r="CW38" i="5"/>
  <c r="CB38" i="5"/>
  <c r="CG41" i="5"/>
  <c r="S39" i="5"/>
  <c r="CM39" i="5"/>
  <c r="DL39" i="5"/>
  <c r="AZ38" i="5"/>
  <c r="BS39" i="5"/>
  <c r="CS41" i="5"/>
  <c r="AE39" i="5"/>
  <c r="CJ39" i="5"/>
  <c r="DJ38" i="5"/>
  <c r="AB40" i="5"/>
  <c r="BQ39" i="5"/>
  <c r="BP41" i="5"/>
  <c r="AR38" i="5"/>
  <c r="CR41" i="5"/>
  <c r="BG41" i="5"/>
  <c r="E41" i="5"/>
  <c r="BO38" i="5"/>
  <c r="CM40" i="5"/>
  <c r="AY40" i="5"/>
  <c r="DJ40" i="5"/>
  <c r="CD40" i="5"/>
  <c r="BN39" i="5"/>
  <c r="CB41" i="5"/>
  <c r="AD40" i="5"/>
  <c r="BA38" i="5"/>
  <c r="CF39" i="5"/>
  <c r="W41" i="5"/>
  <c r="CJ40" i="5"/>
  <c r="CQ41" i="5"/>
  <c r="K39" i="5"/>
  <c r="BT39" i="5"/>
  <c r="G41" i="5"/>
  <c r="BQ40" i="5"/>
  <c r="BG38" i="5"/>
  <c r="S40" i="5"/>
  <c r="BN40" i="5"/>
  <c r="DL40" i="5"/>
  <c r="Q41" i="5"/>
  <c r="AT41" i="5"/>
  <c r="AB41" i="5"/>
  <c r="BR38" i="5"/>
  <c r="DN41" i="5"/>
  <c r="CI41" i="5"/>
  <c r="Y41" i="5"/>
  <c r="CX38" i="5"/>
  <c r="Z40" i="5"/>
  <c r="BZ38" i="5"/>
  <c r="CP39" i="5"/>
  <c r="AU39" i="5"/>
  <c r="AR39" i="5"/>
  <c r="CR38" i="5"/>
  <c r="Y40" i="5"/>
  <c r="M40" i="5"/>
  <c r="BP40" i="5"/>
  <c r="CW40" i="5"/>
  <c r="L40" i="5"/>
  <c r="BD41" i="5"/>
  <c r="E38" i="5"/>
  <c r="X41" i="5"/>
  <c r="CT41" i="5"/>
  <c r="AY39" i="5"/>
  <c r="CY40" i="5"/>
  <c r="G39" i="5"/>
  <c r="BE40" i="5"/>
  <c r="DL41" i="5"/>
  <c r="BI38" i="5"/>
  <c r="BV41" i="5"/>
  <c r="AV39" i="5"/>
  <c r="K40" i="5"/>
  <c r="AG39" i="5"/>
  <c r="AQ40" i="5"/>
  <c r="DF41" i="5"/>
  <c r="DK40" i="5"/>
  <c r="CZ40" i="5"/>
  <c r="AW38" i="5"/>
  <c r="AK38" i="5"/>
  <c r="CG38" i="5"/>
  <c r="BL38" i="5"/>
  <c r="AG40" i="5"/>
  <c r="CL40" i="5"/>
  <c r="G40" i="5"/>
  <c r="K38" i="5"/>
  <c r="Z39" i="5"/>
  <c r="GM39" i="5"/>
  <c r="CV40" i="5"/>
  <c r="BQ41" i="5"/>
  <c r="AH38" i="5"/>
  <c r="CC38" i="5"/>
  <c r="BZ40" i="5"/>
  <c r="BD39" i="5"/>
  <c r="GN39" i="5"/>
  <c r="BV40" i="5"/>
  <c r="BS40" i="5"/>
  <c r="AQ41" i="5"/>
  <c r="M39" i="5"/>
  <c r="BA40" i="5"/>
  <c r="DJ41" i="5"/>
  <c r="DF40" i="5"/>
  <c r="AP39" i="5"/>
  <c r="AT39" i="5"/>
  <c r="AD38" i="5"/>
  <c r="CW39" i="5"/>
  <c r="GJ39" i="5"/>
  <c r="AH40" i="5"/>
  <c r="AO38" i="5"/>
  <c r="DC39" i="5"/>
  <c r="BE39" i="5"/>
  <c r="AN38" i="5"/>
  <c r="BT40" i="5"/>
  <c r="AG41" i="5"/>
  <c r="DB39" i="5"/>
  <c r="GL39" i="5"/>
  <c r="AX39" i="5"/>
  <c r="DF38" i="5"/>
  <c r="BW41" i="5"/>
  <c r="AC41" i="5"/>
  <c r="BQ38" i="5"/>
  <c r="BR39" i="5"/>
  <c r="CF40" i="5"/>
  <c r="DE38" i="5"/>
  <c r="DB40" i="5"/>
  <c r="CC39" i="5"/>
  <c r="AU41" i="5"/>
  <c r="Q38" i="5"/>
  <c r="E39" i="5"/>
  <c r="BC41" i="5"/>
  <c r="CG40" i="5"/>
  <c r="AM38" i="5"/>
  <c r="AG38" i="5"/>
  <c r="DM41" i="5"/>
  <c r="DB38" i="5"/>
  <c r="AB38" i="5"/>
  <c r="DA39" i="5"/>
  <c r="DL38" i="5"/>
  <c r="AI38" i="5"/>
  <c r="AH39" i="5"/>
  <c r="AZ40" i="5"/>
  <c r="DM39" i="5"/>
  <c r="BO40" i="5"/>
  <c r="DE40" i="5"/>
  <c r="AD39" i="5"/>
  <c r="DH41" i="5"/>
  <c r="DD38" i="5"/>
  <c r="AM39" i="5"/>
  <c r="DF39" i="5"/>
  <c r="CD39" i="5"/>
  <c r="AS41" i="5"/>
  <c r="BC38" i="5"/>
  <c r="GP39" i="5"/>
  <c r="BG39" i="5"/>
  <c r="BZ41" i="5"/>
  <c r="BJ38" i="5"/>
  <c r="AJ38" i="5"/>
  <c r="AA39" i="5"/>
  <c r="BY39" i="5"/>
  <c r="GQ39" i="5"/>
  <c r="AJ40" i="5"/>
  <c r="W39" i="5"/>
  <c r="AV38" i="5"/>
  <c r="CK38" i="5"/>
  <c r="DN40" i="5"/>
  <c r="BJ40" i="5"/>
  <c r="DG39" i="5"/>
  <c r="CV39" i="5"/>
  <c r="T39" i="5"/>
  <c r="I41" i="5"/>
  <c r="H41" i="5"/>
  <c r="CK40" i="5"/>
  <c r="CK39" i="5"/>
  <c r="CF41" i="5"/>
  <c r="AV45" i="5"/>
  <c r="AV46" i="5"/>
  <c r="AV47" i="5"/>
  <c r="BC45" i="5"/>
  <c r="BC46" i="5"/>
  <c r="BC47" i="5"/>
  <c r="DE45" i="5"/>
  <c r="DE46" i="5"/>
  <c r="DE47" i="5"/>
  <c r="AN45" i="5"/>
  <c r="AN46" i="5"/>
  <c r="AN47" i="5"/>
  <c r="DA45" i="5"/>
  <c r="DA46" i="5"/>
  <c r="DA47" i="5"/>
  <c r="BI45" i="5"/>
  <c r="BI46" i="5"/>
  <c r="BI47" i="5"/>
  <c r="AO45" i="5"/>
  <c r="AO46" i="5"/>
  <c r="AO47" i="5"/>
  <c r="AO51" i="5"/>
  <c r="AO52" i="5"/>
  <c r="AO58" i="5"/>
  <c r="DD45" i="5"/>
  <c r="DD46" i="5"/>
  <c r="DD47" i="5"/>
  <c r="AK45" i="5"/>
  <c r="AK46" i="5"/>
  <c r="AK47" i="5"/>
  <c r="AD45" i="5"/>
  <c r="AD46" i="5"/>
  <c r="AD47" i="5"/>
  <c r="AW45" i="5"/>
  <c r="AW46" i="5"/>
  <c r="AW47" i="5"/>
  <c r="AJ45" i="5"/>
  <c r="AJ46" i="5"/>
  <c r="AJ47" i="5"/>
  <c r="BJ45" i="5"/>
  <c r="BJ46" i="5"/>
  <c r="BJ47" i="5"/>
  <c r="BJ51" i="5"/>
  <c r="BJ52" i="5"/>
  <c r="BJ58" i="5"/>
  <c r="BQ45" i="5"/>
  <c r="BQ46" i="5"/>
  <c r="BQ47" i="5"/>
  <c r="BR45" i="5"/>
  <c r="BR46" i="5"/>
  <c r="BR47" i="5"/>
  <c r="AX45" i="5"/>
  <c r="AX46" i="5"/>
  <c r="AX47" i="5"/>
  <c r="AX51" i="5"/>
  <c r="AX52" i="5"/>
  <c r="AX58" i="5"/>
  <c r="CZ45" i="5"/>
  <c r="CZ46" i="5"/>
  <c r="CZ47" i="5"/>
  <c r="BW45" i="5"/>
  <c r="BW46" i="5"/>
  <c r="BW47" i="5"/>
  <c r="E45" i="5"/>
  <c r="E46" i="5"/>
  <c r="E47" i="5"/>
  <c r="DM45" i="5"/>
  <c r="DM46" i="5"/>
  <c r="DM47" i="5"/>
  <c r="AI45" i="5"/>
  <c r="AI46" i="5"/>
  <c r="AI47" i="5"/>
  <c r="DL45" i="5"/>
  <c r="DL46" i="5"/>
  <c r="DL47" i="5"/>
  <c r="AB45" i="5"/>
  <c r="AB46" i="5"/>
  <c r="AB47" i="5"/>
  <c r="DB45" i="5"/>
  <c r="DB46" i="5"/>
  <c r="DB47" i="5"/>
  <c r="DB51" i="5"/>
  <c r="DB52" i="5"/>
  <c r="DB58" i="5"/>
  <c r="BG45" i="5"/>
  <c r="BG46" i="5"/>
  <c r="BG47" i="5"/>
  <c r="CC45" i="5"/>
  <c r="CC46" i="5"/>
  <c r="CC47" i="5"/>
  <c r="DN45" i="5"/>
  <c r="DN46" i="5"/>
  <c r="DN47" i="5"/>
  <c r="DN51" i="5"/>
  <c r="DN52" i="5"/>
  <c r="DN58" i="5"/>
  <c r="AH45" i="5"/>
  <c r="AH46" i="5"/>
  <c r="AH47" i="5"/>
  <c r="D45" i="5"/>
  <c r="D46" i="5"/>
  <c r="D47" i="5"/>
  <c r="AG45" i="5"/>
  <c r="AG46" i="5"/>
  <c r="AG47" i="5"/>
  <c r="DF45" i="5"/>
  <c r="DF46" i="5"/>
  <c r="DF47" i="5"/>
  <c r="CA45" i="5"/>
  <c r="CA46" i="5"/>
  <c r="CA47" i="5"/>
  <c r="CR45" i="5"/>
  <c r="CR46" i="5"/>
  <c r="CR47" i="5"/>
  <c r="AM45" i="5"/>
  <c r="AM46" i="5"/>
  <c r="AM47" i="5"/>
  <c r="I45" i="5"/>
  <c r="I46" i="5"/>
  <c r="I47" i="5"/>
  <c r="BA45" i="5"/>
  <c r="BA46" i="5"/>
  <c r="BA47" i="5"/>
  <c r="CN45" i="5"/>
  <c r="CN46" i="5"/>
  <c r="CN47" i="5"/>
  <c r="CV45" i="5"/>
  <c r="CV46" i="5"/>
  <c r="CV47" i="5"/>
  <c r="W45" i="5"/>
  <c r="W46" i="5"/>
  <c r="W47" i="5"/>
  <c r="CH45" i="5"/>
  <c r="CH46" i="5"/>
  <c r="CH47" i="5"/>
  <c r="CL45" i="5"/>
  <c r="CL46" i="5"/>
  <c r="CL47" i="5"/>
  <c r="DG45" i="5"/>
  <c r="DG46" i="5"/>
  <c r="DG47" i="5"/>
  <c r="CK45" i="5"/>
  <c r="CK46" i="5"/>
  <c r="CK47" i="5"/>
  <c r="CU45" i="5"/>
  <c r="CU46" i="5"/>
  <c r="CU47" i="5"/>
  <c r="CO45" i="5"/>
  <c r="CO46" i="5"/>
  <c r="CO47" i="5"/>
  <c r="CO51" i="5"/>
  <c r="CO52" i="5"/>
  <c r="CO58" i="5"/>
  <c r="BO45" i="5"/>
  <c r="BO46" i="5"/>
  <c r="BO47" i="5"/>
  <c r="AL45" i="5"/>
  <c r="AL46" i="5"/>
  <c r="AL47" i="5"/>
  <c r="AL51" i="5"/>
  <c r="AL52" i="5"/>
  <c r="AL58" i="5"/>
  <c r="BX45" i="5"/>
  <c r="BX46" i="5"/>
  <c r="BX47" i="5"/>
  <c r="BX51" i="5"/>
  <c r="BX52" i="5"/>
  <c r="BX58" i="5"/>
  <c r="CY45" i="5"/>
  <c r="CY46" i="5"/>
  <c r="CY47" i="5"/>
  <c r="DC45" i="5"/>
  <c r="DC46" i="5"/>
  <c r="DC47" i="5"/>
  <c r="BD45" i="5"/>
  <c r="BD46" i="5"/>
  <c r="BD47" i="5"/>
  <c r="BD51" i="5"/>
  <c r="BD52" i="5"/>
  <c r="BD58" i="5"/>
  <c r="CQ45" i="5"/>
  <c r="CQ46" i="5"/>
  <c r="CQ47" i="5"/>
  <c r="BK45" i="5"/>
  <c r="BK46" i="5"/>
  <c r="BK47" i="5"/>
  <c r="CD45" i="5"/>
  <c r="CD46" i="5"/>
  <c r="CD47" i="5"/>
  <c r="CD51" i="5"/>
  <c r="CD52" i="5"/>
  <c r="CD58" i="5"/>
  <c r="BH45" i="5"/>
  <c r="BH46" i="5"/>
  <c r="BH47" i="5"/>
  <c r="BH51" i="5"/>
  <c r="BH52" i="5"/>
  <c r="BH58" i="5"/>
  <c r="AR45" i="5"/>
  <c r="AR46" i="5"/>
  <c r="AR47" i="5"/>
  <c r="CP45" i="5"/>
  <c r="CP46" i="5"/>
  <c r="CP47" i="5"/>
  <c r="BS45" i="5"/>
  <c r="BS46" i="5"/>
  <c r="BS47" i="5"/>
  <c r="G45" i="5"/>
  <c r="G46" i="5"/>
  <c r="G47" i="5"/>
  <c r="BE45" i="5"/>
  <c r="BE46" i="5"/>
  <c r="BE47" i="5"/>
  <c r="X45" i="5"/>
  <c r="X46" i="5"/>
  <c r="X47" i="5"/>
  <c r="K45" i="5"/>
  <c r="K46" i="5"/>
  <c r="K47" i="5"/>
  <c r="J45" i="5"/>
  <c r="J46" i="5"/>
  <c r="J47" i="5"/>
  <c r="K51" i="5"/>
  <c r="K52" i="5"/>
  <c r="K58" i="5"/>
  <c r="K59" i="5"/>
  <c r="S45" i="5"/>
  <c r="S46" i="5"/>
  <c r="S47" i="5"/>
  <c r="DJ45" i="5"/>
  <c r="DJ46" i="5"/>
  <c r="DJ47" i="5"/>
  <c r="BU45" i="5"/>
  <c r="BU46" i="5"/>
  <c r="BU47" i="5"/>
  <c r="AU45" i="5"/>
  <c r="AU46" i="5"/>
  <c r="AU47" i="5"/>
  <c r="AT45" i="5"/>
  <c r="AT46" i="5"/>
  <c r="AT47" i="5"/>
  <c r="AU51" i="5"/>
  <c r="AU52" i="5"/>
  <c r="AU58" i="5"/>
  <c r="CI45" i="5"/>
  <c r="CI46" i="5"/>
  <c r="CI47" i="5"/>
  <c r="CI51" i="5"/>
  <c r="CI52" i="5"/>
  <c r="CI58" i="5"/>
  <c r="F45" i="5"/>
  <c r="F46" i="5"/>
  <c r="F47" i="5"/>
  <c r="R45" i="5"/>
  <c r="R46" i="5"/>
  <c r="R47" i="5"/>
  <c r="AY45" i="5"/>
  <c r="AY46" i="5"/>
  <c r="AY47" i="5"/>
  <c r="CF45" i="5"/>
  <c r="CF46" i="5"/>
  <c r="CF47" i="5"/>
  <c r="AZ45" i="5"/>
  <c r="AZ46" i="5"/>
  <c r="AZ47" i="5"/>
  <c r="L45" i="5"/>
  <c r="L46" i="5"/>
  <c r="L47" i="5"/>
  <c r="L51" i="5"/>
  <c r="L52" i="5"/>
  <c r="L58" i="5"/>
  <c r="L59" i="5"/>
  <c r="BZ45" i="5"/>
  <c r="BZ46" i="5"/>
  <c r="BZ47" i="5"/>
  <c r="BY45" i="5"/>
  <c r="BY46" i="5"/>
  <c r="BY47" i="5"/>
  <c r="AF45" i="5"/>
  <c r="AF46" i="5"/>
  <c r="AF47" i="5"/>
  <c r="CB45" i="5"/>
  <c r="CB46" i="5"/>
  <c r="CB47" i="5"/>
  <c r="CB51" i="5"/>
  <c r="CB52" i="5"/>
  <c r="CB58" i="5"/>
  <c r="Q45" i="5"/>
  <c r="Q46" i="5"/>
  <c r="Q47" i="5"/>
  <c r="CT45" i="5"/>
  <c r="CT46" i="5"/>
  <c r="CT47" i="5"/>
  <c r="DI45" i="5"/>
  <c r="DI46" i="5"/>
  <c r="DI47" i="5"/>
  <c r="BB45" i="5"/>
  <c r="BB46" i="5"/>
  <c r="BB47" i="5"/>
  <c r="BB51" i="5"/>
  <c r="BB52" i="5"/>
  <c r="BB58" i="5"/>
  <c r="CW45" i="5"/>
  <c r="CW46" i="5"/>
  <c r="CW47" i="5"/>
  <c r="CW51" i="5"/>
  <c r="CW52" i="5"/>
  <c r="CW58" i="5"/>
  <c r="CE45" i="5"/>
  <c r="CE46" i="5"/>
  <c r="CE47" i="5"/>
  <c r="BT45" i="5"/>
  <c r="BT46" i="5"/>
  <c r="BT47" i="5"/>
  <c r="BT51" i="5"/>
  <c r="BT52" i="5"/>
  <c r="BT58" i="5"/>
  <c r="DK45" i="5"/>
  <c r="DK46" i="5"/>
  <c r="DK47" i="5"/>
  <c r="H45" i="5"/>
  <c r="H46" i="5"/>
  <c r="H47" i="5"/>
  <c r="BL45" i="5"/>
  <c r="BL46" i="5"/>
  <c r="BL47" i="5"/>
  <c r="BL51" i="5"/>
  <c r="BL52" i="5"/>
  <c r="BL58" i="5"/>
  <c r="BV45" i="5"/>
  <c r="BV46" i="5"/>
  <c r="BV47" i="5"/>
  <c r="AS45" i="5"/>
  <c r="AS46" i="5"/>
  <c r="AS47" i="5"/>
  <c r="AS51" i="5"/>
  <c r="AS52" i="5"/>
  <c r="AS58" i="5"/>
  <c r="BM45" i="5"/>
  <c r="BM46" i="5"/>
  <c r="BM47" i="5"/>
  <c r="CX45" i="5"/>
  <c r="CX46" i="5"/>
  <c r="CX47" i="5"/>
  <c r="AQ45" i="5"/>
  <c r="AQ46" i="5"/>
  <c r="AQ47" i="5"/>
  <c r="AE45" i="5"/>
  <c r="AE46" i="5"/>
  <c r="AE47" i="5"/>
  <c r="T45" i="5"/>
  <c r="T46" i="5"/>
  <c r="T47" i="5"/>
  <c r="T51" i="5"/>
  <c r="T52" i="5"/>
  <c r="T58" i="5"/>
  <c r="BN45" i="5"/>
  <c r="BN46" i="5"/>
  <c r="BN47" i="5"/>
  <c r="BF45" i="5"/>
  <c r="BF46" i="5"/>
  <c r="BF47" i="5"/>
  <c r="BF51" i="5"/>
  <c r="BF52" i="5"/>
  <c r="BF58" i="5"/>
  <c r="CJ45" i="5"/>
  <c r="CJ46" i="5"/>
  <c r="CJ47" i="5"/>
  <c r="DH45" i="5"/>
  <c r="DH46" i="5"/>
  <c r="DH47" i="5"/>
  <c r="DH51" i="5"/>
  <c r="DH52" i="5"/>
  <c r="DH58" i="5"/>
  <c r="CG45" i="5"/>
  <c r="CG46" i="5"/>
  <c r="CG47" i="5"/>
  <c r="CM45" i="5"/>
  <c r="CM46" i="5"/>
  <c r="CM47" i="5"/>
  <c r="CM51" i="5"/>
  <c r="CM52" i="5"/>
  <c r="CM58" i="5"/>
  <c r="BP45" i="5"/>
  <c r="BP46" i="5"/>
  <c r="BP47" i="5"/>
  <c r="BP51" i="5"/>
  <c r="BP52" i="5"/>
  <c r="BP58" i="5"/>
  <c r="AP45" i="5"/>
  <c r="AP46" i="5"/>
  <c r="AP47" i="5"/>
  <c r="AP51" i="5"/>
  <c r="AP52" i="5"/>
  <c r="AP58" i="5"/>
  <c r="Y45" i="5"/>
  <c r="Y46" i="5"/>
  <c r="Y47" i="5"/>
  <c r="Y51" i="5"/>
  <c r="Y52" i="5"/>
  <c r="Y58" i="5"/>
  <c r="CS45" i="5"/>
  <c r="CS46" i="5"/>
  <c r="CS47" i="5"/>
  <c r="CS51" i="5"/>
  <c r="CS52" i="5"/>
  <c r="CS58" i="5"/>
  <c r="AC45" i="5"/>
  <c r="AC46" i="5"/>
  <c r="AC47" i="5"/>
  <c r="AC51" i="5"/>
  <c r="AC52" i="5"/>
  <c r="AC58" i="5"/>
  <c r="AA45" i="5"/>
  <c r="AA46" i="5"/>
  <c r="AA47" i="5"/>
  <c r="Z45" i="5"/>
  <c r="Z46" i="5"/>
  <c r="Z47" i="5"/>
  <c r="M45" i="5"/>
  <c r="M46" i="5"/>
  <c r="M47" i="5"/>
  <c r="M51" i="5"/>
  <c r="M52" i="5"/>
  <c r="M58" i="5"/>
  <c r="M59" i="5"/>
  <c r="AQ51" i="5"/>
  <c r="AQ52" i="5"/>
  <c r="AQ58" i="5"/>
  <c r="H51" i="5"/>
  <c r="H52" i="5"/>
  <c r="H58" i="5"/>
  <c r="H59" i="5"/>
  <c r="H70" i="5"/>
  <c r="AZ51" i="5"/>
  <c r="AZ52" i="5"/>
  <c r="AZ58" i="5"/>
  <c r="R51" i="5"/>
  <c r="R52" i="5"/>
  <c r="R58" i="5"/>
  <c r="CQ51" i="5"/>
  <c r="CQ52" i="5"/>
  <c r="CQ58" i="5"/>
  <c r="CQ59" i="5"/>
  <c r="BN51" i="5"/>
  <c r="BN52" i="5"/>
  <c r="BN58" i="5"/>
  <c r="BV51" i="5"/>
  <c r="BV52" i="5"/>
  <c r="BV58" i="5"/>
  <c r="BV59" i="5"/>
  <c r="BZ51" i="5"/>
  <c r="BZ52" i="5"/>
  <c r="BZ58" i="5"/>
  <c r="CF51" i="5"/>
  <c r="CF52" i="5"/>
  <c r="CF58" i="5"/>
  <c r="DG51" i="5"/>
  <c r="DG52" i="5"/>
  <c r="DG58" i="5"/>
  <c r="DG59" i="5"/>
  <c r="AI51" i="5"/>
  <c r="AI52" i="5"/>
  <c r="AI58" i="5"/>
  <c r="DA51" i="5"/>
  <c r="DA52" i="5"/>
  <c r="DA58" i="5"/>
  <c r="DA59" i="5"/>
  <c r="BS51" i="5"/>
  <c r="BS52" i="5"/>
  <c r="BS58" i="5"/>
  <c r="BS59" i="5"/>
  <c r="DJ51" i="5"/>
  <c r="DJ52" i="5"/>
  <c r="DJ58" i="5"/>
  <c r="N51" i="5"/>
  <c r="N52" i="5"/>
  <c r="N58" i="5"/>
  <c r="N59" i="5"/>
  <c r="Q67" i="5"/>
  <c r="Q69" i="5"/>
  <c r="CU51" i="5"/>
  <c r="CU52" i="5"/>
  <c r="CU58" i="5"/>
  <c r="CU59" i="5"/>
  <c r="W51" i="5"/>
  <c r="W52" i="5"/>
  <c r="W58" i="5"/>
  <c r="DL51" i="5"/>
  <c r="DL52" i="5"/>
  <c r="DL58" i="5"/>
  <c r="E51" i="5"/>
  <c r="E52" i="5"/>
  <c r="E58" i="5"/>
  <c r="E59" i="5"/>
  <c r="AD51" i="5"/>
  <c r="AD52" i="5"/>
  <c r="AD58" i="5"/>
  <c r="DD51" i="5"/>
  <c r="DD52" i="5"/>
  <c r="DD58" i="5"/>
  <c r="BI51" i="5"/>
  <c r="BI52" i="5"/>
  <c r="BI58" i="5"/>
  <c r="AA51" i="5"/>
  <c r="AA52" i="5"/>
  <c r="AA58" i="5"/>
  <c r="Z51" i="5"/>
  <c r="Z52" i="5"/>
  <c r="Z58" i="5"/>
  <c r="CG51" i="5"/>
  <c r="CG52" i="5"/>
  <c r="CG58" i="5"/>
  <c r="BY51" i="5"/>
  <c r="BY52" i="5"/>
  <c r="BY58" i="5"/>
  <c r="BR51" i="5"/>
  <c r="BR52" i="5"/>
  <c r="BR58" i="5"/>
  <c r="P59" i="5"/>
  <c r="AQ59" i="5"/>
  <c r="W59" i="5"/>
  <c r="P67" i="5"/>
  <c r="P69" i="5"/>
  <c r="M70" i="5"/>
  <c r="Y59" i="5"/>
  <c r="AE51" i="5"/>
  <c r="AE52" i="5"/>
  <c r="AE58" i="5"/>
  <c r="BL59" i="5"/>
  <c r="DI51" i="5"/>
  <c r="DI52" i="5"/>
  <c r="DI58" i="5"/>
  <c r="O67" i="5"/>
  <c r="O69" i="5"/>
  <c r="L70" i="5"/>
  <c r="F51" i="5"/>
  <c r="F52" i="5"/>
  <c r="F58" i="5"/>
  <c r="F59" i="5"/>
  <c r="AU59" i="5"/>
  <c r="AC59" i="5"/>
  <c r="AP59" i="5"/>
  <c r="CM59" i="5"/>
  <c r="CG59" i="5"/>
  <c r="BF59" i="5"/>
  <c r="BM51" i="5"/>
  <c r="BM52" i="5"/>
  <c r="BM58" i="5"/>
  <c r="AT51" i="5"/>
  <c r="AT52" i="5"/>
  <c r="AT58" i="5"/>
  <c r="CE51" i="5"/>
  <c r="CE52" i="5"/>
  <c r="CE58" i="5"/>
  <c r="Q51" i="5"/>
  <c r="Q52" i="5"/>
  <c r="Q58" i="5"/>
  <c r="BY59" i="5"/>
  <c r="AY51" i="5"/>
  <c r="AY52" i="5"/>
  <c r="AY58" i="5"/>
  <c r="J51" i="5"/>
  <c r="J52" i="5"/>
  <c r="J58" i="5"/>
  <c r="J59" i="5"/>
  <c r="BU51" i="5"/>
  <c r="BU52" i="5"/>
  <c r="BU58" i="5"/>
  <c r="X51" i="5"/>
  <c r="X52" i="5"/>
  <c r="X58" i="5"/>
  <c r="BE51" i="5"/>
  <c r="BE52" i="5"/>
  <c r="BE58" i="5"/>
  <c r="CP51" i="5"/>
  <c r="CP52" i="5"/>
  <c r="CP58" i="5"/>
  <c r="BK51" i="5"/>
  <c r="BK52" i="5"/>
  <c r="BK58" i="5"/>
  <c r="BO51" i="5"/>
  <c r="BO52" i="5"/>
  <c r="BO58" i="5"/>
  <c r="CL51" i="5"/>
  <c r="CL52" i="5"/>
  <c r="CL58" i="5"/>
  <c r="BA51" i="5"/>
  <c r="BA52" i="5"/>
  <c r="BA58" i="5"/>
  <c r="CA51" i="5"/>
  <c r="CA52" i="5"/>
  <c r="CA58" i="5"/>
  <c r="AH51" i="5"/>
  <c r="AH52" i="5"/>
  <c r="AH58" i="5"/>
  <c r="BG51" i="5"/>
  <c r="BG52" i="5"/>
  <c r="BG58" i="5"/>
  <c r="DM51" i="5"/>
  <c r="DM52" i="5"/>
  <c r="DM58" i="5"/>
  <c r="CZ51" i="5"/>
  <c r="CZ52" i="5"/>
  <c r="CZ58" i="5"/>
  <c r="U51" i="5"/>
  <c r="U52" i="5"/>
  <c r="U58" i="5"/>
  <c r="AW51" i="5"/>
  <c r="AW52" i="5"/>
  <c r="AW58" i="5"/>
  <c r="AN51" i="5"/>
  <c r="AN52" i="5"/>
  <c r="AN58" i="5"/>
  <c r="T59" i="5"/>
  <c r="CW59" i="5"/>
  <c r="CI59" i="5"/>
  <c r="AR51" i="5"/>
  <c r="AR52" i="5"/>
  <c r="AR58" i="5"/>
  <c r="E70" i="5"/>
  <c r="H67" i="5"/>
  <c r="H69" i="5"/>
  <c r="AX59" i="5"/>
  <c r="BJ59" i="5"/>
  <c r="BI59" i="5"/>
  <c r="DE51" i="5"/>
  <c r="DE52" i="5"/>
  <c r="DE58" i="5"/>
  <c r="DH59" i="5"/>
  <c r="AS59" i="5"/>
  <c r="AZ59" i="5"/>
  <c r="DJ59" i="5"/>
  <c r="I51" i="5"/>
  <c r="I52" i="5"/>
  <c r="I58" i="5"/>
  <c r="I59" i="5"/>
  <c r="DN59" i="5"/>
  <c r="CS59" i="5"/>
  <c r="CJ51" i="5"/>
  <c r="CJ52" i="5"/>
  <c r="CJ58" i="5"/>
  <c r="BN59" i="5"/>
  <c r="DK51" i="5"/>
  <c r="DK52" i="5"/>
  <c r="DK58" i="5"/>
  <c r="BB59" i="5"/>
  <c r="CT51" i="5"/>
  <c r="CT52" i="5"/>
  <c r="CT58" i="5"/>
  <c r="F67" i="5"/>
  <c r="F69" i="5"/>
  <c r="BZ59" i="5"/>
  <c r="CF59" i="5"/>
  <c r="S51" i="5"/>
  <c r="S52" i="5"/>
  <c r="S58" i="5"/>
  <c r="BH59" i="5"/>
  <c r="BD59" i="5"/>
  <c r="DC51" i="5"/>
  <c r="DC52" i="5"/>
  <c r="DC58" i="5"/>
  <c r="BX59" i="5"/>
  <c r="CO59" i="5"/>
  <c r="CK51" i="5"/>
  <c r="CK52" i="5"/>
  <c r="CK58" i="5"/>
  <c r="CN51" i="5"/>
  <c r="CN52" i="5"/>
  <c r="CN58" i="5"/>
  <c r="AM51" i="5"/>
  <c r="AM52" i="5"/>
  <c r="AM58" i="5"/>
  <c r="DF51" i="5"/>
  <c r="DF52" i="5"/>
  <c r="DF58" i="5"/>
  <c r="AG51" i="5"/>
  <c r="AG52" i="5"/>
  <c r="AG58" i="5"/>
  <c r="CC51" i="5"/>
  <c r="CC52" i="5"/>
  <c r="CC58" i="5"/>
  <c r="BW51" i="5"/>
  <c r="BW52" i="5"/>
  <c r="BW58" i="5"/>
  <c r="AK51" i="5"/>
  <c r="AK52" i="5"/>
  <c r="AK58" i="5"/>
  <c r="AO59" i="5"/>
  <c r="BC51" i="5"/>
  <c r="BC52" i="5"/>
  <c r="BC58" i="5"/>
  <c r="K67" i="5"/>
  <c r="K69" i="5"/>
  <c r="CB59" i="5"/>
  <c r="R59" i="5"/>
  <c r="DB59" i="5"/>
  <c r="AA59" i="5"/>
  <c r="BP59" i="5"/>
  <c r="CX51" i="5"/>
  <c r="CX52" i="5"/>
  <c r="CX58" i="5"/>
  <c r="BT59" i="5"/>
  <c r="AF51" i="5"/>
  <c r="AF52" i="5"/>
  <c r="AF58" i="5"/>
  <c r="V59" i="5"/>
  <c r="N67" i="5"/>
  <c r="N69" i="5"/>
  <c r="K70" i="5"/>
  <c r="G51" i="5"/>
  <c r="G52" i="5"/>
  <c r="G58" i="5"/>
  <c r="G59" i="5"/>
  <c r="CD59" i="5"/>
  <c r="CY51" i="5"/>
  <c r="CY52" i="5"/>
  <c r="CY58" i="5"/>
  <c r="AL59" i="5"/>
  <c r="CH51" i="5"/>
  <c r="CH52" i="5"/>
  <c r="CH58" i="5"/>
  <c r="CV51" i="5"/>
  <c r="CV52" i="5"/>
  <c r="CV58" i="5"/>
  <c r="DO51" i="5"/>
  <c r="DO52" i="5"/>
  <c r="DO58" i="5"/>
  <c r="CR51" i="5"/>
  <c r="CR52" i="5"/>
  <c r="CR58" i="5"/>
  <c r="D51" i="5"/>
  <c r="D52" i="5"/>
  <c r="D58" i="5"/>
  <c r="D59" i="5"/>
  <c r="AB51" i="5"/>
  <c r="AB52" i="5"/>
  <c r="AB58" i="5"/>
  <c r="AI59" i="5"/>
  <c r="BQ51" i="5"/>
  <c r="BQ52" i="5"/>
  <c r="BQ58" i="5"/>
  <c r="AJ51" i="5"/>
  <c r="AJ52" i="5"/>
  <c r="AJ58" i="5"/>
  <c r="AV51" i="5"/>
  <c r="AV52" i="5"/>
  <c r="AV58" i="5"/>
  <c r="DL59" i="5"/>
  <c r="Z59" i="5"/>
  <c r="DD59" i="5"/>
  <c r="EP70" i="5"/>
  <c r="AD59" i="5"/>
  <c r="N70" i="5"/>
  <c r="BR59" i="5"/>
  <c r="AV59" i="5"/>
  <c r="G70" i="5"/>
  <c r="J67" i="5"/>
  <c r="J69" i="5"/>
  <c r="BW59" i="5"/>
  <c r="BY67" i="5"/>
  <c r="BY69" i="5"/>
  <c r="CK59" i="5"/>
  <c r="DV70" i="5"/>
  <c r="ER70" i="5"/>
  <c r="AJ59" i="5"/>
  <c r="EJ70" i="5"/>
  <c r="CH59" i="5"/>
  <c r="FH70" i="5"/>
  <c r="V70" i="5"/>
  <c r="DB70" i="5"/>
  <c r="R70" i="5"/>
  <c r="DA70" i="5"/>
  <c r="BQ59" i="5"/>
  <c r="BS67" i="5"/>
  <c r="BS69" i="5"/>
  <c r="AI70" i="5"/>
  <c r="AA70" i="5"/>
  <c r="GD70" i="5"/>
  <c r="AO70" i="5"/>
  <c r="AM59" i="5"/>
  <c r="DO59" i="5"/>
  <c r="DQ67" i="5"/>
  <c r="DQ69" i="5"/>
  <c r="CY59" i="5"/>
  <c r="AF59" i="5"/>
  <c r="BP70" i="5"/>
  <c r="DX70" i="5"/>
  <c r="CB70" i="5"/>
  <c r="BC59" i="5"/>
  <c r="AK59" i="5"/>
  <c r="CC59" i="5"/>
  <c r="CN59" i="5"/>
  <c r="BD70" i="5"/>
  <c r="GC70" i="5"/>
  <c r="FS70" i="5"/>
  <c r="CF70" i="5"/>
  <c r="CJ59" i="5"/>
  <c r="CJ67" i="5"/>
  <c r="CJ69" i="5"/>
  <c r="EA70" i="5"/>
  <c r="DJ70" i="5"/>
  <c r="ED70" i="5"/>
  <c r="DE59" i="5"/>
  <c r="BJ70" i="5"/>
  <c r="FF70" i="5"/>
  <c r="T70" i="5"/>
  <c r="CZ59" i="5"/>
  <c r="AH59" i="5"/>
  <c r="CL59" i="5"/>
  <c r="CL67" i="5"/>
  <c r="CL69" i="5"/>
  <c r="EW70" i="5"/>
  <c r="CP59" i="5"/>
  <c r="CP67" i="5"/>
  <c r="CP69" i="5"/>
  <c r="X59" i="5"/>
  <c r="Y67" i="5"/>
  <c r="Y69" i="5"/>
  <c r="CE59" i="5"/>
  <c r="CG67" i="5"/>
  <c r="CG69" i="5"/>
  <c r="DT70" i="5"/>
  <c r="CG70" i="5"/>
  <c r="AP70" i="5"/>
  <c r="I67" i="5"/>
  <c r="I69" i="5"/>
  <c r="F70" i="5"/>
  <c r="DI59" i="5"/>
  <c r="DJ67" i="5"/>
  <c r="DJ69" i="5"/>
  <c r="AQ70" i="5"/>
  <c r="EN70" i="5"/>
  <c r="BS70" i="5"/>
  <c r="BU59" i="5"/>
  <c r="BV67" i="5"/>
  <c r="BV69" i="5"/>
  <c r="DP70" i="5"/>
  <c r="Q59" i="5"/>
  <c r="AT59" i="5"/>
  <c r="EK70" i="5"/>
  <c r="FU70" i="5"/>
  <c r="CV59" i="5"/>
  <c r="DY70" i="5"/>
  <c r="EB70" i="5"/>
  <c r="BX70" i="5"/>
  <c r="DK59" i="5"/>
  <c r="EX70" i="5"/>
  <c r="DM59" i="5"/>
  <c r="DO67" i="5"/>
  <c r="DO69" i="5"/>
  <c r="CR59" i="5"/>
  <c r="CD70" i="5"/>
  <c r="EZ70" i="5"/>
  <c r="BR70" i="5"/>
  <c r="DF59" i="5"/>
  <c r="CO70" i="5"/>
  <c r="DC59" i="5"/>
  <c r="DD67" i="5"/>
  <c r="DD69" i="5"/>
  <c r="BH70" i="5"/>
  <c r="CT59" i="5"/>
  <c r="BV70" i="5"/>
  <c r="CQ70" i="5"/>
  <c r="AZ70" i="5"/>
  <c r="BI70" i="5"/>
  <c r="AD70" i="5"/>
  <c r="AX70" i="5"/>
  <c r="CI70" i="5"/>
  <c r="AN59" i="5"/>
  <c r="AO67" i="5"/>
  <c r="AO69" i="5"/>
  <c r="CA59" i="5"/>
  <c r="BO59" i="5"/>
  <c r="J70" i="5"/>
  <c r="M67" i="5"/>
  <c r="M69" i="5"/>
  <c r="EG70" i="5"/>
  <c r="BM59" i="5"/>
  <c r="AU70" i="5"/>
  <c r="BL70" i="5"/>
  <c r="AA67" i="5"/>
  <c r="AA69" i="5"/>
  <c r="Y70" i="5"/>
  <c r="W70" i="5"/>
  <c r="Z67" i="5"/>
  <c r="Z69" i="5"/>
  <c r="FC70" i="5"/>
  <c r="P70" i="5"/>
  <c r="AB59" i="5"/>
  <c r="GB70" i="5"/>
  <c r="CX59" i="5"/>
  <c r="FL70" i="5"/>
  <c r="AG59" i="5"/>
  <c r="BZ70" i="5"/>
  <c r="CS70" i="5"/>
  <c r="DN70" i="5"/>
  <c r="CU70" i="5"/>
  <c r="DH70" i="5"/>
  <c r="DQ70" i="5"/>
  <c r="AW59" i="5"/>
  <c r="FZ70" i="5"/>
  <c r="AL70" i="5"/>
  <c r="D70" i="5"/>
  <c r="G67" i="5"/>
  <c r="G69" i="5"/>
  <c r="DG70" i="5"/>
  <c r="BT70" i="5"/>
  <c r="FW70" i="5"/>
  <c r="GA70" i="5"/>
  <c r="S59" i="5"/>
  <c r="BB70" i="5"/>
  <c r="BN70" i="5"/>
  <c r="Z70" i="5"/>
  <c r="DL70" i="5"/>
  <c r="I70" i="5"/>
  <c r="L67" i="5"/>
  <c r="L69" i="5"/>
  <c r="AS70" i="5"/>
  <c r="ET70" i="5"/>
  <c r="DD70" i="5"/>
  <c r="AR59" i="5"/>
  <c r="CW70" i="5"/>
  <c r="U59" i="5"/>
  <c r="X67" i="5"/>
  <c r="X69" i="5"/>
  <c r="BG59" i="5"/>
  <c r="BI67" i="5"/>
  <c r="BI69" i="5"/>
  <c r="BA59" i="5"/>
  <c r="BK59" i="5"/>
  <c r="BE59" i="5"/>
  <c r="BG67" i="5"/>
  <c r="BG69" i="5"/>
  <c r="AY59" i="5"/>
  <c r="BY70" i="5"/>
  <c r="BF70" i="5"/>
  <c r="CM70" i="5"/>
  <c r="AC70" i="5"/>
  <c r="AE59" i="5"/>
  <c r="FN70" i="5"/>
  <c r="FI70" i="5"/>
  <c r="CZ67" i="5"/>
  <c r="CZ69" i="5"/>
  <c r="CX67" i="5"/>
  <c r="CX69" i="5"/>
  <c r="CV67" i="5"/>
  <c r="CV69" i="5"/>
  <c r="EL70" i="5"/>
  <c r="BQ67" i="5"/>
  <c r="BQ69" i="5"/>
  <c r="CT67" i="5"/>
  <c r="CT69" i="5"/>
  <c r="DK67" i="5"/>
  <c r="DK69" i="5"/>
  <c r="S67" i="5"/>
  <c r="S69" i="5"/>
  <c r="EQ69" i="5"/>
  <c r="AL67" i="5"/>
  <c r="AL69" i="5"/>
  <c r="FZ69" i="5"/>
  <c r="FO69" i="5"/>
  <c r="GF69" i="5"/>
  <c r="EA69" i="5"/>
  <c r="EU69" i="5"/>
  <c r="EC70" i="5"/>
  <c r="ES69" i="5"/>
  <c r="FA70" i="5"/>
  <c r="EI70" i="5"/>
  <c r="DU70" i="5"/>
  <c r="S70" i="5"/>
  <c r="V67" i="5"/>
  <c r="V69" i="5"/>
  <c r="AY70" i="5"/>
  <c r="BB67" i="5"/>
  <c r="BB69" i="5"/>
  <c r="BK70" i="5"/>
  <c r="BN67" i="5"/>
  <c r="BN69" i="5"/>
  <c r="BA70" i="5"/>
  <c r="BD67" i="5"/>
  <c r="BD69" i="5"/>
  <c r="FL69" i="5"/>
  <c r="AR70" i="5"/>
  <c r="AU67" i="5"/>
  <c r="AU69" i="5"/>
  <c r="BE67" i="5"/>
  <c r="BE69" i="5"/>
  <c r="GD69" i="5"/>
  <c r="FK70" i="5"/>
  <c r="GE69" i="5"/>
  <c r="FG70" i="5"/>
  <c r="CA70" i="5"/>
  <c r="CD67" i="5"/>
  <c r="CD69" i="5"/>
  <c r="FY70" i="5"/>
  <c r="BC67" i="5"/>
  <c r="BC69" i="5"/>
  <c r="FT70" i="5"/>
  <c r="AE70" i="5"/>
  <c r="AF67" i="5"/>
  <c r="AF69" i="5"/>
  <c r="CB67" i="5"/>
  <c r="CB69" i="5"/>
  <c r="U70" i="5"/>
  <c r="BW67" i="5"/>
  <c r="BW69" i="5"/>
  <c r="GC69" i="5"/>
  <c r="DT69" i="5"/>
  <c r="EE70" i="5"/>
  <c r="CC67" i="5"/>
  <c r="CC69" i="5"/>
  <c r="FP70" i="5"/>
  <c r="BO70" i="5"/>
  <c r="BR67" i="5"/>
  <c r="BR69" i="5"/>
  <c r="AG67" i="5"/>
  <c r="AG69" i="5"/>
  <c r="BA67" i="5"/>
  <c r="BA69" i="5"/>
  <c r="EU70" i="5"/>
  <c r="BU67" i="5"/>
  <c r="BU69" i="5"/>
  <c r="DP67" i="5"/>
  <c r="DP69" i="5"/>
  <c r="DM70" i="5"/>
  <c r="FR70" i="5"/>
  <c r="CY67" i="5"/>
  <c r="CY69" i="5"/>
  <c r="CV70" i="5"/>
  <c r="AT70" i="5"/>
  <c r="AW67" i="5"/>
  <c r="AW69" i="5"/>
  <c r="FJ70" i="5"/>
  <c r="FE70" i="5"/>
  <c r="W67" i="5"/>
  <c r="W69" i="5"/>
  <c r="DE70" i="5"/>
  <c r="DH67" i="5"/>
  <c r="DH69" i="5"/>
  <c r="CJ70" i="5"/>
  <c r="CM67" i="5"/>
  <c r="CM69" i="5"/>
  <c r="EM70" i="5"/>
  <c r="CF67" i="5"/>
  <c r="CF69" i="5"/>
  <c r="CC70" i="5"/>
  <c r="CE67" i="5"/>
  <c r="CE69" i="5"/>
  <c r="FO70" i="5"/>
  <c r="DS70" i="5"/>
  <c r="CI67" i="5"/>
  <c r="CI69" i="5"/>
  <c r="CH70" i="5"/>
  <c r="CK67" i="5"/>
  <c r="CK69" i="5"/>
  <c r="CK70" i="5"/>
  <c r="CN67" i="5"/>
  <c r="CN69" i="5"/>
  <c r="FM70" i="5"/>
  <c r="BF67" i="5"/>
  <c r="BF69" i="5"/>
  <c r="BE70" i="5"/>
  <c r="BH67" i="5"/>
  <c r="BH69" i="5"/>
  <c r="BG70" i="5"/>
  <c r="BJ67" i="5"/>
  <c r="BJ69" i="5"/>
  <c r="FQ70" i="5"/>
  <c r="FV70" i="5"/>
  <c r="FX70" i="5"/>
  <c r="AC67" i="5"/>
  <c r="AC69" i="5"/>
  <c r="AB70" i="5"/>
  <c r="AE67" i="5"/>
  <c r="AE69" i="5"/>
  <c r="AB67" i="5"/>
  <c r="AB69" i="5"/>
  <c r="EQ70" i="5"/>
  <c r="GF70" i="5"/>
  <c r="GI69" i="5"/>
  <c r="AN70" i="5"/>
  <c r="AQ67" i="5"/>
  <c r="AQ69" i="5"/>
  <c r="BK67" i="5"/>
  <c r="BK69" i="5"/>
  <c r="DC70" i="5"/>
  <c r="DF67" i="5"/>
  <c r="DF69" i="5"/>
  <c r="CU67" i="5"/>
  <c r="CU69" i="5"/>
  <c r="CR70" i="5"/>
  <c r="EN69" i="5"/>
  <c r="GH70" i="5"/>
  <c r="GK67" i="5"/>
  <c r="GK69" i="5"/>
  <c r="AT67" i="5"/>
  <c r="AT69" i="5"/>
  <c r="EZ69" i="5"/>
  <c r="CL70" i="5"/>
  <c r="CO67" i="5"/>
  <c r="CO69" i="5"/>
  <c r="AH70" i="5"/>
  <c r="AK70" i="5"/>
  <c r="AN67" i="5"/>
  <c r="AN69" i="5"/>
  <c r="EV70" i="5"/>
  <c r="AP67" i="5"/>
  <c r="AP69" i="5"/>
  <c r="AM70" i="5"/>
  <c r="DR67" i="5"/>
  <c r="DR69" i="5"/>
  <c r="DR70" i="5"/>
  <c r="EO70" i="5"/>
  <c r="AK67" i="5"/>
  <c r="AK69" i="5"/>
  <c r="DE67" i="5"/>
  <c r="DE69" i="5"/>
  <c r="EF70" i="5"/>
  <c r="DY69" i="5"/>
  <c r="EY70" i="5"/>
  <c r="BZ67" i="5"/>
  <c r="BZ69" i="5"/>
  <c r="BW70" i="5"/>
  <c r="AZ67" i="5"/>
  <c r="AZ69" i="5"/>
  <c r="AW70" i="5"/>
  <c r="AH67" i="5"/>
  <c r="AH69" i="5"/>
  <c r="AG70" i="5"/>
  <c r="AJ67" i="5"/>
  <c r="AJ69" i="5"/>
  <c r="CX70" i="5"/>
  <c r="DA67" i="5"/>
  <c r="DA69" i="5"/>
  <c r="EH70" i="5"/>
  <c r="GJ69" i="5"/>
  <c r="GG70" i="5"/>
  <c r="BL67" i="5"/>
  <c r="BL69" i="5"/>
  <c r="GE70" i="5"/>
  <c r="GH69" i="5"/>
  <c r="DK70" i="5"/>
  <c r="DN67" i="5"/>
  <c r="DN69" i="5"/>
  <c r="FB70" i="5"/>
  <c r="CH67" i="5"/>
  <c r="CH69" i="5"/>
  <c r="CE70" i="5"/>
  <c r="X70" i="5"/>
  <c r="DC67" i="5"/>
  <c r="DC69" i="5"/>
  <c r="CZ70" i="5"/>
  <c r="DM67" i="5"/>
  <c r="DM69" i="5"/>
  <c r="FD70" i="5"/>
  <c r="CN70" i="5"/>
  <c r="CQ67" i="5"/>
  <c r="CQ69" i="5"/>
  <c r="AF70" i="5"/>
  <c r="AI67" i="5"/>
  <c r="AI69" i="5"/>
  <c r="CY70" i="5"/>
  <c r="DB67" i="5"/>
  <c r="DB69" i="5"/>
  <c r="DO70" i="5"/>
  <c r="BT67" i="5"/>
  <c r="BT69" i="5"/>
  <c r="BQ70" i="5"/>
  <c r="EM69" i="5"/>
  <c r="AV67" i="5"/>
  <c r="AV69" i="5"/>
  <c r="AV70" i="5"/>
  <c r="AY67" i="5"/>
  <c r="AY69" i="5"/>
  <c r="FF69" i="5"/>
  <c r="AX67" i="5"/>
  <c r="AX69" i="5"/>
  <c r="BO67" i="5"/>
  <c r="BO69" i="5"/>
  <c r="BM70" i="5"/>
  <c r="BP67" i="5"/>
  <c r="BP69" i="5"/>
  <c r="CT70" i="5"/>
  <c r="CW67" i="5"/>
  <c r="CW69" i="5"/>
  <c r="CR67" i="5"/>
  <c r="CR69" i="5"/>
  <c r="DG67" i="5"/>
  <c r="DG69" i="5"/>
  <c r="DF70" i="5"/>
  <c r="DI67" i="5"/>
  <c r="DI69" i="5"/>
  <c r="CA67" i="5"/>
  <c r="CA69" i="5"/>
  <c r="Q70" i="5"/>
  <c r="T67" i="5"/>
  <c r="T69" i="5"/>
  <c r="BU70" i="5"/>
  <c r="BX67" i="5"/>
  <c r="BX69" i="5"/>
  <c r="DZ70" i="5"/>
  <c r="AR67" i="5"/>
  <c r="AR69" i="5"/>
  <c r="DI70" i="5"/>
  <c r="DL67" i="5"/>
  <c r="DL69" i="5"/>
  <c r="AS67" i="5"/>
  <c r="AS69" i="5"/>
  <c r="ES70" i="5"/>
  <c r="CP70" i="5"/>
  <c r="CS67" i="5"/>
  <c r="CS69" i="5"/>
  <c r="BM67" i="5"/>
  <c r="BM69" i="5"/>
  <c r="O70" i="5"/>
  <c r="R67" i="5"/>
  <c r="R69" i="5"/>
  <c r="BC70" i="5"/>
  <c r="AD67" i="5"/>
  <c r="AD69" i="5"/>
  <c r="U67" i="5"/>
  <c r="U69" i="5"/>
  <c r="DW70" i="5"/>
  <c r="AM67" i="5"/>
  <c r="AM69" i="5"/>
  <c r="AJ70" i="5"/>
  <c r="EK69" i="5"/>
  <c r="FQ69" i="5"/>
  <c r="DS69" i="5"/>
  <c r="FX69" i="5"/>
  <c r="FM69" i="5"/>
  <c r="EH69" i="5"/>
  <c r="FK69" i="5"/>
  <c r="DZ69" i="5"/>
  <c r="FU69" i="5"/>
  <c r="EG69" i="5"/>
  <c r="FE69" i="5"/>
  <c r="DW69" i="5"/>
  <c r="FY69" i="5"/>
  <c r="FA69" i="5"/>
  <c r="EO69" i="5"/>
  <c r="FS69" i="5"/>
  <c r="FC69" i="5"/>
  <c r="GB69" i="5"/>
  <c r="FJ69" i="5"/>
  <c r="FG69" i="5"/>
  <c r="DV69" i="5"/>
  <c r="FB69" i="5"/>
  <c r="GA69" i="5"/>
  <c r="EC69" i="5"/>
  <c r="EI69" i="5"/>
  <c r="EW69" i="5"/>
  <c r="FT69" i="5"/>
  <c r="EP69" i="5"/>
  <c r="FH69" i="5"/>
  <c r="EX69" i="5"/>
  <c r="EL69" i="5"/>
  <c r="FD69" i="5"/>
  <c r="EF69" i="5"/>
  <c r="EV69" i="5"/>
  <c r="EE69" i="5"/>
  <c r="DU69" i="5"/>
  <c r="ET69" i="5"/>
  <c r="ED69" i="5"/>
  <c r="FW69" i="5"/>
  <c r="FN69" i="5"/>
  <c r="GG69" i="5"/>
  <c r="FI69" i="5"/>
  <c r="EJ69" i="5"/>
  <c r="ER69" i="5"/>
  <c r="EY69" i="5"/>
  <c r="FV69" i="5"/>
  <c r="FP69" i="5"/>
  <c r="FR69" i="5"/>
  <c r="EB69" i="5"/>
  <c r="DX69" i="5"/>
</calcChain>
</file>

<file path=xl/sharedStrings.xml><?xml version="1.0" encoding="utf-8"?>
<sst xmlns="http://schemas.openxmlformats.org/spreadsheetml/2006/main" count="963" uniqueCount="412">
  <si>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</si>
  <si>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</si>
  <si>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</si>
  <si>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</si>
  <si>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</si>
  <si>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</si>
  <si>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</si>
  <si>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</si>
  <si>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</si>
  <si>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</si>
  <si>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</si>
  <si>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</si>
  <si>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</si>
  <si>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</si>
  <si>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</si>
  <si>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</si>
  <si>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</si>
  <si>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</si>
  <si>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</si>
  <si>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</si>
  <si>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</si>
  <si>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</si>
  <si>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</si>
  <si>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</si>
  <si>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</si>
  <si>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</si>
  <si>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</si>
  <si>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</si>
  <si>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</si>
  <si>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</si>
  <si>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</si>
  <si>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</si>
  <si>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</si>
  <si>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</si>
  <si>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</si>
  <si>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</si>
  <si>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</si>
  <si>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</si>
  <si>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</si>
  <si>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</si>
  <si>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</si>
  <si>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</si>
  <si>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</si>
  <si>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</si>
  <si>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</si>
  <si>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</si>
  <si>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</si>
  <si>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</si>
  <si>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</si>
  <si>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</si>
  <si>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</si>
  <si>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</si>
  <si>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</si>
  <si>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</si>
  <si>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</si>
  <si>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</si>
  <si>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</si>
  <si>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</si>
  <si>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</si>
  <si>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</si>
  <si>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</si>
  <si>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</si>
  <si>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</si>
  <si>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</si>
  <si>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</si>
  <si>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</si>
  <si>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</si>
  <si>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</si>
  <si>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</si>
  <si>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</si>
  <si>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</si>
  <si>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</si>
  <si>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</si>
  <si>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</si>
  <si>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</si>
  <si>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</si>
  <si>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</si>
  <si>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</si>
  <si>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</si>
  <si>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</si>
  <si>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</si>
  <si>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</si>
  <si>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</si>
  <si>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</si>
  <si>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</si>
  <si>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</si>
  <si>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</si>
  <si>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</si>
  <si>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</si>
  <si>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</si>
  <si>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</si>
  <si>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</si>
  <si>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</si>
  <si>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</si>
  <si>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</si>
  <si>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</si>
  <si>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</si>
  <si>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</si>
  <si>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</si>
  <si>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</si>
  <si>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</si>
  <si>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</si>
  <si>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</si>
  <si>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</si>
  <si>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</si>
  <si>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</si>
  <si>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</si>
  <si>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</si>
  <si>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</si>
  <si>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</si>
  <si>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</si>
  <si>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</si>
  <si>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</si>
  <si>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</si>
  <si>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</si>
  <si>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</si>
  <si>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</si>
  <si>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</si>
  <si>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</si>
  <si>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</si>
  <si>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</si>
  <si>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</si>
  <si>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</si>
  <si>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</si>
  <si>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</si>
  <si>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</si>
  <si>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</si>
  <si>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</si>
  <si>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</si>
  <si>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</si>
  <si>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</si>
  <si>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</si>
  <si>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</si>
  <si>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</si>
  <si>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</si>
  <si>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</si>
  <si>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</si>
  <si>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</si>
  <si>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</si>
  <si>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</si>
  <si>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</si>
  <si>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</si>
  <si>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</si>
  <si>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</si>
  <si>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</si>
  <si>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</si>
  <si>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</si>
  <si>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</si>
  <si>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</si>
  <si>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</si>
  <si>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</si>
  <si>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</si>
  <si>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</si>
  <si>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</si>
  <si>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</si>
  <si>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</si>
  <si>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</si>
  <si>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</si>
  <si>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</si>
  <si>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</si>
  <si>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</si>
  <si>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</si>
  <si>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</si>
  <si>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</si>
  <si>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</si>
  <si>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</si>
  <si>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</si>
  <si>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</si>
  <si>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</si>
  <si>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</si>
  <si>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</si>
  <si>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</si>
  <si>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</si>
  <si>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</si>
  <si>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</si>
  <si>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</si>
  <si>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</si>
  <si>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</si>
  <si>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</si>
  <si>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</si>
  <si>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</si>
  <si>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</si>
  <si>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</si>
  <si>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</si>
  <si>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</si>
  <si>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</si>
  <si>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</si>
  <si>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</si>
  <si>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</si>
  <si>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</si>
  <si>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</si>
  <si>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</si>
  <si>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</si>
  <si>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</si>
  <si>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</si>
  <si>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</si>
  <si>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</si>
  <si>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</si>
  <si>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</si>
  <si>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</si>
  <si>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</si>
  <si>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</si>
  <si>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</si>
  <si>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</si>
  <si>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</si>
  <si>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</si>
  <si>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</si>
  <si>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</si>
  <si>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</si>
  <si>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</si>
  <si>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</si>
  <si>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</si>
  <si>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</si>
  <si>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</si>
  <si>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</si>
  <si>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</si>
  <si>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</si>
  <si>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</si>
  <si>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</si>
  <si>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</si>
  <si>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</si>
  <si>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</si>
  <si>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</si>
  <si>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</si>
  <si>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</si>
  <si>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</si>
  <si>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</si>
  <si>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</si>
  <si>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</si>
  <si>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</si>
  <si>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</si>
  <si>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</si>
  <si>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</si>
  <si>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</si>
  <si>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</si>
  <si>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</si>
  <si>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</si>
  <si>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</si>
  <si>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</si>
  <si>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</si>
  <si>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</si>
  <si>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</si>
  <si>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</si>
  <si>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</si>
  <si>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</si>
  <si>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</si>
  <si>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</si>
  <si>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</si>
  <si>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</si>
  <si>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</si>
  <si>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</si>
  <si>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</si>
  <si>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</si>
  <si>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</si>
  <si>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</si>
  <si>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</si>
  <si>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</si>
  <si>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</si>
  <si>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</si>
  <si>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</si>
  <si>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</si>
  <si>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</si>
  <si>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</si>
  <si>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</si>
  <si>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</si>
  <si>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</si>
  <si>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</si>
  <si>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</si>
  <si>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</si>
  <si>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</si>
  <si>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</si>
  <si>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</si>
  <si>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</si>
  <si>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</si>
  <si>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</si>
  <si>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</si>
  <si>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</si>
  <si>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</si>
  <si>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</si>
  <si>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</si>
  <si>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</si>
  <si>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</si>
  <si>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</si>
  <si>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</si>
  <si>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</si>
  <si>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</si>
  <si>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</si>
  <si>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</si>
  <si>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</si>
  <si>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</si>
  <si>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</si>
  <si>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</si>
  <si>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</si>
  <si>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</si>
  <si>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</si>
  <si>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</si>
  <si>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</si>
  <si>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</si>
  <si>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</si>
  <si>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</si>
  <si>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</si>
  <si>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</si>
  <si>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</si>
  <si>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</si>
  <si>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</si>
  <si>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</si>
  <si>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</si>
  <si>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</si>
  <si>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</si>
  <si>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</si>
  <si>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</si>
  <si>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</si>
  <si>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</si>
  <si>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</si>
  <si>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</si>
  <si>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</si>
  <si>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</si>
  <si>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</si>
  <si>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</si>
  <si>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</si>
  <si>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</si>
  <si>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</si>
  <si>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</si>
  <si>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</si>
  <si>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</si>
  <si>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</si>
  <si>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</si>
  <si>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</si>
  <si>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</si>
  <si>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</si>
  <si>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</si>
  <si>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</si>
  <si>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</si>
  <si>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</si>
  <si>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</si>
  <si>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</si>
  <si>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</si>
  <si>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</si>
  <si>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</si>
  <si>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</si>
  <si>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</si>
  <si>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</si>
  <si>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</si>
  <si>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</si>
  <si>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</si>
  <si>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</si>
  <si>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</si>
  <si>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</si>
  <si>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</si>
  <si>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</si>
  <si>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</si>
  <si>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</si>
  <si>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</si>
  <si>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</si>
  <si>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</si>
  <si>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</si>
  <si>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</si>
  <si>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</si>
  <si>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</si>
  <si>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</si>
  <si>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</si>
  <si>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</si>
  <si>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</si>
  <si>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</si>
  <si>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</si>
  <si>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</si>
  <si>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</si>
  <si>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</si>
  <si>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</si>
  <si>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</si>
  <si>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</si>
  <si>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</si>
  <si>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</si>
  <si>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</si>
  <si>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</si>
  <si>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</si>
  <si>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</si>
  <si>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</si>
  <si>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</si>
  <si>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</si>
  <si>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</si>
  <si>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</si>
  <si>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</si>
  <si>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</si>
  <si>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</si>
  <si>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</si>
  <si>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</si>
  <si>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</si>
  <si>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</si>
  <si>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</si>
  <si>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</si>
  <si>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</si>
  <si>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</si>
  <si>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</si>
  <si>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</si>
  <si>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</si>
  <si>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</si>
  <si>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</si>
  <si>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</si>
  <si>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</si>
  <si>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</si>
  <si>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</si>
  <si>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</si>
  <si>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</si>
  <si>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</si>
  <si>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</si>
  <si>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</si>
  <si>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</si>
  <si>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</si>
  <si>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Apr-03-2017 08:45</t>
  </si>
  <si>
    <t>May-26-2017 08:37</t>
  </si>
  <si>
    <t>May-26-2017 08:31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</si>
</sst>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quot;-&quot;yyyy"/>
    <numFmt numFmtId="165" formatCode="0.0"/>
    <numFmt numFmtId="166" formatCode="0.00000"/>
    <numFmt numFmtId="167" formatCode="mm/dd/yy"/>
    <numFmt numFmtId="168" formatCode="0.0000"/>
    <numFmt numFmtId="169" formatCode="0.000"/>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82">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fiscal_iFinal!$D$2:$D$70</c:f>
              <c:numCache>
                <c:formatCode>0.00</c:formatCode>
                <c:ptCount val="69"/>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0.15961047711146767</c:v>
                </c:pt>
                <c:pt idx="68" formatCode="0.000">
                  <c:v>6.1092527136472341E-3</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8.3592699070218893E-2</c:v>
                </c:pt>
                <c:pt idx="68" formatCode="0.000">
                  <c:v>9.1836562392357685E-4</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fiscal_iFinal!$E$2:$E$70</c:f>
              <c:numCache>
                <c:formatCode>0.00</c:formatCode>
                <c:ptCount val="69"/>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pt idx="68">
                  <c:v>-0.14000000000000001</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fiscal_iFinal!$F$2:$F$70</c:f>
              <c:numCache>
                <c:formatCode>0.00</c:formatCode>
                <c:ptCount val="69"/>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0.11</c:v>
                </c:pt>
                <c:pt idx="68">
                  <c:v>-0.06</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fiscal_iFinal!$G$2:$G$70</c:f>
              <c:numCache>
                <c:formatCode>0.00</c:formatCode>
                <c:ptCount val="69"/>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0.12961047711146767</c:v>
                </c:pt>
                <c:pt idx="68">
                  <c:v>0.20610925271364725</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8.3592699070218893E-2</c:v>
                </c:pt>
                <c:pt idx="68" formatCode="0.000">
                  <c:v>9.1836562392357685E-4</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tabSelected="1" workbookViewId="0">
      <pane xSplit="2" ySplit="6" topLeftCell="C184" activePane="bottomRight" state="frozen"/>
      <selection pane="topRight" activeCell="C1" sqref="C1"/>
      <selection pane="bottomLeft" activeCell="A7" sqref="A7"/>
      <selection pane="bottomRight" activeCell="G194" sqref="G194"/>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410</v>
      </c>
      <c r="D6" t="s">
        <v>410</v>
      </c>
      <c r="E6" t="s">
        <v>410</v>
      </c>
      <c r="F6" t="s">
        <v>410</v>
      </c>
      <c r="G6" t="s">
        <v>410</v>
      </c>
      <c r="H6" t="s">
        <v>410</v>
      </c>
      <c r="I6" t="s">
        <v>410</v>
      </c>
      <c r="J6" t="s">
        <v>410</v>
      </c>
      <c r="K6" t="s">
        <v>411</v>
      </c>
      <c r="L6" t="s">
        <v>411</v>
      </c>
      <c r="M6" t="s">
        <v>411</v>
      </c>
      <c r="N6" t="s">
        <v>410</v>
      </c>
      <c r="O6" t="s">
        <v>411</v>
      </c>
      <c r="P6" t="s">
        <v>411</v>
      </c>
      <c r="Q6" t="s">
        <v>396</v>
      </c>
      <c r="R6" t="s">
        <v>410</v>
      </c>
      <c r="S6" t="s">
        <v>409</v>
      </c>
      <c r="T6" t="s">
        <v>411</v>
      </c>
      <c r="U6" s="58" t="s">
        <v>411</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672.7</v>
      </c>
      <c r="D194" s="5">
        <v>581.4</v>
      </c>
      <c r="E194" s="5">
        <v>2753.6</v>
      </c>
      <c r="F194" s="5">
        <v>1976.3</v>
      </c>
      <c r="G194" s="5">
        <v>1267.3</v>
      </c>
      <c r="H194" s="5">
        <v>499.9</v>
      </c>
      <c r="I194" s="5">
        <v>67.7</v>
      </c>
      <c r="J194" s="5">
        <v>1259.3</v>
      </c>
      <c r="K194" s="5">
        <v>16813.3</v>
      </c>
      <c r="L194" s="5">
        <v>11669.8</v>
      </c>
      <c r="M194" s="5">
        <v>13008.9</v>
      </c>
      <c r="N194" s="7">
        <v>1.1147499999999999</v>
      </c>
      <c r="O194" s="5">
        <v>18869.400000000001</v>
      </c>
      <c r="P194" s="11">
        <v>0.03</v>
      </c>
      <c r="Q194" s="5">
        <v>16960.900000000001</v>
      </c>
      <c r="R194" s="5">
        <v>3304.3</v>
      </c>
      <c r="S194" s="48">
        <v>0</v>
      </c>
      <c r="T194" s="11">
        <v>-0.08</v>
      </c>
      <c r="U194" s="59">
        <v>0.11</v>
      </c>
      <c r="V194" s="26"/>
      <c r="W194" s="5"/>
    </row>
    <row r="195" spans="1:23" x14ac:dyDescent="0.25">
      <c r="A195" t="s">
        <v>408</v>
      </c>
      <c r="B195" s="4">
        <v>42825</v>
      </c>
      <c r="C195" s="5">
        <v>679.9</v>
      </c>
      <c r="D195" s="5">
        <v>584.79999999999995</v>
      </c>
      <c r="E195" s="5">
        <v>2794.8</v>
      </c>
      <c r="F195" s="5">
        <v>1994.4</v>
      </c>
      <c r="G195" s="5">
        <v>1264.9000000000001</v>
      </c>
      <c r="H195" s="5">
        <v>501.7</v>
      </c>
      <c r="I195" s="5">
        <v>85.7</v>
      </c>
      <c r="J195" s="5">
        <v>1285.5</v>
      </c>
      <c r="K195" s="5">
        <v>16861.599999999999</v>
      </c>
      <c r="L195" s="5">
        <v>11688.5</v>
      </c>
      <c r="M195" s="5">
        <v>13108.4</v>
      </c>
      <c r="N195" s="7">
        <v>1.12148</v>
      </c>
      <c r="O195" s="5">
        <v>19027.599999999999</v>
      </c>
      <c r="P195" s="11">
        <v>-0.2</v>
      </c>
      <c r="Q195" s="5">
        <v>17027.2</v>
      </c>
      <c r="R195" s="5">
        <v>3328</v>
      </c>
      <c r="S195" s="48">
        <v>0</v>
      </c>
      <c r="T195" s="11">
        <v>-0.14000000000000001</v>
      </c>
      <c r="U195" s="59">
        <v>-0.06</v>
      </c>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G11" activePane="bottomRight" state="frozen"/>
      <selection pane="topRight" activeCell="C1" sqref="C1"/>
      <selection pane="bottomLeft" activeCell="A11" sqref="A11"/>
      <selection pane="bottomRight" activeCell="GG24" sqref="GG24"/>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672.7</v>
      </c>
      <c r="GI11">
        <f>INDEX(HaverPull!$B:$XZ,MATCH(Calculations!GI$9,HaverPull!$B:$B,0),MATCH(Calculations!$B11,HaverPull!$B$1:$XZ$1,0))</f>
        <v>679.9</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581.4</v>
      </c>
      <c r="GI12">
        <f>INDEX(HaverPull!$B:$XZ,MATCH(Calculations!GI$9,HaverPull!$B:$B,0),MATCH(Calculations!$B12,HaverPull!$B$1:$XZ$1,0))</f>
        <v>584.79999999999995</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2753.6</v>
      </c>
      <c r="GI13">
        <f>INDEX(HaverPull!$B:$XZ,MATCH(Calculations!GI$9,HaverPull!$B:$B,0),MATCH(Calculations!$B13,HaverPull!$B$1:$XZ$1,0))</f>
        <v>2794.8</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1259.3</v>
      </c>
      <c r="GI14">
        <f>INDEX(HaverPull!$B:$XZ,MATCH(Calculations!GI$9,HaverPull!$B:$B,0),MATCH(Calculations!$B14,HaverPull!$B$1:$XZ$1,0))</f>
        <v>1285.5</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1976.3</v>
      </c>
      <c r="GI15">
        <f>INDEX(HaverPull!$B:$XZ,MATCH(Calculations!GI$9,HaverPull!$B:$B,0),MATCH(Calculations!$B15,HaverPull!$B$1:$XZ$1,0))</f>
        <v>1994.4</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1267.3</v>
      </c>
      <c r="GI16">
        <f>INDEX(HaverPull!$B:$XZ,MATCH(Calculations!GI$9,HaverPull!$B:$B,0),MATCH(Calculations!$B16,HaverPull!$B$1:$XZ$1,0))</f>
        <v>1264.9000000000001</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499.9</v>
      </c>
      <c r="GI17">
        <f>IFERROR(INDEX(HaverPull!$B:$XZ,MATCH(Calculations!GI$9,HaverPull!$B:$B,0),MATCH(Calculations!$B17,HaverPull!$B$1:$XZ$1,0)),INDEX(HaverPull!$B:$XZ,MATCH(Calculations!GH$9,HaverPull!$B:$B,0),MATCH(Calculations!$B17,HaverPull!$B$1:$XZ$1,0)))</f>
        <v>501.7</v>
      </c>
      <c r="GJ17">
        <f>IFERROR(INDEX(HaverPull!$B:$XZ,MATCH(Calculations!GJ$9,HaverPull!$B:$B,0),MATCH(Calculations!$B17,HaverPull!$B$1:$XZ$1,0)),INDEX(HaverPull!$B:$XZ,MATCH(Calculations!GI$9,HaverPull!$B:$B,0),MATCH(Calculations!$B17,HaverPull!$B$1:$XZ$1,0)))</f>
        <v>501.7</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67.7</v>
      </c>
      <c r="GI18">
        <f>IFERROR(INDEX(HaverPull!$B:$XZ,MATCH(Calculations!GI$9,HaverPull!$B:$B,0),MATCH(Calculations!$B18,HaverPull!$B$1:$XZ$1,0)),INDEX(HaverPull!$B:$XZ,MATCH(Calculations!GH$9,HaverPull!$B:$B,0),MATCH(Calculations!$B18,HaverPull!$B$1:$XZ$1,0)))</f>
        <v>85.7</v>
      </c>
      <c r="GJ18">
        <f>IFERROR(INDEX(HaverPull!$B:$XZ,MATCH(Calculations!GJ$9,HaverPull!$B:$B,0),MATCH(Calculations!$B18,HaverPull!$B$1:$XZ$1,0)),INDEX(HaverPull!$B:$XZ,MATCH(Calculations!GI$9,HaverPull!$B:$B,0),MATCH(Calculations!$B18,HaverPull!$B$1:$XZ$1,0)))</f>
        <v>85.7</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16813.3</v>
      </c>
      <c r="GI19">
        <f>INDEX(HaverPull!$B:$XZ,MATCH(Calculations!GI$9,HaverPull!$B:$B,0),MATCH(Calculations!$B19,HaverPull!$B$1:$XZ$1,0))</f>
        <v>16861.599999999999</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f>INDEX(HaverPull!$B:$XZ,MATCH(Calculations!GI$9,HaverPull!$B:$B,0),MATCH(Calculations!$B20,HaverPull!$B$1:$XZ$1,0))</f>
        <v>17027.2</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11669.8</v>
      </c>
      <c r="GI21">
        <f>INDEX(HaverPull!$B:$XZ,MATCH(Calculations!GI$9,HaverPull!$B:$B,0),MATCH(Calculations!$B21,HaverPull!$B$1:$XZ$1,0))</f>
        <v>11688.5</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13008.9</v>
      </c>
      <c r="GI22">
        <f>INDEX(HaverPull!$B:$XZ,MATCH(Calculations!GI$9,HaverPull!$B:$B,0),MATCH(Calculations!$B22,HaverPull!$B$1:$XZ$1,0))</f>
        <v>13108.4</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1.1147499999999999</v>
      </c>
      <c r="GI23">
        <f>INDEX(HaverPull!$B:$XZ,MATCH(Calculations!GI$9,HaverPull!$B:$B,0),MATCH(Calculations!$B23,HaverPull!$B$1:$XZ$1,0))</f>
        <v>1.12148</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18869.400000000001</v>
      </c>
      <c r="GI24">
        <f>INDEX(HaverPull!$B:$XZ,MATCH(Calculations!GI$9,HaverPull!$B:$B,0),MATCH(Calculations!$B24,HaverPull!$B$1:$XZ$1,0))</f>
        <v>19027.599999999999</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0.03</v>
      </c>
      <c r="GI25">
        <f>INDEX(HaverPull!$B:$XZ,MATCH(Calculations!GI$9,HaverPull!$B:$B,0),MATCH(Calculations!$B25,HaverPull!$B$1:$XZ$1,0))</f>
        <v>-0.2</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3304.3</v>
      </c>
      <c r="GI26">
        <f>INDEX(HaverPull!$B:$XZ,MATCH(Calculations!GI$9,HaverPull!$B:$B,0),MATCH(Calculations!$B26,HaverPull!$B$1:$XZ$1,0))</f>
        <v>3328</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1254.0999999999999</v>
      </c>
      <c r="GI32">
        <f t="shared" si="10"/>
        <v>1264.6999999999998</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1499.5</v>
      </c>
      <c r="GI33">
        <f t="shared" si="14"/>
        <v>1530.1000000000004</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4502.8999999999996</v>
      </c>
      <c r="GI34">
        <f t="shared" si="18"/>
        <v>4544.8</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432.2</v>
      </c>
      <c r="GI35">
        <f t="shared" si="22"/>
        <v>416</v>
      </c>
      <c r="GJ35">
        <f t="shared" si="22"/>
        <v>416</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1105.7850000000001</v>
      </c>
      <c r="GI38">
        <f ca="1">IF(ISERROR(INDIRECT(ADDRESS(ROW(GI32),COLUMN(GI32)-3))),"n/a",IF(ISNUMBER(INDIRECT(ADDRESS(ROW(GI32),COLUMN(GI32)-3))),Calculations!$C$3*AVERAGE(GF32:GI32),"n/a"))</f>
        <v>1119.0825</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1344.15</v>
      </c>
      <c r="GI39">
        <f ca="1">IF(ISERROR(INDIRECT(ADDRESS(ROW(GI33),COLUMN(GI33)-3))),"n/a",IF(ISNUMBER(INDIRECT(ADDRESS(ROW(GI33),COLUMN(GI33)-3))),Calculations!$C$4*AVERAGE(GF33:GI33),"n/a"))</f>
        <v>1354.1175000000001</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-2665.5540000000001</v>
      </c>
      <c r="GI40">
        <f t="shared" ref="GI40" ca="1" si="40">IF(ISERROR(INDIRECT(ADDRESS(ROW(GI34),COLUMN(GI34)-7))),"n/a",IF(ISNUMBER(INDIRECT(ADDRESS(ROW(GI34),COLUMN(GI34)-7))),$C$5*($D$5*GI34+$E$5*GH34+$F$5*AVERAGE(GB34:GG34)),"n/a"))</f>
        <v>-2680.944</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-162.81333333333333</v>
      </c>
      <c r="GI41">
        <f ca="1">IF(ISERROR(INDIRECT(ADDRESS(ROW(GI35),COLUMN(GI35)-11))),"n/a",IF(ISNUMBER(INDIRECT(ADDRESS(ROW(GI35),COLUMN(GI35)-11))),Calculations!$C$6*AVERAGE(FX35:GI35),"n/a"))</f>
        <v>-163.54666666666665</v>
      </c>
      <c r="GJ41">
        <f ca="1">IF(ISERROR(INDIRECT(ADDRESS(ROW(GJ35),COLUMN(GJ35)-11))),"n/a",IF(ISNUMBER(INDIRECT(ADDRESS(ROW(GJ35),COLUMN(GJ35)-11))),Calculations!$C$6*AVERAGE(FY35:GJ35),"n/a"))</f>
        <v>-163.44333333333336</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-378.43233333333302</v>
      </c>
      <c r="GI45">
        <f t="shared" ca="1" si="60"/>
        <v>-371.29066666666677</v>
      </c>
      <c r="GJ45" t="e">
        <f t="shared" ca="1" si="60"/>
        <v>#N/A</v>
      </c>
      <c r="GK45" t="e">
        <f t="shared" ca="1" si="60"/>
        <v>#N/A</v>
      </c>
      <c r="GL45" t="e">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-339.47731180384216</v>
      </c>
      <c r="GI46">
        <f t="shared" ca="1" si="63"/>
        <v>-331.07203576226658</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12009.277311803842</v>
      </c>
      <c r="GI47">
        <f t="shared" ca="1" si="67"/>
        <v>12019.572035762267</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3.5309902471508225</v>
      </c>
      <c r="GI50">
        <f t="shared" si="71"/>
        <v>0.64251302019417977</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3.3429903442530273</v>
      </c>
      <c r="GI51">
        <f t="shared" ref="GI51" ca="1" si="89">IFERROR(((GI47/GH47)^4-1)*100, "n/a")</f>
        <v>0.34333353094040397</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0.18799990289779522</v>
      </c>
      <c r="GI52">
        <f t="shared" ca="1" si="109"/>
        <v>0.2991794892537758</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f t="shared" si="112"/>
        <v>1.5727883117241825E-2</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2.0797554742455926E-2</v>
      </c>
      <c r="GI54">
        <f t="shared" si="116"/>
        <v>1.1540513252201734E-2</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0.68941778752901517</v>
      </c>
      <c r="GI57">
        <f t="shared" si="120"/>
        <v>0.68891504971725281</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0.12961047711146767</v>
      </c>
      <c r="GI58">
        <f t="shared" ca="1" si="128"/>
        <v>0.20610925271364725</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0.15961047711146767</v>
      </c>
      <c r="GI59" s="35">
        <f t="shared" ca="1" si="131"/>
        <v>6.1092527136472341E-3</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0.1751142060690854</v>
      </c>
      <c r="GI62">
        <f t="shared" si="135"/>
        <v>0.17490382391893883</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f t="shared" ref="GI63" si="150">IFERROR(GH62*GI53*100, "n/a")</f>
        <v>0.27541757652231741</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0.36593085588041924</v>
      </c>
      <c r="GI64" s="30">
        <f t="shared" ref="GI64" si="177">IFERROR(GH62*GI54*100, "n/a")</f>
        <v>0.20209078157890653</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8.3592699070218893E-2</v>
      </c>
      <c r="GI67" s="6">
        <f t="shared" ref="GI67" ca="1" si="209">IF(ISTEXT(GF59), "n/a", AVERAGE(GF59:GI59))</f>
        <v>9.1836562392357685E-4</v>
      </c>
      <c r="GJ67" s="6">
        <f t="shared" ref="GJ67" ca="1" si="210">IF(ISTEXT(GG59), "n/a", AVERAGE(GG59:GJ59))</f>
        <v>8.2562247858117679E-2</v>
      </c>
      <c r="GK67" s="6">
        <f t="shared" ref="GK67" ca="1" si="211">IF(ISTEXT(GH59), "n/a", AVERAGE(GH59:GK59))</f>
        <v>8.2859864912557452E-2</v>
      </c>
      <c r="GL67" s="6">
        <f t="shared" ref="GL67" ca="1" si="212">IF(ISTEXT(GI59), "n/a", AVERAGE(GI59:GL59))</f>
        <v>6.1092527136472341E-3</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0.28050296254936485</v>
      </c>
      <c r="GJ68" s="6">
        <f t="shared" ref="GJ68" si="238">IF(ISTEXT(GG63), "n/a", AVERAGE(GG63:GJ63))</f>
        <v>0.2786995773613456</v>
      </c>
      <c r="GK68" s="6">
        <f t="shared" ref="GK68" si="239">IF(ISTEXT(GH63), "n/a", AVERAGE(GH63:GK63))</f>
        <v>0.27704339443213544</v>
      </c>
      <c r="GL68" s="6">
        <f t="shared" ref="GL68" si="240">IF(ISTEXT(GI63), "n/a", AVERAGE(GI63:GL63))</f>
        <v>0.27541757652231741</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-0.20136591253464287</v>
      </c>
      <c r="GI69" s="6">
        <f t="shared" ca="1" si="258"/>
        <v>-0.2795845969254413</v>
      </c>
      <c r="GJ69" s="6">
        <f t="shared" ca="1" si="258"/>
        <v>-0.19613732950322793</v>
      </c>
      <c r="GK69" s="6">
        <f t="shared" ca="1" si="258"/>
        <v>-0.19418352951957799</v>
      </c>
      <c r="GL69" s="6">
        <f t="shared" ca="1" si="258"/>
        <v>-0.2693083238086702</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-0.20632037876895157</v>
      </c>
      <c r="GI70" s="6">
        <f t="shared" ca="1" si="265"/>
        <v>-0.1959815288652593</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13" zoomScale="145" zoomScaleNormal="100" zoomScaleSheetLayoutView="145" zoomScalePageLayoutView="85" workbookViewId="0">
      <selection activeCell="J20" sqref="J20"/>
    </sheetView>
  </sheetViews>
  <sheetFormatPr defaultRowHeight="15" x14ac:dyDescent="0.25"/>
  <cols>
    <col min="1" max="16384" width="9.140625" style="49"/>
  </cols>
  <sheetData>
    <row r="1" spans="1:9" ht="15" customHeight="1" x14ac:dyDescent="0.25">
      <c r="A1" s="52"/>
      <c r="B1" s="52"/>
      <c r="C1" s="71"/>
      <c r="D1" s="71"/>
      <c r="E1" s="71"/>
      <c r="F1" s="71"/>
      <c r="G1" s="71"/>
      <c r="H1" s="52"/>
      <c r="I1" s="52"/>
    </row>
    <row r="2" spans="1:9" ht="15" customHeight="1" x14ac:dyDescent="0.25">
      <c r="A2" s="52"/>
      <c r="B2" s="52"/>
      <c r="C2" s="71"/>
      <c r="D2" s="71"/>
      <c r="E2" s="71"/>
      <c r="F2" s="71"/>
      <c r="G2" s="7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72" t="s">
        <v>407</v>
      </c>
      <c r="C44" s="73"/>
      <c r="D44" s="73"/>
      <c r="E44" s="73"/>
      <c r="F44" s="73"/>
      <c r="G44" s="73"/>
      <c r="H44" s="74"/>
    </row>
    <row r="45" spans="1:8" x14ac:dyDescent="0.25">
      <c r="A45" s="55"/>
      <c r="B45" s="75"/>
      <c r="C45" s="76"/>
      <c r="D45" s="76"/>
      <c r="E45" s="76"/>
      <c r="F45" s="76"/>
      <c r="G45" s="76"/>
      <c r="H45" s="77"/>
    </row>
    <row r="46" spans="1:8" ht="20.25" customHeight="1" x14ac:dyDescent="0.25">
      <c r="B46" s="75"/>
      <c r="C46" s="76"/>
      <c r="D46" s="76"/>
      <c r="E46" s="76"/>
      <c r="F46" s="76"/>
      <c r="G46" s="76"/>
      <c r="H46" s="77"/>
    </row>
    <row r="47" spans="1:8" ht="9.75" customHeight="1" x14ac:dyDescent="0.25">
      <c r="B47" s="78" t="s">
        <v>405</v>
      </c>
      <c r="C47" s="79"/>
      <c r="D47" s="79"/>
      <c r="E47" s="80" t="s">
        <v>406</v>
      </c>
      <c r="F47" s="80"/>
      <c r="G47" s="80"/>
      <c r="H47" s="8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opLeftCell="A42" workbookViewId="0">
      <selection activeCell="B2" sqref="B2"/>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398</v>
      </c>
      <c r="C1" t="s">
        <v>399</v>
      </c>
      <c r="D1" t="s">
        <v>400</v>
      </c>
      <c r="E1" s="9" t="s">
        <v>401</v>
      </c>
      <c r="F1" s="9" t="s">
        <v>402</v>
      </c>
      <c r="G1" s="9" t="s">
        <v>403</v>
      </c>
      <c r="H1" s="9" t="s">
        <v>397</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404</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8.3592699070218893E-2</v>
      </c>
      <c r="C69" s="66">
        <f>INDEX(Calculations!$1:$80, MATCH("RecessionDummy", Calculations!$B:$B, 0), MATCH(fiscal_iFinal!$A69, Calculations!$9:$9, 0))</f>
        <v>0</v>
      </c>
      <c r="D69" s="70">
        <f ca="1">INDEX(Calculations!$1:$80, MATCH("Fiscal_Impact_bars", Calculations!$B:$B, 0), MATCH(fiscal_iFinal!$A69, Calculations!$9:$9, 0))</f>
        <v>0.15961047711146767</v>
      </c>
      <c r="E69" s="65">
        <f>INDEX(HaverPull!$B:$XZ,MATCH($A69,HaverPull!$B:$B,0),MATCH("Contribution to %Ch in Real GDP from ""Federal G""",HaverPull!$B$1:$XZ$1,0))</f>
        <v>-0.08</v>
      </c>
      <c r="F69" s="65">
        <f>INDEX(HaverPull!$B:$XZ,MATCH($A69,HaverPull!$B:$B,0),MATCH("Contribution to %Ch in Real GDP from ""S+L G""",HaverPull!$B$1:$XZ$1,0))</f>
        <v>0.11</v>
      </c>
      <c r="G69" s="65">
        <f ca="1">INDEX(Calculations!$A:$GV,MATCH("Contribution of Consumption Growth to Real GDP",Calculations!B$1:B$71,0),MATCH($A69,Calculations!A$9:GV$9))</f>
        <v>0.12961047711146767</v>
      </c>
    </row>
    <row r="70" spans="1:7" x14ac:dyDescent="0.25">
      <c r="A70" s="64">
        <f>INDEX(Calculations!$9:$9, , ROW()+121)</f>
        <v>42825</v>
      </c>
      <c r="B70" s="70">
        <f ca="1">INDEX(Calculations!$1:$80, MATCH("Fiscal_Impact", Calculations!$B:$B, 0), MATCH(fiscal_iFinal!$A70, Calculations!$9:$9, 0))</f>
        <v>9.1836562392357685E-4</v>
      </c>
      <c r="C70" s="66">
        <f>INDEX(Calculations!$1:$80, MATCH("RecessionDummy", Calculations!$B:$B, 0), MATCH(fiscal_iFinal!$A70, Calculations!$9:$9, 0))</f>
        <v>0</v>
      </c>
      <c r="D70" s="70">
        <f ca="1">INDEX(Calculations!$1:$80, MATCH("Fiscal_Impact_bars", Calculations!$B:$B, 0), MATCH(fiscal_iFinal!$A70, Calculations!$9:$9, 0))</f>
        <v>6.1092527136472341E-3</v>
      </c>
      <c r="E70" s="65">
        <f>INDEX(HaverPull!$B:$XZ,MATCH($A70,HaverPull!$B:$B,0),MATCH("Contribution to %Ch in Real GDP from ""Federal G""",HaverPull!$B$1:$XZ$1,0))</f>
        <v>-0.14000000000000001</v>
      </c>
      <c r="F70" s="65">
        <f>INDEX(HaverPull!$B:$XZ,MATCH($A70,HaverPull!$B:$B,0),MATCH("Contribution to %Ch in Real GDP from ""S+L G""",HaverPull!$B$1:$XZ$1,0))</f>
        <v>-0.06</v>
      </c>
      <c r="G70" s="65">
        <f ca="1">INDEX(Calculations!$A:$GV,MATCH("Contribution of Consumption Growth to Real GDP",Calculations!B$1:B$71,0),MATCH($A70,Calculations!A$9:GV$9))</f>
        <v>0.20610925271364725</v>
      </c>
    </row>
    <row r="71" spans="1:7" x14ac:dyDescent="0.25">
      <c r="A71" s="64"/>
      <c r="B71" s="70"/>
      <c r="C71" s="66"/>
      <c r="D71" s="70"/>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622489-17CF-4143-A9B6-E6D6A78B1374}"/>
</file>

<file path=customXml/itemProps2.xml><?xml version="1.0" encoding="utf-8"?>
<ds:datastoreItem xmlns:ds="http://schemas.openxmlformats.org/officeDocument/2006/customXml" ds:itemID="{C6E4BFF7-CA1E-45CB-A579-649197F0D3B0}"/>
</file>

<file path=customXml/itemProps3.xml><?xml version="1.0" encoding="utf-8"?>
<ds:datastoreItem xmlns:ds="http://schemas.openxmlformats.org/officeDocument/2006/customXml" ds:itemID="{746267C5-E819-44AF-96C0-C82A761DE32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vt:lpstr>
      <vt:lpstr>HaverPull</vt:lpstr>
      <vt:lpstr>Calculations</vt:lpstr>
      <vt:lpstr>fiscal_impact</vt:lpstr>
      <vt:lpstr>fiscal_iFinal</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2017-05-26T13:01:12Z</cp:lastPrinted>
  <dcterms:created xsi:type="dcterms:W3CDTF">2014-09-08T20:08:32Z</dcterms:created>
  <dcterms:modified xsi:type="dcterms:W3CDTF">2017-06-29T13:54:30Z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