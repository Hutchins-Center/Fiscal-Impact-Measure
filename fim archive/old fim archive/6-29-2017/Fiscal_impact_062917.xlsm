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6-29-2017\"/>
    </mc:Choice>
  </mc:AlternateContent>
  <bookViews>
    <workbookView xWindow="0" yWindow="0" windowWidth="19200" windowHeight="11460" activeTab="1"/>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S10" i="21" l="1"/>
  <c r="S11" i="21"/>
  <c r="S12" i="21"/>
  <c r="T12" i="21"/>
  <c r="S13" i="21"/>
  <c r="T13" i="21"/>
  <c r="S14" i="21"/>
  <c r="T14" i="21"/>
  <c r="S15" i="21"/>
  <c r="T15" i="21"/>
  <c r="S16" i="21"/>
  <c r="T16" i="21"/>
  <c r="S17" i="21"/>
  <c r="T17" i="21"/>
  <c r="S18" i="21"/>
  <c r="T18" i="21"/>
  <c r="S19" i="21"/>
  <c r="T19" i="21"/>
  <c r="S20" i="21"/>
  <c r="T20" i="21"/>
  <c r="S21" i="21"/>
  <c r="T21" i="21"/>
  <c r="S22" i="21"/>
  <c r="T22" i="21"/>
  <c r="S23" i="21"/>
  <c r="T23" i="21"/>
  <c r="S24" i="21"/>
  <c r="T24" i="21"/>
  <c r="S25" i="21"/>
  <c r="T25" i="21"/>
  <c r="S26" i="21"/>
  <c r="T26" i="21"/>
  <c r="S27" i="21"/>
  <c r="T27" i="21"/>
  <c r="S28" i="21"/>
  <c r="T28" i="21"/>
  <c r="S29" i="21"/>
  <c r="T29" i="21"/>
  <c r="S30" i="21"/>
  <c r="T30" i="21"/>
  <c r="S31" i="21"/>
  <c r="T31" i="21"/>
  <c r="S32" i="21"/>
  <c r="T32" i="21"/>
  <c r="S33" i="21"/>
  <c r="T33" i="21"/>
  <c r="S34" i="21"/>
  <c r="T34" i="21"/>
  <c r="S35" i="21"/>
  <c r="T35" i="21"/>
  <c r="S36" i="21"/>
  <c r="T36" i="21"/>
  <c r="S37" i="21"/>
  <c r="T37" i="21"/>
  <c r="S38" i="21"/>
  <c r="T38" i="21"/>
  <c r="S39" i="21"/>
  <c r="T39" i="21"/>
  <c r="S40" i="21"/>
  <c r="T40" i="21"/>
  <c r="S41" i="21"/>
  <c r="T41" i="21"/>
  <c r="S42" i="21"/>
  <c r="T42" i="21"/>
  <c r="S43" i="21"/>
  <c r="T43" i="21"/>
  <c r="S44" i="21"/>
  <c r="T44" i="21"/>
  <c r="S45" i="21"/>
  <c r="T45" i="21"/>
  <c r="S46" i="21"/>
  <c r="T46" i="21"/>
  <c r="S47" i="21"/>
  <c r="T47" i="21"/>
  <c r="S48" i="21"/>
  <c r="T48" i="21"/>
  <c r="S49" i="21"/>
  <c r="T49" i="21"/>
  <c r="S50" i="21"/>
  <c r="T50" i="21"/>
  <c r="S51" i="21"/>
  <c r="T51" i="21"/>
  <c r="S52" i="21"/>
  <c r="T52" i="21"/>
  <c r="S53" i="21"/>
  <c r="T53" i="21"/>
  <c r="S54" i="21"/>
  <c r="T54" i="21"/>
  <c r="S55" i="21"/>
  <c r="T55" i="21"/>
  <c r="S56" i="21"/>
  <c r="T56" i="21"/>
  <c r="S57" i="21"/>
  <c r="T57" i="21"/>
  <c r="S58" i="21"/>
  <c r="T58" i="21"/>
  <c r="S59" i="21"/>
  <c r="T59" i="21"/>
  <c r="S60" i="21"/>
  <c r="T60" i="21"/>
  <c r="S61" i="21"/>
  <c r="T61" i="21"/>
  <c r="S62" i="21"/>
  <c r="T62" i="21"/>
  <c r="S63" i="21"/>
  <c r="T63" i="21"/>
  <c r="S64" i="21"/>
  <c r="T64" i="21"/>
  <c r="S65" i="21"/>
  <c r="T65" i="21"/>
  <c r="S66" i="21"/>
  <c r="T66" i="21"/>
  <c r="S67" i="21"/>
  <c r="T67" i="21"/>
  <c r="S68" i="21"/>
  <c r="T68" i="21"/>
  <c r="S69" i="21"/>
  <c r="T69" i="21"/>
  <c r="S70" i="21"/>
  <c r="T70" i="21"/>
  <c r="S71" i="21"/>
  <c r="T71" i="21"/>
  <c r="S72" i="21"/>
  <c r="T72" i="21"/>
  <c r="S73" i="21"/>
  <c r="T73" i="21"/>
  <c r="S74" i="21"/>
  <c r="T74" i="21"/>
  <c r="S75" i="21"/>
  <c r="T75" i="21"/>
  <c r="S76" i="21"/>
  <c r="T76" i="21"/>
  <c r="S77" i="21"/>
  <c r="T77" i="21"/>
  <c r="S78" i="21"/>
  <c r="T78" i="21"/>
  <c r="S79" i="21"/>
  <c r="T79" i="21"/>
  <c r="S80" i="21"/>
  <c r="T80" i="21"/>
  <c r="S81" i="21"/>
  <c r="T81" i="21"/>
  <c r="S82" i="21"/>
  <c r="T82" i="21"/>
  <c r="S83" i="21"/>
  <c r="T83" i="21"/>
  <c r="S84" i="21"/>
  <c r="T84" i="21"/>
  <c r="S85" i="21"/>
  <c r="T85" i="21"/>
  <c r="S86" i="21"/>
  <c r="T86" i="21"/>
  <c r="S87" i="21"/>
  <c r="T87" i="21"/>
  <c r="S88" i="21"/>
  <c r="T88" i="21"/>
  <c r="S89" i="21"/>
  <c r="T89" i="21"/>
  <c r="S90" i="21"/>
  <c r="T90" i="21"/>
  <c r="S91" i="21"/>
  <c r="T91" i="21"/>
  <c r="S92" i="21"/>
  <c r="T92" i="21"/>
  <c r="S93" i="21"/>
  <c r="T93" i="21"/>
  <c r="S94" i="21"/>
  <c r="T94" i="21"/>
  <c r="S95" i="21"/>
  <c r="T95" i="21"/>
  <c r="S96" i="21"/>
  <c r="T96" i="21"/>
  <c r="S97" i="21"/>
  <c r="T97" i="21"/>
  <c r="S98" i="21"/>
  <c r="T98" i="21"/>
  <c r="S99" i="21"/>
  <c r="T99" i="21"/>
  <c r="S100" i="21"/>
  <c r="T100" i="21"/>
  <c r="S101" i="21"/>
  <c r="T101" i="21"/>
  <c r="S102" i="21"/>
  <c r="T102" i="21"/>
  <c r="S103" i="21"/>
  <c r="T103" i="21"/>
  <c r="S104" i="21"/>
  <c r="T104" i="21"/>
  <c r="S105" i="21"/>
  <c r="T105" i="21"/>
  <c r="S106" i="21"/>
  <c r="T106" i="21"/>
  <c r="S107" i="21"/>
  <c r="T107" i="21"/>
  <c r="S108" i="21"/>
  <c r="T108" i="21"/>
  <c r="S109" i="21"/>
  <c r="T109" i="21"/>
  <c r="S110" i="21"/>
  <c r="T110" i="21"/>
  <c r="S111" i="21"/>
  <c r="T111" i="21"/>
  <c r="S112" i="21"/>
  <c r="T112" i="21"/>
  <c r="S113" i="21"/>
  <c r="T113" i="21"/>
  <c r="S114" i="21"/>
  <c r="T114" i="21"/>
  <c r="S115" i="21"/>
  <c r="T115" i="21"/>
  <c r="S116" i="21"/>
  <c r="T116" i="21"/>
  <c r="S117" i="21"/>
  <c r="T117" i="21"/>
  <c r="S118" i="21"/>
  <c r="T118" i="21"/>
  <c r="S119" i="21"/>
  <c r="T119" i="21"/>
  <c r="S120" i="21"/>
  <c r="T120" i="21"/>
  <c r="S121" i="21"/>
  <c r="T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T11" i="21"/>
  <c r="Q10" i="21"/>
  <c r="Q11" i="21"/>
  <c r="Q12" i="21"/>
  <c r="R12" i="21"/>
  <c r="Q13" i="21"/>
  <c r="R13" i="21"/>
  <c r="Q14" i="21"/>
  <c r="R14" i="21"/>
  <c r="Q15" i="21"/>
  <c r="R15" i="21"/>
  <c r="Q16" i="21"/>
  <c r="R16" i="21"/>
  <c r="Q17" i="21"/>
  <c r="R17" i="21"/>
  <c r="Q18" i="21"/>
  <c r="R18" i="21"/>
  <c r="Q19" i="21"/>
  <c r="R19" i="21"/>
  <c r="Q20" i="21"/>
  <c r="R20" i="21"/>
  <c r="Q21" i="21"/>
  <c r="R21" i="21"/>
  <c r="Q22" i="21"/>
  <c r="R22" i="21"/>
  <c r="Q23" i="21"/>
  <c r="R23" i="21"/>
  <c r="Q24" i="21"/>
  <c r="R24" i="21"/>
  <c r="Q25" i="21"/>
  <c r="R25" i="21"/>
  <c r="Q26" i="21"/>
  <c r="R26" i="21"/>
  <c r="Q27" i="21"/>
  <c r="R27" i="21"/>
  <c r="Q28" i="21"/>
  <c r="R28" i="21"/>
  <c r="Q29" i="21"/>
  <c r="R29" i="21"/>
  <c r="Q30" i="21"/>
  <c r="R30" i="21"/>
  <c r="Q31" i="21"/>
  <c r="R31" i="21"/>
  <c r="Q32" i="21"/>
  <c r="R32" i="21"/>
  <c r="Q33" i="21"/>
  <c r="R33" i="21"/>
  <c r="Q34" i="21"/>
  <c r="R34" i="21"/>
  <c r="Q35" i="21"/>
  <c r="R35" i="21"/>
  <c r="Q36" i="21"/>
  <c r="R36" i="21"/>
  <c r="Q37" i="21"/>
  <c r="R37" i="21"/>
  <c r="Q38" i="21"/>
  <c r="R38" i="21"/>
  <c r="Q39" i="21"/>
  <c r="R39" i="21"/>
  <c r="Q40" i="21"/>
  <c r="R40" i="21"/>
  <c r="Q41" i="21"/>
  <c r="R41" i="21"/>
  <c r="Q42" i="21"/>
  <c r="R42" i="21"/>
  <c r="Q43" i="21"/>
  <c r="R43" i="21"/>
  <c r="Q44" i="21"/>
  <c r="R44" i="21"/>
  <c r="Q45" i="21"/>
  <c r="R45" i="21"/>
  <c r="Q46" i="21"/>
  <c r="R46" i="21"/>
  <c r="Q47" i="21"/>
  <c r="R47" i="21"/>
  <c r="Q48" i="21"/>
  <c r="R48" i="21"/>
  <c r="Q49" i="21"/>
  <c r="R49" i="21"/>
  <c r="Q50" i="21"/>
  <c r="R50" i="21"/>
  <c r="Q51" i="21"/>
  <c r="R51" i="21"/>
  <c r="Q52" i="21"/>
  <c r="R52" i="21"/>
  <c r="Q53" i="21"/>
  <c r="R53" i="21"/>
  <c r="Q54" i="21"/>
  <c r="R54" i="21"/>
  <c r="Q55" i="21"/>
  <c r="R55" i="21"/>
  <c r="Q56" i="21"/>
  <c r="R56" i="21"/>
  <c r="Q57" i="21"/>
  <c r="R57" i="21"/>
  <c r="Q58" i="21"/>
  <c r="R58" i="21"/>
  <c r="Q59" i="21"/>
  <c r="R59" i="21"/>
  <c r="Q60" i="21"/>
  <c r="R60" i="21"/>
  <c r="Q61" i="21"/>
  <c r="R61" i="21"/>
  <c r="Q62" i="21"/>
  <c r="R62" i="21"/>
  <c r="Q63" i="21"/>
  <c r="R63" i="21"/>
  <c r="Q64" i="21"/>
  <c r="R64" i="21"/>
  <c r="Q65" i="21"/>
  <c r="R65" i="21"/>
  <c r="Q66" i="21"/>
  <c r="R66" i="21"/>
  <c r="Q67" i="21"/>
  <c r="R67" i="21"/>
  <c r="Q68" i="21"/>
  <c r="R68" i="21"/>
  <c r="Q69" i="21"/>
  <c r="R69" i="21"/>
  <c r="Q70" i="21"/>
  <c r="R70" i="21"/>
  <c r="Q71" i="21"/>
  <c r="R71" i="21"/>
  <c r="Q72" i="21"/>
  <c r="R72" i="21"/>
  <c r="Q73" i="21"/>
  <c r="R73" i="21"/>
  <c r="Q74" i="21"/>
  <c r="R74" i="21"/>
  <c r="Q75" i="21"/>
  <c r="R75" i="21"/>
  <c r="Q76" i="21"/>
  <c r="R76" i="21"/>
  <c r="Q77" i="21"/>
  <c r="R77" i="21"/>
  <c r="Q78" i="21"/>
  <c r="R78" i="21"/>
  <c r="Q79" i="21"/>
  <c r="R79" i="21"/>
  <c r="Q80" i="21"/>
  <c r="R80" i="21"/>
  <c r="Q81" i="21"/>
  <c r="R81" i="21"/>
  <c r="Q82" i="21"/>
  <c r="R82" i="21"/>
  <c r="Q83" i="21"/>
  <c r="R83" i="21"/>
  <c r="Q84" i="21"/>
  <c r="R84" i="21"/>
  <c r="Q85" i="21"/>
  <c r="R85" i="21"/>
  <c r="Q86" i="21"/>
  <c r="R86" i="21"/>
  <c r="Q87" i="21"/>
  <c r="R87" i="21"/>
  <c r="Q88" i="21"/>
  <c r="R88" i="21"/>
  <c r="Q89" i="21"/>
  <c r="R89" i="21"/>
  <c r="Q90" i="21"/>
  <c r="R90" i="21"/>
  <c r="Q91" i="21"/>
  <c r="R91" i="21"/>
  <c r="Q92" i="21"/>
  <c r="R92" i="21"/>
  <c r="Q93" i="21"/>
  <c r="R93" i="21"/>
  <c r="Q94" i="21"/>
  <c r="R94" i="21"/>
  <c r="Q95" i="21"/>
  <c r="R95" i="21"/>
  <c r="Q96" i="21"/>
  <c r="R96" i="21"/>
  <c r="Q97" i="21"/>
  <c r="R97" i="21"/>
  <c r="Q98" i="21"/>
  <c r="R98" i="21"/>
  <c r="Q99" i="21"/>
  <c r="R99" i="21"/>
  <c r="Q100" i="21"/>
  <c r="R100" i="21"/>
  <c r="Q101" i="21"/>
  <c r="R101" i="21"/>
  <c r="Q102" i="21"/>
  <c r="R102" i="21"/>
  <c r="Q103" i="21"/>
  <c r="R103" i="21"/>
  <c r="Q104" i="21"/>
  <c r="R104" i="21"/>
  <c r="Q105" i="21"/>
  <c r="R105" i="21"/>
  <c r="Q106" i="21"/>
  <c r="R106" i="21"/>
  <c r="Q107" i="21"/>
  <c r="R107" i="21"/>
  <c r="Q108" i="21"/>
  <c r="R108" i="21"/>
  <c r="Q109" i="21"/>
  <c r="R109" i="21"/>
  <c r="Q110" i="21"/>
  <c r="R110" i="21"/>
  <c r="Q111" i="21"/>
  <c r="R111" i="21"/>
  <c r="Q112" i="21"/>
  <c r="R112" i="21"/>
  <c r="Q113" i="21"/>
  <c r="R113" i="21"/>
  <c r="Q114" i="21"/>
  <c r="R114" i="21"/>
  <c r="Q115" i="21"/>
  <c r="R115" i="21"/>
  <c r="Q116" i="21"/>
  <c r="R116" i="21"/>
  <c r="Q117" i="21"/>
  <c r="R117" i="21"/>
  <c r="Q118" i="21"/>
  <c r="R118" i="21"/>
  <c r="Q119" i="21"/>
  <c r="R119" i="21"/>
  <c r="Q120" i="21"/>
  <c r="R120" i="21"/>
  <c r="Q121" i="21"/>
  <c r="R121" i="21"/>
  <c r="R122"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R11" i="21"/>
  <c r="Q122" i="2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F32" i="5"/>
  <c r="GG11" i="5"/>
  <c r="GG12" i="5"/>
  <c r="GG32" i="5"/>
  <c r="GH11" i="5"/>
  <c r="GH12" i="5"/>
  <c r="GH32" i="5"/>
  <c r="GI11" i="5"/>
  <c r="GI12" i="5"/>
  <c r="GI32" i="5"/>
  <c r="GF13" i="5"/>
  <c r="GF33" i="5"/>
  <c r="GG13" i="5"/>
  <c r="GG33" i="5"/>
  <c r="GH13" i="5"/>
  <c r="GH33" i="5"/>
  <c r="GI13" i="5"/>
  <c r="GI33" i="5"/>
  <c r="GB14" i="5"/>
  <c r="GB15" i="5"/>
  <c r="GB16" i="5"/>
  <c r="GB34" i="5"/>
  <c r="GI14" i="5"/>
  <c r="GI15" i="5"/>
  <c r="GI16" i="5"/>
  <c r="GI34" i="5"/>
  <c r="GH14" i="5"/>
  <c r="GH15" i="5"/>
  <c r="GH16" i="5"/>
  <c r="GH34" i="5"/>
  <c r="GC14" i="5"/>
  <c r="GC15" i="5"/>
  <c r="GC16" i="5"/>
  <c r="GC34" i="5"/>
  <c r="GD14" i="5"/>
  <c r="GD15" i="5"/>
  <c r="GD16" i="5"/>
  <c r="GD34" i="5"/>
  <c r="GE14" i="5"/>
  <c r="GE15" i="5"/>
  <c r="GE16" i="5"/>
  <c r="GE34" i="5"/>
  <c r="GF14" i="5"/>
  <c r="GF15" i="5"/>
  <c r="GF16" i="5"/>
  <c r="GF34" i="5"/>
  <c r="GG14" i="5"/>
  <c r="GG15" i="5"/>
  <c r="GG16" i="5"/>
  <c r="GG34" i="5"/>
  <c r="FX17" i="5"/>
  <c r="FX18" i="5"/>
  <c r="FX35" i="5"/>
  <c r="FY17" i="5"/>
  <c r="FY18" i="5"/>
  <c r="FY35" i="5"/>
  <c r="FZ17" i="5"/>
  <c r="FZ18" i="5"/>
  <c r="FZ35" i="5"/>
  <c r="GA17" i="5"/>
  <c r="GA18" i="5"/>
  <c r="GA35" i="5"/>
  <c r="GB17" i="5"/>
  <c r="GB18" i="5"/>
  <c r="GB35" i="5"/>
  <c r="GC17" i="5"/>
  <c r="GC18" i="5"/>
  <c r="GC35" i="5"/>
  <c r="GD17" i="5"/>
  <c r="GD18" i="5"/>
  <c r="GD35" i="5"/>
  <c r="GE17" i="5"/>
  <c r="GE18" i="5"/>
  <c r="GE35" i="5"/>
  <c r="GF17" i="5"/>
  <c r="GF18" i="5"/>
  <c r="GF35" i="5"/>
  <c r="GG17" i="5"/>
  <c r="GG18" i="5"/>
  <c r="GG35" i="5"/>
  <c r="GH17" i="5"/>
  <c r="GH18" i="5"/>
  <c r="GH35" i="5"/>
  <c r="GI17" i="5"/>
  <c r="GI18" i="5"/>
  <c r="GI35" i="5"/>
  <c r="GI23" i="5"/>
  <c r="GI21" i="5"/>
  <c r="GE11" i="5"/>
  <c r="GE12" i="5"/>
  <c r="GE32" i="5"/>
  <c r="GE13" i="5"/>
  <c r="GE33" i="5"/>
  <c r="GA14" i="5"/>
  <c r="GA15" i="5"/>
  <c r="GA16" i="5"/>
  <c r="GA34" i="5"/>
  <c r="FW17" i="5"/>
  <c r="FW18" i="5"/>
  <c r="FW35" i="5"/>
  <c r="GH23" i="5"/>
  <c r="GH21" i="5"/>
  <c r="GI50" i="5"/>
  <c r="GI22" i="5"/>
  <c r="GI24" i="5"/>
  <c r="GI57" i="5"/>
  <c r="GI25" i="5"/>
  <c r="GC11" i="5"/>
  <c r="GC12" i="5"/>
  <c r="GC32" i="5"/>
  <c r="GD11" i="5"/>
  <c r="GD12" i="5"/>
  <c r="GD32" i="5"/>
  <c r="GC13" i="5"/>
  <c r="GC33" i="5"/>
  <c r="GD13" i="5"/>
  <c r="GD33" i="5"/>
  <c r="FY14" i="5"/>
  <c r="FY15" i="5"/>
  <c r="FY16" i="5"/>
  <c r="FY34" i="5"/>
  <c r="FZ14" i="5"/>
  <c r="FZ15" i="5"/>
  <c r="FZ16" i="5"/>
  <c r="FZ34" i="5"/>
  <c r="FU17" i="5"/>
  <c r="FU18" i="5"/>
  <c r="FU35" i="5"/>
  <c r="FV17" i="5"/>
  <c r="FV18" i="5"/>
  <c r="FV35" i="5"/>
  <c r="GF23" i="5"/>
  <c r="GF21" i="5"/>
  <c r="GB11" i="5"/>
  <c r="GB12" i="5"/>
  <c r="GB32" i="5"/>
  <c r="GB13" i="5"/>
  <c r="GB33" i="5"/>
  <c r="FX14" i="5"/>
  <c r="FX15" i="5"/>
  <c r="FX16" i="5"/>
  <c r="FX34" i="5"/>
  <c r="FT17" i="5"/>
  <c r="FT18" i="5"/>
  <c r="FT35" i="5"/>
  <c r="GE23" i="5"/>
  <c r="GE21" i="5"/>
  <c r="GF50" i="5"/>
  <c r="GF22" i="5"/>
  <c r="GF24" i="5"/>
  <c r="GF57" i="5"/>
  <c r="GF25" i="5"/>
  <c r="GG23" i="5"/>
  <c r="GG21" i="5"/>
  <c r="GG50" i="5"/>
  <c r="GG22" i="5"/>
  <c r="GG24" i="5"/>
  <c r="GG57" i="5"/>
  <c r="GG25" i="5"/>
  <c r="GH50" i="5"/>
  <c r="GH22" i="5"/>
  <c r="GH24" i="5"/>
  <c r="GH57" i="5"/>
  <c r="GH25" i="5"/>
  <c r="GA11" i="5"/>
  <c r="GA12" i="5"/>
  <c r="GA32" i="5"/>
  <c r="GA13" i="5"/>
  <c r="GA33" i="5"/>
  <c r="FW14" i="5"/>
  <c r="FW15" i="5"/>
  <c r="FW16" i="5"/>
  <c r="FW34" i="5"/>
  <c r="FS17" i="5"/>
  <c r="FS18" i="5"/>
  <c r="FS35" i="5"/>
  <c r="GD23" i="5"/>
  <c r="GD21" i="5"/>
  <c r="GE50" i="5"/>
  <c r="GE22" i="5"/>
  <c r="GE24" i="5"/>
  <c r="GE57" i="5"/>
  <c r="GE25" i="5"/>
  <c r="FZ11" i="5"/>
  <c r="FZ12" i="5"/>
  <c r="FZ32" i="5"/>
  <c r="FZ13" i="5"/>
  <c r="FZ33" i="5"/>
  <c r="FV14" i="5"/>
  <c r="FV15" i="5"/>
  <c r="FV16" i="5"/>
  <c r="FV34" i="5"/>
  <c r="FR17" i="5"/>
  <c r="FR18" i="5"/>
  <c r="FR35" i="5"/>
  <c r="GC23" i="5"/>
  <c r="GC21" i="5"/>
  <c r="GD50" i="5"/>
  <c r="GD22" i="5"/>
  <c r="GD24" i="5"/>
  <c r="GD57" i="5"/>
  <c r="GD25" i="5"/>
  <c r="FY11" i="5"/>
  <c r="FY12" i="5"/>
  <c r="FY32" i="5"/>
  <c r="FY13" i="5"/>
  <c r="FY33" i="5"/>
  <c r="FU14" i="5"/>
  <c r="FU15" i="5"/>
  <c r="FU16" i="5"/>
  <c r="FU34" i="5"/>
  <c r="FQ17" i="5"/>
  <c r="FQ18" i="5"/>
  <c r="FQ35" i="5"/>
  <c r="GB23" i="5"/>
  <c r="GB21" i="5"/>
  <c r="GC50" i="5"/>
  <c r="GC22" i="5"/>
  <c r="GC24" i="5"/>
  <c r="GC57" i="5"/>
  <c r="GC25" i="5"/>
  <c r="FX11" i="5"/>
  <c r="FX12" i="5"/>
  <c r="FX32" i="5"/>
  <c r="FX13" i="5"/>
  <c r="FX33" i="5"/>
  <c r="FT14" i="5"/>
  <c r="FT15" i="5"/>
  <c r="FT16" i="5"/>
  <c r="FT34" i="5"/>
  <c r="FP17" i="5"/>
  <c r="FP18" i="5"/>
  <c r="FP35" i="5"/>
  <c r="GA23" i="5"/>
  <c r="GA21" i="5"/>
  <c r="GB50" i="5"/>
  <c r="GB22" i="5"/>
  <c r="GB24" i="5"/>
  <c r="GB57" i="5"/>
  <c r="GB25" i="5"/>
  <c r="FW11" i="5"/>
  <c r="FW12" i="5"/>
  <c r="FW32" i="5"/>
  <c r="FW13" i="5"/>
  <c r="FW33" i="5"/>
  <c r="FS14" i="5"/>
  <c r="FS15" i="5"/>
  <c r="FS16" i="5"/>
  <c r="FS34" i="5"/>
  <c r="FO17" i="5"/>
  <c r="FO18" i="5"/>
  <c r="FO35" i="5"/>
  <c r="FZ23" i="5"/>
  <c r="FZ21" i="5"/>
  <c r="GA50" i="5"/>
  <c r="GA22" i="5"/>
  <c r="GA24" i="5"/>
  <c r="GA57" i="5"/>
  <c r="GA25" i="5"/>
  <c r="FV11" i="5"/>
  <c r="FV12" i="5"/>
  <c r="FV32" i="5"/>
  <c r="FV13" i="5"/>
  <c r="FV33" i="5"/>
  <c r="FR14" i="5"/>
  <c r="FR15" i="5"/>
  <c r="FR16" i="5"/>
  <c r="FR34" i="5"/>
  <c r="FN17" i="5"/>
  <c r="FN18" i="5"/>
  <c r="FN35" i="5"/>
  <c r="FY23" i="5"/>
  <c r="FY21" i="5"/>
  <c r="FZ50" i="5"/>
  <c r="FZ22" i="5"/>
  <c r="FZ24" i="5"/>
  <c r="FZ57" i="5"/>
  <c r="FZ25" i="5"/>
  <c r="FU11" i="5"/>
  <c r="FU12" i="5"/>
  <c r="FU32" i="5"/>
  <c r="FU13" i="5"/>
  <c r="FU33" i="5"/>
  <c r="FQ14" i="5"/>
  <c r="FQ15" i="5"/>
  <c r="FQ16" i="5"/>
  <c r="FQ34" i="5"/>
  <c r="FM17" i="5"/>
  <c r="FM18" i="5"/>
  <c r="FM35" i="5"/>
  <c r="FX23" i="5"/>
  <c r="FX21" i="5"/>
  <c r="FY50" i="5"/>
  <c r="FY22" i="5"/>
  <c r="FY24" i="5"/>
  <c r="FY57" i="5"/>
  <c r="FY25" i="5"/>
  <c r="FT11" i="5"/>
  <c r="FT12" i="5"/>
  <c r="FT32" i="5"/>
  <c r="FT13" i="5"/>
  <c r="FT33" i="5"/>
  <c r="FP14" i="5"/>
  <c r="FP15" i="5"/>
  <c r="FP16" i="5"/>
  <c r="FP34" i="5"/>
  <c r="FL17" i="5"/>
  <c r="FL18" i="5"/>
  <c r="FL35" i="5"/>
  <c r="FW23" i="5"/>
  <c r="FW21" i="5"/>
  <c r="FX50" i="5"/>
  <c r="FX22" i="5"/>
  <c r="FX24" i="5"/>
  <c r="FX57" i="5"/>
  <c r="FX25" i="5"/>
  <c r="FS11" i="5"/>
  <c r="FS12" i="5"/>
  <c r="FS32" i="5"/>
  <c r="FS13" i="5"/>
  <c r="FS33" i="5"/>
  <c r="FO14" i="5"/>
  <c r="FO15" i="5"/>
  <c r="FO16" i="5"/>
  <c r="FO34" i="5"/>
  <c r="FK17" i="5"/>
  <c r="FK18" i="5"/>
  <c r="FK35" i="5"/>
  <c r="FV23" i="5"/>
  <c r="FV21" i="5"/>
  <c r="FW50" i="5"/>
  <c r="FW22" i="5"/>
  <c r="FW24" i="5"/>
  <c r="FW57" i="5"/>
  <c r="FW25" i="5"/>
  <c r="FR11" i="5"/>
  <c r="FR12" i="5"/>
  <c r="FR32" i="5"/>
  <c r="FR13" i="5"/>
  <c r="FR33" i="5"/>
  <c r="FN14" i="5"/>
  <c r="FN15" i="5"/>
  <c r="FN16" i="5"/>
  <c r="FN34" i="5"/>
  <c r="FJ17" i="5"/>
  <c r="FJ18" i="5"/>
  <c r="FJ35" i="5"/>
  <c r="FU23" i="5"/>
  <c r="FU21" i="5"/>
  <c r="FV50" i="5"/>
  <c r="FV22" i="5"/>
  <c r="FV24" i="5"/>
  <c r="FV57" i="5"/>
  <c r="FV25" i="5"/>
  <c r="FQ11" i="5"/>
  <c r="FQ12" i="5"/>
  <c r="FQ32" i="5"/>
  <c r="FQ13" i="5"/>
  <c r="FQ33" i="5"/>
  <c r="FM14" i="5"/>
  <c r="FM15" i="5"/>
  <c r="FM16" i="5"/>
  <c r="FM34" i="5"/>
  <c r="FI17" i="5"/>
  <c r="FI18" i="5"/>
  <c r="FI35" i="5"/>
  <c r="FT23" i="5"/>
  <c r="FT21" i="5"/>
  <c r="FU50" i="5"/>
  <c r="FU22" i="5"/>
  <c r="FU24" i="5"/>
  <c r="FU57" i="5"/>
  <c r="FU25" i="5"/>
  <c r="FP11" i="5"/>
  <c r="FP12" i="5"/>
  <c r="FP32" i="5"/>
  <c r="FP13" i="5"/>
  <c r="FP33" i="5"/>
  <c r="FL14" i="5"/>
  <c r="FL15" i="5"/>
  <c r="FL16" i="5"/>
  <c r="FL34" i="5"/>
  <c r="FH17" i="5"/>
  <c r="FH18" i="5"/>
  <c r="FH35" i="5"/>
  <c r="FS23" i="5"/>
  <c r="FS21" i="5"/>
  <c r="FT50" i="5"/>
  <c r="FT22" i="5"/>
  <c r="FT24" i="5"/>
  <c r="FT57" i="5"/>
  <c r="FT25" i="5"/>
  <c r="FO11" i="5"/>
  <c r="FO12" i="5"/>
  <c r="FO32" i="5"/>
  <c r="FO13" i="5"/>
  <c r="FO33" i="5"/>
  <c r="FK14" i="5"/>
  <c r="FK15" i="5"/>
  <c r="FK16" i="5"/>
  <c r="FK34" i="5"/>
  <c r="FG17" i="5"/>
  <c r="FG18" i="5"/>
  <c r="FG35" i="5"/>
  <c r="FR23" i="5"/>
  <c r="FR21" i="5"/>
  <c r="FS50" i="5"/>
  <c r="FS22" i="5"/>
  <c r="FS24" i="5"/>
  <c r="FS57" i="5"/>
  <c r="FS25" i="5"/>
  <c r="FN11" i="5"/>
  <c r="FN12" i="5"/>
  <c r="FN32" i="5"/>
  <c r="FN13" i="5"/>
  <c r="FN33" i="5"/>
  <c r="FJ14" i="5"/>
  <c r="FJ15" i="5"/>
  <c r="FJ16" i="5"/>
  <c r="FJ34" i="5"/>
  <c r="FF17" i="5"/>
  <c r="FF18" i="5"/>
  <c r="FF35" i="5"/>
  <c r="FQ23" i="5"/>
  <c r="FQ21" i="5"/>
  <c r="FR50" i="5"/>
  <c r="FR22" i="5"/>
  <c r="FR24" i="5"/>
  <c r="FR57" i="5"/>
  <c r="FR25" i="5"/>
  <c r="FM11" i="5"/>
  <c r="FM12" i="5"/>
  <c r="FM32" i="5"/>
  <c r="FM13" i="5"/>
  <c r="FM33" i="5"/>
  <c r="FI14" i="5"/>
  <c r="FI15" i="5"/>
  <c r="FI16" i="5"/>
  <c r="FI34" i="5"/>
  <c r="FE17" i="5"/>
  <c r="FE18" i="5"/>
  <c r="FE35" i="5"/>
  <c r="FP23" i="5"/>
  <c r="FP21" i="5"/>
  <c r="FQ50" i="5"/>
  <c r="FQ22" i="5"/>
  <c r="FQ24" i="5"/>
  <c r="FQ57" i="5"/>
  <c r="FQ25" i="5"/>
  <c r="FL11" i="5"/>
  <c r="FL12" i="5"/>
  <c r="FL32" i="5"/>
  <c r="FL13" i="5"/>
  <c r="FL33" i="5"/>
  <c r="FH14" i="5"/>
  <c r="FH15" i="5"/>
  <c r="FH16" i="5"/>
  <c r="FH34" i="5"/>
  <c r="FD17" i="5"/>
  <c r="FD18" i="5"/>
  <c r="FD35" i="5"/>
  <c r="FO23" i="5"/>
  <c r="FO21" i="5"/>
  <c r="FP50" i="5"/>
  <c r="FP22" i="5"/>
  <c r="FP24" i="5"/>
  <c r="FP57" i="5"/>
  <c r="FP25" i="5"/>
  <c r="FK11" i="5"/>
  <c r="FK12" i="5"/>
  <c r="FK32" i="5"/>
  <c r="FK13" i="5"/>
  <c r="FK33" i="5"/>
  <c r="FG14" i="5"/>
  <c r="FG15" i="5"/>
  <c r="FG16" i="5"/>
  <c r="FG34" i="5"/>
  <c r="FC17" i="5"/>
  <c r="FC18" i="5"/>
  <c r="FC35" i="5"/>
  <c r="FN23" i="5"/>
  <c r="FN21" i="5"/>
  <c r="FO50" i="5"/>
  <c r="FO22" i="5"/>
  <c r="FO24" i="5"/>
  <c r="FO57" i="5"/>
  <c r="FO25" i="5"/>
  <c r="FJ11" i="5"/>
  <c r="FJ12" i="5"/>
  <c r="FJ32" i="5"/>
  <c r="FJ13" i="5"/>
  <c r="FJ33" i="5"/>
  <c r="FF14" i="5"/>
  <c r="FF15" i="5"/>
  <c r="FF16" i="5"/>
  <c r="FF34" i="5"/>
  <c r="FB17" i="5"/>
  <c r="FB18" i="5"/>
  <c r="FB35" i="5"/>
  <c r="FM23" i="5"/>
  <c r="FM21" i="5"/>
  <c r="FN50" i="5"/>
  <c r="FN22" i="5"/>
  <c r="FN24" i="5"/>
  <c r="FN57" i="5"/>
  <c r="FN25" i="5"/>
  <c r="FI11" i="5"/>
  <c r="FI12" i="5"/>
  <c r="FI32" i="5"/>
  <c r="FI13" i="5"/>
  <c r="FI33" i="5"/>
  <c r="FE14" i="5"/>
  <c r="FE15" i="5"/>
  <c r="FE16" i="5"/>
  <c r="FE34" i="5"/>
  <c r="FA17" i="5"/>
  <c r="FA18" i="5"/>
  <c r="FA35" i="5"/>
  <c r="FL23" i="5"/>
  <c r="FL21" i="5"/>
  <c r="FM50" i="5"/>
  <c r="FM22" i="5"/>
  <c r="FM24" i="5"/>
  <c r="FM57" i="5"/>
  <c r="FM25" i="5"/>
  <c r="FH11" i="5"/>
  <c r="FH12" i="5"/>
  <c r="FH32" i="5"/>
  <c r="FH13" i="5"/>
  <c r="FH33" i="5"/>
  <c r="FD14" i="5"/>
  <c r="FD15" i="5"/>
  <c r="FD16" i="5"/>
  <c r="FD34" i="5"/>
  <c r="EZ17" i="5"/>
  <c r="EZ18" i="5"/>
  <c r="EZ35" i="5"/>
  <c r="FK23" i="5"/>
  <c r="FK21" i="5"/>
  <c r="FL50" i="5"/>
  <c r="FL22" i="5"/>
  <c r="FL24" i="5"/>
  <c r="FL57" i="5"/>
  <c r="FL25" i="5"/>
  <c r="FG11" i="5"/>
  <c r="FG12" i="5"/>
  <c r="FG32" i="5"/>
  <c r="FG13" i="5"/>
  <c r="FG33" i="5"/>
  <c r="FC14" i="5"/>
  <c r="FC15" i="5"/>
  <c r="FC16" i="5"/>
  <c r="FC34" i="5"/>
  <c r="EY17" i="5"/>
  <c r="EY18" i="5"/>
  <c r="EY35" i="5"/>
  <c r="FJ23" i="5"/>
  <c r="FJ21" i="5"/>
  <c r="FK50" i="5"/>
  <c r="FK22" i="5"/>
  <c r="FK24" i="5"/>
  <c r="FK57" i="5"/>
  <c r="FK25" i="5"/>
  <c r="FF11" i="5"/>
  <c r="FF12" i="5"/>
  <c r="FF32" i="5"/>
  <c r="FF13" i="5"/>
  <c r="FF33" i="5"/>
  <c r="FB14" i="5"/>
  <c r="FB15" i="5"/>
  <c r="FB16" i="5"/>
  <c r="FB34" i="5"/>
  <c r="EX17" i="5"/>
  <c r="EX18" i="5"/>
  <c r="EX35" i="5"/>
  <c r="FI23" i="5"/>
  <c r="FI21" i="5"/>
  <c r="FJ50" i="5"/>
  <c r="FJ22" i="5"/>
  <c r="FJ24" i="5"/>
  <c r="FJ57" i="5"/>
  <c r="FJ25" i="5"/>
  <c r="FE11" i="5"/>
  <c r="FE12" i="5"/>
  <c r="FE32" i="5"/>
  <c r="FE13" i="5"/>
  <c r="FE33" i="5"/>
  <c r="FA14" i="5"/>
  <c r="FA15" i="5"/>
  <c r="FA16" i="5"/>
  <c r="FA34" i="5"/>
  <c r="EW17" i="5"/>
  <c r="EW18" i="5"/>
  <c r="EW35" i="5"/>
  <c r="FH23" i="5"/>
  <c r="FH21" i="5"/>
  <c r="FI50" i="5"/>
  <c r="FI22" i="5"/>
  <c r="FI24" i="5"/>
  <c r="FI57" i="5"/>
  <c r="FI25" i="5"/>
  <c r="FD11" i="5"/>
  <c r="FD12" i="5"/>
  <c r="FD32" i="5"/>
  <c r="FD13" i="5"/>
  <c r="FD33" i="5"/>
  <c r="EZ14" i="5"/>
  <c r="EZ15" i="5"/>
  <c r="EZ16" i="5"/>
  <c r="EZ34" i="5"/>
  <c r="EV17" i="5"/>
  <c r="EV18" i="5"/>
  <c r="EV35" i="5"/>
  <c r="FG23" i="5"/>
  <c r="FG21" i="5"/>
  <c r="FH50" i="5"/>
  <c r="FH22" i="5"/>
  <c r="FH24" i="5"/>
  <c r="FH57" i="5"/>
  <c r="FH25" i="5"/>
  <c r="FC11" i="5"/>
  <c r="FC12" i="5"/>
  <c r="FC32" i="5"/>
  <c r="FC13" i="5"/>
  <c r="FC33" i="5"/>
  <c r="EY14" i="5"/>
  <c r="EY15" i="5"/>
  <c r="EY16" i="5"/>
  <c r="EY34" i="5"/>
  <c r="EU17" i="5"/>
  <c r="EU18" i="5"/>
  <c r="EU35" i="5"/>
  <c r="FF23" i="5"/>
  <c r="FF21" i="5"/>
  <c r="FG50" i="5"/>
  <c r="FG22" i="5"/>
  <c r="FG24" i="5"/>
  <c r="FG57" i="5"/>
  <c r="FG25" i="5"/>
  <c r="FB11" i="5"/>
  <c r="FB12" i="5"/>
  <c r="FB32" i="5"/>
  <c r="FB13" i="5"/>
  <c r="FB33" i="5"/>
  <c r="EX14" i="5"/>
  <c r="EX15" i="5"/>
  <c r="EX16" i="5"/>
  <c r="EX34" i="5"/>
  <c r="ET17" i="5"/>
  <c r="ET18" i="5"/>
  <c r="ET35" i="5"/>
  <c r="FE23" i="5"/>
  <c r="FE21" i="5"/>
  <c r="FF50" i="5"/>
  <c r="FF22" i="5"/>
  <c r="FF24" i="5"/>
  <c r="FF57" i="5"/>
  <c r="FF25" i="5"/>
  <c r="FA11" i="5"/>
  <c r="FA12" i="5"/>
  <c r="FA32" i="5"/>
  <c r="FA13" i="5"/>
  <c r="FA33" i="5"/>
  <c r="EW14" i="5"/>
  <c r="EW15" i="5"/>
  <c r="EW16" i="5"/>
  <c r="EW34" i="5"/>
  <c r="ES17" i="5"/>
  <c r="ES18" i="5"/>
  <c r="ES35" i="5"/>
  <c r="FD23" i="5"/>
  <c r="FD21" i="5"/>
  <c r="FE50" i="5"/>
  <c r="FE22" i="5"/>
  <c r="FE24" i="5"/>
  <c r="FE57" i="5"/>
  <c r="FE25" i="5"/>
  <c r="EZ11" i="5"/>
  <c r="EZ12" i="5"/>
  <c r="EZ32" i="5"/>
  <c r="EZ13" i="5"/>
  <c r="EZ33" i="5"/>
  <c r="EV14" i="5"/>
  <c r="EV15" i="5"/>
  <c r="EV16" i="5"/>
  <c r="EV34" i="5"/>
  <c r="ER17" i="5"/>
  <c r="ER18" i="5"/>
  <c r="ER35" i="5"/>
  <c r="FC23" i="5"/>
  <c r="FC21" i="5"/>
  <c r="FD50" i="5"/>
  <c r="FD22" i="5"/>
  <c r="FD24" i="5"/>
  <c r="FD57" i="5"/>
  <c r="FD25" i="5"/>
  <c r="EY11" i="5"/>
  <c r="EY12" i="5"/>
  <c r="EY32" i="5"/>
  <c r="EY13" i="5"/>
  <c r="EY33" i="5"/>
  <c r="EU14" i="5"/>
  <c r="EU15" i="5"/>
  <c r="EU16" i="5"/>
  <c r="EU34" i="5"/>
  <c r="EQ17" i="5"/>
  <c r="EQ18" i="5"/>
  <c r="EQ35" i="5"/>
  <c r="FB23" i="5"/>
  <c r="FB21" i="5"/>
  <c r="FC50" i="5"/>
  <c r="FC22" i="5"/>
  <c r="FC24" i="5"/>
  <c r="FC57" i="5"/>
  <c r="FC25" i="5"/>
  <c r="EX11" i="5"/>
  <c r="EX12" i="5"/>
  <c r="EX32" i="5"/>
  <c r="EX13" i="5"/>
  <c r="EX33" i="5"/>
  <c r="ET14" i="5"/>
  <c r="ET15" i="5"/>
  <c r="ET16" i="5"/>
  <c r="ET34" i="5"/>
  <c r="EP17" i="5"/>
  <c r="EP18" i="5"/>
  <c r="EP35" i="5"/>
  <c r="FA23" i="5"/>
  <c r="FA21" i="5"/>
  <c r="FB50" i="5"/>
  <c r="FB22" i="5"/>
  <c r="FB24" i="5"/>
  <c r="FB57" i="5"/>
  <c r="FB25" i="5"/>
  <c r="EW11" i="5"/>
  <c r="EW12" i="5"/>
  <c r="EW32" i="5"/>
  <c r="EW13" i="5"/>
  <c r="EW33" i="5"/>
  <c r="ES14" i="5"/>
  <c r="ES15" i="5"/>
  <c r="ES16" i="5"/>
  <c r="ES34" i="5"/>
  <c r="EO17" i="5"/>
  <c r="EO18" i="5"/>
  <c r="EO35" i="5"/>
  <c r="EZ23" i="5"/>
  <c r="EZ21" i="5"/>
  <c r="FA50" i="5"/>
  <c r="FA22" i="5"/>
  <c r="FA24" i="5"/>
  <c r="FA57" i="5"/>
  <c r="FA25" i="5"/>
  <c r="EV11" i="5"/>
  <c r="EV12" i="5"/>
  <c r="EV32" i="5"/>
  <c r="EV13" i="5"/>
  <c r="EV33" i="5"/>
  <c r="ER14" i="5"/>
  <c r="ER15" i="5"/>
  <c r="ER16" i="5"/>
  <c r="ER34" i="5"/>
  <c r="EN17" i="5"/>
  <c r="EN18" i="5"/>
  <c r="EN35" i="5"/>
  <c r="EY23" i="5"/>
  <c r="EY21" i="5"/>
  <c r="EZ50" i="5"/>
  <c r="EZ22" i="5"/>
  <c r="EZ24" i="5"/>
  <c r="EZ57" i="5"/>
  <c r="EZ25" i="5"/>
  <c r="EU11" i="5"/>
  <c r="EU12" i="5"/>
  <c r="EU32" i="5"/>
  <c r="EU13" i="5"/>
  <c r="EU33" i="5"/>
  <c r="EQ14" i="5"/>
  <c r="EQ15" i="5"/>
  <c r="EQ16" i="5"/>
  <c r="EQ34" i="5"/>
  <c r="EM17" i="5"/>
  <c r="EM18" i="5"/>
  <c r="EM35" i="5"/>
  <c r="EX23" i="5"/>
  <c r="EX21" i="5"/>
  <c r="EY50" i="5"/>
  <c r="EY22" i="5"/>
  <c r="EY24" i="5"/>
  <c r="EY57" i="5"/>
  <c r="EY25" i="5"/>
  <c r="ET11" i="5"/>
  <c r="ET12" i="5"/>
  <c r="ET32" i="5"/>
  <c r="ET13" i="5"/>
  <c r="ET33" i="5"/>
  <c r="EP14" i="5"/>
  <c r="EP15" i="5"/>
  <c r="EP16" i="5"/>
  <c r="EP34" i="5"/>
  <c r="EL17" i="5"/>
  <c r="EL18" i="5"/>
  <c r="EL35" i="5"/>
  <c r="EW23" i="5"/>
  <c r="EW21" i="5"/>
  <c r="EX50" i="5"/>
  <c r="EX22" i="5"/>
  <c r="EX24" i="5"/>
  <c r="EX57" i="5"/>
  <c r="EX25" i="5"/>
  <c r="ES11" i="5"/>
  <c r="ES12" i="5"/>
  <c r="ES32" i="5"/>
  <c r="ES13" i="5"/>
  <c r="ES33" i="5"/>
  <c r="EO14" i="5"/>
  <c r="EO15" i="5"/>
  <c r="EO16" i="5"/>
  <c r="EO34" i="5"/>
  <c r="EK17" i="5"/>
  <c r="EK18" i="5"/>
  <c r="EK35" i="5"/>
  <c r="EV23" i="5"/>
  <c r="EV21" i="5"/>
  <c r="EW50" i="5"/>
  <c r="EW22" i="5"/>
  <c r="EW24" i="5"/>
  <c r="EW57" i="5"/>
  <c r="EW25" i="5"/>
  <c r="ER11" i="5"/>
  <c r="ER12" i="5"/>
  <c r="ER32" i="5"/>
  <c r="ER13" i="5"/>
  <c r="ER33" i="5"/>
  <c r="EN14" i="5"/>
  <c r="EN15" i="5"/>
  <c r="EN16" i="5"/>
  <c r="EN34" i="5"/>
  <c r="EJ17" i="5"/>
  <c r="EJ18" i="5"/>
  <c r="EJ35" i="5"/>
  <c r="EU23" i="5"/>
  <c r="EU21" i="5"/>
  <c r="EV50" i="5"/>
  <c r="EV22" i="5"/>
  <c r="EV24" i="5"/>
  <c r="EV57" i="5"/>
  <c r="EV25" i="5"/>
  <c r="EQ11" i="5"/>
  <c r="EQ12" i="5"/>
  <c r="EQ32" i="5"/>
  <c r="EQ13" i="5"/>
  <c r="EQ33" i="5"/>
  <c r="EM14" i="5"/>
  <c r="EM15" i="5"/>
  <c r="EM16" i="5"/>
  <c r="EM34" i="5"/>
  <c r="EI17" i="5"/>
  <c r="EI18" i="5"/>
  <c r="EI35" i="5"/>
  <c r="ET23" i="5"/>
  <c r="ET21" i="5"/>
  <c r="EU50" i="5"/>
  <c r="EU22" i="5"/>
  <c r="EU24" i="5"/>
  <c r="EU57" i="5"/>
  <c r="EU25" i="5"/>
  <c r="EP11" i="5"/>
  <c r="EP12" i="5"/>
  <c r="EP32" i="5"/>
  <c r="EP13" i="5"/>
  <c r="EP33" i="5"/>
  <c r="EL14" i="5"/>
  <c r="EL15" i="5"/>
  <c r="EL16" i="5"/>
  <c r="EL34" i="5"/>
  <c r="EH17" i="5"/>
  <c r="EH18" i="5"/>
  <c r="EH35" i="5"/>
  <c r="ES23" i="5"/>
  <c r="ES21" i="5"/>
  <c r="ET50" i="5"/>
  <c r="ET22" i="5"/>
  <c r="ET24" i="5"/>
  <c r="ET57" i="5"/>
  <c r="ET25" i="5"/>
  <c r="EO11" i="5"/>
  <c r="EO12" i="5"/>
  <c r="EO32" i="5"/>
  <c r="EO13" i="5"/>
  <c r="EO33" i="5"/>
  <c r="EK14" i="5"/>
  <c r="EK15" i="5"/>
  <c r="EK16" i="5"/>
  <c r="EK34" i="5"/>
  <c r="EG17" i="5"/>
  <c r="EG18" i="5"/>
  <c r="EG35" i="5"/>
  <c r="ER23" i="5"/>
  <c r="ER21" i="5"/>
  <c r="ES50" i="5"/>
  <c r="ES22" i="5"/>
  <c r="ES24" i="5"/>
  <c r="ES57" i="5"/>
  <c r="ES25" i="5"/>
  <c r="EN11" i="5"/>
  <c r="EN12" i="5"/>
  <c r="EN32" i="5"/>
  <c r="EN13" i="5"/>
  <c r="EN33" i="5"/>
  <c r="EJ14" i="5"/>
  <c r="EJ15" i="5"/>
  <c r="EJ16" i="5"/>
  <c r="EJ34" i="5"/>
  <c r="EF17" i="5"/>
  <c r="EF18" i="5"/>
  <c r="EF35" i="5"/>
  <c r="EQ23" i="5"/>
  <c r="EQ21" i="5"/>
  <c r="ER50" i="5"/>
  <c r="ER22" i="5"/>
  <c r="ER24" i="5"/>
  <c r="ER57" i="5"/>
  <c r="ER25" i="5"/>
  <c r="EM11" i="5"/>
  <c r="EM12" i="5"/>
  <c r="EM32" i="5"/>
  <c r="EM13" i="5"/>
  <c r="EM33" i="5"/>
  <c r="EI14" i="5"/>
  <c r="EI15" i="5"/>
  <c r="EI16" i="5"/>
  <c r="EI34" i="5"/>
  <c r="EE17" i="5"/>
  <c r="EE18" i="5"/>
  <c r="EE35" i="5"/>
  <c r="EP23" i="5"/>
  <c r="EP21" i="5"/>
  <c r="EQ50" i="5"/>
  <c r="EQ22" i="5"/>
  <c r="EQ24" i="5"/>
  <c r="EQ57" i="5"/>
  <c r="EQ25" i="5"/>
  <c r="EL11" i="5"/>
  <c r="EL12" i="5"/>
  <c r="EL32" i="5"/>
  <c r="EL13" i="5"/>
  <c r="EL33" i="5"/>
  <c r="EH14" i="5"/>
  <c r="EH15" i="5"/>
  <c r="EH16" i="5"/>
  <c r="EH34" i="5"/>
  <c r="ED17" i="5"/>
  <c r="ED18" i="5"/>
  <c r="ED35" i="5"/>
  <c r="EO23" i="5"/>
  <c r="EO21" i="5"/>
  <c r="EP50" i="5"/>
  <c r="EP22" i="5"/>
  <c r="EP24" i="5"/>
  <c r="EP57" i="5"/>
  <c r="EP25" i="5"/>
  <c r="EK11" i="5"/>
  <c r="EK12" i="5"/>
  <c r="EK32" i="5"/>
  <c r="EK13" i="5"/>
  <c r="EK33" i="5"/>
  <c r="EG14" i="5"/>
  <c r="EG15" i="5"/>
  <c r="EG16" i="5"/>
  <c r="EG34" i="5"/>
  <c r="EC17" i="5"/>
  <c r="EC18" i="5"/>
  <c r="EC35" i="5"/>
  <c r="EN23" i="5"/>
  <c r="EN21" i="5"/>
  <c r="EO50" i="5"/>
  <c r="EO22" i="5"/>
  <c r="EO24" i="5"/>
  <c r="EO57" i="5"/>
  <c r="EO25" i="5"/>
  <c r="EJ11" i="5"/>
  <c r="EJ12" i="5"/>
  <c r="EJ32" i="5"/>
  <c r="EJ13" i="5"/>
  <c r="EJ33" i="5"/>
  <c r="EF14" i="5"/>
  <c r="EF15" i="5"/>
  <c r="EF16" i="5"/>
  <c r="EF34" i="5"/>
  <c r="EB17" i="5"/>
  <c r="EB18" i="5"/>
  <c r="EB35" i="5"/>
  <c r="EM23" i="5"/>
  <c r="EM21" i="5"/>
  <c r="EN50" i="5"/>
  <c r="EN22" i="5"/>
  <c r="EN24" i="5"/>
  <c r="EN57" i="5"/>
  <c r="EN25" i="5"/>
  <c r="EI11" i="5"/>
  <c r="EI12" i="5"/>
  <c r="EI32" i="5"/>
  <c r="EI13" i="5"/>
  <c r="EI33" i="5"/>
  <c r="EE14" i="5"/>
  <c r="EE15" i="5"/>
  <c r="EE16" i="5"/>
  <c r="EE34" i="5"/>
  <c r="EA17" i="5"/>
  <c r="EA18" i="5"/>
  <c r="EA35" i="5"/>
  <c r="EL23" i="5"/>
  <c r="EL21" i="5"/>
  <c r="EM50" i="5"/>
  <c r="EM22" i="5"/>
  <c r="EM24" i="5"/>
  <c r="EM57" i="5"/>
  <c r="EM25" i="5"/>
  <c r="EH11" i="5"/>
  <c r="EH12" i="5"/>
  <c r="EH32" i="5"/>
  <c r="EH13" i="5"/>
  <c r="EH33" i="5"/>
  <c r="ED14" i="5"/>
  <c r="ED15" i="5"/>
  <c r="ED16" i="5"/>
  <c r="ED34" i="5"/>
  <c r="DZ17" i="5"/>
  <c r="DZ18" i="5"/>
  <c r="DZ35" i="5"/>
  <c r="EK23" i="5"/>
  <c r="EK21" i="5"/>
  <c r="EL50" i="5"/>
  <c r="EL22" i="5"/>
  <c r="EL24" i="5"/>
  <c r="EL57" i="5"/>
  <c r="EL25" i="5"/>
  <c r="EG11" i="5"/>
  <c r="EG12" i="5"/>
  <c r="EG32" i="5"/>
  <c r="EG13" i="5"/>
  <c r="EG33" i="5"/>
  <c r="EC14" i="5"/>
  <c r="EC15" i="5"/>
  <c r="EC16" i="5"/>
  <c r="EC34" i="5"/>
  <c r="DY17" i="5"/>
  <c r="DY18" i="5"/>
  <c r="DY35" i="5"/>
  <c r="EJ23" i="5"/>
  <c r="EJ21" i="5"/>
  <c r="EK50" i="5"/>
  <c r="EK22" i="5"/>
  <c r="EK24" i="5"/>
  <c r="EK57" i="5"/>
  <c r="EK25" i="5"/>
  <c r="EF11" i="5"/>
  <c r="EF12" i="5"/>
  <c r="EF32" i="5"/>
  <c r="EF13" i="5"/>
  <c r="EF33" i="5"/>
  <c r="EB14" i="5"/>
  <c r="EB15" i="5"/>
  <c r="EB16" i="5"/>
  <c r="EB34" i="5"/>
  <c r="DX17" i="5"/>
  <c r="DX18" i="5"/>
  <c r="DX35" i="5"/>
  <c r="EI23" i="5"/>
  <c r="EI21" i="5"/>
  <c r="EJ50" i="5"/>
  <c r="EJ22" i="5"/>
  <c r="EJ24" i="5"/>
  <c r="EJ57" i="5"/>
  <c r="EJ25" i="5"/>
  <c r="EE11" i="5"/>
  <c r="EE12" i="5"/>
  <c r="EE32" i="5"/>
  <c r="EE13" i="5"/>
  <c r="EE33" i="5"/>
  <c r="EA14" i="5"/>
  <c r="EA15" i="5"/>
  <c r="EA16" i="5"/>
  <c r="EA34" i="5"/>
  <c r="DW17" i="5"/>
  <c r="DW18" i="5"/>
  <c r="DW35" i="5"/>
  <c r="EH23" i="5"/>
  <c r="EH21" i="5"/>
  <c r="EI50" i="5"/>
  <c r="EI22" i="5"/>
  <c r="EI24" i="5"/>
  <c r="EI57" i="5"/>
  <c r="EI25" i="5"/>
  <c r="ED11" i="5"/>
  <c r="ED12" i="5"/>
  <c r="ED32" i="5"/>
  <c r="ED13" i="5"/>
  <c r="ED33" i="5"/>
  <c r="DZ14" i="5"/>
  <c r="DZ15" i="5"/>
  <c r="DZ16" i="5"/>
  <c r="DZ34" i="5"/>
  <c r="DV17" i="5"/>
  <c r="DV18" i="5"/>
  <c r="DV35" i="5"/>
  <c r="EG23" i="5"/>
  <c r="EG21" i="5"/>
  <c r="EH50" i="5"/>
  <c r="EH22" i="5"/>
  <c r="EH24" i="5"/>
  <c r="EH57" i="5"/>
  <c r="EH25" i="5"/>
  <c r="EC11" i="5"/>
  <c r="EC12" i="5"/>
  <c r="EC32" i="5"/>
  <c r="EC13" i="5"/>
  <c r="EC33" i="5"/>
  <c r="DY14" i="5"/>
  <c r="DY15" i="5"/>
  <c r="DY16" i="5"/>
  <c r="DY34" i="5"/>
  <c r="DU17" i="5"/>
  <c r="DU18" i="5"/>
  <c r="DU35" i="5"/>
  <c r="EF23" i="5"/>
  <c r="EF21" i="5"/>
  <c r="EG50" i="5"/>
  <c r="EG22" i="5"/>
  <c r="EG24" i="5"/>
  <c r="EG57" i="5"/>
  <c r="EG25" i="5"/>
  <c r="EB11" i="5"/>
  <c r="EB12" i="5"/>
  <c r="EB32" i="5"/>
  <c r="EB13" i="5"/>
  <c r="EB33" i="5"/>
  <c r="DX14" i="5"/>
  <c r="DX15" i="5"/>
  <c r="DX16" i="5"/>
  <c r="DX34" i="5"/>
  <c r="DT17" i="5"/>
  <c r="DT18" i="5"/>
  <c r="DT35" i="5"/>
  <c r="EE23" i="5"/>
  <c r="EE21" i="5"/>
  <c r="EF50" i="5"/>
  <c r="EF22" i="5"/>
  <c r="EF24" i="5"/>
  <c r="EF57" i="5"/>
  <c r="EF25" i="5"/>
  <c r="EA11" i="5"/>
  <c r="EA12" i="5"/>
  <c r="EA32" i="5"/>
  <c r="EA13" i="5"/>
  <c r="EA33" i="5"/>
  <c r="DW14" i="5"/>
  <c r="DW15" i="5"/>
  <c r="DW16" i="5"/>
  <c r="DW34" i="5"/>
  <c r="DS17" i="5"/>
  <c r="DS18" i="5"/>
  <c r="DS35" i="5"/>
  <c r="ED23" i="5"/>
  <c r="ED21" i="5"/>
  <c r="EE50" i="5"/>
  <c r="EE22" i="5"/>
  <c r="EE24" i="5"/>
  <c r="EE57" i="5"/>
  <c r="EE25" i="5"/>
  <c r="DZ11" i="5"/>
  <c r="DZ12" i="5"/>
  <c r="DZ32" i="5"/>
  <c r="DZ13" i="5"/>
  <c r="DZ33" i="5"/>
  <c r="DV14" i="5"/>
  <c r="DV15" i="5"/>
  <c r="DV16" i="5"/>
  <c r="DV34" i="5"/>
  <c r="DR17" i="5"/>
  <c r="DR18" i="5"/>
  <c r="DR35" i="5"/>
  <c r="EC23" i="5"/>
  <c r="EC21" i="5"/>
  <c r="ED50" i="5"/>
  <c r="ED22" i="5"/>
  <c r="ED24" i="5"/>
  <c r="ED57" i="5"/>
  <c r="ED25" i="5"/>
  <c r="DY11" i="5"/>
  <c r="DY12" i="5"/>
  <c r="DY32" i="5"/>
  <c r="DY13" i="5"/>
  <c r="DY33" i="5"/>
  <c r="DU14" i="5"/>
  <c r="DU15" i="5"/>
  <c r="DU16" i="5"/>
  <c r="DU34" i="5"/>
  <c r="DQ17" i="5"/>
  <c r="DQ18" i="5"/>
  <c r="DQ35" i="5"/>
  <c r="EB23" i="5"/>
  <c r="EB21" i="5"/>
  <c r="EC50" i="5"/>
  <c r="EC22" i="5"/>
  <c r="EC24" i="5"/>
  <c r="EC57" i="5"/>
  <c r="EC25" i="5"/>
  <c r="DX11" i="5"/>
  <c r="DX12" i="5"/>
  <c r="DX32" i="5"/>
  <c r="DX13" i="5"/>
  <c r="DX33" i="5"/>
  <c r="DT14" i="5"/>
  <c r="DT15" i="5"/>
  <c r="DT16" i="5"/>
  <c r="DT34" i="5"/>
  <c r="DP17" i="5"/>
  <c r="DP18" i="5"/>
  <c r="DP35" i="5"/>
  <c r="EA23" i="5"/>
  <c r="EA21" i="5"/>
  <c r="EB50" i="5"/>
  <c r="EB22" i="5"/>
  <c r="EB24" i="5"/>
  <c r="EB57" i="5"/>
  <c r="EB25" i="5"/>
  <c r="DW11" i="5"/>
  <c r="DW12" i="5"/>
  <c r="DW32" i="5"/>
  <c r="DW13" i="5"/>
  <c r="DW33" i="5"/>
  <c r="DS14" i="5"/>
  <c r="DS15" i="5"/>
  <c r="DS16" i="5"/>
  <c r="DS34" i="5"/>
  <c r="DO17" i="5"/>
  <c r="DO18" i="5"/>
  <c r="DO35" i="5"/>
  <c r="DZ23" i="5"/>
  <c r="DZ21" i="5"/>
  <c r="EA50" i="5"/>
  <c r="EA22" i="5"/>
  <c r="EA24" i="5"/>
  <c r="EA57" i="5"/>
  <c r="EA25" i="5"/>
  <c r="DV11" i="5"/>
  <c r="DV12" i="5"/>
  <c r="DV32" i="5"/>
  <c r="DV13" i="5"/>
  <c r="DV33" i="5"/>
  <c r="DR14" i="5"/>
  <c r="DR15" i="5"/>
  <c r="DR16" i="5"/>
  <c r="DR34" i="5"/>
  <c r="DN17" i="5"/>
  <c r="DN18" i="5"/>
  <c r="DN35" i="5"/>
  <c r="DY23" i="5"/>
  <c r="DY21" i="5"/>
  <c r="DZ50" i="5"/>
  <c r="DZ22" i="5"/>
  <c r="DZ24" i="5"/>
  <c r="DZ57" i="5"/>
  <c r="DZ25" i="5"/>
  <c r="DU11" i="5"/>
  <c r="DU12" i="5"/>
  <c r="DU32" i="5"/>
  <c r="DU13" i="5"/>
  <c r="DU33" i="5"/>
  <c r="DQ14" i="5"/>
  <c r="DQ15" i="5"/>
  <c r="DQ16" i="5"/>
  <c r="DQ34" i="5"/>
  <c r="DM17" i="5"/>
  <c r="DM18" i="5"/>
  <c r="DM35" i="5"/>
  <c r="DX23" i="5"/>
  <c r="DX21" i="5"/>
  <c r="DY50" i="5"/>
  <c r="DY22" i="5"/>
  <c r="DY24" i="5"/>
  <c r="DY57" i="5"/>
  <c r="DY25" i="5"/>
  <c r="DT11" i="5"/>
  <c r="DT12" i="5"/>
  <c r="DT32" i="5"/>
  <c r="DT13" i="5"/>
  <c r="DT33" i="5"/>
  <c r="DP14" i="5"/>
  <c r="DP15" i="5"/>
  <c r="DP16" i="5"/>
  <c r="DP34" i="5"/>
  <c r="DL17" i="5"/>
  <c r="DL18" i="5"/>
  <c r="DL35" i="5"/>
  <c r="DW23" i="5"/>
  <c r="DW21" i="5"/>
  <c r="DX50" i="5"/>
  <c r="DX22" i="5"/>
  <c r="DX24" i="5"/>
  <c r="DX57" i="5"/>
  <c r="DX25" i="5"/>
  <c r="DS11" i="5"/>
  <c r="DS12" i="5"/>
  <c r="DS32" i="5"/>
  <c r="DS13" i="5"/>
  <c r="DS33" i="5"/>
  <c r="DO14" i="5"/>
  <c r="DO15" i="5"/>
  <c r="DO16" i="5"/>
  <c r="DO34" i="5"/>
  <c r="DK17" i="5"/>
  <c r="DK18" i="5"/>
  <c r="DK35" i="5"/>
  <c r="DV23" i="5"/>
  <c r="DV21" i="5"/>
  <c r="DW50" i="5"/>
  <c r="DW22" i="5"/>
  <c r="DW24" i="5"/>
  <c r="DW57" i="5"/>
  <c r="DW25" i="5"/>
  <c r="DR11" i="5"/>
  <c r="DR12" i="5"/>
  <c r="DR32" i="5"/>
  <c r="DR13" i="5"/>
  <c r="DR33" i="5"/>
  <c r="DN14" i="5"/>
  <c r="DN15" i="5"/>
  <c r="DN16" i="5"/>
  <c r="DN34" i="5"/>
  <c r="DJ17" i="5"/>
  <c r="DJ18" i="5"/>
  <c r="DJ35" i="5"/>
  <c r="DU23" i="5"/>
  <c r="DU21" i="5"/>
  <c r="DV50" i="5"/>
  <c r="DV22" i="5"/>
  <c r="DV24" i="5"/>
  <c r="DV57" i="5"/>
  <c r="DV25" i="5"/>
  <c r="DQ11" i="5"/>
  <c r="DQ12" i="5"/>
  <c r="DQ32" i="5"/>
  <c r="DQ13" i="5"/>
  <c r="DQ33" i="5"/>
  <c r="DM14" i="5"/>
  <c r="DM15" i="5"/>
  <c r="DM16" i="5"/>
  <c r="DM34" i="5"/>
  <c r="DI17" i="5"/>
  <c r="DI18" i="5"/>
  <c r="DI35" i="5"/>
  <c r="DT23" i="5"/>
  <c r="DT21" i="5"/>
  <c r="DU50" i="5"/>
  <c r="DU22" i="5"/>
  <c r="DU24" i="5"/>
  <c r="DU57" i="5"/>
  <c r="DU25" i="5"/>
  <c r="DP11" i="5"/>
  <c r="DP12" i="5"/>
  <c r="DP32" i="5"/>
  <c r="DP13" i="5"/>
  <c r="DP33" i="5"/>
  <c r="DL14" i="5"/>
  <c r="DL15" i="5"/>
  <c r="DL16" i="5"/>
  <c r="DL34" i="5"/>
  <c r="DH17" i="5"/>
  <c r="DH18" i="5"/>
  <c r="DH35" i="5"/>
  <c r="DS23" i="5"/>
  <c r="DS21" i="5"/>
  <c r="DT50" i="5"/>
  <c r="DT22" i="5"/>
  <c r="DT24" i="5"/>
  <c r="DT57" i="5"/>
  <c r="DT25" i="5"/>
  <c r="DO11" i="5"/>
  <c r="DO12" i="5"/>
  <c r="DO32" i="5"/>
  <c r="DO13" i="5"/>
  <c r="DO33" i="5"/>
  <c r="DK14" i="5"/>
  <c r="DK15" i="5"/>
  <c r="DK16" i="5"/>
  <c r="DK34" i="5"/>
  <c r="DG17" i="5"/>
  <c r="DG18" i="5"/>
  <c r="DG35" i="5"/>
  <c r="DR23" i="5"/>
  <c r="DR21" i="5"/>
  <c r="DS50" i="5"/>
  <c r="DS22" i="5"/>
  <c r="DS24" i="5"/>
  <c r="DS57" i="5"/>
  <c r="DS25" i="5"/>
  <c r="DN11" i="5"/>
  <c r="DN12" i="5"/>
  <c r="DN32" i="5"/>
  <c r="DN13" i="5"/>
  <c r="DN33" i="5"/>
  <c r="DJ14" i="5"/>
  <c r="DJ15" i="5"/>
  <c r="DJ16" i="5"/>
  <c r="DJ34" i="5"/>
  <c r="DF17" i="5"/>
  <c r="DF18" i="5"/>
  <c r="DF35" i="5"/>
  <c r="DQ23" i="5"/>
  <c r="DQ21" i="5"/>
  <c r="DR50" i="5"/>
  <c r="DR22" i="5"/>
  <c r="DR24" i="5"/>
  <c r="DR57" i="5"/>
  <c r="DR25" i="5"/>
  <c r="DM11" i="5"/>
  <c r="DM12" i="5"/>
  <c r="DM32" i="5"/>
  <c r="DM13" i="5"/>
  <c r="DM33" i="5"/>
  <c r="DI14" i="5"/>
  <c r="DI15" i="5"/>
  <c r="DI16" i="5"/>
  <c r="DI34" i="5"/>
  <c r="DE17" i="5"/>
  <c r="DE18" i="5"/>
  <c r="DE35" i="5"/>
  <c r="DP23" i="5"/>
  <c r="DP21" i="5"/>
  <c r="DQ50" i="5"/>
  <c r="DQ22" i="5"/>
  <c r="DQ24" i="5"/>
  <c r="DQ57" i="5"/>
  <c r="DQ25" i="5"/>
  <c r="DL11" i="5"/>
  <c r="DL12" i="5"/>
  <c r="DL32" i="5"/>
  <c r="DL13" i="5"/>
  <c r="DL33" i="5"/>
  <c r="DH14" i="5"/>
  <c r="DH15" i="5"/>
  <c r="DH16" i="5"/>
  <c r="DH34" i="5"/>
  <c r="DD17" i="5"/>
  <c r="DD18" i="5"/>
  <c r="DD35" i="5"/>
  <c r="DO23" i="5"/>
  <c r="DO21" i="5"/>
  <c r="DP50" i="5"/>
  <c r="DP22" i="5"/>
  <c r="DP24" i="5"/>
  <c r="DP57" i="5"/>
  <c r="DP25" i="5"/>
  <c r="GJ11" i="5"/>
  <c r="GJ32" i="5"/>
  <c r="GJ23" i="5"/>
  <c r="GJ21" i="5"/>
  <c r="GJ50" i="5"/>
  <c r="GJ22" i="5"/>
  <c r="GJ24" i="5"/>
  <c r="GJ57" i="5"/>
  <c r="GJ25" i="5"/>
  <c r="F70" i="20"/>
  <c r="E70" i="20"/>
  <c r="GI27" i="5"/>
  <c r="C70" i="20"/>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L11" i="5"/>
  <c r="L12" i="5"/>
  <c r="L32" i="5"/>
  <c r="M11" i="5"/>
  <c r="M12" i="5"/>
  <c r="M32" i="5"/>
  <c r="N11" i="5"/>
  <c r="N12" i="5"/>
  <c r="N32" i="5"/>
  <c r="O11" i="5"/>
  <c r="O12" i="5"/>
  <c r="O32" i="5"/>
  <c r="L13" i="5"/>
  <c r="L33" i="5"/>
  <c r="M13" i="5"/>
  <c r="M33" i="5"/>
  <c r="N13" i="5"/>
  <c r="N33" i="5"/>
  <c r="O13" i="5"/>
  <c r="O33"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23" i="5"/>
  <c r="O21" i="5"/>
  <c r="K11" i="5"/>
  <c r="K12" i="5"/>
  <c r="K32" i="5"/>
  <c r="K13" i="5"/>
  <c r="K33" i="5"/>
  <c r="G14" i="5"/>
  <c r="G15" i="5"/>
  <c r="G16" i="5"/>
  <c r="G34" i="5"/>
  <c r="C17" i="5"/>
  <c r="C18" i="5"/>
  <c r="C35" i="5"/>
  <c r="N23" i="5"/>
  <c r="N21" i="5"/>
  <c r="O50" i="5"/>
  <c r="O22" i="5"/>
  <c r="O24" i="5"/>
  <c r="O57" i="5"/>
  <c r="O25" i="5"/>
  <c r="C23" i="5"/>
  <c r="C21" i="5"/>
  <c r="C50" i="5"/>
  <c r="C22" i="5"/>
  <c r="C24" i="5"/>
  <c r="C57" i="5"/>
  <c r="C25" i="5"/>
  <c r="C19" i="5"/>
  <c r="C54" i="5"/>
  <c r="C64" i="5"/>
  <c r="P11" i="5"/>
  <c r="P12" i="5"/>
  <c r="P32" i="5"/>
  <c r="P13" i="5"/>
  <c r="P33" i="5"/>
  <c r="P14" i="5"/>
  <c r="P15" i="5"/>
  <c r="P16" i="5"/>
  <c r="P34" i="5"/>
  <c r="P17" i="5"/>
  <c r="P18" i="5"/>
  <c r="P35" i="5"/>
  <c r="P23" i="5"/>
  <c r="P21" i="5"/>
  <c r="P50" i="5"/>
  <c r="P22" i="5"/>
  <c r="P24" i="5"/>
  <c r="P57" i="5"/>
  <c r="S11" i="5"/>
  <c r="S12" i="5"/>
  <c r="S32" i="5"/>
  <c r="T11" i="5"/>
  <c r="T12" i="5"/>
  <c r="T32" i="5"/>
  <c r="U11" i="5"/>
  <c r="U12" i="5"/>
  <c r="U32" i="5"/>
  <c r="V11" i="5"/>
  <c r="V12" i="5"/>
  <c r="V32" i="5"/>
  <c r="S13" i="5"/>
  <c r="S33" i="5"/>
  <c r="T13" i="5"/>
  <c r="T33" i="5"/>
  <c r="U13" i="5"/>
  <c r="U33" i="5"/>
  <c r="V13" i="5"/>
  <c r="V33" i="5"/>
  <c r="V14" i="5"/>
  <c r="V15" i="5"/>
  <c r="V16" i="5"/>
  <c r="V34" i="5"/>
  <c r="U14" i="5"/>
  <c r="U15" i="5"/>
  <c r="U16" i="5"/>
  <c r="U34" i="5"/>
  <c r="Q14" i="5"/>
  <c r="Q15" i="5"/>
  <c r="Q16" i="5"/>
  <c r="Q34" i="5"/>
  <c r="R14" i="5"/>
  <c r="R15" i="5"/>
  <c r="R16" i="5"/>
  <c r="R34" i="5"/>
  <c r="S14" i="5"/>
  <c r="S15" i="5"/>
  <c r="S16" i="5"/>
  <c r="S34" i="5"/>
  <c r="T14" i="5"/>
  <c r="T15" i="5"/>
  <c r="T16" i="5"/>
  <c r="T34" i="5"/>
  <c r="Q17" i="5"/>
  <c r="Q18" i="5"/>
  <c r="Q35" i="5"/>
  <c r="R17" i="5"/>
  <c r="R18" i="5"/>
  <c r="R35" i="5"/>
  <c r="S17" i="5"/>
  <c r="S18" i="5"/>
  <c r="S35" i="5"/>
  <c r="T17" i="5"/>
  <c r="T18" i="5"/>
  <c r="T35" i="5"/>
  <c r="U17" i="5"/>
  <c r="U18" i="5"/>
  <c r="U35" i="5"/>
  <c r="V17" i="5"/>
  <c r="V18" i="5"/>
  <c r="V35" i="5"/>
  <c r="V23" i="5"/>
  <c r="V21" i="5"/>
  <c r="R11" i="5"/>
  <c r="R12" i="5"/>
  <c r="R32" i="5"/>
  <c r="R13" i="5"/>
  <c r="R33" i="5"/>
  <c r="U23" i="5"/>
  <c r="U21" i="5"/>
  <c r="V50" i="5"/>
  <c r="V22" i="5"/>
  <c r="V24" i="5"/>
  <c r="V57"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c r="GU22" i="5"/>
  <c r="GU57" i="5"/>
  <c r="GT22" i="5"/>
  <c r="GT57" i="5"/>
  <c r="GS22" i="5"/>
  <c r="GS57" i="5"/>
  <c r="GR22" i="5"/>
  <c r="GR57" i="5"/>
  <c r="GQ22" i="5"/>
  <c r="GQ57" i="5"/>
  <c r="GP22" i="5"/>
  <c r="GP57" i="5"/>
  <c r="GO22" i="5"/>
  <c r="GO57" i="5"/>
  <c r="GN22" i="5"/>
  <c r="GN57" i="5"/>
  <c r="GM22" i="5"/>
  <c r="GM57" i="5"/>
  <c r="GL22" i="5"/>
  <c r="GL57" i="5"/>
  <c r="GK22" i="5"/>
  <c r="GK57"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V35" i="5"/>
  <c r="GU17" i="5"/>
  <c r="GU35" i="5"/>
  <c r="GT17" i="5"/>
  <c r="GT35" i="5"/>
  <c r="GS17" i="5"/>
  <c r="GS35" i="5"/>
  <c r="GR17" i="5"/>
  <c r="GQ17" i="5"/>
  <c r="GQ35" i="5"/>
  <c r="GP17" i="5"/>
  <c r="GP35" i="5"/>
  <c r="GO17" i="5"/>
  <c r="GO35" i="5"/>
  <c r="GN17" i="5"/>
  <c r="GN35" i="5"/>
  <c r="GM17" i="5"/>
  <c r="GM35" i="5"/>
  <c r="GL17" i="5"/>
  <c r="GL35" i="5"/>
  <c r="GK17" i="5"/>
  <c r="GK35"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c r="GU11" i="5"/>
  <c r="GU32" i="5"/>
  <c r="GT11" i="5"/>
  <c r="GT32" i="5"/>
  <c r="GS11" i="5"/>
  <c r="GS32" i="5"/>
  <c r="GR11" i="5"/>
  <c r="GR32" i="5"/>
  <c r="GQ11" i="5"/>
  <c r="GQ32" i="5"/>
  <c r="GP11" i="5"/>
  <c r="GP32" i="5"/>
  <c r="GO11" i="5"/>
  <c r="GO32" i="5"/>
  <c r="GN11" i="5"/>
  <c r="GN32" i="5"/>
  <c r="GM11" i="5"/>
  <c r="GM32" i="5"/>
  <c r="GL11" i="5"/>
  <c r="GL32" i="5"/>
  <c r="GK11" i="5"/>
  <c r="GK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J35" i="5"/>
  <c r="GR35"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S33" i="5"/>
  <c r="GC62" i="5"/>
  <c r="GS62" i="5"/>
  <c r="GI53" i="5"/>
  <c r="GQ50" i="5"/>
  <c r="GB53" i="5"/>
  <c r="GJ54" i="5"/>
  <c r="GR53" i="5"/>
  <c r="GQ33" i="5"/>
  <c r="GQ54" i="5"/>
  <c r="GP33" i="5"/>
  <c r="FZ62" i="5"/>
  <c r="GH62" i="5"/>
  <c r="GP62" i="5"/>
  <c r="GI54" i="5"/>
  <c r="GA53" i="5"/>
  <c r="GQ53"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P64" i="5"/>
  <c r="ED62" i="5"/>
  <c r="ER62" i="5"/>
  <c r="EC62" i="5"/>
  <c r="GK64" i="5"/>
  <c r="FZ63" i="5"/>
  <c r="FZ64" i="5"/>
  <c r="GH63" i="5"/>
  <c r="GK68" i="5"/>
  <c r="GG63" i="5"/>
  <c r="AG64" i="5"/>
  <c r="GJ68" i="5"/>
  <c r="GI68" i="5"/>
  <c r="GH68" i="5"/>
  <c r="EG63" i="5"/>
  <c r="GG68" i="5"/>
  <c r="CJ63" i="5"/>
  <c r="CJ64" i="5"/>
  <c r="GF68"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EZ39" i="5"/>
  <c r="EZ38" i="5"/>
  <c r="DZ38" i="5"/>
  <c r="GG38" i="5"/>
  <c r="BS41" i="5"/>
  <c r="Y38" i="5"/>
  <c r="BR38" i="5"/>
  <c r="EM40" i="5"/>
  <c r="GH40" i="5"/>
  <c r="FM41" i="5"/>
  <c r="U41" i="5"/>
  <c r="BP38" i="5"/>
  <c r="H38" i="5"/>
  <c r="CJ38" i="5"/>
  <c r="CN41" i="5"/>
  <c r="GU41" i="5"/>
  <c r="FW41" i="5"/>
  <c r="J39" i="5"/>
  <c r="GF38" i="5"/>
  <c r="FW38" i="5"/>
  <c r="EX41" i="5"/>
  <c r="EL38" i="5"/>
  <c r="C40" i="5"/>
  <c r="AI39" i="5"/>
  <c r="EP40" i="5"/>
  <c r="GN41" i="5"/>
  <c r="DM38" i="5"/>
  <c r="DJ39" i="5"/>
  <c r="T38" i="5"/>
  <c r="AW38" i="5"/>
  <c r="BW39" i="5"/>
  <c r="GE41" i="5"/>
  <c r="FG39" i="5"/>
  <c r="EN40" i="5"/>
  <c r="EE40" i="5"/>
  <c r="FD40" i="5"/>
  <c r="AA38" i="5"/>
  <c r="BA38" i="5"/>
  <c r="CS39" i="5"/>
  <c r="J38" i="5"/>
  <c r="DA38" i="5"/>
  <c r="AT39" i="5"/>
  <c r="FD39" i="5"/>
  <c r="EB41" i="5"/>
  <c r="G38" i="5"/>
  <c r="FM38" i="5"/>
  <c r="CF39" i="5"/>
  <c r="AO39" i="5"/>
  <c r="K40" i="5"/>
  <c r="GL41" i="5"/>
  <c r="FA39" i="5"/>
  <c r="GE38" i="5"/>
  <c r="BI39" i="5"/>
  <c r="DF39" i="5"/>
  <c r="BF40" i="5"/>
  <c r="DM40" i="5"/>
  <c r="T39" i="5"/>
  <c r="CG38" i="5"/>
  <c r="ER39" i="5"/>
  <c r="DP41" i="5"/>
  <c r="L39" i="5"/>
  <c r="EQ41" i="5"/>
  <c r="DN41" i="5"/>
  <c r="CY38" i="5"/>
  <c r="DE38" i="5"/>
  <c r="CQ38" i="5"/>
  <c r="BE40" i="5"/>
  <c r="EN38" i="5"/>
  <c r="AQ38" i="5"/>
  <c r="AH40" i="5"/>
  <c r="N38" i="5"/>
  <c r="DY39" i="5"/>
  <c r="BC40" i="5"/>
  <c r="AY38" i="5"/>
  <c r="DK38" i="5"/>
  <c r="DY38" i="5"/>
  <c r="EP41" i="5"/>
  <c r="AH39" i="5"/>
  <c r="CO39" i="5"/>
  <c r="FI39" i="5"/>
  <c r="BQ38" i="5"/>
  <c r="BM39" i="5"/>
  <c r="BC39" i="5"/>
  <c r="BN38" i="5"/>
  <c r="EB39" i="5"/>
  <c r="CK41" i="5"/>
  <c r="CD39" i="5"/>
  <c r="GM40" i="5"/>
  <c r="H41" i="5"/>
  <c r="FR40" i="5"/>
  <c r="D40" i="5"/>
  <c r="BF38" i="5"/>
  <c r="AJ41" i="5"/>
  <c r="FK41" i="5"/>
  <c r="CI41" i="5"/>
  <c r="FL41" i="5"/>
  <c r="CB41" i="5"/>
  <c r="BW38" i="5"/>
  <c r="EG41" i="5"/>
  <c r="EX40" i="5"/>
  <c r="AA39" i="5"/>
  <c r="EJ39" i="5"/>
  <c r="EC39" i="5"/>
  <c r="GB38" i="5"/>
  <c r="FK39" i="5"/>
  <c r="BB41" i="5"/>
  <c r="X39" i="5"/>
  <c r="GD39" i="5"/>
  <c r="DW40" i="5"/>
  <c r="FN38" i="5"/>
  <c r="EU38" i="5"/>
  <c r="BH41" i="5"/>
  <c r="BU38" i="5"/>
  <c r="Q39" i="5"/>
  <c r="AP41" i="5"/>
  <c r="Q41" i="5"/>
  <c r="BU40" i="5"/>
  <c r="DH38" i="5"/>
  <c r="FV40" i="5"/>
  <c r="FQ40" i="5"/>
  <c r="EZ40" i="5"/>
  <c r="EF38" i="5"/>
  <c r="DQ41" i="5"/>
  <c r="AM41" i="5"/>
  <c r="F41" i="5"/>
  <c r="CH40" i="5"/>
  <c r="AW40" i="5"/>
  <c r="BV41" i="5"/>
  <c r="DD39" i="5"/>
  <c r="X41" i="5"/>
  <c r="D41" i="5"/>
  <c r="FJ39" i="5"/>
  <c r="FJ41" i="5"/>
  <c r="EJ41" i="5"/>
  <c r="DU40" i="5"/>
  <c r="FH38" i="5"/>
  <c r="DQ40" i="5"/>
  <c r="AU38" i="5"/>
  <c r="AG38" i="5"/>
  <c r="AW41" i="5"/>
  <c r="D38" i="5"/>
  <c r="DE40" i="5"/>
  <c r="CJ41" i="5"/>
  <c r="DX39" i="5"/>
  <c r="FL38" i="5"/>
  <c r="AF40" i="5"/>
  <c r="BR40" i="5"/>
  <c r="DC39" i="5"/>
  <c r="BG41" i="5"/>
  <c r="EC38" i="5"/>
  <c r="BN40" i="5"/>
  <c r="GF39" i="5"/>
  <c r="EU39" i="5"/>
  <c r="ET40" i="5"/>
  <c r="GL40" i="5"/>
  <c r="CS41" i="5"/>
  <c r="AB38" i="5"/>
  <c r="CL41" i="5"/>
  <c r="EW38" i="5"/>
  <c r="GC40" i="5"/>
  <c r="EV38" i="5"/>
  <c r="CS40" i="5"/>
  <c r="S38" i="5"/>
  <c r="DM39" i="5"/>
  <c r="AB41" i="5"/>
  <c r="O41" i="5"/>
  <c r="BO40" i="5"/>
  <c r="FO41" i="5"/>
  <c r="EE38" i="5"/>
  <c r="DJ41" i="5"/>
  <c r="AO40" i="5"/>
  <c r="CR39" i="5"/>
  <c r="DS40" i="5"/>
  <c r="BO39" i="5"/>
  <c r="ES40" i="5"/>
  <c r="AH41" i="5"/>
  <c r="J40" i="5"/>
  <c r="GO41" i="5"/>
  <c r="H40" i="5"/>
  <c r="K39" i="5"/>
  <c r="EI39" i="5"/>
  <c r="DQ38" i="5"/>
  <c r="S39" i="5"/>
  <c r="F39" i="5"/>
  <c r="AN41" i="5"/>
  <c r="FX41" i="5"/>
  <c r="DK41" i="5"/>
  <c r="GR40" i="5"/>
  <c r="Y39" i="5"/>
  <c r="EP39" i="5"/>
  <c r="AX40" i="5"/>
  <c r="BI38" i="5"/>
  <c r="DA39" i="5"/>
  <c r="DC41" i="5"/>
  <c r="DI40" i="5"/>
  <c r="AS41" i="5"/>
  <c r="AC39" i="5"/>
  <c r="BA40" i="5"/>
  <c r="GP38" i="5"/>
  <c r="E40" i="5"/>
  <c r="GJ39" i="5"/>
  <c r="DI41" i="5"/>
  <c r="GI40" i="5"/>
  <c r="FY41" i="5"/>
  <c r="FE39" i="5"/>
  <c r="EN41" i="5"/>
  <c r="EA41" i="5"/>
  <c r="BZ39" i="5"/>
  <c r="FN39" i="5"/>
  <c r="FQ39" i="5"/>
  <c r="EQ39" i="5"/>
  <c r="DX40" i="5"/>
  <c r="AA41" i="5"/>
  <c r="V39" i="5"/>
  <c r="CZ39" i="5"/>
  <c r="AR39" i="5"/>
  <c r="CW39" i="5"/>
  <c r="AZ38" i="5"/>
  <c r="F38" i="5"/>
  <c r="R41" i="5"/>
  <c r="FE40" i="5"/>
  <c r="EJ40" i="5"/>
  <c r="DQ39" i="5"/>
  <c r="ES38" i="5"/>
  <c r="BH39" i="5"/>
  <c r="GK40" i="5"/>
  <c r="EH39" i="5"/>
  <c r="EB38" i="5"/>
  <c r="FV41" i="5"/>
  <c r="FJ38" i="5"/>
  <c r="R38" i="5"/>
  <c r="CD41" i="5"/>
  <c r="AX39" i="5"/>
  <c r="GA41" i="5"/>
  <c r="DC40" i="5"/>
  <c r="GP40" i="5"/>
  <c r="BW41" i="5"/>
  <c r="GB39" i="5"/>
  <c r="GH38" i="5"/>
  <c r="FH41" i="5"/>
  <c r="EO41" i="5"/>
  <c r="CE38" i="5"/>
  <c r="FZ40" i="5"/>
  <c r="AF38" i="5"/>
  <c r="AK40" i="5"/>
  <c r="Z40" i="5"/>
  <c r="CU38" i="5"/>
  <c r="AW39" i="5"/>
  <c r="FC41" i="5"/>
  <c r="BZ38" i="5"/>
  <c r="GE39" i="5"/>
  <c r="FQ41" i="5"/>
  <c r="EW39" i="5"/>
  <c r="FT39" i="5"/>
  <c r="FW39" i="5"/>
  <c r="N41" i="5"/>
  <c r="AQ39" i="5"/>
  <c r="T40" i="5"/>
  <c r="BG39" i="5"/>
  <c r="GK39" i="5"/>
  <c r="S40" i="5"/>
  <c r="AR38" i="5"/>
  <c r="FB41" i="5"/>
  <c r="DO40" i="5"/>
  <c r="CD38" i="5"/>
  <c r="AZ40" i="5"/>
  <c r="AV40" i="5"/>
  <c r="GS39" i="5"/>
  <c r="BJ38" i="5"/>
  <c r="FB39" i="5"/>
  <c r="EA39" i="5"/>
  <c r="DC38" i="5"/>
  <c r="FB40" i="5"/>
  <c r="BG38" i="5"/>
  <c r="J41" i="5"/>
  <c r="AN38" i="5"/>
  <c r="AT40" i="5"/>
  <c r="BX39" i="5"/>
  <c r="EL41" i="5"/>
  <c r="FT41" i="5"/>
  <c r="AB39" i="5"/>
  <c r="AJ38" i="5"/>
  <c r="CY39" i="5"/>
  <c r="DE41" i="5"/>
  <c r="FF40" i="5"/>
  <c r="AM38" i="5"/>
  <c r="FW40" i="5"/>
  <c r="AN40" i="5"/>
  <c r="BJ40" i="5"/>
  <c r="DI39" i="5"/>
  <c r="BL40" i="5"/>
  <c r="GS41" i="5"/>
  <c r="AD38" i="5"/>
  <c r="GU40" i="5"/>
  <c r="DR39" i="5"/>
  <c r="BB38" i="5"/>
  <c r="CH39" i="5"/>
  <c r="EO39" i="5"/>
  <c r="AK38" i="5"/>
  <c r="BF39" i="5"/>
  <c r="BM38" i="5"/>
  <c r="BC41" i="5"/>
  <c r="ED41" i="5"/>
  <c r="AV38" i="5"/>
  <c r="BO38" i="5"/>
  <c r="EZ41" i="5"/>
  <c r="CV39" i="5"/>
  <c r="AC38" i="5"/>
  <c r="DV40" i="5"/>
  <c r="BK38" i="5"/>
  <c r="BR39" i="5"/>
  <c r="AL38" i="5"/>
  <c r="EJ38" i="5"/>
  <c r="CK39" i="5"/>
  <c r="AT41" i="5"/>
  <c r="GV39" i="5"/>
  <c r="FC39" i="5"/>
  <c r="GP39" i="5"/>
  <c r="I40" i="5"/>
  <c r="EF40" i="5"/>
  <c r="BY39" i="5"/>
  <c r="EO40" i="5"/>
  <c r="DP40" i="5"/>
  <c r="FS38" i="5"/>
  <c r="P40" i="5"/>
  <c r="CL39" i="5"/>
  <c r="BL39" i="5"/>
  <c r="GH41" i="5"/>
  <c r="FX40" i="5"/>
  <c r="FD38" i="5"/>
  <c r="EM39" i="5"/>
  <c r="DO38" i="5"/>
  <c r="AP38" i="5"/>
  <c r="GD40" i="5"/>
  <c r="GL38" i="5"/>
  <c r="CA41" i="5"/>
  <c r="CX41" i="5"/>
  <c r="CT40" i="5"/>
  <c r="FL39" i="5"/>
  <c r="FP38" i="5"/>
  <c r="EP38" i="5"/>
  <c r="DW38" i="5"/>
  <c r="BT41" i="5"/>
  <c r="U39" i="5"/>
  <c r="BK41" i="5"/>
  <c r="E38" i="5"/>
  <c r="AG41" i="5"/>
  <c r="E41" i="5"/>
  <c r="AN39" i="5"/>
  <c r="AY41" i="5"/>
  <c r="DE39" i="5"/>
  <c r="FO40" i="5"/>
  <c r="EY38" i="5"/>
  <c r="DZ41" i="5"/>
  <c r="FF39" i="5"/>
  <c r="EH38" i="5"/>
  <c r="L38" i="5"/>
  <c r="CM41" i="5"/>
  <c r="CM40" i="5"/>
  <c r="Q40" i="5"/>
  <c r="L40" i="5"/>
  <c r="P41" i="5"/>
  <c r="CY41" i="5"/>
  <c r="GH39" i="5"/>
  <c r="EV41" i="5"/>
  <c r="FA38" i="5"/>
  <c r="V41" i="5"/>
  <c r="CW38" i="5"/>
  <c r="BS40" i="5"/>
  <c r="BR41" i="5"/>
  <c r="GI38" i="5"/>
  <c r="FF41" i="5"/>
  <c r="BV38" i="5"/>
  <c r="T41" i="5"/>
  <c r="DM41" i="5"/>
  <c r="CJ40" i="5"/>
  <c r="DU38" i="5"/>
  <c r="GL39" i="5"/>
  <c r="AU41" i="5"/>
  <c r="FP40" i="5"/>
  <c r="ET38" i="5"/>
  <c r="EM41" i="5"/>
  <c r="GR41" i="5"/>
  <c r="CR41" i="5"/>
  <c r="AM39" i="5"/>
  <c r="AE39" i="5"/>
  <c r="GV38" i="5"/>
  <c r="FX38" i="5"/>
  <c r="BU39" i="5"/>
  <c r="AC40" i="5"/>
  <c r="CC38" i="5"/>
  <c r="CD40" i="5"/>
  <c r="CT38" i="5"/>
  <c r="CK38" i="5"/>
  <c r="DJ38" i="5"/>
  <c r="FE41" i="5"/>
  <c r="CP39" i="5"/>
  <c r="BN39" i="5"/>
  <c r="EE39" i="5"/>
  <c r="GM41" i="5"/>
  <c r="AO38" i="5"/>
  <c r="AC41" i="5"/>
  <c r="O39" i="5"/>
  <c r="FT40" i="5"/>
  <c r="BE38" i="5"/>
  <c r="BD39" i="5"/>
  <c r="EF41" i="5"/>
  <c r="Y40" i="5"/>
  <c r="GV41" i="5"/>
  <c r="GI39" i="5"/>
  <c r="DT38" i="5"/>
  <c r="BE41" i="5"/>
  <c r="DH39" i="5"/>
  <c r="DT40" i="5"/>
  <c r="CZ40" i="5"/>
  <c r="AQ40" i="5"/>
  <c r="DL38" i="5"/>
  <c r="GM38" i="5"/>
  <c r="GO38" i="5"/>
  <c r="AG40" i="5"/>
  <c r="AS40" i="5"/>
  <c r="DD41" i="5"/>
  <c r="GG39" i="5"/>
  <c r="DY40" i="5"/>
  <c r="FO39" i="5"/>
  <c r="EV40" i="5"/>
  <c r="CM38" i="5"/>
  <c r="DI38" i="5"/>
  <c r="M41" i="5"/>
  <c r="FS40" i="5"/>
  <c r="FA41" i="5"/>
  <c r="EG39" i="5"/>
  <c r="DS41" i="5"/>
  <c r="AS38" i="5"/>
  <c r="CP40" i="5"/>
  <c r="GP41" i="5"/>
  <c r="BF41" i="5"/>
  <c r="M40" i="5"/>
  <c r="R40" i="5"/>
  <c r="G41" i="5"/>
  <c r="EV39" i="5"/>
  <c r="ES39" i="5"/>
  <c r="DT41" i="5"/>
  <c r="GA39" i="5"/>
  <c r="BB39" i="5"/>
  <c r="DG41" i="5"/>
  <c r="BD41" i="5"/>
  <c r="CC39" i="5"/>
  <c r="FU40" i="5"/>
  <c r="BG40" i="5"/>
  <c r="DV41" i="5"/>
  <c r="AU39" i="5"/>
  <c r="BP41" i="5"/>
  <c r="GF40" i="5"/>
  <c r="CN40" i="5"/>
  <c r="EG38" i="5"/>
  <c r="GT41" i="5"/>
  <c r="DK39" i="5"/>
  <c r="EI40" i="5"/>
  <c r="FK38" i="5"/>
  <c r="DX38" i="5"/>
  <c r="BX38" i="5"/>
  <c r="DB38" i="5"/>
  <c r="AZ39" i="5"/>
  <c r="FV38" i="5"/>
  <c r="CA39" i="5"/>
  <c r="W39" i="5"/>
  <c r="CT41" i="5"/>
  <c r="EW41" i="5"/>
  <c r="DL41" i="5"/>
  <c r="Z41" i="5"/>
  <c r="BZ41" i="5"/>
  <c r="FF38" i="5"/>
  <c r="CA40" i="5"/>
  <c r="V40" i="5"/>
  <c r="DB39" i="5"/>
  <c r="EX38" i="5"/>
  <c r="CE39" i="5"/>
  <c r="ES41" i="5"/>
  <c r="BD38" i="5"/>
  <c r="BN41" i="5"/>
  <c r="GO40" i="5"/>
  <c r="FH39" i="5"/>
  <c r="GR38" i="5"/>
  <c r="W38" i="5"/>
  <c r="AV39" i="5"/>
  <c r="EY39" i="5"/>
  <c r="FS39" i="5"/>
  <c r="CQ41" i="5"/>
  <c r="FR38" i="5"/>
  <c r="DR40" i="5"/>
  <c r="CO38" i="5"/>
  <c r="GM39" i="5"/>
  <c r="CR40" i="5"/>
  <c r="ED38" i="5"/>
  <c r="AF39" i="5"/>
  <c r="BM40" i="5"/>
  <c r="BT38" i="5"/>
  <c r="DX41" i="5"/>
  <c r="H39" i="5"/>
  <c r="R39" i="5"/>
  <c r="GT38" i="5"/>
  <c r="AX41" i="5"/>
  <c r="AK39" i="5"/>
  <c r="GG40" i="5"/>
  <c r="FU38" i="5"/>
  <c r="GQ41" i="5"/>
  <c r="CF38" i="5"/>
  <c r="GT40" i="5"/>
  <c r="K41" i="5"/>
  <c r="EL40" i="5"/>
  <c r="FL40" i="5"/>
  <c r="AD40" i="5"/>
  <c r="DA40" i="5"/>
  <c r="CP38" i="5"/>
  <c r="DF40" i="5"/>
  <c r="DO41" i="5"/>
  <c r="BH40" i="5"/>
  <c r="EO38" i="5"/>
  <c r="DF41" i="5"/>
  <c r="FY38" i="5"/>
  <c r="AV41" i="5"/>
  <c r="AI38" i="5"/>
  <c r="BC38" i="5"/>
  <c r="AB40" i="5"/>
  <c r="AI41" i="5"/>
  <c r="BU41" i="5"/>
  <c r="AX38" i="5"/>
  <c r="FZ41" i="5"/>
  <c r="EH41" i="5"/>
  <c r="CU41" i="5"/>
  <c r="DJ40" i="5"/>
  <c r="DV38" i="5"/>
  <c r="BK39" i="5"/>
  <c r="EA40" i="5"/>
  <c r="DL40" i="5"/>
  <c r="GK38" i="5"/>
  <c r="CW41" i="5"/>
  <c r="FX39" i="5"/>
  <c r="CY40" i="5"/>
  <c r="GV40" i="5"/>
  <c r="DA41" i="5"/>
  <c r="BZ40" i="5"/>
  <c r="GQ39" i="5"/>
  <c r="CK40" i="5"/>
  <c r="DP39" i="5"/>
  <c r="BI40" i="5"/>
  <c r="O38" i="5"/>
  <c r="BQ41" i="5"/>
  <c r="EW40" i="5"/>
  <c r="I39" i="5"/>
  <c r="CU39" i="5"/>
  <c r="DP38" i="5"/>
  <c r="GJ38" i="5"/>
  <c r="EU40" i="5"/>
  <c r="AP40" i="5"/>
  <c r="FR41" i="5"/>
  <c r="O40" i="5"/>
  <c r="DO39" i="5"/>
  <c r="W40" i="5"/>
  <c r="GS40" i="5"/>
  <c r="FU39" i="5"/>
  <c r="AJ39" i="5"/>
  <c r="CN38" i="5"/>
  <c r="M39" i="5"/>
  <c r="AP39" i="5"/>
  <c r="ER38" i="5"/>
  <c r="FZ38" i="5"/>
  <c r="FB38" i="5"/>
  <c r="C41" i="5"/>
  <c r="CL40" i="5"/>
  <c r="CG41" i="5"/>
  <c r="DU39" i="5"/>
  <c r="AU40" i="5"/>
  <c r="DD38" i="5"/>
  <c r="BB40" i="5"/>
  <c r="GE40" i="5"/>
  <c r="CP41" i="5"/>
  <c r="AL41" i="5"/>
  <c r="M38" i="5"/>
  <c r="GB40" i="5"/>
  <c r="BY40" i="5"/>
  <c r="EI41" i="5"/>
  <c r="FI38" i="5"/>
  <c r="L41" i="5"/>
  <c r="BY41" i="5"/>
  <c r="BY38" i="5"/>
  <c r="AR40" i="5"/>
  <c r="FV39" i="5"/>
  <c r="GA40" i="5"/>
  <c r="C38" i="5"/>
  <c r="FI41" i="5"/>
  <c r="ER41" i="5"/>
  <c r="GO39" i="5"/>
  <c r="GQ38" i="5"/>
  <c r="EB40" i="5"/>
  <c r="EU41" i="5"/>
  <c r="FG40" i="5"/>
  <c r="CB40" i="5"/>
  <c r="CH41" i="5"/>
  <c r="F40" i="5"/>
  <c r="CC41" i="5"/>
  <c r="CE40" i="5"/>
  <c r="AL40" i="5"/>
  <c r="GN40" i="5"/>
  <c r="EX39" i="5"/>
  <c r="FA40" i="5"/>
  <c r="CG40" i="5"/>
  <c r="FK40" i="5"/>
  <c r="CU40" i="5"/>
  <c r="AE40" i="5"/>
  <c r="CV38" i="5"/>
  <c r="AK41" i="5"/>
  <c r="BA39" i="5"/>
  <c r="AI40" i="5"/>
  <c r="FC40" i="5"/>
  <c r="EK40" i="5"/>
  <c r="CS38" i="5"/>
  <c r="CC40" i="5"/>
  <c r="CX40" i="5"/>
  <c r="EH40" i="5"/>
  <c r="CN39" i="5"/>
  <c r="Z38" i="5"/>
  <c r="AZ41" i="5"/>
  <c r="FG38" i="5"/>
  <c r="BD40" i="5"/>
  <c r="GB41" i="5"/>
  <c r="DF38" i="5"/>
  <c r="AY39" i="5"/>
  <c r="GI41" i="5"/>
  <c r="DG40" i="5"/>
  <c r="CE41" i="5"/>
  <c r="FE38" i="5"/>
  <c r="GU39" i="5"/>
  <c r="DT39" i="5"/>
  <c r="FZ39" i="5"/>
  <c r="DW39" i="5"/>
  <c r="CZ41" i="5"/>
  <c r="GJ41" i="5"/>
  <c r="GN39" i="5"/>
  <c r="FC38" i="5"/>
  <c r="BQ40" i="5"/>
  <c r="DG38" i="5"/>
  <c r="E39" i="5"/>
  <c r="P38" i="5"/>
  <c r="DN38" i="5"/>
  <c r="AM40" i="5"/>
  <c r="CG39" i="5"/>
  <c r="EM38" i="5"/>
  <c r="DK40" i="5"/>
  <c r="BV39" i="5"/>
  <c r="DW41" i="5"/>
  <c r="GU38" i="5"/>
  <c r="BT39" i="5"/>
  <c r="CX39" i="5"/>
  <c r="GC39" i="5"/>
  <c r="DD40" i="5"/>
  <c r="FY39" i="5"/>
  <c r="GK41" i="5"/>
  <c r="BA41" i="5"/>
  <c r="ED40" i="5"/>
  <c r="BX40" i="5"/>
  <c r="EF39" i="5"/>
  <c r="GC38" i="5"/>
  <c r="DZ39" i="5"/>
  <c r="CZ38" i="5"/>
  <c r="AT38" i="5"/>
  <c r="N39" i="5"/>
  <c r="BI41" i="5"/>
  <c r="K38" i="5"/>
  <c r="AD41" i="5"/>
  <c r="BT40" i="5"/>
  <c r="CW40" i="5"/>
  <c r="CI40" i="5"/>
  <c r="I41" i="5"/>
  <c r="DB41" i="5"/>
  <c r="GD38" i="5"/>
  <c r="AS39" i="5"/>
  <c r="CO40" i="5"/>
  <c r="CV41" i="5"/>
  <c r="CF41" i="5"/>
  <c r="CA38" i="5"/>
  <c r="W41" i="5"/>
  <c r="DY41" i="5"/>
  <c r="EE41" i="5"/>
  <c r="ET39" i="5"/>
  <c r="FI40" i="5"/>
  <c r="BJ39" i="5"/>
  <c r="V38" i="5"/>
  <c r="BW40" i="5"/>
  <c r="CX38" i="5"/>
  <c r="CI39" i="5"/>
  <c r="DU41" i="5"/>
  <c r="ET41" i="5"/>
  <c r="AE38" i="5"/>
  <c r="BE39" i="5"/>
  <c r="DV39" i="5"/>
  <c r="GJ40" i="5"/>
  <c r="CQ40" i="5"/>
  <c r="CQ39" i="5"/>
  <c r="CJ39" i="5"/>
  <c r="ED39" i="5"/>
  <c r="FT38" i="5"/>
  <c r="ER40" i="5"/>
  <c r="GN38" i="5"/>
  <c r="AG39" i="5"/>
  <c r="EY41" i="5"/>
  <c r="EC40" i="5"/>
  <c r="AE41" i="5"/>
  <c r="DH40" i="5"/>
  <c r="CB38" i="5"/>
  <c r="FP41" i="5"/>
  <c r="BS38" i="5"/>
  <c r="DS38" i="5"/>
  <c r="CV40" i="5"/>
  <c r="GG41" i="5"/>
  <c r="AL39" i="5"/>
  <c r="AF41" i="5"/>
  <c r="CR38" i="5"/>
  <c r="FR39" i="5"/>
  <c r="CM39" i="5"/>
  <c r="X40" i="5"/>
  <c r="Y41" i="5"/>
  <c r="AD39" i="5"/>
  <c r="G40" i="5"/>
  <c r="FQ38" i="5"/>
  <c r="P39" i="5"/>
  <c r="EL39" i="5"/>
  <c r="BM41" i="5"/>
  <c r="G39" i="5"/>
  <c r="EK39" i="5"/>
  <c r="CH38" i="5"/>
  <c r="EN39" i="5"/>
  <c r="AA40" i="5"/>
  <c r="FN41" i="5"/>
  <c r="BP39" i="5"/>
  <c r="DG39" i="5"/>
  <c r="FP39" i="5"/>
  <c r="CT39" i="5"/>
  <c r="EI38" i="5"/>
  <c r="GS38" i="5"/>
  <c r="Z39" i="5"/>
  <c r="EC41" i="5"/>
  <c r="S41" i="5"/>
  <c r="CB39" i="5"/>
  <c r="CF40" i="5"/>
  <c r="AH38" i="5"/>
  <c r="EY40" i="5"/>
  <c r="GC41" i="5"/>
  <c r="FM39" i="5"/>
  <c r="D39" i="5"/>
  <c r="DL39" i="5"/>
  <c r="BQ39" i="5"/>
  <c r="EQ38" i="5"/>
  <c r="GT39" i="5"/>
  <c r="BL38" i="5"/>
  <c r="U38" i="5"/>
  <c r="DS39" i="5"/>
  <c r="BK40" i="5"/>
  <c r="FJ40" i="5"/>
  <c r="I38" i="5"/>
  <c r="EA38" i="5"/>
  <c r="X38" i="5"/>
  <c r="AQ41" i="5"/>
  <c r="CO41" i="5"/>
  <c r="FH40" i="5"/>
  <c r="BP40" i="5"/>
  <c r="FM40" i="5"/>
  <c r="DN39" i="5"/>
  <c r="CI38" i="5"/>
  <c r="BO41" i="5"/>
  <c r="BX41" i="5"/>
  <c r="FU41" i="5"/>
  <c r="DR38" i="5"/>
  <c r="DH41" i="5"/>
  <c r="FY40" i="5"/>
  <c r="GA38" i="5"/>
  <c r="DZ40" i="5"/>
  <c r="GD41" i="5"/>
  <c r="EQ40" i="5"/>
  <c r="BL41" i="5"/>
  <c r="BS39" i="5"/>
  <c r="GQ40" i="5"/>
  <c r="FD41" i="5"/>
  <c r="FN40" i="5"/>
  <c r="C39" i="5"/>
  <c r="CL38" i="5"/>
  <c r="GF41" i="5"/>
  <c r="AR41" i="5"/>
  <c r="EK38" i="5"/>
  <c r="GR39" i="5"/>
  <c r="N40" i="5"/>
  <c r="DN40" i="5"/>
  <c r="FO38" i="5"/>
  <c r="BJ41" i="5"/>
  <c r="DB40" i="5"/>
  <c r="DR41" i="5"/>
  <c r="FS41" i="5"/>
  <c r="FG41" i="5"/>
  <c r="EK41" i="5"/>
  <c r="BH38" i="5"/>
  <c r="Q38" i="5"/>
  <c r="AO41" i="5"/>
  <c r="BV40" i="5"/>
  <c r="AJ40" i="5"/>
  <c r="U40" i="5"/>
  <c r="EG40" i="5"/>
  <c r="AY40" i="5"/>
  <c r="Q45" i="5" l="1"/>
  <c r="Q46" i="5" s="1"/>
  <c r="Q47" i="5" s="1"/>
  <c r="BT45" i="5"/>
  <c r="BT46" i="5" s="1"/>
  <c r="BT47" i="5" s="1"/>
  <c r="GO45" i="5"/>
  <c r="GO46" i="5" s="1"/>
  <c r="GO47" i="5" s="1"/>
  <c r="CZ45" i="5"/>
  <c r="CZ46" i="5" s="1"/>
  <c r="CZ47" i="5" s="1"/>
  <c r="AY45" i="5"/>
  <c r="AY46" i="5" s="1"/>
  <c r="AY47" i="5" s="1"/>
  <c r="BC45" i="5"/>
  <c r="BC46" i="5" s="1"/>
  <c r="BC47" i="5" s="1"/>
  <c r="CX45" i="5"/>
  <c r="CX46" i="5" s="1"/>
  <c r="CX47" i="5" s="1"/>
  <c r="CV45" i="5"/>
  <c r="CV46" i="5" s="1"/>
  <c r="CV47" i="5" s="1"/>
  <c r="AR45" i="5"/>
  <c r="AR46" i="5" s="1"/>
  <c r="AR47" i="5" s="1"/>
  <c r="BZ45" i="5"/>
  <c r="BZ46" i="5" s="1"/>
  <c r="BZ47" i="5" s="1"/>
  <c r="M45" i="5"/>
  <c r="M46" i="5" s="1"/>
  <c r="M47" i="5" s="1"/>
  <c r="BD45" i="5"/>
  <c r="BD46" i="5" s="1"/>
  <c r="BD47" i="5" s="1"/>
  <c r="GV45" i="5"/>
  <c r="GV46" i="5" s="1"/>
  <c r="GV47" i="5" s="1"/>
  <c r="EW45" i="5"/>
  <c r="EW46" i="5" s="1"/>
  <c r="EW47" i="5" s="1"/>
  <c r="EW51" i="5" s="1"/>
  <c r="EW52" i="5" s="1"/>
  <c r="EW58" i="5" s="1"/>
  <c r="AM45" i="5"/>
  <c r="AM46" i="5" s="1"/>
  <c r="AM47" i="5" s="1"/>
  <c r="CG45" i="5"/>
  <c r="CG46" i="5" s="1"/>
  <c r="CG47" i="5" s="1"/>
  <c r="BM45" i="5"/>
  <c r="BM46" i="5" s="1"/>
  <c r="BM47" i="5" s="1"/>
  <c r="AW45" i="5"/>
  <c r="AW46" i="5" s="1"/>
  <c r="AW47" i="5" s="1"/>
  <c r="AX45" i="5"/>
  <c r="AX46" i="5" s="1"/>
  <c r="AX47" i="5" s="1"/>
  <c r="I45" i="5"/>
  <c r="I46" i="5" s="1"/>
  <c r="I47" i="5" s="1"/>
  <c r="N45" i="5"/>
  <c r="N46" i="5" s="1"/>
  <c r="N47" i="5" s="1"/>
  <c r="AH45" i="5"/>
  <c r="AH46" i="5" s="1"/>
  <c r="AH47" i="5" s="1"/>
  <c r="CQ45" i="5"/>
  <c r="CQ46" i="5" s="1"/>
  <c r="CQ47" i="5" s="1"/>
  <c r="EK45" i="5"/>
  <c r="EK46" i="5" s="1"/>
  <c r="EK47" i="5" s="1"/>
  <c r="BE45" i="5"/>
  <c r="BE46" i="5" s="1"/>
  <c r="BE47" i="5" s="1"/>
  <c r="AL45" i="5"/>
  <c r="AL46" i="5" s="1"/>
  <c r="AL47" i="5" s="1"/>
  <c r="BH45" i="5"/>
  <c r="BH46" i="5" s="1"/>
  <c r="BH47" i="5" s="1"/>
  <c r="CS45" i="5"/>
  <c r="CS46" i="5" s="1"/>
  <c r="CS47" i="5" s="1"/>
  <c r="U45" i="5"/>
  <c r="U46" i="5" s="1"/>
  <c r="U47" i="5" s="1"/>
  <c r="CK45" i="5"/>
  <c r="CK46" i="5" s="1"/>
  <c r="CK47" i="5" s="1"/>
  <c r="CK51" i="5" s="1"/>
  <c r="CK52" i="5" s="1"/>
  <c r="CK58" i="5" s="1"/>
  <c r="CK59" i="5" s="1"/>
  <c r="AI45" i="5"/>
  <c r="AI46" i="5" s="1"/>
  <c r="AI47" i="5" s="1"/>
  <c r="BB45" i="5"/>
  <c r="BB46" i="5" s="1"/>
  <c r="BB47" i="5" s="1"/>
  <c r="T45" i="5"/>
  <c r="T46" i="5" s="1"/>
  <c r="T47" i="5" s="1"/>
  <c r="BJ45" i="5"/>
  <c r="BJ46" i="5" s="1"/>
  <c r="BJ47" i="5" s="1"/>
  <c r="AD45" i="5"/>
  <c r="AD46" i="5" s="1"/>
  <c r="AD47" i="5" s="1"/>
  <c r="CC45" i="5"/>
  <c r="CC46" i="5" s="1"/>
  <c r="CC47" i="5" s="1"/>
  <c r="AK45" i="5"/>
  <c r="AK46" i="5" s="1"/>
  <c r="AK47" i="5" s="1"/>
  <c r="CR45" i="5"/>
  <c r="CR46" i="5" s="1"/>
  <c r="CR47" i="5" s="1"/>
  <c r="CB45" i="5"/>
  <c r="CB46" i="5" s="1"/>
  <c r="CB47" i="5" s="1"/>
  <c r="DA45" i="5"/>
  <c r="DA46" i="5" s="1"/>
  <c r="DA47" i="5" s="1"/>
  <c r="CA45" i="5"/>
  <c r="CA46" i="5" s="1"/>
  <c r="CA47" i="5" s="1"/>
  <c r="F45" i="5"/>
  <c r="F46" i="5" s="1"/>
  <c r="F47" i="5" s="1"/>
  <c r="Z45" i="5"/>
  <c r="Z46" i="5" s="1"/>
  <c r="Z47" i="5" s="1"/>
  <c r="DH45" i="5"/>
  <c r="DH46" i="5" s="1"/>
  <c r="DH47" i="5" s="1"/>
  <c r="DU45" i="5"/>
  <c r="DU46" i="5" s="1"/>
  <c r="DU47" i="5" s="1"/>
  <c r="EC45" i="5"/>
  <c r="EC46" i="5" s="1"/>
  <c r="EC47" i="5" s="1"/>
  <c r="EC51" i="5" s="1"/>
  <c r="EC52" i="5" s="1"/>
  <c r="EC58" i="5" s="1"/>
  <c r="FE45" i="5"/>
  <c r="FE46" i="5" s="1"/>
  <c r="FE47" i="5" s="1"/>
  <c r="AV45" i="5"/>
  <c r="AV46" i="5" s="1"/>
  <c r="AV47" i="5" s="1"/>
  <c r="DE45" i="5"/>
  <c r="DE46" i="5" s="1"/>
  <c r="DE47" i="5" s="1"/>
  <c r="AN45" i="5"/>
  <c r="AN46" i="5" s="1"/>
  <c r="AN47" i="5" s="1"/>
  <c r="CL45" i="5"/>
  <c r="CL46" i="5" s="1"/>
  <c r="CL47" i="5" s="1"/>
  <c r="DK45" i="5"/>
  <c r="DK46" i="5" s="1"/>
  <c r="DK47" i="5" s="1"/>
  <c r="BF45" i="5"/>
  <c r="BF46" i="5" s="1"/>
  <c r="BF47" i="5" s="1"/>
  <c r="AT45" i="5"/>
  <c r="AT46" i="5" s="1"/>
  <c r="AT47" i="5" s="1"/>
  <c r="AT51" i="5" s="1"/>
  <c r="AT52" i="5" s="1"/>
  <c r="AT58" i="5" s="1"/>
  <c r="AT59" i="5" s="1"/>
  <c r="DQ45" i="5"/>
  <c r="DQ46" i="5" s="1"/>
  <c r="DQ47" i="5" s="1"/>
  <c r="FI45" i="5"/>
  <c r="FI46" i="5" s="1"/>
  <c r="FI47" i="5" s="1"/>
  <c r="FQ45" i="5"/>
  <c r="FQ46" i="5" s="1"/>
  <c r="FQ47" i="5" s="1"/>
  <c r="AB45" i="5"/>
  <c r="AB46" i="5" s="1"/>
  <c r="AB47" i="5" s="1"/>
  <c r="AZ45" i="5"/>
  <c r="AZ46" i="5" s="1"/>
  <c r="AZ47" i="5" s="1"/>
  <c r="D45" i="5"/>
  <c r="D46" i="5" s="1"/>
  <c r="D47" i="5" s="1"/>
  <c r="CU45" i="5"/>
  <c r="CU46" i="5" s="1"/>
  <c r="CU47" i="5" s="1"/>
  <c r="AC45" i="5"/>
  <c r="AC46" i="5" s="1"/>
  <c r="AC47" i="5" s="1"/>
  <c r="AC51" i="5" s="1"/>
  <c r="AC52" i="5" s="1"/>
  <c r="AC58" i="5" s="1"/>
  <c r="AC59" i="5" s="1"/>
  <c r="DG45" i="5"/>
  <c r="DG46" i="5" s="1"/>
  <c r="DG47" i="5" s="1"/>
  <c r="J45" i="5"/>
  <c r="J46" i="5" s="1"/>
  <c r="J47" i="5" s="1"/>
  <c r="GP45" i="5"/>
  <c r="GP46" i="5" s="1"/>
  <c r="GP47" i="5" s="1"/>
  <c r="DD45" i="5"/>
  <c r="DD46" i="5" s="1"/>
  <c r="DD47" i="5" s="1"/>
  <c r="DB45" i="5"/>
  <c r="DB46" i="5" s="1"/>
  <c r="DB47" i="5" s="1"/>
  <c r="BQ45" i="5"/>
  <c r="BQ46" i="5" s="1"/>
  <c r="BQ47" i="5" s="1"/>
  <c r="DM45" i="5"/>
  <c r="DM46" i="5" s="1"/>
  <c r="DM47" i="5" s="1"/>
  <c r="CY45" i="5"/>
  <c r="CY46" i="5" s="1"/>
  <c r="CY47" i="5" s="1"/>
  <c r="DS45" i="5"/>
  <c r="DS46" i="5" s="1"/>
  <c r="DS47" i="5" s="1"/>
  <c r="GC45" i="5"/>
  <c r="GC46" i="5" s="1"/>
  <c r="GC47" i="5" s="1"/>
  <c r="DL45" i="5"/>
  <c r="DL46" i="5" s="1"/>
  <c r="DL47" i="5" s="1"/>
  <c r="BL45" i="5"/>
  <c r="BL46" i="5" s="1"/>
  <c r="BL47" i="5" s="1"/>
  <c r="CW45" i="5"/>
  <c r="CW46" i="5" s="1"/>
  <c r="CW47" i="5" s="1"/>
  <c r="BW45" i="5"/>
  <c r="BW46" i="5" s="1"/>
  <c r="BW47" i="5" s="1"/>
  <c r="CH45" i="5"/>
  <c r="CH46" i="5" s="1"/>
  <c r="CH47" i="5" s="1"/>
  <c r="CN45" i="5"/>
  <c r="CN46" i="5" s="1"/>
  <c r="CN47" i="5" s="1"/>
  <c r="CN51" i="5" s="1"/>
  <c r="CN52" i="5" s="1"/>
  <c r="CN58" i="5" s="1"/>
  <c r="CN59" i="5" s="1"/>
  <c r="GL45" i="5"/>
  <c r="GL46" i="5" s="1"/>
  <c r="GL47" i="5" s="1"/>
  <c r="V45" i="5"/>
  <c r="V46" i="5" s="1"/>
  <c r="V47" i="5" s="1"/>
  <c r="O45" i="5"/>
  <c r="O46" i="5" s="1"/>
  <c r="O47" i="5" s="1"/>
  <c r="DV45" i="5"/>
  <c r="DV46" i="5" s="1"/>
  <c r="DV47" i="5" s="1"/>
  <c r="EG45" i="5"/>
  <c r="EG46" i="5" s="1"/>
  <c r="EG47" i="5" s="1"/>
  <c r="DF45" i="5"/>
  <c r="DF46" i="5" s="1"/>
  <c r="DF47" i="5" s="1"/>
  <c r="K45" i="5"/>
  <c r="K46" i="5" s="1"/>
  <c r="K47" i="5" s="1"/>
  <c r="BI45" i="5"/>
  <c r="BI46" i="5" s="1"/>
  <c r="BI47" i="5" s="1"/>
  <c r="BI51" i="5" s="1"/>
  <c r="BI52" i="5" s="1"/>
  <c r="BI58" i="5" s="1"/>
  <c r="BI59" i="5" s="1"/>
  <c r="E45" i="5"/>
  <c r="E46" i="5" s="1"/>
  <c r="E47" i="5" s="1"/>
  <c r="BG45" i="5"/>
  <c r="BG46" i="5" s="1"/>
  <c r="BG47" i="5" s="1"/>
  <c r="DN45" i="5"/>
  <c r="DN46" i="5" s="1"/>
  <c r="DN47" i="5" s="1"/>
  <c r="CJ45" i="5"/>
  <c r="CJ46" i="5" s="1"/>
  <c r="CJ47" i="5" s="1"/>
  <c r="CO45" i="5"/>
  <c r="CO46" i="5" s="1"/>
  <c r="CO47" i="5" s="1"/>
  <c r="BY45" i="5"/>
  <c r="BY46" i="5" s="1"/>
  <c r="BY47" i="5" s="1"/>
  <c r="DY45" i="5"/>
  <c r="DY46" i="5" s="1"/>
  <c r="DY47" i="5" s="1"/>
  <c r="AJ45" i="5"/>
  <c r="AJ46" i="5" s="1"/>
  <c r="AJ47" i="5" s="1"/>
  <c r="AG45" i="5"/>
  <c r="AG46" i="5" s="1"/>
  <c r="AG47" i="5" s="1"/>
  <c r="AO45" i="5"/>
  <c r="AO46" i="5" s="1"/>
  <c r="AO47" i="5" s="1"/>
  <c r="AO51" i="5" s="1"/>
  <c r="AO52" i="5" s="1"/>
  <c r="AO58" i="5" s="1"/>
  <c r="AO59" i="5" s="1"/>
  <c r="BR45" i="5"/>
  <c r="BR46" i="5" s="1"/>
  <c r="BR47" i="5" s="1"/>
  <c r="BA45" i="5"/>
  <c r="BA46" i="5" s="1"/>
  <c r="BA47" i="5" s="1"/>
  <c r="BO45" i="5"/>
  <c r="BO46" i="5" s="1"/>
  <c r="BO47" i="5" s="1"/>
  <c r="DJ45" i="5"/>
  <c r="DJ46" i="5" s="1"/>
  <c r="DJ47" i="5" s="1"/>
  <c r="BX45" i="5"/>
  <c r="BX46" i="5" s="1"/>
  <c r="BX47" i="5" s="1"/>
  <c r="AF45" i="5"/>
  <c r="AF46" i="5" s="1"/>
  <c r="AF47" i="5" s="1"/>
  <c r="AF51" i="5" s="1"/>
  <c r="AF52" i="5" s="1"/>
  <c r="AF58" i="5" s="1"/>
  <c r="AF59" i="5" s="1"/>
  <c r="CT45" i="5"/>
  <c r="CT46" i="5" s="1"/>
  <c r="CT47" i="5" s="1"/>
  <c r="AQ45" i="5"/>
  <c r="AQ46" i="5" s="1"/>
  <c r="AQ47" i="5" s="1"/>
  <c r="S45" i="5"/>
  <c r="S46" i="5" s="1"/>
  <c r="S47" i="5" s="1"/>
  <c r="H45" i="5"/>
  <c r="H46" i="5" s="1"/>
  <c r="H47" i="5" s="1"/>
  <c r="BN45" i="5"/>
  <c r="BN46" i="5" s="1"/>
  <c r="BN47" i="5" s="1"/>
  <c r="GQ45" i="5"/>
  <c r="GQ46" i="5" s="1"/>
  <c r="GQ47" i="5" s="1"/>
  <c r="GS45" i="5"/>
  <c r="GS46" i="5" s="1"/>
  <c r="GS47" i="5" s="1"/>
  <c r="C45" i="5"/>
  <c r="C46" i="5" s="1"/>
  <c r="C47" i="5" s="1"/>
  <c r="C51" i="5" s="1"/>
  <c r="C52" i="5" s="1"/>
  <c r="C58" i="5" s="1"/>
  <c r="C59" i="5" s="1"/>
  <c r="DT45" i="5"/>
  <c r="DT46" i="5" s="1"/>
  <c r="DT47" i="5" s="1"/>
  <c r="DT51" i="5" s="1"/>
  <c r="DT52" i="5" s="1"/>
  <c r="DT58" i="5" s="1"/>
  <c r="FM45" i="5"/>
  <c r="FM46" i="5" s="1"/>
  <c r="FM47" i="5" s="1"/>
  <c r="AP45" i="5"/>
  <c r="AP46" i="5" s="1"/>
  <c r="AP47" i="5" s="1"/>
  <c r="BS45" i="5"/>
  <c r="BS46" i="5" s="1"/>
  <c r="BS47" i="5" s="1"/>
  <c r="BK45" i="5"/>
  <c r="BK46" i="5" s="1"/>
  <c r="BK47" i="5" s="1"/>
  <c r="X45" i="5"/>
  <c r="X46" i="5" s="1"/>
  <c r="X47" i="5" s="1"/>
  <c r="AE45" i="5"/>
  <c r="AE46" i="5" s="1"/>
  <c r="AE47" i="5" s="1"/>
  <c r="Y45" i="5"/>
  <c r="Y46" i="5" s="1"/>
  <c r="Y47" i="5" s="1"/>
  <c r="GN45" i="5"/>
  <c r="GN46" i="5" s="1"/>
  <c r="GN47" i="5" s="1"/>
  <c r="DP45" i="5"/>
  <c r="DP46" i="5" s="1"/>
  <c r="DP47" i="5" s="1"/>
  <c r="FA45" i="5"/>
  <c r="FA46" i="5" s="1"/>
  <c r="FA47" i="5" s="1"/>
  <c r="BU45" i="5"/>
  <c r="BU46" i="5" s="1"/>
  <c r="BU47" i="5" s="1"/>
  <c r="BU51" i="5" s="1"/>
  <c r="BU52" i="5" s="1"/>
  <c r="BU58" i="5" s="1"/>
  <c r="BU59" i="5" s="1"/>
  <c r="DI45" i="5"/>
  <c r="DI46" i="5" s="1"/>
  <c r="DI47" i="5" s="1"/>
  <c r="W45" i="5"/>
  <c r="W46" i="5" s="1"/>
  <c r="W47" i="5" s="1"/>
  <c r="CF45" i="5"/>
  <c r="CF46" i="5" s="1"/>
  <c r="CF47" i="5" s="1"/>
  <c r="BP45" i="5"/>
  <c r="BP46" i="5" s="1"/>
  <c r="BP47" i="5" s="1"/>
  <c r="BP51" i="5" s="1"/>
  <c r="BP52" i="5" s="1"/>
  <c r="BP58" i="5" s="1"/>
  <c r="BP59" i="5" s="1"/>
  <c r="CD45" i="5"/>
  <c r="CD46" i="5" s="1"/>
  <c r="CD47" i="5" s="1"/>
  <c r="AU45" i="5"/>
  <c r="AU46" i="5" s="1"/>
  <c r="AU47" i="5" s="1"/>
  <c r="AS45" i="5"/>
  <c r="AS46" i="5" s="1"/>
  <c r="AS47" i="5" s="1"/>
  <c r="AS51" i="5" s="1"/>
  <c r="AS52" i="5" s="1"/>
  <c r="AS58" i="5" s="1"/>
  <c r="AS59" i="5" s="1"/>
  <c r="AA45" i="5"/>
  <c r="AA46" i="5" s="1"/>
  <c r="AA47" i="5" s="1"/>
  <c r="GM45" i="5"/>
  <c r="GM46" i="5" s="1"/>
  <c r="GM47" i="5" s="1"/>
  <c r="GR45" i="5"/>
  <c r="GR46" i="5" s="1"/>
  <c r="GR47" i="5" s="1"/>
  <c r="GR51" i="5" s="1"/>
  <c r="GR52" i="5" s="1"/>
  <c r="GR58" i="5" s="1"/>
  <c r="GR59" i="5" s="1"/>
  <c r="GT45" i="5"/>
  <c r="GT46" i="5" s="1"/>
  <c r="GT47" i="5" s="1"/>
  <c r="DO45" i="5"/>
  <c r="DO46" i="5" s="1"/>
  <c r="DO47" i="5" s="1"/>
  <c r="DO51" i="5" s="1"/>
  <c r="DO52" i="5" s="1"/>
  <c r="DO58" i="5" s="1"/>
  <c r="DO59" i="5" s="1"/>
  <c r="EO45" i="5"/>
  <c r="EO46" i="5" s="1"/>
  <c r="EO47" i="5" s="1"/>
  <c r="FU45" i="5"/>
  <c r="FU46" i="5" s="1"/>
  <c r="FU47" i="5" s="1"/>
  <c r="R45" i="5"/>
  <c r="R46" i="5" s="1"/>
  <c r="R47" i="5" s="1"/>
  <c r="R51" i="5" s="1"/>
  <c r="R52" i="5" s="1"/>
  <c r="R58" i="5" s="1"/>
  <c r="R59" i="5" s="1"/>
  <c r="BV45" i="5"/>
  <c r="BV46" i="5" s="1"/>
  <c r="BV47" i="5" s="1"/>
  <c r="BV51" i="5" s="1"/>
  <c r="BV52" i="5" s="1"/>
  <c r="BV58" i="5" s="1"/>
  <c r="BV59" i="5" s="1"/>
  <c r="CP45" i="5"/>
  <c r="CP46" i="5" s="1"/>
  <c r="CP47" i="5" s="1"/>
  <c r="CP51" i="5" s="1"/>
  <c r="CP52" i="5" s="1"/>
  <c r="CP58" i="5" s="1"/>
  <c r="CP59" i="5" s="1"/>
  <c r="CI45" i="5"/>
  <c r="CI46" i="5" s="1"/>
  <c r="CI47" i="5" s="1"/>
  <c r="DC45" i="5"/>
  <c r="DC46" i="5" s="1"/>
  <c r="DC47" i="5" s="1"/>
  <c r="G45" i="5"/>
  <c r="G46" i="5" s="1"/>
  <c r="G47" i="5" s="1"/>
  <c r="G51" i="5" s="1"/>
  <c r="G52" i="5" s="1"/>
  <c r="G58" i="5" s="1"/>
  <c r="G59" i="5" s="1"/>
  <c r="L45" i="5"/>
  <c r="L46" i="5" s="1"/>
  <c r="L47" i="5" s="1"/>
  <c r="CE45" i="5"/>
  <c r="CE46" i="5" s="1"/>
  <c r="CE47" i="5" s="1"/>
  <c r="CM45" i="5"/>
  <c r="CM46" i="5" s="1"/>
  <c r="CM47" i="5" s="1"/>
  <c r="GU45" i="5"/>
  <c r="GU46" i="5" s="1"/>
  <c r="GU47" i="5" s="1"/>
  <c r="GK45" i="5"/>
  <c r="GK46" i="5" s="1"/>
  <c r="GK47" i="5" s="1"/>
  <c r="P45" i="5"/>
  <c r="P46" i="5" s="1"/>
  <c r="P47" i="5" s="1"/>
  <c r="P51" i="5" s="1"/>
  <c r="P52" i="5" s="1"/>
  <c r="P58" i="5" s="1"/>
  <c r="P59" i="5" s="1"/>
  <c r="GJ45" i="5"/>
  <c r="GJ46" i="5" s="1"/>
  <c r="GJ47" i="5" s="1"/>
  <c r="DR45" i="5"/>
  <c r="DR46" i="5" s="1"/>
  <c r="DR47" i="5" s="1"/>
  <c r="ES45" i="5"/>
  <c r="ES46" i="5" s="1"/>
  <c r="ES47" i="5" s="1"/>
  <c r="FY45" i="5"/>
  <c r="FY46" i="5" s="1"/>
  <c r="FY47" i="5" s="1"/>
  <c r="ED45" i="5"/>
  <c r="ED46" i="5" s="1"/>
  <c r="ED47" i="5" s="1"/>
  <c r="EL45" i="5"/>
  <c r="EL46" i="5" s="1"/>
  <c r="EL47" i="5" s="1"/>
  <c r="ET45" i="5"/>
  <c r="ET46" i="5" s="1"/>
  <c r="ET47" i="5" s="1"/>
  <c r="FB45" i="5"/>
  <c r="FB46" i="5" s="1"/>
  <c r="FB47" i="5" s="1"/>
  <c r="FB51" i="5" s="1"/>
  <c r="FB52" i="5" s="1"/>
  <c r="FB58" i="5" s="1"/>
  <c r="FJ45" i="5"/>
  <c r="FJ46" i="5" s="1"/>
  <c r="FJ47" i="5" s="1"/>
  <c r="FR45" i="5"/>
  <c r="FR46" i="5" s="1"/>
  <c r="FR47" i="5" s="1"/>
  <c r="FR51" i="5" s="1"/>
  <c r="FR52" i="5" s="1"/>
  <c r="FR58" i="5" s="1"/>
  <c r="FZ45" i="5"/>
  <c r="FZ46" i="5" s="1"/>
  <c r="FZ47" i="5" s="1"/>
  <c r="GG45" i="5"/>
  <c r="GG46" i="5" s="1"/>
  <c r="GG47" i="5" s="1"/>
  <c r="GE45" i="5"/>
  <c r="GE46" i="5" s="1"/>
  <c r="GE47" i="5" s="1"/>
  <c r="DW45" i="5"/>
  <c r="DW46" i="5" s="1"/>
  <c r="DW47" i="5" s="1"/>
  <c r="DW51" i="5" s="1"/>
  <c r="DW52" i="5" s="1"/>
  <c r="DW58" i="5" s="1"/>
  <c r="EE45" i="5"/>
  <c r="EE46" i="5" s="1"/>
  <c r="EE47" i="5" s="1"/>
  <c r="EM45" i="5"/>
  <c r="EM46" i="5" s="1"/>
  <c r="EM47" i="5" s="1"/>
  <c r="EU45" i="5"/>
  <c r="EU46" i="5" s="1"/>
  <c r="EU47" i="5" s="1"/>
  <c r="FC45" i="5"/>
  <c r="FC46" i="5" s="1"/>
  <c r="FC47" i="5" s="1"/>
  <c r="FK45" i="5"/>
  <c r="FK46" i="5" s="1"/>
  <c r="FK47" i="5" s="1"/>
  <c r="FS45" i="5"/>
  <c r="FS46" i="5" s="1"/>
  <c r="FS47" i="5" s="1"/>
  <c r="GA45" i="5"/>
  <c r="GA46" i="5" s="1"/>
  <c r="GA47" i="5" s="1"/>
  <c r="DX45" i="5"/>
  <c r="DX46" i="5" s="1"/>
  <c r="DX47" i="5" s="1"/>
  <c r="EF45" i="5"/>
  <c r="EF46" i="5" s="1"/>
  <c r="EF47" i="5" s="1"/>
  <c r="EF51" i="5" s="1"/>
  <c r="EF52" i="5" s="1"/>
  <c r="EF58" i="5" s="1"/>
  <c r="EN45" i="5"/>
  <c r="EN46" i="5" s="1"/>
  <c r="EN47" i="5" s="1"/>
  <c r="EN51" i="5" s="1"/>
  <c r="EN52" i="5" s="1"/>
  <c r="EN58" i="5" s="1"/>
  <c r="EV45" i="5"/>
  <c r="EV46" i="5" s="1"/>
  <c r="EV47" i="5" s="1"/>
  <c r="EV51" i="5" s="1"/>
  <c r="EV52" i="5" s="1"/>
  <c r="EV58" i="5" s="1"/>
  <c r="FD45" i="5"/>
  <c r="FD46" i="5" s="1"/>
  <c r="FD47" i="5" s="1"/>
  <c r="FD51" i="5" s="1"/>
  <c r="FD52" i="5" s="1"/>
  <c r="FD58" i="5" s="1"/>
  <c r="FL45" i="5"/>
  <c r="FL46" i="5" s="1"/>
  <c r="FL47" i="5" s="1"/>
  <c r="FL51" i="5" s="1"/>
  <c r="FL52" i="5" s="1"/>
  <c r="FL58" i="5" s="1"/>
  <c r="FT45" i="5"/>
  <c r="FT46" i="5" s="1"/>
  <c r="FT47" i="5" s="1"/>
  <c r="GB45" i="5"/>
  <c r="GB46" i="5" s="1"/>
  <c r="GB47" i="5" s="1"/>
  <c r="GB51" i="5" s="1"/>
  <c r="GB52" i="5" s="1"/>
  <c r="GB58" i="5" s="1"/>
  <c r="DZ45" i="5"/>
  <c r="DZ46" i="5" s="1"/>
  <c r="DZ47" i="5" s="1"/>
  <c r="EH45" i="5"/>
  <c r="EH46" i="5" s="1"/>
  <c r="EH47" i="5" s="1"/>
  <c r="EH51" i="5" s="1"/>
  <c r="EH52" i="5" s="1"/>
  <c r="EH58" i="5" s="1"/>
  <c r="EP45" i="5"/>
  <c r="EP46" i="5" s="1"/>
  <c r="EP47" i="5" s="1"/>
  <c r="EX45" i="5"/>
  <c r="EX46" i="5" s="1"/>
  <c r="EX47" i="5" s="1"/>
  <c r="FF45" i="5"/>
  <c r="FF46" i="5" s="1"/>
  <c r="FF47" i="5" s="1"/>
  <c r="FN45" i="5"/>
  <c r="FN46" i="5" s="1"/>
  <c r="FN47" i="5" s="1"/>
  <c r="FV45" i="5"/>
  <c r="FV46" i="5" s="1"/>
  <c r="FV47" i="5" s="1"/>
  <c r="FV51" i="5" s="1"/>
  <c r="FV52" i="5" s="1"/>
  <c r="FV58" i="5" s="1"/>
  <c r="GD45" i="5"/>
  <c r="GD46" i="5" s="1"/>
  <c r="GD47" i="5" s="1"/>
  <c r="EA45" i="5"/>
  <c r="EA46" i="5" s="1"/>
  <c r="EA47" i="5" s="1"/>
  <c r="EA51" i="5" s="1"/>
  <c r="EA52" i="5" s="1"/>
  <c r="EA58" i="5" s="1"/>
  <c r="EI45" i="5"/>
  <c r="EI46" i="5" s="1"/>
  <c r="EI47" i="5" s="1"/>
  <c r="EI51" i="5" s="1"/>
  <c r="EI52" i="5" s="1"/>
  <c r="EI58" i="5" s="1"/>
  <c r="EQ45" i="5"/>
  <c r="EQ46" i="5" s="1"/>
  <c r="EQ47" i="5" s="1"/>
  <c r="EQ51" i="5" s="1"/>
  <c r="EQ52" i="5" s="1"/>
  <c r="EQ58" i="5" s="1"/>
  <c r="EY45" i="5"/>
  <c r="EY46" i="5" s="1"/>
  <c r="EY47" i="5" s="1"/>
  <c r="EY51" i="5" s="1"/>
  <c r="EY52" i="5" s="1"/>
  <c r="EY58" i="5" s="1"/>
  <c r="FG45" i="5"/>
  <c r="FG46" i="5" s="1"/>
  <c r="FG47" i="5" s="1"/>
  <c r="FG51" i="5" s="1"/>
  <c r="FG52" i="5" s="1"/>
  <c r="FG58" i="5" s="1"/>
  <c r="FO45" i="5"/>
  <c r="FO46" i="5" s="1"/>
  <c r="FO47" i="5" s="1"/>
  <c r="FW45" i="5"/>
  <c r="FW46" i="5" s="1"/>
  <c r="FW47" i="5" s="1"/>
  <c r="FW51" i="5" s="1"/>
  <c r="FW52" i="5" s="1"/>
  <c r="FW58" i="5" s="1"/>
  <c r="EB45" i="5"/>
  <c r="EB46" i="5" s="1"/>
  <c r="EB47" i="5" s="1"/>
  <c r="EJ45" i="5"/>
  <c r="EJ46" i="5" s="1"/>
  <c r="EJ47" i="5" s="1"/>
  <c r="ER45" i="5"/>
  <c r="ER46" i="5" s="1"/>
  <c r="ER47" i="5" s="1"/>
  <c r="EZ45" i="5"/>
  <c r="EZ46" i="5" s="1"/>
  <c r="EZ47" i="5" s="1"/>
  <c r="FH45" i="5"/>
  <c r="FH46" i="5" s="1"/>
  <c r="FH47" i="5" s="1"/>
  <c r="FP45" i="5"/>
  <c r="FP46" i="5" s="1"/>
  <c r="FP47" i="5" s="1"/>
  <c r="FX45" i="5"/>
  <c r="FX46" i="5" s="1"/>
  <c r="FX47" i="5" s="1"/>
  <c r="GH45" i="5"/>
  <c r="GH46" i="5" s="1"/>
  <c r="GH47" i="5" s="1"/>
  <c r="GH51" i="5" s="1"/>
  <c r="GH52" i="5" s="1"/>
  <c r="GH58" i="5" s="1"/>
  <c r="GF45" i="5"/>
  <c r="GF46" i="5" s="1"/>
  <c r="GF47" i="5" s="1"/>
  <c r="GF51" i="5" s="1"/>
  <c r="GF52" i="5" s="1"/>
  <c r="GF58" i="5" s="1"/>
  <c r="GI45" i="5"/>
  <c r="GI46" i="5" s="1"/>
  <c r="GI47" i="5" s="1"/>
  <c r="DC51" i="5" l="1"/>
  <c r="DC52" i="5" s="1"/>
  <c r="DC58" i="5" s="1"/>
  <c r="DC59" i="5" s="1"/>
  <c r="AE51" i="5"/>
  <c r="AE52" i="5" s="1"/>
  <c r="AE58" i="5" s="1"/>
  <c r="AE59" i="5" s="1"/>
  <c r="BN51" i="5"/>
  <c r="BN52" i="5" s="1"/>
  <c r="BN58" i="5" s="1"/>
  <c r="BN59" i="5" s="1"/>
  <c r="BN70" i="5" s="1"/>
  <c r="EM51" i="5"/>
  <c r="EM52" i="5" s="1"/>
  <c r="EM58" i="5" s="1"/>
  <c r="G22" i="20" s="1"/>
  <c r="GQ51" i="5"/>
  <c r="GQ52" i="5" s="1"/>
  <c r="GQ58" i="5" s="1"/>
  <c r="GQ59" i="5" s="1"/>
  <c r="GT67" i="5" s="1"/>
  <c r="GT69" i="5" s="1"/>
  <c r="DJ51" i="5"/>
  <c r="DJ52" i="5" s="1"/>
  <c r="DJ58" i="5" s="1"/>
  <c r="DJ59" i="5" s="1"/>
  <c r="DJ70" i="5" s="1"/>
  <c r="DF51" i="5"/>
  <c r="DF52" i="5" s="1"/>
  <c r="DF58" i="5" s="1"/>
  <c r="DF59" i="5" s="1"/>
  <c r="DF70" i="5" s="1"/>
  <c r="GT51" i="5"/>
  <c r="GT52" i="5" s="1"/>
  <c r="GT58" i="5" s="1"/>
  <c r="GT59" i="5" s="1"/>
  <c r="GT70" i="5" s="1"/>
  <c r="BF51" i="5"/>
  <c r="BF52" i="5" s="1"/>
  <c r="BF58" i="5" s="1"/>
  <c r="BF59" i="5" s="1"/>
  <c r="BW51" i="5"/>
  <c r="BW52" i="5" s="1"/>
  <c r="BW58" i="5" s="1"/>
  <c r="BW59" i="5" s="1"/>
  <c r="BW70" i="5" s="1"/>
  <c r="I51" i="5"/>
  <c r="I52" i="5" s="1"/>
  <c r="I58" i="5" s="1"/>
  <c r="I59" i="5" s="1"/>
  <c r="L67" i="5" s="1"/>
  <c r="L69" i="5" s="1"/>
  <c r="FT51" i="5"/>
  <c r="FT52" i="5" s="1"/>
  <c r="FT58" i="5" s="1"/>
  <c r="FO51" i="5"/>
  <c r="FO52" i="5" s="1"/>
  <c r="FO58" i="5" s="1"/>
  <c r="FO59" i="5" s="1"/>
  <c r="DX51" i="5"/>
  <c r="DX52" i="5" s="1"/>
  <c r="DX58" i="5" s="1"/>
  <c r="G7" i="20" s="1"/>
  <c r="EU51" i="5"/>
  <c r="EU52" i="5" s="1"/>
  <c r="EU58" i="5" s="1"/>
  <c r="EU59" i="5" s="1"/>
  <c r="BK51" i="5"/>
  <c r="BK52" i="5" s="1"/>
  <c r="BK58" i="5" s="1"/>
  <c r="BK59" i="5" s="1"/>
  <c r="BK70" i="5" s="1"/>
  <c r="AX51" i="5"/>
  <c r="AX52" i="5" s="1"/>
  <c r="AX58" i="5" s="1"/>
  <c r="AX59" i="5" s="1"/>
  <c r="AX70" i="5" s="1"/>
  <c r="CA51" i="5"/>
  <c r="CA52" i="5" s="1"/>
  <c r="CA58" i="5" s="1"/>
  <c r="CA59" i="5" s="1"/>
  <c r="CA70" i="5" s="1"/>
  <c r="GG51" i="5"/>
  <c r="GG52" i="5" s="1"/>
  <c r="GG58" i="5" s="1"/>
  <c r="GG59" i="5" s="1"/>
  <c r="FY51" i="5"/>
  <c r="FY52" i="5" s="1"/>
  <c r="FY58" i="5" s="1"/>
  <c r="G60" i="20" s="1"/>
  <c r="CE51" i="5"/>
  <c r="CE52" i="5" s="1"/>
  <c r="CE58" i="5" s="1"/>
  <c r="CE59" i="5" s="1"/>
  <c r="CE70" i="5" s="1"/>
  <c r="FM51" i="5"/>
  <c r="FM52" i="5" s="1"/>
  <c r="FM58" i="5" s="1"/>
  <c r="G48" i="20" s="1"/>
  <c r="AQ51" i="5"/>
  <c r="AQ52" i="5" s="1"/>
  <c r="AQ58" i="5" s="1"/>
  <c r="AQ59" i="5" s="1"/>
  <c r="AQ70" i="5" s="1"/>
  <c r="GC51" i="5"/>
  <c r="GC52" i="5" s="1"/>
  <c r="GC58" i="5" s="1"/>
  <c r="G64" i="20" s="1"/>
  <c r="BB51" i="5"/>
  <c r="BB52" i="5" s="1"/>
  <c r="BB58" i="5" s="1"/>
  <c r="BB59" i="5" s="1"/>
  <c r="BB70" i="5" s="1"/>
  <c r="EK51" i="5"/>
  <c r="EK52" i="5" s="1"/>
  <c r="EK58" i="5" s="1"/>
  <c r="G20" i="20" s="1"/>
  <c r="FS51" i="5"/>
  <c r="FS52" i="5" s="1"/>
  <c r="FS58" i="5" s="1"/>
  <c r="G54" i="20" s="1"/>
  <c r="AU51" i="5"/>
  <c r="AU52" i="5" s="1"/>
  <c r="AU58" i="5" s="1"/>
  <c r="AU59" i="5" s="1"/>
  <c r="AU70" i="5" s="1"/>
  <c r="DP51" i="5"/>
  <c r="DP52" i="5" s="1"/>
  <c r="DP58" i="5" s="1"/>
  <c r="DP59" i="5" s="1"/>
  <c r="DP70" i="5" s="1"/>
  <c r="BG51" i="5"/>
  <c r="BG52" i="5" s="1"/>
  <c r="BG58" i="5" s="1"/>
  <c r="BG59" i="5" s="1"/>
  <c r="BG70" i="5" s="1"/>
  <c r="V51" i="5"/>
  <c r="V52" i="5" s="1"/>
  <c r="V58" i="5" s="1"/>
  <c r="V59" i="5" s="1"/>
  <c r="V70" i="5" s="1"/>
  <c r="J51" i="5"/>
  <c r="J52" i="5" s="1"/>
  <c r="J58" i="5" s="1"/>
  <c r="J59" i="5" s="1"/>
  <c r="M67" i="5" s="1"/>
  <c r="M69" i="5" s="1"/>
  <c r="FI51" i="5"/>
  <c r="FI52" i="5" s="1"/>
  <c r="FI58" i="5" s="1"/>
  <c r="FI59" i="5" s="1"/>
  <c r="CG51" i="5"/>
  <c r="CG52" i="5" s="1"/>
  <c r="CG58" i="5" s="1"/>
  <c r="CG59" i="5" s="1"/>
  <c r="CG70" i="5" s="1"/>
  <c r="CV51" i="5"/>
  <c r="CV52" i="5" s="1"/>
  <c r="CV58" i="5" s="1"/>
  <c r="CV59" i="5" s="1"/>
  <c r="CV70" i="5" s="1"/>
  <c r="FK51" i="5"/>
  <c r="FK52" i="5" s="1"/>
  <c r="FK58" i="5" s="1"/>
  <c r="FK59" i="5" s="1"/>
  <c r="ES51" i="5"/>
  <c r="ES52" i="5" s="1"/>
  <c r="ES58" i="5" s="1"/>
  <c r="G28" i="20" s="1"/>
  <c r="L51" i="5"/>
  <c r="L52" i="5" s="1"/>
  <c r="L58" i="5" s="1"/>
  <c r="L59" i="5" s="1"/>
  <c r="O67" i="5" s="1"/>
  <c r="O69" i="5" s="1"/>
  <c r="EO51" i="5"/>
  <c r="EO52" i="5" s="1"/>
  <c r="EO58" i="5" s="1"/>
  <c r="G24" i="20" s="1"/>
  <c r="CD51" i="5"/>
  <c r="CD52" i="5" s="1"/>
  <c r="CD58" i="5" s="1"/>
  <c r="CD59" i="5" s="1"/>
  <c r="CD70" i="5" s="1"/>
  <c r="GN51" i="5"/>
  <c r="GN52" i="5" s="1"/>
  <c r="GN58" i="5" s="1"/>
  <c r="GN59" i="5" s="1"/>
  <c r="GN70" i="5" s="1"/>
  <c r="CT51" i="5"/>
  <c r="CT52" i="5" s="1"/>
  <c r="CT58" i="5" s="1"/>
  <c r="CT59" i="5" s="1"/>
  <c r="CT70" i="5" s="1"/>
  <c r="AG51" i="5"/>
  <c r="AG52" i="5" s="1"/>
  <c r="AG58" i="5" s="1"/>
  <c r="AG59" i="5" s="1"/>
  <c r="AG70" i="5" s="1"/>
  <c r="E51" i="5"/>
  <c r="E52" i="5" s="1"/>
  <c r="E58" i="5" s="1"/>
  <c r="E59" i="5" s="1"/>
  <c r="E70" i="5" s="1"/>
  <c r="GL51" i="5"/>
  <c r="GL52" i="5" s="1"/>
  <c r="GL58" i="5" s="1"/>
  <c r="GL59" i="5" s="1"/>
  <c r="GL70" i="5" s="1"/>
  <c r="DS51" i="5"/>
  <c r="DS52" i="5" s="1"/>
  <c r="DS58" i="5" s="1"/>
  <c r="DS59" i="5" s="1"/>
  <c r="DG51" i="5"/>
  <c r="DG52" i="5" s="1"/>
  <c r="DG58" i="5" s="1"/>
  <c r="DG59" i="5" s="1"/>
  <c r="DG70" i="5" s="1"/>
  <c r="FE51" i="5"/>
  <c r="FE52" i="5" s="1"/>
  <c r="FE58" i="5" s="1"/>
  <c r="G40" i="20" s="1"/>
  <c r="CB51" i="5"/>
  <c r="CB52" i="5" s="1"/>
  <c r="CB58" i="5" s="1"/>
  <c r="CB59" i="5" s="1"/>
  <c r="CB70" i="5" s="1"/>
  <c r="AI51" i="5"/>
  <c r="AI52" i="5" s="1"/>
  <c r="AI58" i="5" s="1"/>
  <c r="AI59" i="5" s="1"/>
  <c r="AI70" i="5" s="1"/>
  <c r="CQ51" i="5"/>
  <c r="CQ52" i="5" s="1"/>
  <c r="CQ58" i="5" s="1"/>
  <c r="CQ59" i="5" s="1"/>
  <c r="CQ70" i="5" s="1"/>
  <c r="AM51" i="5"/>
  <c r="AM52" i="5" s="1"/>
  <c r="AM58" i="5" s="1"/>
  <c r="AM59" i="5" s="1"/>
  <c r="AM70" i="5" s="1"/>
  <c r="CX51" i="5"/>
  <c r="CX52" i="5" s="1"/>
  <c r="CX58" i="5" s="1"/>
  <c r="CX59" i="5" s="1"/>
  <c r="CX70" i="5" s="1"/>
  <c r="AA51" i="5"/>
  <c r="AA52" i="5" s="1"/>
  <c r="AA58" i="5" s="1"/>
  <c r="AA59" i="5" s="1"/>
  <c r="AA70" i="5" s="1"/>
  <c r="BA51" i="5"/>
  <c r="BA52" i="5" s="1"/>
  <c r="BA58" i="5" s="1"/>
  <c r="BA59" i="5" s="1"/>
  <c r="BA70" i="5" s="1"/>
  <c r="EJ51" i="5"/>
  <c r="EJ52" i="5" s="1"/>
  <c r="EJ58" i="5" s="1"/>
  <c r="G19" i="20" s="1"/>
  <c r="CM51" i="5"/>
  <c r="CM52" i="5" s="1"/>
  <c r="CM58" i="5" s="1"/>
  <c r="CM59" i="5" s="1"/>
  <c r="CM70" i="5" s="1"/>
  <c r="GP51" i="5"/>
  <c r="GP52" i="5" s="1"/>
  <c r="GP58" i="5" s="1"/>
  <c r="GP59" i="5" s="1"/>
  <c r="GP70" i="5" s="1"/>
  <c r="BY51" i="5"/>
  <c r="BY52" i="5" s="1"/>
  <c r="BY58" i="5" s="1"/>
  <c r="BY59" i="5" s="1"/>
  <c r="BY70" i="5" s="1"/>
  <c r="CZ51" i="5"/>
  <c r="CZ52" i="5" s="1"/>
  <c r="CZ58" i="5" s="1"/>
  <c r="CZ59" i="5" s="1"/>
  <c r="CZ70" i="5" s="1"/>
  <c r="AZ51" i="5"/>
  <c r="AZ52" i="5" s="1"/>
  <c r="AZ58" i="5" s="1"/>
  <c r="AZ59" i="5" s="1"/>
  <c r="EZ51" i="5"/>
  <c r="EZ52" i="5" s="1"/>
  <c r="EZ58" i="5" s="1"/>
  <c r="G35" i="20" s="1"/>
  <c r="CI51" i="5"/>
  <c r="CI52" i="5" s="1"/>
  <c r="CI58" i="5" s="1"/>
  <c r="CI59" i="5" s="1"/>
  <c r="CI70" i="5" s="1"/>
  <c r="DZ51" i="5"/>
  <c r="DZ52" i="5" s="1"/>
  <c r="DZ58" i="5" s="1"/>
  <c r="DZ59" i="5" s="1"/>
  <c r="GU51" i="5"/>
  <c r="GU52" i="5" s="1"/>
  <c r="GU58" i="5" s="1"/>
  <c r="GU59" i="5" s="1"/>
  <c r="GU70" i="5" s="1"/>
  <c r="DV51" i="5"/>
  <c r="DV52" i="5" s="1"/>
  <c r="DV58" i="5" s="1"/>
  <c r="G5" i="20" s="1"/>
  <c r="CS51" i="5"/>
  <c r="CS52" i="5" s="1"/>
  <c r="CS58" i="5" s="1"/>
  <c r="CS59" i="5" s="1"/>
  <c r="BD51" i="5"/>
  <c r="BD52" i="5" s="1"/>
  <c r="BD58" i="5" s="1"/>
  <c r="BD59" i="5" s="1"/>
  <c r="BD70" i="5" s="1"/>
  <c r="DN51" i="5"/>
  <c r="DN52" i="5" s="1"/>
  <c r="DN58" i="5" s="1"/>
  <c r="DN59" i="5" s="1"/>
  <c r="DN70" i="5" s="1"/>
  <c r="O51" i="5"/>
  <c r="O52" i="5" s="1"/>
  <c r="O58" i="5" s="1"/>
  <c r="O59" i="5" s="1"/>
  <c r="O70" i="5" s="1"/>
  <c r="FW59" i="5"/>
  <c r="G58" i="20"/>
  <c r="G3" i="20"/>
  <c r="DT59" i="5"/>
  <c r="DQ51" i="5"/>
  <c r="DQ52" i="5" s="1"/>
  <c r="DQ58" i="5" s="1"/>
  <c r="DQ59" i="5" s="1"/>
  <c r="FP51" i="5"/>
  <c r="FP52" i="5" s="1"/>
  <c r="FP58" i="5" s="1"/>
  <c r="FG59" i="5"/>
  <c r="G42" i="20"/>
  <c r="FF51" i="5"/>
  <c r="FF52" i="5" s="1"/>
  <c r="FF58" i="5" s="1"/>
  <c r="FD59" i="5"/>
  <c r="G39" i="20"/>
  <c r="FC51" i="5"/>
  <c r="FC52" i="5" s="1"/>
  <c r="FC58" i="5" s="1"/>
  <c r="FR59" i="5"/>
  <c r="G53" i="20"/>
  <c r="DR51" i="5"/>
  <c r="DR52" i="5" s="1"/>
  <c r="DR58" i="5" s="1"/>
  <c r="DR59" i="5" s="1"/>
  <c r="G70" i="5"/>
  <c r="J67" i="5"/>
  <c r="J69" i="5" s="1"/>
  <c r="DO70" i="5"/>
  <c r="BP70" i="5"/>
  <c r="Y51" i="5"/>
  <c r="Y52" i="5" s="1"/>
  <c r="Y58" i="5" s="1"/>
  <c r="Y59" i="5" s="1"/>
  <c r="C70" i="5"/>
  <c r="F67" i="5"/>
  <c r="F69" i="5" s="1"/>
  <c r="AF70" i="5"/>
  <c r="AJ51" i="5"/>
  <c r="AJ52" i="5" s="1"/>
  <c r="AJ58" i="5" s="1"/>
  <c r="AJ59" i="5" s="1"/>
  <c r="BI70" i="5"/>
  <c r="CN70" i="5"/>
  <c r="CY51" i="5"/>
  <c r="CY52" i="5" s="1"/>
  <c r="CY58" i="5" s="1"/>
  <c r="CY59" i="5" s="1"/>
  <c r="AC70" i="5"/>
  <c r="AT70" i="5"/>
  <c r="G12" i="20"/>
  <c r="EC59" i="5"/>
  <c r="CR51" i="5"/>
  <c r="CR52" i="5" s="1"/>
  <c r="CR58" i="5" s="1"/>
  <c r="CR59" i="5" s="1"/>
  <c r="CK70" i="5"/>
  <c r="AH51" i="5"/>
  <c r="AH52" i="5" s="1"/>
  <c r="AH58" i="5" s="1"/>
  <c r="AH59" i="5" s="1"/>
  <c r="G32" i="20"/>
  <c r="EW59" i="5"/>
  <c r="BC51" i="5"/>
  <c r="BC52" i="5" s="1"/>
  <c r="BC58" i="5" s="1"/>
  <c r="BC59" i="5" s="1"/>
  <c r="FH51" i="5"/>
  <c r="FH52" i="5" s="1"/>
  <c r="FH58" i="5" s="1"/>
  <c r="EY59" i="5"/>
  <c r="G34" i="20"/>
  <c r="EX51" i="5"/>
  <c r="EX52" i="5" s="1"/>
  <c r="EX58" i="5" s="1"/>
  <c r="EV59" i="5"/>
  <c r="G31" i="20"/>
  <c r="FJ51" i="5"/>
  <c r="FJ52" i="5" s="1"/>
  <c r="FJ58" i="5" s="1"/>
  <c r="GJ51" i="5"/>
  <c r="GJ52" i="5" s="1"/>
  <c r="GJ58" i="5" s="1"/>
  <c r="GJ59" i="5" s="1"/>
  <c r="DC70" i="5"/>
  <c r="CF51" i="5"/>
  <c r="CF52" i="5" s="1"/>
  <c r="CF58" i="5" s="1"/>
  <c r="CF59" i="5" s="1"/>
  <c r="AE70" i="5"/>
  <c r="GS51" i="5"/>
  <c r="GS52" i="5" s="1"/>
  <c r="GS58" i="5" s="1"/>
  <c r="GS59" i="5" s="1"/>
  <c r="BX51" i="5"/>
  <c r="BX52" i="5" s="1"/>
  <c r="BX58" i="5" s="1"/>
  <c r="BX59" i="5" s="1"/>
  <c r="DY51" i="5"/>
  <c r="DY52" i="5" s="1"/>
  <c r="DY58" i="5" s="1"/>
  <c r="K51" i="5"/>
  <c r="K52" i="5" s="1"/>
  <c r="K58" i="5" s="1"/>
  <c r="K59" i="5" s="1"/>
  <c r="CH51" i="5"/>
  <c r="CH52" i="5" s="1"/>
  <c r="CH58" i="5" s="1"/>
  <c r="CH59" i="5" s="1"/>
  <c r="DM51" i="5"/>
  <c r="DM52" i="5" s="1"/>
  <c r="DM58" i="5" s="1"/>
  <c r="DM59" i="5" s="1"/>
  <c r="CU51" i="5"/>
  <c r="CU52" i="5" s="1"/>
  <c r="CU58" i="5" s="1"/>
  <c r="CU59" i="5" s="1"/>
  <c r="BF70" i="5"/>
  <c r="DU51" i="5"/>
  <c r="DU52" i="5" s="1"/>
  <c r="DU58" i="5" s="1"/>
  <c r="AK51" i="5"/>
  <c r="AK52" i="5" s="1"/>
  <c r="AK58" i="5" s="1"/>
  <c r="AK59" i="5" s="1"/>
  <c r="U51" i="5"/>
  <c r="U52" i="5" s="1"/>
  <c r="U58" i="5" s="1"/>
  <c r="U59" i="5" s="1"/>
  <c r="N51" i="5"/>
  <c r="N52" i="5" s="1"/>
  <c r="N58" i="5" s="1"/>
  <c r="N59" i="5" s="1"/>
  <c r="GV51" i="5"/>
  <c r="GV52" i="5" s="1"/>
  <c r="GV58" i="5" s="1"/>
  <c r="GV59" i="5" s="1"/>
  <c r="GV70" i="5" s="1"/>
  <c r="AY51" i="5"/>
  <c r="AY52" i="5" s="1"/>
  <c r="AY58" i="5" s="1"/>
  <c r="AY59" i="5" s="1"/>
  <c r="ER51" i="5"/>
  <c r="ER52" i="5" s="1"/>
  <c r="ER58" i="5" s="1"/>
  <c r="EI59" i="5"/>
  <c r="G18" i="20"/>
  <c r="EH59" i="5"/>
  <c r="G17" i="20"/>
  <c r="EF59" i="5"/>
  <c r="G15" i="20"/>
  <c r="EE51" i="5"/>
  <c r="EE52" i="5" s="1"/>
  <c r="EE58" i="5" s="1"/>
  <c r="ET51" i="5"/>
  <c r="ET52" i="5" s="1"/>
  <c r="ET58" i="5" s="1"/>
  <c r="GK51" i="5"/>
  <c r="GK52" i="5" s="1"/>
  <c r="GK58" i="5" s="1"/>
  <c r="GK59" i="5" s="1"/>
  <c r="CP70" i="5"/>
  <c r="GM51" i="5"/>
  <c r="GM52" i="5" s="1"/>
  <c r="GM58" i="5" s="1"/>
  <c r="GM59" i="5" s="1"/>
  <c r="DI51" i="5"/>
  <c r="DI52" i="5" s="1"/>
  <c r="DI58" i="5" s="1"/>
  <c r="DI59" i="5" s="1"/>
  <c r="BO51" i="5"/>
  <c r="BO52" i="5" s="1"/>
  <c r="BO58" i="5" s="1"/>
  <c r="BO59" i="5" s="1"/>
  <c r="CO51" i="5"/>
  <c r="CO52" i="5" s="1"/>
  <c r="CO58" i="5" s="1"/>
  <c r="CO59" i="5" s="1"/>
  <c r="EG51" i="5"/>
  <c r="EG52" i="5" s="1"/>
  <c r="EG58" i="5" s="1"/>
  <c r="CW51" i="5"/>
  <c r="CW52" i="5" s="1"/>
  <c r="CW58" i="5" s="1"/>
  <c r="CW59" i="5" s="1"/>
  <c r="DB51" i="5"/>
  <c r="DB52" i="5" s="1"/>
  <c r="DB58" i="5" s="1"/>
  <c r="DB59" i="5" s="1"/>
  <c r="CL51" i="5"/>
  <c r="CL52" i="5" s="1"/>
  <c r="CL58" i="5" s="1"/>
  <c r="CL59" i="5" s="1"/>
  <c r="Z51" i="5"/>
  <c r="Z52" i="5" s="1"/>
  <c r="Z58" i="5" s="1"/>
  <c r="Z59" i="5" s="1"/>
  <c r="AD51" i="5"/>
  <c r="AD52" i="5" s="1"/>
  <c r="AD58" i="5" s="1"/>
  <c r="AD59" i="5" s="1"/>
  <c r="BH51" i="5"/>
  <c r="BH52" i="5" s="1"/>
  <c r="BH58" i="5" s="1"/>
  <c r="BH59" i="5" s="1"/>
  <c r="M51" i="5"/>
  <c r="M52" i="5" s="1"/>
  <c r="M58" i="5" s="1"/>
  <c r="M59" i="5" s="1"/>
  <c r="GO51" i="5"/>
  <c r="GO52" i="5" s="1"/>
  <c r="GO58" i="5" s="1"/>
  <c r="GO59" i="5" s="1"/>
  <c r="FV59" i="5"/>
  <c r="G57" i="20"/>
  <c r="FU51" i="5"/>
  <c r="FU52" i="5" s="1"/>
  <c r="FU58" i="5" s="1"/>
  <c r="AV51" i="5"/>
  <c r="AV52" i="5" s="1"/>
  <c r="AV58" i="5" s="1"/>
  <c r="AV59" i="5" s="1"/>
  <c r="FL59" i="5"/>
  <c r="G47" i="20"/>
  <c r="FZ51" i="5"/>
  <c r="FZ52" i="5" s="1"/>
  <c r="FZ58" i="5" s="1"/>
  <c r="I70" i="5"/>
  <c r="GI51" i="5"/>
  <c r="GI52" i="5" s="1"/>
  <c r="GI58" i="5" s="1"/>
  <c r="EA59" i="5"/>
  <c r="G10" i="20"/>
  <c r="DW59" i="5"/>
  <c r="G6" i="20"/>
  <c r="EL51" i="5"/>
  <c r="EL52" i="5" s="1"/>
  <c r="EL58" i="5" s="1"/>
  <c r="BV70" i="5"/>
  <c r="BU70" i="5"/>
  <c r="BS51" i="5"/>
  <c r="BS52" i="5" s="1"/>
  <c r="BS58" i="5" s="1"/>
  <c r="BS59" i="5" s="1"/>
  <c r="H51" i="5"/>
  <c r="H52" i="5" s="1"/>
  <c r="H58" i="5" s="1"/>
  <c r="H59" i="5" s="1"/>
  <c r="CJ51" i="5"/>
  <c r="CJ52" i="5" s="1"/>
  <c r="CJ58" i="5" s="1"/>
  <c r="CJ59" i="5" s="1"/>
  <c r="BL51" i="5"/>
  <c r="BL52" i="5" s="1"/>
  <c r="BL58" i="5" s="1"/>
  <c r="BL59" i="5" s="1"/>
  <c r="DD51" i="5"/>
  <c r="DD52" i="5" s="1"/>
  <c r="DD58" i="5" s="1"/>
  <c r="DD59" i="5" s="1"/>
  <c r="AB51" i="5"/>
  <c r="AB52" i="5" s="1"/>
  <c r="AB58" i="5" s="1"/>
  <c r="AB59" i="5" s="1"/>
  <c r="AN51" i="5"/>
  <c r="AN52" i="5" s="1"/>
  <c r="AN58" i="5" s="1"/>
  <c r="AN59" i="5" s="1"/>
  <c r="F51" i="5"/>
  <c r="F52" i="5" s="1"/>
  <c r="F58" i="5" s="1"/>
  <c r="F59" i="5" s="1"/>
  <c r="BJ51" i="5"/>
  <c r="BJ52" i="5" s="1"/>
  <c r="BJ58" i="5" s="1"/>
  <c r="BJ59" i="5" s="1"/>
  <c r="AL51" i="5"/>
  <c r="AL52" i="5" s="1"/>
  <c r="AL58" i="5" s="1"/>
  <c r="AL59" i="5" s="1"/>
  <c r="AW51" i="5"/>
  <c r="AW52" i="5" s="1"/>
  <c r="AW58" i="5" s="1"/>
  <c r="AW59" i="5" s="1"/>
  <c r="BZ51" i="5"/>
  <c r="BZ52" i="5" s="1"/>
  <c r="BZ58" i="5" s="1"/>
  <c r="BZ59" i="5" s="1"/>
  <c r="BT51" i="5"/>
  <c r="BT52" i="5" s="1"/>
  <c r="BT58" i="5" s="1"/>
  <c r="BT59" i="5" s="1"/>
  <c r="GH59" i="5"/>
  <c r="G69" i="20"/>
  <c r="FT59" i="5"/>
  <c r="G55" i="20"/>
  <c r="AO70" i="5"/>
  <c r="DA51" i="5"/>
  <c r="DA52" i="5" s="1"/>
  <c r="DA58" i="5" s="1"/>
  <c r="DA59" i="5" s="1"/>
  <c r="FX51" i="5"/>
  <c r="FX52" i="5" s="1"/>
  <c r="FX58" i="5" s="1"/>
  <c r="FN51" i="5"/>
  <c r="FN52" i="5" s="1"/>
  <c r="FN58" i="5" s="1"/>
  <c r="EQ59" i="5"/>
  <c r="G26" i="20"/>
  <c r="EP51" i="5"/>
  <c r="EP52" i="5" s="1"/>
  <c r="EP58" i="5" s="1"/>
  <c r="EN59" i="5"/>
  <c r="G23" i="20"/>
  <c r="FB59" i="5"/>
  <c r="G37" i="20"/>
  <c r="P70" i="5"/>
  <c r="GR70" i="5"/>
  <c r="GU67" i="5"/>
  <c r="GU69" i="5" s="1"/>
  <c r="W51" i="5"/>
  <c r="W52" i="5" s="1"/>
  <c r="W58" i="5" s="1"/>
  <c r="W59" i="5" s="1"/>
  <c r="X51" i="5"/>
  <c r="X52" i="5" s="1"/>
  <c r="X58" i="5" s="1"/>
  <c r="X59" i="5" s="1"/>
  <c r="BQ51" i="5"/>
  <c r="BQ52" i="5" s="1"/>
  <c r="BQ58" i="5" s="1"/>
  <c r="BQ59" i="5" s="1"/>
  <c r="D51" i="5"/>
  <c r="D52" i="5" s="1"/>
  <c r="D58" i="5" s="1"/>
  <c r="D59" i="5" s="1"/>
  <c r="DK51" i="5"/>
  <c r="DK52" i="5" s="1"/>
  <c r="DK58" i="5" s="1"/>
  <c r="DK59" i="5" s="1"/>
  <c r="DH51" i="5"/>
  <c r="DH52" i="5" s="1"/>
  <c r="DH58" i="5" s="1"/>
  <c r="DH59" i="5" s="1"/>
  <c r="CC51" i="5"/>
  <c r="CC52" i="5" s="1"/>
  <c r="CC58" i="5" s="1"/>
  <c r="CC59" i="5" s="1"/>
  <c r="CS70" i="5"/>
  <c r="GF59" i="5"/>
  <c r="G67" i="20"/>
  <c r="EB51" i="5"/>
  <c r="EB52" i="5" s="1"/>
  <c r="EB58" i="5" s="1"/>
  <c r="GD51" i="5"/>
  <c r="GD52" i="5" s="1"/>
  <c r="GD58" i="5" s="1"/>
  <c r="GB59" i="5"/>
  <c r="G63" i="20"/>
  <c r="GA51" i="5"/>
  <c r="GA52" i="5" s="1"/>
  <c r="GA58" i="5" s="1"/>
  <c r="GE51" i="5"/>
  <c r="GE52" i="5" s="1"/>
  <c r="GE58" i="5" s="1"/>
  <c r="ED51" i="5"/>
  <c r="ED52" i="5" s="1"/>
  <c r="ED58" i="5" s="1"/>
  <c r="R70" i="5"/>
  <c r="AS70" i="5"/>
  <c r="FA51" i="5"/>
  <c r="FA52" i="5" s="1"/>
  <c r="FA58" i="5" s="1"/>
  <c r="AP51" i="5"/>
  <c r="AP52" i="5" s="1"/>
  <c r="AP58" i="5" s="1"/>
  <c r="AP59" i="5" s="1"/>
  <c r="S51" i="5"/>
  <c r="S52" i="5" s="1"/>
  <c r="S58" i="5" s="1"/>
  <c r="S59" i="5" s="1"/>
  <c r="BR51" i="5"/>
  <c r="BR52" i="5" s="1"/>
  <c r="BR58" i="5" s="1"/>
  <c r="BR59" i="5" s="1"/>
  <c r="DL51" i="5"/>
  <c r="DL52" i="5" s="1"/>
  <c r="DL58" i="5" s="1"/>
  <c r="DL59" i="5" s="1"/>
  <c r="FQ51" i="5"/>
  <c r="FQ52" i="5" s="1"/>
  <c r="FQ58" i="5" s="1"/>
  <c r="DE51" i="5"/>
  <c r="DE52" i="5" s="1"/>
  <c r="DE58" i="5" s="1"/>
  <c r="DE59" i="5" s="1"/>
  <c r="T51" i="5"/>
  <c r="T52" i="5" s="1"/>
  <c r="T58" i="5" s="1"/>
  <c r="T59" i="5" s="1"/>
  <c r="BE51" i="5"/>
  <c r="BE52" i="5" s="1"/>
  <c r="BE58" i="5" s="1"/>
  <c r="BE59" i="5" s="1"/>
  <c r="BM51" i="5"/>
  <c r="BM52" i="5" s="1"/>
  <c r="BM58" i="5" s="1"/>
  <c r="BM59" i="5" s="1"/>
  <c r="AR51" i="5"/>
  <c r="AR52" i="5" s="1"/>
  <c r="AR58" i="5" s="1"/>
  <c r="AR59" i="5" s="1"/>
  <c r="Q51" i="5"/>
  <c r="Q52" i="5" s="1"/>
  <c r="Q58" i="5" s="1"/>
  <c r="Q59" i="5" s="1"/>
  <c r="EM59" i="5" l="1"/>
  <c r="GQ70" i="5"/>
  <c r="EK59" i="5"/>
  <c r="G30" i="20"/>
  <c r="FE59" i="5"/>
  <c r="FE70" i="5" s="1"/>
  <c r="GC59" i="5"/>
  <c r="GC70" i="5" s="1"/>
  <c r="DX59" i="5"/>
  <c r="D7" i="20" s="1"/>
  <c r="G50" i="20"/>
  <c r="EJ59" i="5"/>
  <c r="EK67" i="5" s="1"/>
  <c r="GO67" i="5"/>
  <c r="GO69" i="5" s="1"/>
  <c r="AH67" i="5"/>
  <c r="AH69" i="5" s="1"/>
  <c r="H67" i="5"/>
  <c r="H69" i="5" s="1"/>
  <c r="AX67" i="5"/>
  <c r="AX69" i="5" s="1"/>
  <c r="BN67" i="5"/>
  <c r="BN69" i="5" s="1"/>
  <c r="G68" i="20"/>
  <c r="FS59" i="5"/>
  <c r="FS70" i="5" s="1"/>
  <c r="CS67" i="5"/>
  <c r="CS69" i="5" s="1"/>
  <c r="FY59" i="5"/>
  <c r="FY70" i="5" s="1"/>
  <c r="AW67" i="5"/>
  <c r="AW69" i="5" s="1"/>
  <c r="G46" i="20"/>
  <c r="ES59" i="5"/>
  <c r="D28" i="20" s="1"/>
  <c r="BG67" i="5"/>
  <c r="BG69" i="5" s="1"/>
  <c r="EZ59" i="5"/>
  <c r="D35" i="20" s="1"/>
  <c r="AV67" i="5"/>
  <c r="AV69" i="5" s="1"/>
  <c r="DQ67" i="5"/>
  <c r="DQ69" i="5" s="1"/>
  <c r="AR67" i="5"/>
  <c r="AR69" i="5" s="1"/>
  <c r="FM59" i="5"/>
  <c r="D48" i="20" s="1"/>
  <c r="L70" i="5"/>
  <c r="G2" i="20"/>
  <c r="Y67" i="5"/>
  <c r="Y69" i="5" s="1"/>
  <c r="DS67" i="5"/>
  <c r="B2" i="20" s="1"/>
  <c r="S67" i="5"/>
  <c r="S69" i="5" s="1"/>
  <c r="GS67" i="5"/>
  <c r="GS69" i="5" s="1"/>
  <c r="GQ67" i="5"/>
  <c r="GQ69" i="5" s="1"/>
  <c r="CD67" i="5"/>
  <c r="CD69" i="5" s="1"/>
  <c r="CG67" i="5"/>
  <c r="CG69" i="5" s="1"/>
  <c r="J70" i="5"/>
  <c r="BA67" i="5"/>
  <c r="BA69" i="5" s="1"/>
  <c r="CJ67" i="5"/>
  <c r="CJ69" i="5" s="1"/>
  <c r="BZ67" i="5"/>
  <c r="BZ69" i="5" s="1"/>
  <c r="R67" i="5"/>
  <c r="R69" i="5" s="1"/>
  <c r="EO59" i="5"/>
  <c r="D24" i="20" s="1"/>
  <c r="G44" i="20"/>
  <c r="DV59" i="5"/>
  <c r="D5" i="20" s="1"/>
  <c r="BC67" i="5"/>
  <c r="BC69" i="5" s="1"/>
  <c r="BJ67" i="5"/>
  <c r="BJ69" i="5" s="1"/>
  <c r="CW67" i="5"/>
  <c r="CW69" i="5" s="1"/>
  <c r="AJ67" i="5"/>
  <c r="AJ69" i="5" s="1"/>
  <c r="DF67" i="5"/>
  <c r="DF69" i="5" s="1"/>
  <c r="BX67" i="5"/>
  <c r="BX69" i="5" s="1"/>
  <c r="BE67" i="5"/>
  <c r="BE69" i="5" s="1"/>
  <c r="CL67" i="5"/>
  <c r="CL69" i="5" s="1"/>
  <c r="G9" i="20"/>
  <c r="AZ70" i="5"/>
  <c r="DR67" i="5"/>
  <c r="DR69" i="5" s="1"/>
  <c r="BD67" i="5"/>
  <c r="BD69" i="5" s="1"/>
  <c r="BY67" i="5"/>
  <c r="BY69" i="5" s="1"/>
  <c r="DJ67" i="5"/>
  <c r="DJ69" i="5" s="1"/>
  <c r="AL67" i="5"/>
  <c r="AL69" i="5" s="1"/>
  <c r="CY67" i="5"/>
  <c r="CY69" i="5" s="1"/>
  <c r="EW70" i="5"/>
  <c r="D32" i="20"/>
  <c r="CC67" i="5"/>
  <c r="CC69" i="5" s="1"/>
  <c r="BZ70" i="5"/>
  <c r="FU59" i="5"/>
  <c r="FW67" i="5" s="1"/>
  <c r="G56" i="20"/>
  <c r="GI59" i="5"/>
  <c r="GJ67" i="5" s="1"/>
  <c r="GJ69" i="5" s="1"/>
  <c r="G70" i="20"/>
  <c r="BH70" i="5"/>
  <c r="BK67" i="5"/>
  <c r="BK69" i="5" s="1"/>
  <c r="G16" i="20"/>
  <c r="EG59" i="5"/>
  <c r="EI67" i="5" s="1"/>
  <c r="DM70" i="5"/>
  <c r="DP67" i="5"/>
  <c r="DP69" i="5" s="1"/>
  <c r="D31" i="20"/>
  <c r="EV70" i="5"/>
  <c r="DE70" i="5"/>
  <c r="DH67" i="5"/>
  <c r="DH69" i="5" s="1"/>
  <c r="GD59" i="5"/>
  <c r="G65" i="20"/>
  <c r="CF67" i="5"/>
  <c r="CF69" i="5" s="1"/>
  <c r="CC70" i="5"/>
  <c r="W70" i="5"/>
  <c r="Z67" i="5"/>
  <c r="Z69" i="5" s="1"/>
  <c r="D37" i="20"/>
  <c r="FB70" i="5"/>
  <c r="DA70" i="5"/>
  <c r="DD67" i="5"/>
  <c r="DD69" i="5" s="1"/>
  <c r="AO67" i="5"/>
  <c r="AO69" i="5" s="1"/>
  <c r="AL70" i="5"/>
  <c r="D68" i="20"/>
  <c r="GG70" i="5"/>
  <c r="AD70" i="5"/>
  <c r="AG67" i="5"/>
  <c r="AG69" i="5" s="1"/>
  <c r="CR67" i="5"/>
  <c r="CR69" i="5" s="1"/>
  <c r="CO70" i="5"/>
  <c r="D17" i="20"/>
  <c r="EH70" i="5"/>
  <c r="N70" i="5"/>
  <c r="Q67" i="5"/>
  <c r="Q69" i="5" s="1"/>
  <c r="CH70" i="5"/>
  <c r="CK67" i="5"/>
  <c r="CK69" i="5" s="1"/>
  <c r="EX59" i="5"/>
  <c r="EY67" i="5" s="1"/>
  <c r="G33" i="20"/>
  <c r="AF67" i="5"/>
  <c r="AF69" i="5" s="1"/>
  <c r="AI67" i="5"/>
  <c r="AI69" i="5" s="1"/>
  <c r="FF59" i="5"/>
  <c r="G41" i="20"/>
  <c r="CE67" i="5"/>
  <c r="CE69" i="5" s="1"/>
  <c r="D2" i="20"/>
  <c r="DS70" i="5"/>
  <c r="D50" i="20"/>
  <c r="FO70" i="5"/>
  <c r="Q70" i="5"/>
  <c r="T67" i="5"/>
  <c r="T69" i="5" s="1"/>
  <c r="FQ59" i="5"/>
  <c r="G52" i="20"/>
  <c r="BU67" i="5"/>
  <c r="BU69" i="5" s="1"/>
  <c r="BR70" i="5"/>
  <c r="CP67" i="5"/>
  <c r="CP69" i="5" s="1"/>
  <c r="EB59" i="5"/>
  <c r="EC67" i="5" s="1"/>
  <c r="G11" i="20"/>
  <c r="DK67" i="5"/>
  <c r="DK69" i="5" s="1"/>
  <c r="DH70" i="5"/>
  <c r="CB67" i="5"/>
  <c r="CB69" i="5" s="1"/>
  <c r="BJ70" i="5"/>
  <c r="BM67" i="5"/>
  <c r="BM69" i="5" s="1"/>
  <c r="CM67" i="5"/>
  <c r="CM69" i="5" s="1"/>
  <c r="CJ70" i="5"/>
  <c r="AD67" i="5"/>
  <c r="AD69" i="5" s="1"/>
  <c r="Z70" i="5"/>
  <c r="AC67" i="5"/>
  <c r="AC69" i="5" s="1"/>
  <c r="BO70" i="5"/>
  <c r="BR67" i="5"/>
  <c r="BR69" i="5" s="1"/>
  <c r="X67" i="5"/>
  <c r="X69" i="5" s="1"/>
  <c r="U70" i="5"/>
  <c r="N67" i="5"/>
  <c r="N69" i="5" s="1"/>
  <c r="K70" i="5"/>
  <c r="CN67" i="5"/>
  <c r="CN69" i="5" s="1"/>
  <c r="DB67" i="5"/>
  <c r="DB69" i="5" s="1"/>
  <c r="CY70" i="5"/>
  <c r="D20" i="20"/>
  <c r="EK70" i="5"/>
  <c r="W67" i="5"/>
  <c r="W69" i="5" s="1"/>
  <c r="T70" i="5"/>
  <c r="DG67" i="5"/>
  <c r="DG69" i="5" s="1"/>
  <c r="DD70" i="5"/>
  <c r="DE67" i="5"/>
  <c r="DE69" i="5" s="1"/>
  <c r="DB70" i="5"/>
  <c r="D47" i="20"/>
  <c r="FL70" i="5"/>
  <c r="DI70" i="5"/>
  <c r="DL67" i="5"/>
  <c r="DL69" i="5" s="1"/>
  <c r="D15" i="20"/>
  <c r="EF70" i="5"/>
  <c r="D46" i="20"/>
  <c r="FK70" i="5"/>
  <c r="D63" i="20"/>
  <c r="GB70" i="5"/>
  <c r="DI67" i="5"/>
  <c r="DI69" i="5" s="1"/>
  <c r="D26" i="20"/>
  <c r="EQ70" i="5"/>
  <c r="GP67" i="5"/>
  <c r="GP69" i="5" s="1"/>
  <c r="GM70" i="5"/>
  <c r="V67" i="5"/>
  <c r="V69" i="5" s="1"/>
  <c r="S70" i="5"/>
  <c r="DK70" i="5"/>
  <c r="DN67" i="5"/>
  <c r="DN69" i="5" s="1"/>
  <c r="F70" i="5"/>
  <c r="I67" i="5"/>
  <c r="I69" i="5" s="1"/>
  <c r="GK70" i="5"/>
  <c r="GN67" i="5"/>
  <c r="GN69" i="5" s="1"/>
  <c r="D18" i="20"/>
  <c r="EI70" i="5"/>
  <c r="AK70" i="5"/>
  <c r="AN67" i="5"/>
  <c r="AN69" i="5" s="1"/>
  <c r="G8" i="20"/>
  <c r="DY59" i="5"/>
  <c r="CR70" i="5"/>
  <c r="CU67" i="5"/>
  <c r="CU69" i="5" s="1"/>
  <c r="CQ67" i="5"/>
  <c r="CQ69" i="5" s="1"/>
  <c r="DR70" i="5"/>
  <c r="BM70" i="5"/>
  <c r="BP67" i="5"/>
  <c r="BP69" i="5" s="1"/>
  <c r="AP70" i="5"/>
  <c r="AS67" i="5"/>
  <c r="AS69" i="5" s="1"/>
  <c r="ED59" i="5"/>
  <c r="G13" i="20"/>
  <c r="D67" i="20"/>
  <c r="GF70" i="5"/>
  <c r="G67" i="5"/>
  <c r="G69" i="5" s="1"/>
  <c r="D70" i="5"/>
  <c r="DM67" i="5"/>
  <c r="DM69" i="5" s="1"/>
  <c r="AP67" i="5"/>
  <c r="AP69" i="5" s="1"/>
  <c r="AN70" i="5"/>
  <c r="AQ67" i="5"/>
  <c r="AQ69" i="5" s="1"/>
  <c r="CT67" i="5"/>
  <c r="CT69" i="5" s="1"/>
  <c r="AV70" i="5"/>
  <c r="AY67" i="5"/>
  <c r="AY69" i="5" s="1"/>
  <c r="GO70" i="5"/>
  <c r="GR67" i="5"/>
  <c r="GR69" i="5" s="1"/>
  <c r="BQ67" i="5"/>
  <c r="BQ69" i="5" s="1"/>
  <c r="ET59" i="5"/>
  <c r="G29" i="20"/>
  <c r="ER59" i="5"/>
  <c r="G27" i="20"/>
  <c r="DU59" i="5"/>
  <c r="DU67" i="5" s="1"/>
  <c r="G4" i="20"/>
  <c r="BX70" i="5"/>
  <c r="CA67" i="5"/>
  <c r="CA69" i="5" s="1"/>
  <c r="FJ59" i="5"/>
  <c r="FL67" i="5" s="1"/>
  <c r="G45" i="20"/>
  <c r="FH59" i="5"/>
  <c r="G43" i="20"/>
  <c r="EC70" i="5"/>
  <c r="D12" i="20"/>
  <c r="Y70" i="5"/>
  <c r="AB67" i="5"/>
  <c r="AB69" i="5" s="1"/>
  <c r="FP59" i="5"/>
  <c r="G51" i="20"/>
  <c r="D40" i="20"/>
  <c r="GA59" i="5"/>
  <c r="G62" i="20"/>
  <c r="EP59" i="5"/>
  <c r="G25" i="20"/>
  <c r="FX59" i="5"/>
  <c r="G59" i="20"/>
  <c r="BT70" i="5"/>
  <c r="BW67" i="5"/>
  <c r="BW69" i="5" s="1"/>
  <c r="BV67" i="5"/>
  <c r="BV69" i="5" s="1"/>
  <c r="BS70" i="5"/>
  <c r="D30" i="20"/>
  <c r="EU70" i="5"/>
  <c r="FC59" i="5"/>
  <c r="G38" i="20"/>
  <c r="BO67" i="5"/>
  <c r="BO69" i="5" s="1"/>
  <c r="BL70" i="5"/>
  <c r="D6" i="20"/>
  <c r="DW70" i="5"/>
  <c r="CZ67" i="5"/>
  <c r="CZ69" i="5" s="1"/>
  <c r="CW70" i="5"/>
  <c r="AY70" i="5"/>
  <c r="BB67" i="5"/>
  <c r="BB69" i="5" s="1"/>
  <c r="CU70" i="5"/>
  <c r="CX67" i="5"/>
  <c r="CX69" i="5" s="1"/>
  <c r="AM67" i="5"/>
  <c r="AM69" i="5" s="1"/>
  <c r="AJ70" i="5"/>
  <c r="U67" i="5"/>
  <c r="U69" i="5" s="1"/>
  <c r="CV67" i="5"/>
  <c r="CV69" i="5" s="1"/>
  <c r="X70" i="5"/>
  <c r="AA67" i="5"/>
  <c r="AA69" i="5" s="1"/>
  <c r="AZ67" i="5"/>
  <c r="AZ69" i="5" s="1"/>
  <c r="AW70" i="5"/>
  <c r="CI67" i="5"/>
  <c r="CI69" i="5" s="1"/>
  <c r="CF70" i="5"/>
  <c r="AK67" i="5"/>
  <c r="AK69" i="5" s="1"/>
  <c r="AH70" i="5"/>
  <c r="FD70" i="5"/>
  <c r="D39" i="20"/>
  <c r="D3" i="20"/>
  <c r="DT70" i="5"/>
  <c r="CH67" i="5"/>
  <c r="CH69" i="5" s="1"/>
  <c r="AU67" i="5"/>
  <c r="AU69" i="5" s="1"/>
  <c r="AR70" i="5"/>
  <c r="D22" i="20"/>
  <c r="EM70" i="5"/>
  <c r="D44" i="20"/>
  <c r="FI70" i="5"/>
  <c r="D55" i="20"/>
  <c r="FT70" i="5"/>
  <c r="D9" i="20"/>
  <c r="DZ70" i="5"/>
  <c r="D57" i="20"/>
  <c r="FV70" i="5"/>
  <c r="CL70" i="5"/>
  <c r="CO67" i="5"/>
  <c r="CO69" i="5" s="1"/>
  <c r="GM67" i="5"/>
  <c r="GM69" i="5" s="1"/>
  <c r="GJ70" i="5"/>
  <c r="D34" i="20"/>
  <c r="EY70" i="5"/>
  <c r="FG70" i="5"/>
  <c r="D42" i="20"/>
  <c r="BE70" i="5"/>
  <c r="BH67" i="5"/>
  <c r="BH69" i="5" s="1"/>
  <c r="DO67" i="5"/>
  <c r="DO69" i="5" s="1"/>
  <c r="DL70" i="5"/>
  <c r="G36" i="20"/>
  <c r="FA59" i="5"/>
  <c r="GE59" i="5"/>
  <c r="G66" i="20"/>
  <c r="BQ70" i="5"/>
  <c r="BT67" i="5"/>
  <c r="BT69" i="5" s="1"/>
  <c r="D23" i="20"/>
  <c r="EN70" i="5"/>
  <c r="FN59" i="5"/>
  <c r="G49" i="20"/>
  <c r="D69" i="20"/>
  <c r="GH70" i="5"/>
  <c r="AB70" i="5"/>
  <c r="AE67" i="5"/>
  <c r="AE69" i="5" s="1"/>
  <c r="K67" i="5"/>
  <c r="K69" i="5" s="1"/>
  <c r="H70" i="5"/>
  <c r="EL59" i="5"/>
  <c r="EN67" i="5" s="1"/>
  <c r="G21" i="20"/>
  <c r="D10" i="20"/>
  <c r="EA70" i="5"/>
  <c r="FZ59" i="5"/>
  <c r="G61" i="20"/>
  <c r="M70" i="5"/>
  <c r="P67" i="5"/>
  <c r="P69" i="5" s="1"/>
  <c r="EE59" i="5"/>
  <c r="G14" i="20"/>
  <c r="DC67" i="5"/>
  <c r="DC69" i="5" s="1"/>
  <c r="BI67" i="5"/>
  <c r="BI69" i="5" s="1"/>
  <c r="GS70" i="5"/>
  <c r="GV67" i="5"/>
  <c r="GV69" i="5" s="1"/>
  <c r="BF67" i="5"/>
  <c r="BF69" i="5" s="1"/>
  <c r="BC70" i="5"/>
  <c r="BL67" i="5"/>
  <c r="BL69" i="5" s="1"/>
  <c r="BS67" i="5"/>
  <c r="BS69" i="5" s="1"/>
  <c r="D53" i="20"/>
  <c r="FR70" i="5"/>
  <c r="DA67" i="5"/>
  <c r="DA69" i="5" s="1"/>
  <c r="DT67" i="5"/>
  <c r="DQ70" i="5"/>
  <c r="AT67" i="5"/>
  <c r="AT69" i="5" s="1"/>
  <c r="D58" i="20"/>
  <c r="FW70" i="5"/>
  <c r="FE67" i="5" l="1"/>
  <c r="ES70" i="5"/>
  <c r="D64" i="20"/>
  <c r="FG67" i="5"/>
  <c r="B42" i="20" s="1"/>
  <c r="DX70" i="5"/>
  <c r="D60" i="20"/>
  <c r="EJ70" i="5"/>
  <c r="D19" i="20"/>
  <c r="FM70" i="5"/>
  <c r="FY67" i="5"/>
  <c r="B60" i="20" s="1"/>
  <c r="FB67" i="5"/>
  <c r="FB69" i="5" s="1"/>
  <c r="EX67" i="5"/>
  <c r="B33" i="20" s="1"/>
  <c r="FN67" i="5"/>
  <c r="FN69" i="5" s="1"/>
  <c r="D54" i="20"/>
  <c r="EO70" i="5"/>
  <c r="EZ70" i="5"/>
  <c r="GK67" i="5"/>
  <c r="GK69" i="5" s="1"/>
  <c r="DS69" i="5"/>
  <c r="FU67" i="5"/>
  <c r="B56" i="20" s="1"/>
  <c r="FH67" i="5"/>
  <c r="B43" i="20" s="1"/>
  <c r="EM67" i="5"/>
  <c r="EM69" i="5" s="1"/>
  <c r="FO67" i="5"/>
  <c r="B50" i="20" s="1"/>
  <c r="FR67" i="5"/>
  <c r="B53" i="20" s="1"/>
  <c r="GE67" i="5"/>
  <c r="B66" i="20" s="1"/>
  <c r="ED67" i="5"/>
  <c r="B13" i="20" s="1"/>
  <c r="DV70" i="5"/>
  <c r="DY67" i="5"/>
  <c r="B8" i="20" s="1"/>
  <c r="EF67" i="5"/>
  <c r="EF69" i="5" s="1"/>
  <c r="FJ67" i="5"/>
  <c r="B45" i="20" s="1"/>
  <c r="ET67" i="5"/>
  <c r="B29" i="20" s="1"/>
  <c r="EA67" i="5"/>
  <c r="EA69" i="5" s="1"/>
  <c r="DW67" i="5"/>
  <c r="DW69" i="5" s="1"/>
  <c r="DZ67" i="5"/>
  <c r="B9" i="20" s="1"/>
  <c r="FC67" i="5"/>
  <c r="B38" i="20" s="1"/>
  <c r="EL67" i="5"/>
  <c r="EL69" i="5" s="1"/>
  <c r="B23" i="20"/>
  <c r="EN69" i="5"/>
  <c r="B58" i="20"/>
  <c r="FW69" i="5"/>
  <c r="GC67" i="5"/>
  <c r="D61" i="20"/>
  <c r="FZ70" i="5"/>
  <c r="GH67" i="5"/>
  <c r="D66" i="20"/>
  <c r="GE70" i="5"/>
  <c r="FG69" i="5"/>
  <c r="GA67" i="5"/>
  <c r="D59" i="20"/>
  <c r="FX70" i="5"/>
  <c r="GF67" i="5"/>
  <c r="FV67" i="5"/>
  <c r="B34" i="20"/>
  <c r="EY69" i="5"/>
  <c r="D70" i="20"/>
  <c r="GL67" i="5"/>
  <c r="GL69" i="5" s="1"/>
  <c r="GI70" i="5"/>
  <c r="D49" i="20"/>
  <c r="FN70" i="5"/>
  <c r="FQ67" i="5"/>
  <c r="FD67" i="5"/>
  <c r="D36" i="20"/>
  <c r="FA70" i="5"/>
  <c r="DX67" i="5"/>
  <c r="D4" i="20"/>
  <c r="DU70" i="5"/>
  <c r="D13" i="20"/>
  <c r="EG67" i="5"/>
  <c r="ED70" i="5"/>
  <c r="EE67" i="5"/>
  <c r="EB70" i="5"/>
  <c r="D11" i="20"/>
  <c r="D41" i="20"/>
  <c r="FI67" i="5"/>
  <c r="FF70" i="5"/>
  <c r="D25" i="20"/>
  <c r="ES67" i="5"/>
  <c r="EP70" i="5"/>
  <c r="B4" i="20"/>
  <c r="DU69" i="5"/>
  <c r="FK67" i="5"/>
  <c r="D43" i="20"/>
  <c r="FH70" i="5"/>
  <c r="EU67" i="5"/>
  <c r="D27" i="20"/>
  <c r="ER70" i="5"/>
  <c r="B20" i="20"/>
  <c r="EK69" i="5"/>
  <c r="B37" i="20"/>
  <c r="GD67" i="5"/>
  <c r="D62" i="20"/>
  <c r="GA70" i="5"/>
  <c r="D21" i="20"/>
  <c r="EO67" i="5"/>
  <c r="EL70" i="5"/>
  <c r="B12" i="20"/>
  <c r="EC69" i="5"/>
  <c r="FA67" i="5"/>
  <c r="D33" i="20"/>
  <c r="EX70" i="5"/>
  <c r="B40" i="20"/>
  <c r="FE69" i="5"/>
  <c r="B3" i="20"/>
  <c r="DT69" i="5"/>
  <c r="EB67" i="5"/>
  <c r="D8" i="20"/>
  <c r="DY70" i="5"/>
  <c r="FT67" i="5"/>
  <c r="D52" i="20"/>
  <c r="FQ70" i="5"/>
  <c r="DV67" i="5"/>
  <c r="GB67" i="5"/>
  <c r="ER67" i="5"/>
  <c r="FX67" i="5"/>
  <c r="D56" i="20"/>
  <c r="FU70" i="5"/>
  <c r="FZ67" i="5"/>
  <c r="B18" i="20"/>
  <c r="EI69" i="5"/>
  <c r="GG67" i="5"/>
  <c r="D65" i="20"/>
  <c r="GD70" i="5"/>
  <c r="EJ67" i="5"/>
  <c r="D16" i="20"/>
  <c r="EG70" i="5"/>
  <c r="EH67" i="5"/>
  <c r="D14" i="20"/>
  <c r="EE70" i="5"/>
  <c r="EQ67" i="5"/>
  <c r="B47" i="20"/>
  <c r="FL69" i="5"/>
  <c r="FS67" i="5"/>
  <c r="D51" i="20"/>
  <c r="FP70" i="5"/>
  <c r="FM67" i="5"/>
  <c r="D45" i="20"/>
  <c r="FJ70" i="5"/>
  <c r="D29" i="20"/>
  <c r="EW67" i="5"/>
  <c r="ET70" i="5"/>
  <c r="FP67" i="5"/>
  <c r="EP67" i="5"/>
  <c r="FF67" i="5"/>
  <c r="D38" i="20"/>
  <c r="FC70" i="5"/>
  <c r="EV67" i="5"/>
  <c r="GI67" i="5"/>
  <c r="EZ67" i="5"/>
  <c r="FY69" i="5" l="1"/>
  <c r="FU69" i="5"/>
  <c r="B49" i="20"/>
  <c r="EX69" i="5"/>
  <c r="FH69" i="5"/>
  <c r="ET69" i="5"/>
  <c r="FR69" i="5"/>
  <c r="B22" i="20"/>
  <c r="FJ69" i="5"/>
  <c r="B15" i="20"/>
  <c r="FO69" i="5"/>
  <c r="B6" i="20"/>
  <c r="B10" i="20"/>
  <c r="ED69" i="5"/>
  <c r="GE69" i="5"/>
  <c r="DY69" i="5"/>
  <c r="B21" i="20"/>
  <c r="DZ69" i="5"/>
  <c r="FC69" i="5"/>
  <c r="B36" i="20"/>
  <c r="FA69" i="5"/>
  <c r="B26" i="20"/>
  <c r="EQ69" i="5"/>
  <c r="B35" i="20"/>
  <c r="EZ69" i="5"/>
  <c r="B54" i="20"/>
  <c r="FS69" i="5"/>
  <c r="B24" i="20"/>
  <c r="EO69" i="5"/>
  <c r="B65" i="20"/>
  <c r="GD69" i="5"/>
  <c r="B70" i="20"/>
  <c r="GI69" i="5"/>
  <c r="B32" i="20"/>
  <c r="EW69" i="5"/>
  <c r="B19" i="20"/>
  <c r="EJ69" i="5"/>
  <c r="B11" i="20"/>
  <c r="EB69" i="5"/>
  <c r="B30" i="20"/>
  <c r="EU69" i="5"/>
  <c r="B44" i="20"/>
  <c r="FI69" i="5"/>
  <c r="B64" i="20"/>
  <c r="GC69" i="5"/>
  <c r="B28" i="20"/>
  <c r="ES69" i="5"/>
  <c r="B61" i="20"/>
  <c r="FZ69" i="5"/>
  <c r="B68" i="20"/>
  <c r="GG69" i="5"/>
  <c r="B48" i="20"/>
  <c r="FM69" i="5"/>
  <c r="B25" i="20"/>
  <c r="EP69" i="5"/>
  <c r="B17" i="20"/>
  <c r="EH69" i="5"/>
  <c r="B59" i="20"/>
  <c r="FX69" i="5"/>
  <c r="B55" i="20"/>
  <c r="FT69" i="5"/>
  <c r="B39" i="20"/>
  <c r="FD69" i="5"/>
  <c r="B69" i="20"/>
  <c r="GH69" i="5"/>
  <c r="B31" i="20"/>
  <c r="EV69" i="5"/>
  <c r="B63" i="20"/>
  <c r="GB69" i="5"/>
  <c r="B5" i="20"/>
  <c r="DV69" i="5"/>
  <c r="B7" i="20"/>
  <c r="DX69" i="5"/>
  <c r="B57" i="20"/>
  <c r="FV69" i="5"/>
  <c r="B46" i="20"/>
  <c r="FK69" i="5"/>
  <c r="B67" i="20"/>
  <c r="GF69" i="5"/>
  <c r="B41" i="20"/>
  <c r="FF69" i="5"/>
  <c r="B14" i="20"/>
  <c r="EE69" i="5"/>
  <c r="B51" i="20"/>
  <c r="FP69" i="5"/>
  <c r="B27" i="20"/>
  <c r="ER69" i="5"/>
  <c r="EG69" i="5"/>
  <c r="B16" i="20"/>
  <c r="B52" i="20"/>
  <c r="FQ69" i="5"/>
  <c r="B62" i="20"/>
  <c r="GA69" i="5"/>
</calcChain>
</file>

<file path=xl/sharedStrings.xml><?xml version="1.0" encoding="utf-8"?>
<sst xmlns="http://schemas.openxmlformats.org/spreadsheetml/2006/main" count="1667" uniqueCount="598">
  <si>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</si>
  <si>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</si>
  <si>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</si>
  <si>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</si>
  <si>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</si>
  <si>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</si>
  <si>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</si>
  <si>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</si>
  <si>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</si>
  <si>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</si>
  <si>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</si>
  <si>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</si>
  <si>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</si>
  <si>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</si>
  <si>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</si>
  <si>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</si>
  <si>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</si>
  <si>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</si>
  <si>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</si>
  <si>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</si>
  <si>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</si>
  <si>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</si>
  <si>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</si>
  <si>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</si>
  <si>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</si>
  <si>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</si>
  <si>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</si>
  <si>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</si>
  <si>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</si>
  <si>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</si>
  <si>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</si>
  <si>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</si>
  <si>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</si>
  <si>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</si>
  <si>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</si>
  <si>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</si>
  <si>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</si>
  <si>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</si>
  <si>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</si>
  <si>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</si>
  <si>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</si>
  <si>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</si>
  <si>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</si>
  <si>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</si>
  <si>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</si>
  <si>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</si>
  <si>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</si>
  <si>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</si>
  <si>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</si>
  <si>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</si>
  <si>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</si>
  <si>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</si>
  <si>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</si>
  <si>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</si>
  <si>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</si>
  <si>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</si>
  <si>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</si>
  <si>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</si>
  <si>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</si>
  <si>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</si>
  <si>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</si>
  <si>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</si>
  <si>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</si>
  <si>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</si>
  <si>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</si>
  <si>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</si>
  <si>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</si>
  <si>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</si>
  <si>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</si>
  <si>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</si>
  <si>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</si>
  <si>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</si>
  <si>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</si>
  <si>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</si>
  <si>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</si>
  <si>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</si>
  <si>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</si>
  <si>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</si>
  <si>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</si>
  <si>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</si>
  <si>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</si>
  <si>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</si>
  <si>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</si>
  <si>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</si>
  <si>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</si>
  <si>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</si>
  <si>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</si>
  <si>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</si>
  <si>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</si>
  <si>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</si>
  <si>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</si>
  <si>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</si>
  <si>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</si>
  <si>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</si>
  <si>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</si>
  <si>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</si>
  <si>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</si>
  <si>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</si>
  <si>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</si>
  <si>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</si>
  <si>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</si>
  <si>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</si>
  <si>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</si>
  <si>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</si>
  <si>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</si>
  <si>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</si>
  <si>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</si>
  <si>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</si>
  <si>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</si>
  <si>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</si>
  <si>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</si>
  <si>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</si>
  <si>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</si>
  <si>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</si>
  <si>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</si>
  <si>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</si>
  <si>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</si>
  <si>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</si>
  <si>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</si>
  <si>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</si>
  <si>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</si>
  <si>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</si>
  <si>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</si>
  <si>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</si>
  <si>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</si>
  <si>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</si>
  <si>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</si>
  <si>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</si>
  <si>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</si>
  <si>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</si>
  <si>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</si>
  <si>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</si>
  <si>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</si>
  <si>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</si>
  <si>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</si>
  <si>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</si>
  <si>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</si>
  <si>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</si>
  <si>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</si>
  <si>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</si>
  <si>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</si>
  <si>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</si>
  <si>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</si>
  <si>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</si>
  <si>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</si>
  <si>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</si>
  <si>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</si>
  <si>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</si>
  <si>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</si>
  <si>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</si>
  <si>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</si>
  <si>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</si>
  <si>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</si>
  <si>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</si>
  <si>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</si>
  <si>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</si>
  <si>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</si>
  <si>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</si>
  <si>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</si>
  <si>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</si>
  <si>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</si>
  <si>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</si>
  <si>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</si>
  <si>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</si>
  <si>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</si>
  <si>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</si>
  <si>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</si>
  <si>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</si>
  <si>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</si>
  <si>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</si>
  <si>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</si>
  <si>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</si>
  <si>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</si>
  <si>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</si>
  <si>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</si>
  <si>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</si>
  <si>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</si>
  <si>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</si>
  <si>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</si>
  <si>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</si>
  <si>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</si>
  <si>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</si>
  <si>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</si>
  <si>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</si>
  <si>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</si>
  <si>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</si>
  <si>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</si>
  <si>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</si>
  <si>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</si>
  <si>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</si>
  <si>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</si>
  <si>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</si>
  <si>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</si>
  <si>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</si>
  <si>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</si>
  <si>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</si>
  <si>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</si>
  <si>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</si>
  <si>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</si>
  <si>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</si>
  <si>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</si>
  <si>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</si>
  <si>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</si>
  <si>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</si>
  <si>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</si>
  <si>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</si>
  <si>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</si>
  <si>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</si>
  <si>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</si>
  <si>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</si>
  <si>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</si>
  <si>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</si>
  <si>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</si>
  <si>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</si>
  <si>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</si>
  <si>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</si>
  <si>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</si>
  <si>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</si>
  <si>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</si>
  <si>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</si>
  <si>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</si>
  <si>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</si>
  <si>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</si>
  <si>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</si>
  <si>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</si>
  <si>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</si>
  <si>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</si>
  <si>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</si>
  <si>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</si>
  <si>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</si>
  <si>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</si>
  <si>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</si>
  <si>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</si>
  <si>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</si>
  <si>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</si>
  <si>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</si>
  <si>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</si>
  <si>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</si>
  <si>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</si>
  <si>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</si>
  <si>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</si>
  <si>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</si>
  <si>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</si>
  <si>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</si>
  <si>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</si>
  <si>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</si>
  <si>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</si>
  <si>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</si>
  <si>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</si>
  <si>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</si>
  <si>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</si>
  <si>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</si>
  <si>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</si>
  <si>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</si>
  <si>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</si>
  <si>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</si>
  <si>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</si>
  <si>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</si>
  <si>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</si>
  <si>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</si>
  <si>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</si>
  <si>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</si>
  <si>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</si>
  <si>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</si>
  <si>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</si>
  <si>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</si>
  <si>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</si>
  <si>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</si>
  <si>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</si>
  <si>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</si>
  <si>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</si>
  <si>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</si>
  <si>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</si>
  <si>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</si>
  <si>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</si>
  <si>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</si>
  <si>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</si>
  <si>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</si>
  <si>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</si>
  <si>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</si>
  <si>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</si>
  <si>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</si>
  <si>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</si>
  <si>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</si>
  <si>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</si>
  <si>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</si>
  <si>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</si>
  <si>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</si>
  <si>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</si>
  <si>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</si>
  <si>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</si>
  <si>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</si>
  <si>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</si>
  <si>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</si>
  <si>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</si>
  <si>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</si>
  <si>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</si>
  <si>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</si>
  <si>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</si>
  <si>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</si>
  <si>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</si>
  <si>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</si>
  <si>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</si>
  <si>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</si>
  <si>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</si>
  <si>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</si>
  <si>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</si>
  <si>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</si>
  <si>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</si>
  <si>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</si>
  <si>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</si>
  <si>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</si>
  <si>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</si>
  <si>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</si>
  <si>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</si>
  <si>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</si>
  <si>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</si>
  <si>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</si>
  <si>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</si>
  <si>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</si>
  <si>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</si>
  <si>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</si>
  <si>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</si>
  <si>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</si>
  <si>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</si>
  <si>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</si>
  <si>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</si>
  <si>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</si>
  <si>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</si>
  <si>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</si>
  <si>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</si>
  <si>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</si>
  <si>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</si>
  <si>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</si>
  <si>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</si>
  <si>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</si>
  <si>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</si>
  <si>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</si>
  <si>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</si>
  <si>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</si>
  <si>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</si>
  <si>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</si>
  <si>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</si>
  <si>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</si>
  <si>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</si>
  <si>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</si>
  <si>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</si>
  <si>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</si>
  <si>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</si>
  <si>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</si>
  <si>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</si>
  <si>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</si>
  <si>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</si>
  <si>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</si>
  <si>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</si>
  <si>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</si>
  <si>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</si>
  <si>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</si>
  <si>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</si>
  <si>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</si>
  <si>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</si>
  <si>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</si>
  <si>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</si>
  <si>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</si>
  <si>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</si>
  <si>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</si>
  <si>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</si>
  <si>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</si>
  <si>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</si>
  <si>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</si>
  <si>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</si>
  <si>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</si>
  <si>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</si>
  <si>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</si>
  <si>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</si>
  <si>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</si>
  <si>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</si>
  <si>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</si>
  <si>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</si>
  <si>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</si>
  <si>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</si>
  <si>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</si>
  <si>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</si>
  <si>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</si>
  <si>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</si>
  <si>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</si>
  <si>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</si>
  <si>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</si>
  <si>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</si>
  <si>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</si>
  <si>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</si>
  <si>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</si>
  <si>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</si>
  <si>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</si>
  <si>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</si>
  <si>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</si>
  <si>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</si>
  <si>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</si>
  <si>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</si>
  <si>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</si>
  <si>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</si>
  <si>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</si>
  <si>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</si>
  <si>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</si>
  <si>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</si>
  <si>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</si>
  <si>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</si>
  <si>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</si>
  <si>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</si>
  <si>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Apr-03-2017 08:45</t>
  </si>
  <si>
    <t>Jun-29-2017 08:38</t>
  </si>
  <si>
    <t>Jun-29-2017 08:30</t>
  </si>
  <si>
    <t>LASGOVA@USECON</t>
  </si>
  <si>
    <t>LALGOVA@USECON</t>
  </si>
  <si>
    <t>LAFGVXA@USECON</t>
  </si>
  <si>
    <t>LAFGT@USECON</t>
  </si>
  <si>
    <t>RecessM2@USECON</t>
  </si>
  <si>
    <t xml:space="preserve"> </t>
  </si>
  <si>
    <t>2008:Jan !M</t>
  </si>
  <si>
    <t>2008:Jan</t>
  </si>
  <si>
    <t>.FRQ</t>
  </si>
  <si>
    <t>.AGG</t>
  </si>
  <si>
    <t>.TN</t>
  </si>
  <si>
    <t>Monthly</t>
  </si>
  <si>
    <t>Jul-07-2017 08:30</t>
  </si>
  <si>
    <t>Average</t>
  </si>
  <si>
    <t>Jun-2017</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</si>
  <si>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</si>
  <si>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</si>
  <si>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</si>
  <si>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</si>
  <si>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</si>
  <si>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</si>
  <si>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</si>
  <si>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</si>
  <si>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</si>
  <si>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</si>
  <si>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</si>
  <si>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</si>
  <si>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</si>
  <si>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</si>
  <si>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</si>
  <si>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</si>
  <si>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</si>
  <si>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</si>
  <si>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</si>
  <si>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</si>
  <si>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</si>
  <si>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</si>
  <si>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</si>
  <si>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</si>
  <si>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</si>
  <si>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</si>
  <si>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</si>
  <si>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</si>
  <si>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</si>
  <si>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</si>
  <si>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</si>
  <si>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</si>
  <si>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</si>
  <si>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</si>
  <si>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</si>
  <si>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</si>
  <si>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</si>
  <si>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</si>
  <si>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</si>
  <si>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</si>
  <si>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</si>
  <si>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</si>
  <si>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</si>
  <si>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</si>
  <si>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</si>
  <si>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</si>
  <si>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</si>
  <si>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</si>
  <si>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</si>
  <si>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</si>
  <si>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</si>
  <si>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</si>
  <si>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</si>
  <si>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</si>
  <si>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</si>
  <si>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</si>
  <si>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</si>
  <si>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</si>
  <si>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</si>
  <si>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</si>
  <si>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</si>
  <si>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</si>
  <si>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</si>
  <si>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</si>
  <si>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</si>
  <si>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</si>
  <si>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</si>
  <si>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</si>
  <si>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</si>
  <si>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</si>
  <si>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</si>
  <si>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</si>
  <si>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</si>
  <si>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</si>
  <si>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</si>
  <si>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</si>
  <si>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</si>
  <si>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</si>
  <si>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</si>
  <si>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</si>
  <si>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</si>
  <si>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</si>
  <si>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</si>
  <si>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</si>
  <si>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</si>
  <si>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</si>
  <si>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</si>
  <si>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</si>
  <si>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</si>
  <si>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</si>
  <si>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</si>
  <si>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</si>
  <si>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</si>
  <si>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</si>
  <si>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</si>
  <si>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</si>
  <si>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</si>
  <si>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</si>
  <si>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</si>
  <si>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</si>
  <si>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</si>
  <si>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</si>
  <si>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</si>
  <si>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</si>
  <si>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</si>
  <si>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</si>
  <si>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</si>
  <si>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</si>
  <si>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</si>
  <si>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</si>
  <si>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</si>
  <si>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</si>
  <si>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</si>
  <si>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</si>
  <si>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</si>
  <si>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</si>
  <si>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</si>
  <si>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</si>
  <si>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Jul-07-2017 08:34</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</si>
  <si>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</si>
  <si>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</si>
  <si>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</si>
  <si>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</si>
  <si>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</si>
  <si>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</si>
  <si>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</si>
  <si>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</si>
  <si>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</si>
  <si>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</si>
  <si>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</si>
  <si>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</si>
  <si>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Jun-30-2017 08:41</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</si>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</sst>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fiscal_ifinal!$D$2:$D$70</c:f>
              <c:numCache>
                <c:formatCode>0.00</c:formatCode>
                <c:ptCount val="69"/>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0.15961047711146767</c:v>
                </c:pt>
                <c:pt idx="68" formatCode="0.000">
                  <c:v>4.114006979186316E-2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9.6760698934775582E-3</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fiscal_ifinal!$E$2:$E$70</c:f>
              <c:numCache>
                <c:formatCode>0.00</c:formatCode>
                <c:ptCount val="69"/>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pt idx="68">
                  <c:v>-0.14000000000000001</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fiscal_ifinal!$F$2:$F$70</c:f>
              <c:numCache>
                <c:formatCode>0.00</c:formatCode>
                <c:ptCount val="69"/>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pt idx="68">
                  <c:v>-0.02</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fiscal_ifinal!$G$2:$G$70</c:f>
              <c:numCache>
                <c:formatCode>0.00</c:formatCode>
                <c:ptCount val="69"/>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0.12961047711146767</c:v>
                </c:pt>
                <c:pt idx="68">
                  <c:v>0.20114006979186316</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fiscal_ifinal!$C$2:$C$70</c:f>
              <c:numCache>
                <c:formatCode>General</c:formatCode>
                <c:ptCount val="69"/>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fiscal_ifinal!$B$2:$B$70</c:f>
              <c:numCache>
                <c:formatCode>0.00</c:formatCode>
                <c:ptCount val="69"/>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8.3592699070218893E-2</c:v>
                </c:pt>
                <c:pt idx="68" formatCode="0.000">
                  <c:v>9.6760698934775582E-3</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tabSelected="1" workbookViewId="0">
      <pane xSplit="2" ySplit="6" topLeftCell="C175" activePane="bottomRight" state="frozen"/>
      <selection pane="topRight" activeCell="C1" sqref="C1"/>
      <selection pane="bottomLeft" activeCell="A7" sqref="A7"/>
      <selection pane="bottomRight" activeCell="C195" sqref="C195"/>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410</v>
      </c>
      <c r="D6" t="s">
        <v>410</v>
      </c>
      <c r="E6" t="s">
        <v>410</v>
      </c>
      <c r="F6" t="s">
        <v>410</v>
      </c>
      <c r="G6" t="s">
        <v>410</v>
      </c>
      <c r="H6" t="s">
        <v>410</v>
      </c>
      <c r="I6" t="s">
        <v>410</v>
      </c>
      <c r="J6" t="s">
        <v>410</v>
      </c>
      <c r="K6" t="s">
        <v>411</v>
      </c>
      <c r="L6" t="s">
        <v>411</v>
      </c>
      <c r="M6" t="s">
        <v>411</v>
      </c>
      <c r="N6" t="s">
        <v>410</v>
      </c>
      <c r="O6" t="s">
        <v>411</v>
      </c>
      <c r="P6" t="s">
        <v>411</v>
      </c>
      <c r="Q6" t="s">
        <v>396</v>
      </c>
      <c r="R6" t="s">
        <v>410</v>
      </c>
      <c r="S6" t="s">
        <v>409</v>
      </c>
      <c r="T6" t="s">
        <v>411</v>
      </c>
      <c r="U6" s="58" t="s">
        <v>411</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672.7</v>
      </c>
      <c r="D194" s="5">
        <v>581.4</v>
      </c>
      <c r="E194" s="5">
        <v>2753.6</v>
      </c>
      <c r="F194" s="5">
        <v>1976.3</v>
      </c>
      <c r="G194" s="5">
        <v>1267.3</v>
      </c>
      <c r="H194" s="5">
        <v>499.9</v>
      </c>
      <c r="I194" s="5">
        <v>67.7</v>
      </c>
      <c r="J194" s="5">
        <v>1259.3</v>
      </c>
      <c r="K194" s="5">
        <v>16813.3</v>
      </c>
      <c r="L194" s="5">
        <v>11669.8</v>
      </c>
      <c r="M194" s="5">
        <v>13008.9</v>
      </c>
      <c r="N194" s="7">
        <v>1.1147499999999999</v>
      </c>
      <c r="O194" s="5">
        <v>18869.400000000001</v>
      </c>
      <c r="P194" s="11">
        <v>0.03</v>
      </c>
      <c r="Q194" s="5">
        <v>16960.900000000001</v>
      </c>
      <c r="R194" s="5">
        <v>3304.3</v>
      </c>
      <c r="S194" s="48">
        <v>0</v>
      </c>
      <c r="T194" s="11">
        <v>-0.08</v>
      </c>
      <c r="U194" s="59">
        <v>0.11</v>
      </c>
      <c r="V194" s="26"/>
      <c r="W194" s="5"/>
    </row>
    <row r="195" spans="1:23" x14ac:dyDescent="0.25">
      <c r="A195" t="s">
        <v>408</v>
      </c>
      <c r="B195" s="4">
        <v>42825</v>
      </c>
      <c r="C195" s="5">
        <v>679.9</v>
      </c>
      <c r="D195" s="5">
        <v>585.29999999999995</v>
      </c>
      <c r="E195" s="5">
        <v>2795.3</v>
      </c>
      <c r="F195" s="5">
        <v>1995.7</v>
      </c>
      <c r="G195" s="5">
        <v>1271.4000000000001</v>
      </c>
      <c r="H195" s="5">
        <v>496.4</v>
      </c>
      <c r="I195" s="5">
        <v>85.7</v>
      </c>
      <c r="J195" s="5">
        <v>1285.4000000000001</v>
      </c>
      <c r="K195" s="5">
        <v>16872.8</v>
      </c>
      <c r="L195" s="5">
        <v>11701.3</v>
      </c>
      <c r="M195" s="5">
        <v>13120.4</v>
      </c>
      <c r="N195" s="7">
        <v>1.1212800000000001</v>
      </c>
      <c r="O195" s="5">
        <v>19027.099999999999</v>
      </c>
      <c r="P195" s="11">
        <v>-0.16</v>
      </c>
      <c r="Q195" s="5">
        <v>17027.2</v>
      </c>
      <c r="R195" s="5">
        <v>3330.1</v>
      </c>
      <c r="S195" s="48">
        <v>0</v>
      </c>
      <c r="T195" s="11">
        <v>-0.14000000000000001</v>
      </c>
      <c r="U195" s="59">
        <v>-0.02</v>
      </c>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56" activePane="bottomRight" state="frozen"/>
      <selection pane="topRight" activeCell="C1" sqref="C1"/>
      <selection pane="bottomLeft" activeCell="A11" sqref="A11"/>
      <selection pane="bottomRight" activeCell="GG67" sqref="GG67"/>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672.7</v>
      </c>
      <c r="GI11">
        <f>INDEX(HaverPull!$B:$XZ,MATCH(Calculations!GI$9,HaverPull!$B:$B,0),MATCH(Calculations!$B11,HaverPull!$B$1:$XZ$1,0))</f>
        <v>679.9</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581.4</v>
      </c>
      <c r="GI12">
        <f>INDEX(HaverPull!$B:$XZ,MATCH(Calculations!GI$9,HaverPull!$B:$B,0),MATCH(Calculations!$B12,HaverPull!$B$1:$XZ$1,0))</f>
        <v>585.29999999999995</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2753.6</v>
      </c>
      <c r="GI13">
        <f>INDEX(HaverPull!$B:$XZ,MATCH(Calculations!GI$9,HaverPull!$B:$B,0),MATCH(Calculations!$B13,HaverPull!$B$1:$XZ$1,0))</f>
        <v>2795.3</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1259.3</v>
      </c>
      <c r="GI14">
        <f>INDEX(HaverPull!$B:$XZ,MATCH(Calculations!GI$9,HaverPull!$B:$B,0),MATCH(Calculations!$B14,HaverPull!$B$1:$XZ$1,0))</f>
        <v>1285.4000000000001</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1976.3</v>
      </c>
      <c r="GI15">
        <f>INDEX(HaverPull!$B:$XZ,MATCH(Calculations!GI$9,HaverPull!$B:$B,0),MATCH(Calculations!$B15,HaverPull!$B$1:$XZ$1,0))</f>
        <v>1995.7</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1267.3</v>
      </c>
      <c r="GI16">
        <f>INDEX(HaverPull!$B:$XZ,MATCH(Calculations!GI$9,HaverPull!$B:$B,0),MATCH(Calculations!$B16,HaverPull!$B$1:$XZ$1,0))</f>
        <v>1271.4000000000001</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499.9</v>
      </c>
      <c r="GI17">
        <f>IFERROR(INDEX(HaverPull!$B:$XZ,MATCH(Calculations!GI$9,HaverPull!$B:$B,0),MATCH(Calculations!$B17,HaverPull!$B$1:$XZ$1,0)),INDEX(HaverPull!$B:$XZ,MATCH(Calculations!GH$9,HaverPull!$B:$B,0),MATCH(Calculations!$B17,HaverPull!$B$1:$XZ$1,0)))</f>
        <v>496.4</v>
      </c>
      <c r="GJ17">
        <f>IFERROR(INDEX(HaverPull!$B:$XZ,MATCH(Calculations!GJ$9,HaverPull!$B:$B,0),MATCH(Calculations!$B17,HaverPull!$B$1:$XZ$1,0)),INDEX(HaverPull!$B:$XZ,MATCH(Calculations!GI$9,HaverPull!$B:$B,0),MATCH(Calculations!$B17,HaverPull!$B$1:$XZ$1,0)))</f>
        <v>496.4</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67.7</v>
      </c>
      <c r="GI18">
        <f>IFERROR(INDEX(HaverPull!$B:$XZ,MATCH(Calculations!GI$9,HaverPull!$B:$B,0),MATCH(Calculations!$B18,HaverPull!$B$1:$XZ$1,0)),INDEX(HaverPull!$B:$XZ,MATCH(Calculations!GH$9,HaverPull!$B:$B,0),MATCH(Calculations!$B18,HaverPull!$B$1:$XZ$1,0)))</f>
        <v>85.7</v>
      </c>
      <c r="GJ18">
        <f>IFERROR(INDEX(HaverPull!$B:$XZ,MATCH(Calculations!GJ$9,HaverPull!$B:$B,0),MATCH(Calculations!$B18,HaverPull!$B$1:$XZ$1,0)),INDEX(HaverPull!$B:$XZ,MATCH(Calculations!GI$9,HaverPull!$B:$B,0),MATCH(Calculations!$B18,HaverPull!$B$1:$XZ$1,0)))</f>
        <v>85.7</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f>INDEX(HaverPull!$B:$XZ,MATCH(Calculations!GI$9,HaverPull!$B:$B,0),MATCH(Calculations!$B19,HaverPull!$B$1:$XZ$1,0))</f>
        <v>16872.8</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f>INDEX(HaverPull!$B:$XZ,MATCH(Calculations!GI$9,HaverPull!$B:$B,0),MATCH(Calculations!$B20,HaverPull!$B$1:$XZ$1,0))</f>
        <v>17027.2</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f>INDEX(HaverPull!$B:$XZ,MATCH(Calculations!GI$9,HaverPull!$B:$B,0),MATCH(Calculations!$B21,HaverPull!$B$1:$XZ$1,0))</f>
        <v>11701.3</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f>INDEX(HaverPull!$B:$XZ,MATCH(Calculations!GI$9,HaverPull!$B:$B,0),MATCH(Calculations!$B22,HaverPull!$B$1:$XZ$1,0))</f>
        <v>13120.4</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1.1147499999999999</v>
      </c>
      <c r="GI23">
        <f>INDEX(HaverPull!$B:$XZ,MATCH(Calculations!GI$9,HaverPull!$B:$B,0),MATCH(Calculations!$B23,HaverPull!$B$1:$XZ$1,0))</f>
        <v>1.1212800000000001</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f>INDEX(HaverPull!$B:$XZ,MATCH(Calculations!GI$9,HaverPull!$B:$B,0),MATCH(Calculations!$B24,HaverPull!$B$1:$XZ$1,0))</f>
        <v>19027.099999999999</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f>INDEX(HaverPull!$B:$XZ,MATCH(Calculations!GI$9,HaverPull!$B:$B,0),MATCH(Calculations!$B25,HaverPull!$B$1:$XZ$1,0))</f>
        <v>-0.16</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3304.3</v>
      </c>
      <c r="GI26">
        <f>INDEX(HaverPull!$B:$XZ,MATCH(Calculations!GI$9,HaverPull!$B:$B,0),MATCH(Calculations!$B26,HaverPull!$B$1:$XZ$1,0))</f>
        <v>3330.1</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1254.0999999999999</v>
      </c>
      <c r="GI32">
        <f t="shared" si="10"/>
        <v>1265.1999999999998</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1499.5</v>
      </c>
      <c r="GI33">
        <f t="shared" si="14"/>
        <v>1530.1000000000004</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4502.8999999999996</v>
      </c>
      <c r="GI34">
        <f t="shared" si="18"/>
        <v>4552.5</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432.2</v>
      </c>
      <c r="GI35">
        <f t="shared" si="22"/>
        <v>410.7</v>
      </c>
      <c r="GJ35">
        <f t="shared" si="22"/>
        <v>410.7</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1105.7850000000001</v>
      </c>
      <c r="GI38">
        <f ca="1">IF(ISERROR(INDIRECT(ADDRESS(ROW(GI32),COLUMN(GI32)-3))),"n/a",IF(ISNUMBER(INDIRECT(ADDRESS(ROW(GI32),COLUMN(GI32)-3))),Calculations!$C$3*AVERAGE(GF32:GI32),"n/a"))</f>
        <v>1119.1949999999999</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1344.15</v>
      </c>
      <c r="GI39">
        <f ca="1">IF(ISERROR(INDIRECT(ADDRESS(ROW(GI33),COLUMN(GI33)-3))),"n/a",IF(ISNUMBER(INDIRECT(ADDRESS(ROW(GI33),COLUMN(GI33)-3))),Calculations!$C$4*AVERAGE(GF33:GI33),"n/a"))</f>
        <v>1354.1175000000001</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-2665.5540000000001</v>
      </c>
      <c r="GI40">
        <f t="shared" ref="GI40" ca="1" si="40">IF(ISERROR(INDIRECT(ADDRESS(ROW(GI34),COLUMN(GI34)-7))),"n/a",IF(ISNUMBER(INDIRECT(ADDRESS(ROW(GI34),COLUMN(GI34)-7))),$C$5*($D$5*GI34+$E$5*GH34+$F$5*AVERAGE(GB34:GG34)),"n/a"))</f>
        <v>-2681.8680000000004</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-162.81333333333333</v>
      </c>
      <c r="GI41">
        <f ca="1">IF(ISERROR(INDIRECT(ADDRESS(ROW(GI35),COLUMN(GI35)-11))),"n/a",IF(ISNUMBER(INDIRECT(ADDRESS(ROW(GI35),COLUMN(GI35)-11))),Calculations!$C$6*AVERAGE(FX35:GI35),"n/a"))</f>
        <v>-163.37</v>
      </c>
      <c r="GJ41">
        <f ca="1">IF(ISERROR(INDIRECT(ADDRESS(ROW(GJ35),COLUMN(GJ35)-11))),"n/a",IF(ISNUMBER(INDIRECT(ADDRESS(ROW(GJ35),COLUMN(GJ35)-11))),Calculations!$C$6*AVERAGE(FY35:GJ35),"n/a"))</f>
        <v>-163.09</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-378.43233333333302</v>
      </c>
      <c r="GI45">
        <f t="shared" ca="1" si="60"/>
        <v>-371.9255000000004</v>
      </c>
      <c r="GJ45" t="e">
        <f t="shared" ca="1" si="60"/>
        <v>#N/A</v>
      </c>
      <c r="GK45" t="e">
        <f t="shared" ca="1" si="60"/>
        <v>#N/A</v>
      </c>
      <c r="GL45" t="e">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-339.47731180384216</v>
      </c>
      <c r="GI46">
        <f t="shared" ca="1" si="63"/>
        <v>-331.69725670662132</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12009.277311803842</v>
      </c>
      <c r="GI47">
        <f t="shared" ca="1" si="67"/>
        <v>12032.99725670662</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f t="shared" si="71"/>
        <v>1.0840895443892107</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3.3429903442530273</v>
      </c>
      <c r="GI51">
        <f t="shared" ref="GI51" ca="1" si="89">IFERROR(((GI47/GH47)^4-1)*100, "n/a")</f>
        <v>0.79239781075786109</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0.18799990289779522</v>
      </c>
      <c r="GI52">
        <f t="shared" ca="1" si="109"/>
        <v>0.29169173363134959</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f t="shared" si="112"/>
        <v>1.5727883117241825E-2</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f t="shared" si="116"/>
        <v>1.4230779090002699E-2</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f t="shared" si="120"/>
        <v>0.68956383263871013</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0.12961047711146767</v>
      </c>
      <c r="GI58">
        <f t="shared" ca="1" si="128"/>
        <v>0.20114006979186316</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0.15961047711146767</v>
      </c>
      <c r="GI59" s="35">
        <f t="shared" ca="1" si="131"/>
        <v>4.114006979186316E-2</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0.1751142060690854</v>
      </c>
      <c r="GI62">
        <f t="shared" si="135"/>
        <v>0.17501878899043996</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f t="shared" ref="GI63" si="150">IFERROR(GH62*GI53*100, "n/a")</f>
        <v>0.27541757652231741</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f t="shared" ref="GI64" si="177">IFERROR(GH62*GI54*100, "n/a")</f>
        <v>0.24920115820903643</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8.3592699070218893E-2</v>
      </c>
      <c r="GI67" s="6">
        <f t="shared" ref="GI67" ca="1" si="209">IF(ISTEXT(GF59), "n/a", AVERAGE(GF59:GI59))</f>
        <v>9.6760698934775582E-3</v>
      </c>
      <c r="GJ67" s="6">
        <f t="shared" ref="GJ67" ca="1" si="210">IF(ISTEXT(GG59), "n/a", AVERAGE(GG59:GJ59))</f>
        <v>9.4239186884189641E-2</v>
      </c>
      <c r="GK67" s="6">
        <f t="shared" ref="GK67" ca="1" si="211">IF(ISTEXT(GH59), "n/a", AVERAGE(GH59:GK59))</f>
        <v>0.10037527345166541</v>
      </c>
      <c r="GL67" s="6">
        <f t="shared" ref="GL67" ca="1" si="212">IF(ISTEXT(GI59), "n/a", AVERAGE(GI59:GL59))</f>
        <v>4.114006979186316E-2</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0.28050296254936485</v>
      </c>
      <c r="GJ68" s="6">
        <f t="shared" ref="GJ68" si="238">IF(ISTEXT(GG63), "n/a", AVERAGE(GG63:GJ63))</f>
        <v>0.2786995773613456</v>
      </c>
      <c r="GK68" s="6">
        <f t="shared" ref="GK68" si="239">IF(ISTEXT(GH63), "n/a", AVERAGE(GH63:GK63))</f>
        <v>0.27704339443213544</v>
      </c>
      <c r="GL68" s="6">
        <f t="shared" ref="GL68" si="240">IF(ISTEXT(GI63), "n/a", AVERAGE(GI63:GL63))</f>
        <v>0.27541757652231741</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-0.20136591253464287</v>
      </c>
      <c r="GI69" s="6">
        <f t="shared" ca="1" si="258"/>
        <v>-0.27082689265588727</v>
      </c>
      <c r="GJ69" s="6">
        <f t="shared" ca="1" si="258"/>
        <v>-0.18446039047715596</v>
      </c>
      <c r="GK69" s="6">
        <f t="shared" ca="1" si="258"/>
        <v>-0.17666812098047002</v>
      </c>
      <c r="GL69" s="6">
        <f t="shared" ca="1" si="258"/>
        <v>-0.23427750673045425</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-0.20632037876895157</v>
      </c>
      <c r="GI70" s="6">
        <f t="shared" ca="1" si="265"/>
        <v>-0.20806108841717327</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4" zoomScale="145" zoomScaleNormal="100" zoomScaleSheetLayoutView="145" zoomScalePageLayoutView="85" workbookViewId="0">
      <selection activeCell="J14" sqref="J14"/>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407</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405</v>
      </c>
      <c r="C47" s="89"/>
      <c r="D47" s="89"/>
      <c r="E47" s="90" t="s">
        <v>406</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1" workbookViewId="0">
      <selection activeCell="B69" sqref="B69:G69"/>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398</v>
      </c>
      <c r="C1" t="s">
        <v>399</v>
      </c>
      <c r="D1" t="s">
        <v>400</v>
      </c>
      <c r="E1" s="9" t="s">
        <v>401</v>
      </c>
      <c r="F1" s="9" t="s">
        <v>402</v>
      </c>
      <c r="G1" s="9" t="s">
        <v>403</v>
      </c>
      <c r="H1" s="9" t="s">
        <v>397</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404</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8.3592699070218893E-2</v>
      </c>
      <c r="C69" s="66">
        <f>INDEX(Calculations!$1:$80, MATCH("RecessionDummy", Calculations!$B:$B, 0), MATCH(fiscal_ifinal!$A69, Calculations!$9:$9, 0))</f>
        <v>0</v>
      </c>
      <c r="D69" s="70">
        <f ca="1">INDEX(Calculations!$1:$80, MATCH("Fiscal_Impact_bars", Calculations!$B:$B, 0), MATCH(fiscal_ifinal!$A69, Calculations!$9:$9, 0))</f>
        <v>0.15961047711146767</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0.12961047711146767</v>
      </c>
    </row>
    <row r="70" spans="1:7" x14ac:dyDescent="0.25">
      <c r="A70" s="64">
        <f>INDEX(Calculations!$9:$9, , ROW()+121)</f>
        <v>42825</v>
      </c>
      <c r="B70" s="70">
        <f ca="1">INDEX(Calculations!$1:$80, MATCH("Fiscal_Impact", Calculations!$B:$B, 0), MATCH(fiscal_ifinal!$A70, Calculations!$9:$9, 0))</f>
        <v>9.6760698934775582E-3</v>
      </c>
      <c r="C70" s="66">
        <f>INDEX(Calculations!$1:$80, MATCH("RecessionDummy", Calculations!$B:$B, 0), MATCH(fiscal_ifinal!$A70, Calculations!$9:$9, 0))</f>
        <v>0</v>
      </c>
      <c r="D70" s="70">
        <f ca="1">INDEX(Calculations!$1:$80, MATCH("Fiscal_Impact_bars", Calculations!$B:$B, 0), MATCH(fiscal_ifinal!$A70, Calculations!$9:$9, 0))</f>
        <v>4.114006979186316E-2</v>
      </c>
      <c r="E70" s="65">
        <f>INDEX(HaverPull!$B:$XZ,MATCH($A70,HaverPull!$B:$B,0),MATCH("Contribution to %Ch in Real GDP from ""Federal G""",HaverPull!$B$1:$XZ$1,0))</f>
        <v>-0.14000000000000001</v>
      </c>
      <c r="F70" s="65">
        <f>INDEX(HaverPull!$B:$XZ,MATCH($A70,HaverPull!$B:$B,0),MATCH("Contribution to %Ch in Real GDP from ""S+L G""",HaverPull!$B$1:$XZ$1,0))</f>
        <v>-0.02</v>
      </c>
      <c r="G70" s="65">
        <f ca="1">INDEX(Calculations!$A:$GV,MATCH("Contribution of Consumption Growth to Real GDP",Calculations!B$1:B$71,0),MATCH($A70,Calculations!A$9:GV$9))</f>
        <v>0.20114006979186316</v>
      </c>
    </row>
    <row r="71" spans="1:7" x14ac:dyDescent="0.25">
      <c r="A71" s="64"/>
      <c r="B71" s="70"/>
      <c r="C71" s="66"/>
      <c r="D71" s="70"/>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workbookViewId="0">
      <selection activeCell="Y10" sqref="Y10"/>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418</v>
      </c>
      <c r="B1" s="15" t="s">
        <v>61</v>
      </c>
      <c r="C1" t="s">
        <v>412</v>
      </c>
      <c r="D1" s="15" t="s">
        <v>418</v>
      </c>
      <c r="E1" s="15" t="s">
        <v>61</v>
      </c>
      <c r="F1" t="s">
        <v>413</v>
      </c>
      <c r="G1" s="15" t="s">
        <v>418</v>
      </c>
      <c r="H1" s="15" t="s">
        <v>61</v>
      </c>
      <c r="I1" t="s">
        <v>414</v>
      </c>
      <c r="J1" s="15" t="s">
        <v>418</v>
      </c>
      <c r="K1" s="15" t="s">
        <v>61</v>
      </c>
      <c r="L1" t="s">
        <v>415</v>
      </c>
      <c r="M1" s="15" t="s">
        <v>418</v>
      </c>
      <c r="N1" s="15" t="s">
        <v>61</v>
      </c>
      <c r="O1" t="s">
        <v>416</v>
      </c>
      <c r="Q1" s="93" t="s">
        <v>552</v>
      </c>
      <c r="R1" s="93" t="s">
        <v>553</v>
      </c>
      <c r="S1" s="92" t="s">
        <v>554</v>
      </c>
      <c r="T1" s="92" t="s">
        <v>555</v>
      </c>
      <c r="V1" s="15" t="s">
        <v>560</v>
      </c>
      <c r="W1" s="15" t="s">
        <v>61</v>
      </c>
      <c r="X1" t="s">
        <v>556</v>
      </c>
      <c r="Y1" t="s">
        <v>417</v>
      </c>
    </row>
    <row r="2" spans="1:25" x14ac:dyDescent="0.25">
      <c r="A2" t="s">
        <v>57</v>
      </c>
      <c r="C2" t="s">
        <v>428</v>
      </c>
      <c r="D2" t="s">
        <v>57</v>
      </c>
      <c r="F2" t="s">
        <v>542</v>
      </c>
      <c r="G2" t="s">
        <v>57</v>
      </c>
      <c r="I2" t="s">
        <v>544</v>
      </c>
      <c r="J2" t="s">
        <v>57</v>
      </c>
      <c r="L2" t="s">
        <v>547</v>
      </c>
      <c r="M2" t="s">
        <v>57</v>
      </c>
      <c r="O2" t="s">
        <v>551</v>
      </c>
      <c r="Q2" s="93"/>
      <c r="R2" s="93"/>
      <c r="S2" s="92"/>
      <c r="T2" s="92"/>
      <c r="V2" t="s">
        <v>57</v>
      </c>
      <c r="X2" t="s">
        <v>559</v>
      </c>
      <c r="Y2" t="s">
        <v>417</v>
      </c>
    </row>
    <row r="3" spans="1:25" x14ac:dyDescent="0.25">
      <c r="A3" t="s">
        <v>59</v>
      </c>
      <c r="C3" t="s">
        <v>427</v>
      </c>
      <c r="D3" t="s">
        <v>59</v>
      </c>
      <c r="F3" t="s">
        <v>427</v>
      </c>
      <c r="G3" t="s">
        <v>59</v>
      </c>
      <c r="I3" t="s">
        <v>543</v>
      </c>
      <c r="J3" t="s">
        <v>59</v>
      </c>
      <c r="L3" t="s">
        <v>546</v>
      </c>
      <c r="M3" t="s">
        <v>59</v>
      </c>
      <c r="O3" t="s">
        <v>550</v>
      </c>
      <c r="Q3" s="93"/>
      <c r="R3" s="93"/>
      <c r="S3" s="92"/>
      <c r="T3" s="92"/>
      <c r="V3" t="s">
        <v>59</v>
      </c>
      <c r="X3" t="s">
        <v>369</v>
      </c>
    </row>
    <row r="4" spans="1:25" ht="15" customHeight="1" x14ac:dyDescent="0.25">
      <c r="A4" t="s">
        <v>422</v>
      </c>
      <c r="C4" t="s">
        <v>426</v>
      </c>
      <c r="D4" t="s">
        <v>422</v>
      </c>
      <c r="F4" t="s">
        <v>426</v>
      </c>
      <c r="G4" t="s">
        <v>422</v>
      </c>
      <c r="I4" t="s">
        <v>426</v>
      </c>
      <c r="J4" t="s">
        <v>422</v>
      </c>
      <c r="L4" t="s">
        <v>426</v>
      </c>
      <c r="M4" t="s">
        <v>422</v>
      </c>
      <c r="O4" t="s">
        <v>426</v>
      </c>
      <c r="Q4" s="93"/>
      <c r="R4" s="93"/>
      <c r="S4" s="92"/>
      <c r="T4" s="92"/>
      <c r="V4" t="s">
        <v>422</v>
      </c>
      <c r="X4" t="s">
        <v>408</v>
      </c>
    </row>
    <row r="5" spans="1:25" ht="15" customHeight="1" x14ac:dyDescent="0.25">
      <c r="A5" t="s">
        <v>421</v>
      </c>
      <c r="C5" t="s">
        <v>425</v>
      </c>
      <c r="D5" t="s">
        <v>421</v>
      </c>
      <c r="F5" t="s">
        <v>425</v>
      </c>
      <c r="G5" t="s">
        <v>421</v>
      </c>
      <c r="I5" t="s">
        <v>425</v>
      </c>
      <c r="J5" t="s">
        <v>421</v>
      </c>
      <c r="L5" t="s">
        <v>425</v>
      </c>
      <c r="M5" t="s">
        <v>421</v>
      </c>
      <c r="O5" t="s">
        <v>549</v>
      </c>
      <c r="Q5" s="93"/>
      <c r="R5" s="93"/>
      <c r="S5" s="92"/>
      <c r="T5" s="92"/>
      <c r="V5" t="s">
        <v>421</v>
      </c>
      <c r="X5" t="s">
        <v>425</v>
      </c>
    </row>
    <row r="6" spans="1:25" ht="15" customHeight="1" x14ac:dyDescent="0.25">
      <c r="A6" t="s">
        <v>60</v>
      </c>
      <c r="C6" t="s">
        <v>424</v>
      </c>
      <c r="D6" t="s">
        <v>60</v>
      </c>
      <c r="F6" t="s">
        <v>424</v>
      </c>
      <c r="G6" t="s">
        <v>60</v>
      </c>
      <c r="I6" t="s">
        <v>424</v>
      </c>
      <c r="J6" t="s">
        <v>60</v>
      </c>
      <c r="L6" t="s">
        <v>545</v>
      </c>
      <c r="M6" t="s">
        <v>60</v>
      </c>
      <c r="O6" t="s">
        <v>548</v>
      </c>
      <c r="Q6" s="93"/>
      <c r="R6" s="93"/>
      <c r="S6" s="92"/>
      <c r="T6" s="92"/>
      <c r="V6" t="s">
        <v>60</v>
      </c>
      <c r="X6" t="s">
        <v>558</v>
      </c>
      <c r="Y6" t="s">
        <v>417</v>
      </c>
    </row>
    <row r="7" spans="1:25" x14ac:dyDescent="0.25">
      <c r="A7" t="s">
        <v>420</v>
      </c>
      <c r="C7" t="s">
        <v>423</v>
      </c>
      <c r="D7" t="s">
        <v>420</v>
      </c>
      <c r="F7" t="s">
        <v>423</v>
      </c>
      <c r="G7" t="s">
        <v>420</v>
      </c>
      <c r="I7" t="s">
        <v>423</v>
      </c>
      <c r="J7" t="s">
        <v>420</v>
      </c>
      <c r="L7" t="s">
        <v>423</v>
      </c>
      <c r="M7" t="s">
        <v>420</v>
      </c>
      <c r="O7" t="s">
        <v>423</v>
      </c>
      <c r="Q7" s="93"/>
      <c r="R7" s="93"/>
      <c r="S7" s="92"/>
      <c r="T7" s="92"/>
      <c r="V7" t="s">
        <v>420</v>
      </c>
      <c r="X7" t="s">
        <v>557</v>
      </c>
    </row>
    <row r="8" spans="1:25" x14ac:dyDescent="0.25">
      <c r="A8" t="s">
        <v>419</v>
      </c>
      <c r="B8" s="71">
        <v>39478</v>
      </c>
      <c r="C8" s="48">
        <v>5148</v>
      </c>
      <c r="D8" t="s">
        <v>419</v>
      </c>
      <c r="E8" s="71">
        <v>39478</v>
      </c>
      <c r="F8" s="48">
        <v>14502</v>
      </c>
      <c r="G8" t="s">
        <v>419</v>
      </c>
      <c r="H8" s="71">
        <v>39478</v>
      </c>
      <c r="I8" s="5">
        <v>1981</v>
      </c>
      <c r="J8" t="s">
        <v>419</v>
      </c>
      <c r="K8" s="71">
        <v>39478</v>
      </c>
      <c r="L8" s="48">
        <v>0</v>
      </c>
      <c r="M8" t="s">
        <v>419</v>
      </c>
      <c r="N8" s="71">
        <v>39478</v>
      </c>
      <c r="O8" s="48">
        <v>1</v>
      </c>
      <c r="Q8" s="93"/>
      <c r="V8" t="s">
        <v>561</v>
      </c>
      <c r="W8" s="71">
        <v>39538</v>
      </c>
      <c r="X8" s="5">
        <v>290.10000000000002</v>
      </c>
    </row>
    <row r="9" spans="1:25" x14ac:dyDescent="0.25">
      <c r="A9" t="s">
        <v>429</v>
      </c>
      <c r="B9" s="71">
        <v>39507</v>
      </c>
      <c r="C9" s="48">
        <v>5145</v>
      </c>
      <c r="D9" t="s">
        <v>429</v>
      </c>
      <c r="E9" s="71">
        <v>39507</v>
      </c>
      <c r="F9" s="48">
        <v>14525</v>
      </c>
      <c r="G9" t="s">
        <v>429</v>
      </c>
      <c r="H9" s="71">
        <v>39507</v>
      </c>
      <c r="I9" s="5">
        <v>1986.9</v>
      </c>
      <c r="J9" t="s">
        <v>429</v>
      </c>
      <c r="K9" s="71">
        <v>39507</v>
      </c>
      <c r="L9" s="48">
        <v>0</v>
      </c>
      <c r="M9" t="s">
        <v>429</v>
      </c>
      <c r="N9" s="71">
        <v>39507</v>
      </c>
      <c r="O9" s="48">
        <v>1</v>
      </c>
      <c r="Q9" s="6">
        <f>IF(B9&lt;&gt;"",((C9+F9)-(C8+F8))*1000,"")</f>
        <v>20000</v>
      </c>
      <c r="R9" s="78"/>
      <c r="S9" s="72">
        <f>IF(B9&lt;&gt;"",((I9-L9)-(I8-L8))*1000,"")</f>
        <v>5900.0000000000909</v>
      </c>
      <c r="V9" t="s">
        <v>562</v>
      </c>
      <c r="W9" s="71">
        <v>39629</v>
      </c>
      <c r="X9" s="5">
        <v>294</v>
      </c>
    </row>
    <row r="10" spans="1:25" x14ac:dyDescent="0.25">
      <c r="A10" t="s">
        <v>430</v>
      </c>
      <c r="B10" s="71">
        <v>39538</v>
      </c>
      <c r="C10" s="48">
        <v>5153</v>
      </c>
      <c r="D10" t="s">
        <v>430</v>
      </c>
      <c r="E10" s="71">
        <v>39538</v>
      </c>
      <c r="F10" s="48">
        <v>14538</v>
      </c>
      <c r="G10" t="s">
        <v>430</v>
      </c>
      <c r="H10" s="71">
        <v>39538</v>
      </c>
      <c r="I10" s="5">
        <v>1991.4</v>
      </c>
      <c r="J10" t="s">
        <v>430</v>
      </c>
      <c r="K10" s="71">
        <v>39538</v>
      </c>
      <c r="L10" s="48">
        <v>0</v>
      </c>
      <c r="M10" t="s">
        <v>430</v>
      </c>
      <c r="N10" s="71">
        <v>39538</v>
      </c>
      <c r="O10" s="48">
        <v>1</v>
      </c>
      <c r="Q10" s="6">
        <f t="shared" ref="Q10:Q73" si="0">IF(B10&lt;&gt;"",((C10+F10)-(C9+F9))*1000,"")</f>
        <v>21000</v>
      </c>
      <c r="S10" s="72">
        <f t="shared" ref="S10:S73" si="1">IF(B10&lt;&gt;"",((I10-L10)-(I9-L9))*1000,"")</f>
        <v>4500</v>
      </c>
      <c r="V10" t="s">
        <v>563</v>
      </c>
      <c r="W10" s="71">
        <v>39721</v>
      </c>
      <c r="X10" s="5">
        <v>294.2</v>
      </c>
    </row>
    <row r="11" spans="1:25" x14ac:dyDescent="0.25">
      <c r="A11" t="s">
        <v>431</v>
      </c>
      <c r="B11" s="71">
        <v>39568</v>
      </c>
      <c r="C11" s="48">
        <v>5157</v>
      </c>
      <c r="D11" t="s">
        <v>431</v>
      </c>
      <c r="E11" s="71">
        <v>39568</v>
      </c>
      <c r="F11" s="48">
        <v>14538</v>
      </c>
      <c r="G11" t="s">
        <v>431</v>
      </c>
      <c r="H11" s="71">
        <v>39568</v>
      </c>
      <c r="I11" s="5">
        <v>1997.1</v>
      </c>
      <c r="J11" t="s">
        <v>431</v>
      </c>
      <c r="K11" s="71">
        <v>39568</v>
      </c>
      <c r="L11" s="48">
        <v>0</v>
      </c>
      <c r="M11" t="s">
        <v>431</v>
      </c>
      <c r="N11" s="71">
        <v>39568</v>
      </c>
      <c r="O11" s="48">
        <v>1</v>
      </c>
      <c r="Q11" s="6">
        <f t="shared" si="0"/>
        <v>4000</v>
      </c>
      <c r="R11" s="79">
        <f>IF(B11&lt;&gt;"",AVERAGE(Q9:Q11),"")</f>
        <v>15000</v>
      </c>
      <c r="S11" s="72">
        <f t="shared" si="1"/>
        <v>5699.9999999998181</v>
      </c>
      <c r="T11" s="80">
        <f>IF(B11&lt;&gt;"",AVERAGE(S9:S11),"")</f>
        <v>5366.666666666636</v>
      </c>
      <c r="V11" t="s">
        <v>564</v>
      </c>
      <c r="W11" s="71">
        <v>39813</v>
      </c>
      <c r="X11" s="5">
        <v>289.2</v>
      </c>
    </row>
    <row r="12" spans="1:25" x14ac:dyDescent="0.25">
      <c r="A12" t="s">
        <v>432</v>
      </c>
      <c r="B12" s="71">
        <v>39599</v>
      </c>
      <c r="C12" s="48">
        <v>5162</v>
      </c>
      <c r="D12" t="s">
        <v>432</v>
      </c>
      <c r="E12" s="71">
        <v>39599</v>
      </c>
      <c r="F12" s="48">
        <v>14564</v>
      </c>
      <c r="G12" t="s">
        <v>432</v>
      </c>
      <c r="H12" s="71">
        <v>39599</v>
      </c>
      <c r="I12" s="5">
        <v>2002.8</v>
      </c>
      <c r="J12" t="s">
        <v>432</v>
      </c>
      <c r="K12" s="71">
        <v>39599</v>
      </c>
      <c r="L12" s="48">
        <v>0</v>
      </c>
      <c r="M12" t="s">
        <v>432</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565</v>
      </c>
      <c r="W12" s="71">
        <v>39903</v>
      </c>
      <c r="X12" s="5">
        <v>288.7</v>
      </c>
    </row>
    <row r="13" spans="1:25" x14ac:dyDescent="0.25">
      <c r="A13" t="s">
        <v>433</v>
      </c>
      <c r="B13" s="71">
        <v>39629</v>
      </c>
      <c r="C13" s="48">
        <v>5179</v>
      </c>
      <c r="D13" t="s">
        <v>433</v>
      </c>
      <c r="E13" s="71">
        <v>39629</v>
      </c>
      <c r="F13" s="48">
        <v>14579</v>
      </c>
      <c r="G13" t="s">
        <v>433</v>
      </c>
      <c r="H13" s="71">
        <v>39629</v>
      </c>
      <c r="I13" s="5">
        <v>2007.7</v>
      </c>
      <c r="J13" t="s">
        <v>433</v>
      </c>
      <c r="K13" s="71">
        <v>39629</v>
      </c>
      <c r="L13" s="48">
        <v>0</v>
      </c>
      <c r="M13" t="s">
        <v>433</v>
      </c>
      <c r="N13" s="71">
        <v>39629</v>
      </c>
      <c r="O13" s="48">
        <v>1</v>
      </c>
      <c r="Q13" s="6">
        <f t="shared" si="0"/>
        <v>32000</v>
      </c>
      <c r="R13" s="79">
        <f t="shared" si="2"/>
        <v>22333.333333333332</v>
      </c>
      <c r="S13" s="72">
        <f t="shared" si="1"/>
        <v>4900.0000000000909</v>
      </c>
      <c r="T13" s="80">
        <f t="shared" si="3"/>
        <v>5433.3333333333185</v>
      </c>
      <c r="V13" t="s">
        <v>566</v>
      </c>
      <c r="W13" s="71">
        <v>39994</v>
      </c>
      <c r="X13" s="5">
        <v>294.7</v>
      </c>
    </row>
    <row r="14" spans="1:25" x14ac:dyDescent="0.25">
      <c r="A14" t="s">
        <v>434</v>
      </c>
      <c r="B14" s="71">
        <v>39660</v>
      </c>
      <c r="C14" s="48">
        <v>5191</v>
      </c>
      <c r="D14" t="s">
        <v>434</v>
      </c>
      <c r="E14" s="71">
        <v>39660</v>
      </c>
      <c r="F14" s="48">
        <v>14610</v>
      </c>
      <c r="G14" t="s">
        <v>434</v>
      </c>
      <c r="H14" s="71">
        <v>39660</v>
      </c>
      <c r="I14" s="5">
        <v>2016.7</v>
      </c>
      <c r="J14" t="s">
        <v>434</v>
      </c>
      <c r="K14" s="71">
        <v>39660</v>
      </c>
      <c r="L14" s="48">
        <v>0</v>
      </c>
      <c r="M14" t="s">
        <v>434</v>
      </c>
      <c r="N14" s="71">
        <v>39660</v>
      </c>
      <c r="O14" s="48">
        <v>1</v>
      </c>
      <c r="Q14" s="6">
        <f t="shared" si="0"/>
        <v>43000</v>
      </c>
      <c r="R14" s="79">
        <f t="shared" si="2"/>
        <v>35333.333333333336</v>
      </c>
      <c r="S14" s="72">
        <f t="shared" si="1"/>
        <v>9000</v>
      </c>
      <c r="T14" s="80">
        <f t="shared" si="3"/>
        <v>6533.3333333333794</v>
      </c>
      <c r="V14" t="s">
        <v>567</v>
      </c>
      <c r="W14" s="71">
        <v>40086</v>
      </c>
      <c r="X14" s="5">
        <v>293.3</v>
      </c>
    </row>
    <row r="15" spans="1:25" x14ac:dyDescent="0.25">
      <c r="A15" t="s">
        <v>435</v>
      </c>
      <c r="B15" s="71">
        <v>39691</v>
      </c>
      <c r="C15" s="48">
        <v>5214</v>
      </c>
      <c r="D15" t="s">
        <v>435</v>
      </c>
      <c r="E15" s="71">
        <v>39691</v>
      </c>
      <c r="F15" s="48">
        <v>14587</v>
      </c>
      <c r="G15" t="s">
        <v>435</v>
      </c>
      <c r="H15" s="71">
        <v>39691</v>
      </c>
      <c r="I15" s="5">
        <v>2023.3</v>
      </c>
      <c r="J15" t="s">
        <v>435</v>
      </c>
      <c r="K15" s="71">
        <v>39691</v>
      </c>
      <c r="L15" s="48">
        <v>0</v>
      </c>
      <c r="M15" t="s">
        <v>435</v>
      </c>
      <c r="N15" s="71">
        <v>39691</v>
      </c>
      <c r="O15" s="48">
        <v>1</v>
      </c>
      <c r="Q15" s="6">
        <f t="shared" si="0"/>
        <v>0</v>
      </c>
      <c r="R15" s="79">
        <f t="shared" si="2"/>
        <v>25000</v>
      </c>
      <c r="S15" s="72">
        <f t="shared" si="1"/>
        <v>6599.9999999999091</v>
      </c>
      <c r="T15" s="80">
        <f t="shared" si="3"/>
        <v>6833.333333333333</v>
      </c>
      <c r="V15" t="s">
        <v>568</v>
      </c>
      <c r="W15" s="71">
        <v>40178</v>
      </c>
      <c r="X15" s="5">
        <v>282.39999999999998</v>
      </c>
    </row>
    <row r="16" spans="1:25" x14ac:dyDescent="0.25">
      <c r="A16" t="s">
        <v>436</v>
      </c>
      <c r="B16" s="71">
        <v>39721</v>
      </c>
      <c r="C16" s="48">
        <v>5184</v>
      </c>
      <c r="D16" t="s">
        <v>436</v>
      </c>
      <c r="E16" s="71">
        <v>39721</v>
      </c>
      <c r="F16" s="48">
        <v>14585</v>
      </c>
      <c r="G16" t="s">
        <v>436</v>
      </c>
      <c r="H16" s="71">
        <v>39721</v>
      </c>
      <c r="I16" s="5">
        <v>2028.4</v>
      </c>
      <c r="J16" t="s">
        <v>436</v>
      </c>
      <c r="K16" s="71">
        <v>39721</v>
      </c>
      <c r="L16" s="48">
        <v>0</v>
      </c>
      <c r="M16" t="s">
        <v>436</v>
      </c>
      <c r="N16" s="71">
        <v>39721</v>
      </c>
      <c r="O16" s="48">
        <v>1</v>
      </c>
      <c r="Q16" s="6">
        <f t="shared" si="0"/>
        <v>-32000</v>
      </c>
      <c r="R16" s="79">
        <f t="shared" si="2"/>
        <v>3666.6666666666665</v>
      </c>
      <c r="S16" s="72">
        <f t="shared" si="1"/>
        <v>5100.0000000001364</v>
      </c>
      <c r="T16" s="80">
        <f t="shared" si="3"/>
        <v>6900.0000000000146</v>
      </c>
      <c r="V16" t="s">
        <v>569</v>
      </c>
      <c r="W16" s="71">
        <v>40268</v>
      </c>
      <c r="X16" s="5">
        <v>273.60000000000002</v>
      </c>
    </row>
    <row r="17" spans="1:24" x14ac:dyDescent="0.25">
      <c r="A17" t="s">
        <v>437</v>
      </c>
      <c r="B17" s="71">
        <v>39752</v>
      </c>
      <c r="C17" s="48">
        <v>5182</v>
      </c>
      <c r="D17" t="s">
        <v>437</v>
      </c>
      <c r="E17" s="71">
        <v>39752</v>
      </c>
      <c r="F17" s="48">
        <v>14595</v>
      </c>
      <c r="G17" t="s">
        <v>437</v>
      </c>
      <c r="H17" s="71">
        <v>39752</v>
      </c>
      <c r="I17" s="5">
        <v>2035</v>
      </c>
      <c r="J17" t="s">
        <v>437</v>
      </c>
      <c r="K17" s="71">
        <v>39752</v>
      </c>
      <c r="L17" s="48">
        <v>0</v>
      </c>
      <c r="M17" t="s">
        <v>437</v>
      </c>
      <c r="N17" s="71">
        <v>39752</v>
      </c>
      <c r="O17" s="48">
        <v>1</v>
      </c>
      <c r="Q17" s="6">
        <f t="shared" si="0"/>
        <v>8000</v>
      </c>
      <c r="R17" s="79">
        <f t="shared" si="2"/>
        <v>-8000</v>
      </c>
      <c r="S17" s="72">
        <f t="shared" si="1"/>
        <v>6599.9999999999091</v>
      </c>
      <c r="T17" s="80">
        <f t="shared" si="3"/>
        <v>6099.9999999999854</v>
      </c>
      <c r="V17" t="s">
        <v>570</v>
      </c>
      <c r="W17" s="71">
        <v>40359</v>
      </c>
      <c r="X17" s="5">
        <v>284.2</v>
      </c>
    </row>
    <row r="18" spans="1:24" x14ac:dyDescent="0.25">
      <c r="A18" t="s">
        <v>438</v>
      </c>
      <c r="B18" s="71">
        <v>39782</v>
      </c>
      <c r="C18" s="48">
        <v>5194</v>
      </c>
      <c r="D18" t="s">
        <v>438</v>
      </c>
      <c r="E18" s="71">
        <v>39782</v>
      </c>
      <c r="F18" s="48">
        <v>14588</v>
      </c>
      <c r="G18" t="s">
        <v>438</v>
      </c>
      <c r="H18" s="71">
        <v>39782</v>
      </c>
      <c r="I18" s="5">
        <v>2044.7</v>
      </c>
      <c r="J18" t="s">
        <v>438</v>
      </c>
      <c r="K18" s="71">
        <v>39782</v>
      </c>
      <c r="L18" s="48">
        <v>1</v>
      </c>
      <c r="M18" t="s">
        <v>438</v>
      </c>
      <c r="N18" s="71">
        <v>39782</v>
      </c>
      <c r="O18" s="48">
        <v>1</v>
      </c>
      <c r="Q18" s="6">
        <f t="shared" si="0"/>
        <v>5000</v>
      </c>
      <c r="R18" s="79">
        <f t="shared" si="2"/>
        <v>-6333.333333333333</v>
      </c>
      <c r="S18" s="72">
        <f t="shared" si="1"/>
        <v>8700.0000000000455</v>
      </c>
      <c r="T18" s="80">
        <f t="shared" si="3"/>
        <v>6800.00000000003</v>
      </c>
      <c r="V18" t="s">
        <v>571</v>
      </c>
      <c r="W18" s="71">
        <v>40451</v>
      </c>
      <c r="X18" s="5">
        <v>285.60000000000002</v>
      </c>
    </row>
    <row r="19" spans="1:24" x14ac:dyDescent="0.25">
      <c r="A19" t="s">
        <v>439</v>
      </c>
      <c r="B19" s="71">
        <v>39813</v>
      </c>
      <c r="C19" s="48">
        <v>5191</v>
      </c>
      <c r="D19" t="s">
        <v>439</v>
      </c>
      <c r="E19" s="71">
        <v>39813</v>
      </c>
      <c r="F19" s="48">
        <v>14590</v>
      </c>
      <c r="G19" t="s">
        <v>439</v>
      </c>
      <c r="H19" s="71">
        <v>39813</v>
      </c>
      <c r="I19" s="5">
        <v>2049.6</v>
      </c>
      <c r="J19" t="s">
        <v>439</v>
      </c>
      <c r="K19" s="71">
        <v>39813</v>
      </c>
      <c r="L19" s="48">
        <v>3</v>
      </c>
      <c r="M19" t="s">
        <v>439</v>
      </c>
      <c r="N19" s="71">
        <v>39813</v>
      </c>
      <c r="O19" s="48">
        <v>1</v>
      </c>
      <c r="Q19" s="6">
        <f t="shared" si="0"/>
        <v>-1000</v>
      </c>
      <c r="R19" s="79">
        <f t="shared" si="2"/>
        <v>4000</v>
      </c>
      <c r="S19" s="72">
        <f t="shared" si="1"/>
        <v>2899.9999999998636</v>
      </c>
      <c r="T19" s="80">
        <f t="shared" si="3"/>
        <v>6066.666666666606</v>
      </c>
      <c r="V19" t="s">
        <v>572</v>
      </c>
      <c r="W19" s="71">
        <v>40543</v>
      </c>
      <c r="X19" s="5">
        <v>274.5</v>
      </c>
    </row>
    <row r="20" spans="1:24" s="73" customFormat="1" x14ac:dyDescent="0.25">
      <c r="A20" s="73" t="s">
        <v>440</v>
      </c>
      <c r="B20" s="74">
        <v>39844</v>
      </c>
      <c r="C20" s="75">
        <v>5206</v>
      </c>
      <c r="D20" s="73" t="s">
        <v>440</v>
      </c>
      <c r="E20" s="74">
        <v>39844</v>
      </c>
      <c r="F20" s="75">
        <v>14587</v>
      </c>
      <c r="G20" s="73" t="s">
        <v>440</v>
      </c>
      <c r="H20" s="74">
        <v>39844</v>
      </c>
      <c r="I20" s="76">
        <v>2059.5</v>
      </c>
      <c r="J20" s="73" t="s">
        <v>440</v>
      </c>
      <c r="K20" s="74">
        <v>39844</v>
      </c>
      <c r="L20" s="75">
        <v>5</v>
      </c>
      <c r="M20" s="73" t="s">
        <v>440</v>
      </c>
      <c r="N20" s="74">
        <v>39844</v>
      </c>
      <c r="O20" s="75">
        <v>1</v>
      </c>
      <c r="Q20" s="77">
        <f t="shared" si="0"/>
        <v>12000</v>
      </c>
      <c r="R20" s="79">
        <f t="shared" si="2"/>
        <v>5333.333333333333</v>
      </c>
      <c r="S20" s="72">
        <f t="shared" si="1"/>
        <v>7900.0000000000909</v>
      </c>
      <c r="T20" s="80">
        <f t="shared" si="3"/>
        <v>6500</v>
      </c>
      <c r="V20" s="73" t="s">
        <v>573</v>
      </c>
      <c r="W20" s="74">
        <v>40633</v>
      </c>
      <c r="X20" s="76">
        <v>265.7</v>
      </c>
    </row>
    <row r="21" spans="1:24" x14ac:dyDescent="0.25">
      <c r="A21" t="s">
        <v>441</v>
      </c>
      <c r="B21" s="71">
        <v>39872</v>
      </c>
      <c r="C21" s="48">
        <v>5190</v>
      </c>
      <c r="D21" t="s">
        <v>441</v>
      </c>
      <c r="E21" s="71">
        <v>39872</v>
      </c>
      <c r="F21" s="48">
        <v>14591</v>
      </c>
      <c r="G21" t="s">
        <v>441</v>
      </c>
      <c r="H21" s="71">
        <v>39872</v>
      </c>
      <c r="I21" s="5">
        <v>2068.1999999999998</v>
      </c>
      <c r="J21" t="s">
        <v>441</v>
      </c>
      <c r="K21" s="71">
        <v>39872</v>
      </c>
      <c r="L21" s="48">
        <v>6</v>
      </c>
      <c r="M21" t="s">
        <v>441</v>
      </c>
      <c r="N21" s="71">
        <v>39872</v>
      </c>
      <c r="O21" s="48">
        <v>1</v>
      </c>
      <c r="Q21" s="6">
        <f t="shared" si="0"/>
        <v>-12000</v>
      </c>
      <c r="R21" s="79">
        <f t="shared" si="2"/>
        <v>-333.33333333333331</v>
      </c>
      <c r="S21" s="72">
        <f t="shared" si="1"/>
        <v>7699.9999999998181</v>
      </c>
      <c r="T21" s="80">
        <f t="shared" si="3"/>
        <v>6166.6666666665915</v>
      </c>
      <c r="V21" t="s">
        <v>574</v>
      </c>
      <c r="W21" s="71">
        <v>40724</v>
      </c>
      <c r="X21" s="5">
        <v>261.39999999999998</v>
      </c>
    </row>
    <row r="22" spans="1:24" x14ac:dyDescent="0.25">
      <c r="A22" t="s">
        <v>442</v>
      </c>
      <c r="B22" s="71">
        <v>39903</v>
      </c>
      <c r="C22" s="48">
        <v>5180</v>
      </c>
      <c r="D22" t="s">
        <v>442</v>
      </c>
      <c r="E22" s="71">
        <v>39903</v>
      </c>
      <c r="F22" s="48">
        <v>14583</v>
      </c>
      <c r="G22" t="s">
        <v>442</v>
      </c>
      <c r="H22" s="71">
        <v>39903</v>
      </c>
      <c r="I22" s="5">
        <v>2075</v>
      </c>
      <c r="J22" t="s">
        <v>442</v>
      </c>
      <c r="K22" s="71">
        <v>39903</v>
      </c>
      <c r="L22" s="48">
        <v>12</v>
      </c>
      <c r="M22" t="s">
        <v>442</v>
      </c>
      <c r="N22" s="71">
        <v>39903</v>
      </c>
      <c r="O22" s="48">
        <v>1</v>
      </c>
      <c r="Q22" s="6">
        <f t="shared" si="0"/>
        <v>-18000</v>
      </c>
      <c r="R22" s="79">
        <f t="shared" si="2"/>
        <v>-6000</v>
      </c>
      <c r="S22" s="72">
        <f t="shared" si="1"/>
        <v>800.0000000001819</v>
      </c>
      <c r="T22" s="80">
        <f t="shared" si="3"/>
        <v>5466.666666666697</v>
      </c>
      <c r="V22" t="s">
        <v>575</v>
      </c>
      <c r="W22" s="71">
        <v>40816</v>
      </c>
      <c r="X22" s="5">
        <v>258.60000000000002</v>
      </c>
    </row>
    <row r="23" spans="1:24" x14ac:dyDescent="0.25">
      <c r="A23" t="s">
        <v>443</v>
      </c>
      <c r="B23" s="71">
        <v>39933</v>
      </c>
      <c r="C23" s="48">
        <v>5182</v>
      </c>
      <c r="D23" t="s">
        <v>443</v>
      </c>
      <c r="E23" s="71">
        <v>39933</v>
      </c>
      <c r="F23" s="48">
        <v>14573</v>
      </c>
      <c r="G23" t="s">
        <v>443</v>
      </c>
      <c r="H23" s="71">
        <v>39933</v>
      </c>
      <c r="I23" s="5">
        <v>2200.8000000000002</v>
      </c>
      <c r="J23" t="s">
        <v>443</v>
      </c>
      <c r="K23" s="71">
        <v>39933</v>
      </c>
      <c r="L23" s="48">
        <v>126</v>
      </c>
      <c r="M23" t="s">
        <v>443</v>
      </c>
      <c r="N23" s="71">
        <v>39933</v>
      </c>
      <c r="O23" s="48">
        <v>1</v>
      </c>
      <c r="Q23" s="6">
        <f t="shared" si="0"/>
        <v>-8000</v>
      </c>
      <c r="R23" s="79">
        <f t="shared" si="2"/>
        <v>-12666.666666666666</v>
      </c>
      <c r="S23" s="72">
        <f t="shared" si="1"/>
        <v>11800.000000000182</v>
      </c>
      <c r="T23" s="80">
        <f t="shared" si="3"/>
        <v>6766.666666666727</v>
      </c>
      <c r="V23" t="s">
        <v>576</v>
      </c>
      <c r="W23" s="71">
        <v>40908</v>
      </c>
      <c r="X23" s="5">
        <v>257.89999999999998</v>
      </c>
    </row>
    <row r="24" spans="1:24" x14ac:dyDescent="0.25">
      <c r="A24" t="s">
        <v>444</v>
      </c>
      <c r="B24" s="71">
        <v>39964</v>
      </c>
      <c r="C24" s="48">
        <v>5187</v>
      </c>
      <c r="D24" t="s">
        <v>444</v>
      </c>
      <c r="E24" s="71">
        <v>39964</v>
      </c>
      <c r="F24" s="48">
        <v>14570</v>
      </c>
      <c r="G24" t="s">
        <v>444</v>
      </c>
      <c r="H24" s="71">
        <v>39964</v>
      </c>
      <c r="I24" s="5">
        <v>2151.6</v>
      </c>
      <c r="J24" t="s">
        <v>444</v>
      </c>
      <c r="K24" s="71">
        <v>39964</v>
      </c>
      <c r="L24" s="48">
        <v>69</v>
      </c>
      <c r="M24" t="s">
        <v>444</v>
      </c>
      <c r="N24" s="71">
        <v>39964</v>
      </c>
      <c r="O24" s="48">
        <v>1</v>
      </c>
      <c r="Q24" s="6">
        <f t="shared" si="0"/>
        <v>2000</v>
      </c>
      <c r="R24" s="79">
        <f t="shared" si="2"/>
        <v>-8000</v>
      </c>
      <c r="S24" s="72">
        <f t="shared" si="1"/>
        <v>7799.9999999997272</v>
      </c>
      <c r="T24" s="80">
        <f t="shared" si="3"/>
        <v>6800.00000000003</v>
      </c>
      <c r="V24" t="s">
        <v>577</v>
      </c>
      <c r="W24" s="71">
        <v>40999</v>
      </c>
      <c r="X24" s="5">
        <v>248.9</v>
      </c>
    </row>
    <row r="25" spans="1:24" x14ac:dyDescent="0.25">
      <c r="A25" t="s">
        <v>445</v>
      </c>
      <c r="B25" s="71">
        <v>39994</v>
      </c>
      <c r="C25" s="48">
        <v>5176</v>
      </c>
      <c r="D25" t="s">
        <v>445</v>
      </c>
      <c r="E25" s="71">
        <v>39994</v>
      </c>
      <c r="F25" s="48">
        <v>14586</v>
      </c>
      <c r="G25" t="s">
        <v>445</v>
      </c>
      <c r="H25" s="71">
        <v>39994</v>
      </c>
      <c r="I25" s="5">
        <v>2109</v>
      </c>
      <c r="J25" t="s">
        <v>445</v>
      </c>
      <c r="K25" s="71">
        <v>39994</v>
      </c>
      <c r="L25" s="48">
        <v>9</v>
      </c>
      <c r="M25" t="s">
        <v>445</v>
      </c>
      <c r="N25" s="71">
        <v>39994</v>
      </c>
      <c r="O25" s="48">
        <v>1</v>
      </c>
      <c r="Q25" s="6">
        <f t="shared" si="0"/>
        <v>5000</v>
      </c>
      <c r="R25" s="79">
        <f t="shared" si="2"/>
        <v>-333.33333333333331</v>
      </c>
      <c r="S25" s="72">
        <f t="shared" si="1"/>
        <v>17400.000000000091</v>
      </c>
      <c r="T25" s="80">
        <f t="shared" si="3"/>
        <v>12333.333333333334</v>
      </c>
      <c r="V25" t="s">
        <v>578</v>
      </c>
      <c r="W25" s="71">
        <v>41090</v>
      </c>
      <c r="X25" s="5">
        <v>246.1</v>
      </c>
    </row>
    <row r="26" spans="1:24" x14ac:dyDescent="0.25">
      <c r="A26" t="s">
        <v>446</v>
      </c>
      <c r="B26" s="71">
        <v>40025</v>
      </c>
      <c r="C26" s="48">
        <v>5122</v>
      </c>
      <c r="D26" t="s">
        <v>446</v>
      </c>
      <c r="E26" s="71">
        <v>40025</v>
      </c>
      <c r="F26" s="48">
        <v>14573</v>
      </c>
      <c r="G26" t="s">
        <v>446</v>
      </c>
      <c r="H26" s="71">
        <v>40025</v>
      </c>
      <c r="I26" s="5">
        <v>2119.8000000000002</v>
      </c>
      <c r="J26" t="s">
        <v>446</v>
      </c>
      <c r="K26" s="71">
        <v>40025</v>
      </c>
      <c r="L26" s="48">
        <v>4</v>
      </c>
      <c r="M26" t="s">
        <v>446</v>
      </c>
      <c r="N26" s="71">
        <v>40025</v>
      </c>
      <c r="O26" s="48">
        <v>0</v>
      </c>
      <c r="Q26" s="6">
        <f t="shared" si="0"/>
        <v>-67000</v>
      </c>
      <c r="R26" s="79">
        <f t="shared" si="2"/>
        <v>-20000</v>
      </c>
      <c r="S26" s="72">
        <f t="shared" si="1"/>
        <v>15800.000000000182</v>
      </c>
      <c r="T26" s="80">
        <f t="shared" si="3"/>
        <v>13666.666666666666</v>
      </c>
      <c r="V26" t="s">
        <v>579</v>
      </c>
      <c r="W26" s="71">
        <v>41182</v>
      </c>
      <c r="X26" s="5">
        <v>238.5</v>
      </c>
    </row>
    <row r="27" spans="1:24" x14ac:dyDescent="0.25">
      <c r="A27" t="s">
        <v>447</v>
      </c>
      <c r="B27" s="71">
        <v>40056</v>
      </c>
      <c r="C27" s="48">
        <v>5170</v>
      </c>
      <c r="D27" t="s">
        <v>447</v>
      </c>
      <c r="E27" s="71">
        <v>40056</v>
      </c>
      <c r="F27" s="48">
        <v>14542</v>
      </c>
      <c r="G27" t="s">
        <v>447</v>
      </c>
      <c r="H27" s="71">
        <v>40056</v>
      </c>
      <c r="I27" s="5">
        <v>2129.6999999999998</v>
      </c>
      <c r="J27" t="s">
        <v>447</v>
      </c>
      <c r="K27" s="71">
        <v>40056</v>
      </c>
      <c r="L27" s="48">
        <v>5</v>
      </c>
      <c r="M27" t="s">
        <v>447</v>
      </c>
      <c r="N27" s="71">
        <v>40056</v>
      </c>
      <c r="O27" s="48">
        <v>0</v>
      </c>
      <c r="Q27" s="6">
        <f t="shared" si="0"/>
        <v>17000</v>
      </c>
      <c r="R27" s="79">
        <f t="shared" si="2"/>
        <v>-15000</v>
      </c>
      <c r="S27" s="72">
        <f t="shared" si="1"/>
        <v>8899.9999999996362</v>
      </c>
      <c r="T27" s="80">
        <f t="shared" si="3"/>
        <v>14033.333333333305</v>
      </c>
      <c r="V27" t="s">
        <v>580</v>
      </c>
      <c r="W27" s="71">
        <v>41274</v>
      </c>
      <c r="X27" s="5">
        <v>230.3</v>
      </c>
    </row>
    <row r="28" spans="1:24" x14ac:dyDescent="0.25">
      <c r="A28" t="s">
        <v>448</v>
      </c>
      <c r="B28" s="71">
        <v>40086</v>
      </c>
      <c r="C28" s="48">
        <v>5144</v>
      </c>
      <c r="D28" t="s">
        <v>448</v>
      </c>
      <c r="E28" s="71">
        <v>40086</v>
      </c>
      <c r="F28" s="48">
        <v>14481</v>
      </c>
      <c r="G28" t="s">
        <v>448</v>
      </c>
      <c r="H28" s="71">
        <v>40086</v>
      </c>
      <c r="I28" s="5">
        <v>2136.6</v>
      </c>
      <c r="J28" t="s">
        <v>448</v>
      </c>
      <c r="K28" s="71">
        <v>40086</v>
      </c>
      <c r="L28" s="48">
        <v>8</v>
      </c>
      <c r="M28" t="s">
        <v>448</v>
      </c>
      <c r="N28" s="71">
        <v>40086</v>
      </c>
      <c r="O28" s="48">
        <v>0</v>
      </c>
      <c r="Q28" s="6">
        <f t="shared" si="0"/>
        <v>-87000</v>
      </c>
      <c r="R28" s="79">
        <f t="shared" si="2"/>
        <v>-45666.666666666664</v>
      </c>
      <c r="S28" s="72">
        <f t="shared" si="1"/>
        <v>3900.0000000000909</v>
      </c>
      <c r="T28" s="80">
        <f t="shared" si="3"/>
        <v>9533.333333333303</v>
      </c>
      <c r="V28" t="s">
        <v>581</v>
      </c>
      <c r="W28" s="71">
        <v>41364</v>
      </c>
      <c r="X28" s="5">
        <v>228.3</v>
      </c>
    </row>
    <row r="29" spans="1:24" x14ac:dyDescent="0.25">
      <c r="A29" t="s">
        <v>449</v>
      </c>
      <c r="B29" s="71">
        <v>40117</v>
      </c>
      <c r="C29" s="48">
        <v>5158</v>
      </c>
      <c r="D29" t="s">
        <v>449</v>
      </c>
      <c r="E29" s="71">
        <v>40117</v>
      </c>
      <c r="F29" s="48">
        <v>14523</v>
      </c>
      <c r="G29" t="s">
        <v>449</v>
      </c>
      <c r="H29" s="71">
        <v>40117</v>
      </c>
      <c r="I29" s="5">
        <v>2156.6</v>
      </c>
      <c r="J29" t="s">
        <v>449</v>
      </c>
      <c r="K29" s="71">
        <v>40117</v>
      </c>
      <c r="L29" s="48">
        <v>17</v>
      </c>
      <c r="M29" t="s">
        <v>449</v>
      </c>
      <c r="N29" s="71">
        <v>40117</v>
      </c>
      <c r="O29" s="48">
        <v>0</v>
      </c>
      <c r="Q29" s="6">
        <f t="shared" si="0"/>
        <v>56000</v>
      </c>
      <c r="R29" s="79">
        <f t="shared" si="2"/>
        <v>-4666.666666666667</v>
      </c>
      <c r="S29" s="72">
        <f t="shared" si="1"/>
        <v>11000</v>
      </c>
      <c r="T29" s="80">
        <f t="shared" si="3"/>
        <v>7933.3333333332421</v>
      </c>
      <c r="V29" t="s">
        <v>582</v>
      </c>
      <c r="W29" s="71">
        <v>41455</v>
      </c>
      <c r="X29" s="5">
        <v>228.8</v>
      </c>
    </row>
    <row r="30" spans="1:24" x14ac:dyDescent="0.25">
      <c r="A30" t="s">
        <v>450</v>
      </c>
      <c r="B30" s="71">
        <v>40147</v>
      </c>
      <c r="C30" s="48">
        <v>5152</v>
      </c>
      <c r="D30" t="s">
        <v>450</v>
      </c>
      <c r="E30" s="71">
        <v>40147</v>
      </c>
      <c r="F30" s="48">
        <v>14539</v>
      </c>
      <c r="G30" t="s">
        <v>450</v>
      </c>
      <c r="H30" s="71">
        <v>40147</v>
      </c>
      <c r="I30" s="5">
        <v>2159</v>
      </c>
      <c r="J30" t="s">
        <v>450</v>
      </c>
      <c r="K30" s="71">
        <v>40147</v>
      </c>
      <c r="L30" s="48">
        <v>13</v>
      </c>
      <c r="M30" t="s">
        <v>450</v>
      </c>
      <c r="N30" s="71">
        <v>40147</v>
      </c>
      <c r="O30" s="48">
        <v>0</v>
      </c>
      <c r="Q30" s="6">
        <f t="shared" si="0"/>
        <v>10000</v>
      </c>
      <c r="R30" s="79">
        <f t="shared" si="2"/>
        <v>-7000</v>
      </c>
      <c r="S30" s="72">
        <f t="shared" si="1"/>
        <v>6400.0000000000909</v>
      </c>
      <c r="T30" s="80">
        <f t="shared" si="3"/>
        <v>7100.0000000000609</v>
      </c>
      <c r="V30" t="s">
        <v>583</v>
      </c>
      <c r="W30" s="71">
        <v>41547</v>
      </c>
      <c r="X30" s="5">
        <v>228.8</v>
      </c>
    </row>
    <row r="31" spans="1:24" x14ac:dyDescent="0.25">
      <c r="A31" t="s">
        <v>451</v>
      </c>
      <c r="B31" s="71">
        <v>40178</v>
      </c>
      <c r="C31" s="48">
        <v>5150</v>
      </c>
      <c r="D31" t="s">
        <v>451</v>
      </c>
      <c r="E31" s="71">
        <v>40178</v>
      </c>
      <c r="F31" s="48">
        <v>14501</v>
      </c>
      <c r="G31" t="s">
        <v>451</v>
      </c>
      <c r="H31" s="71">
        <v>40178</v>
      </c>
      <c r="I31" s="5">
        <v>2170.1999999999998</v>
      </c>
      <c r="J31" t="s">
        <v>451</v>
      </c>
      <c r="K31" s="71">
        <v>40178</v>
      </c>
      <c r="L31" s="48">
        <v>15</v>
      </c>
      <c r="M31" t="s">
        <v>451</v>
      </c>
      <c r="N31" s="71">
        <v>40178</v>
      </c>
      <c r="O31" s="48">
        <v>0</v>
      </c>
      <c r="Q31" s="6">
        <f t="shared" si="0"/>
        <v>-40000</v>
      </c>
      <c r="R31" s="79">
        <f t="shared" si="2"/>
        <v>8666.6666666666661</v>
      </c>
      <c r="S31" s="72">
        <f t="shared" si="1"/>
        <v>9199.9999999998181</v>
      </c>
      <c r="T31" s="80">
        <f t="shared" si="3"/>
        <v>8866.666666666637</v>
      </c>
      <c r="V31" t="s">
        <v>584</v>
      </c>
      <c r="W31" s="71">
        <v>41639</v>
      </c>
      <c r="X31" s="5">
        <v>225.7</v>
      </c>
    </row>
    <row r="32" spans="1:24" x14ac:dyDescent="0.25">
      <c r="A32" t="s">
        <v>452</v>
      </c>
      <c r="B32" s="71">
        <v>40209</v>
      </c>
      <c r="C32" s="48">
        <v>5145</v>
      </c>
      <c r="D32" t="s">
        <v>452</v>
      </c>
      <c r="E32" s="71">
        <v>40209</v>
      </c>
      <c r="F32" s="48">
        <v>14486</v>
      </c>
      <c r="G32" t="s">
        <v>452</v>
      </c>
      <c r="H32" s="71">
        <v>40209</v>
      </c>
      <c r="I32" s="5">
        <v>2183.6999999999998</v>
      </c>
      <c r="J32" t="s">
        <v>452</v>
      </c>
      <c r="K32" s="71">
        <v>40209</v>
      </c>
      <c r="L32" s="48">
        <v>24</v>
      </c>
      <c r="M32" t="s">
        <v>452</v>
      </c>
      <c r="N32" s="71">
        <v>40209</v>
      </c>
      <c r="O32" s="48">
        <v>0</v>
      </c>
      <c r="Q32" s="6">
        <f t="shared" si="0"/>
        <v>-20000</v>
      </c>
      <c r="R32" s="79">
        <f t="shared" si="2"/>
        <v>-16666.666666666668</v>
      </c>
      <c r="S32" s="72">
        <f t="shared" si="1"/>
        <v>4500</v>
      </c>
      <c r="T32" s="80">
        <f t="shared" si="3"/>
        <v>6699.99999999997</v>
      </c>
      <c r="V32" t="s">
        <v>585</v>
      </c>
      <c r="W32" s="71">
        <v>41729</v>
      </c>
      <c r="X32" s="5">
        <v>222.7</v>
      </c>
    </row>
    <row r="33" spans="1:24" x14ac:dyDescent="0.25">
      <c r="A33" t="s">
        <v>453</v>
      </c>
      <c r="B33" s="71">
        <v>40237</v>
      </c>
      <c r="C33" s="48">
        <v>5147</v>
      </c>
      <c r="D33" t="s">
        <v>453</v>
      </c>
      <c r="E33" s="71">
        <v>40237</v>
      </c>
      <c r="F33" s="48">
        <v>14457</v>
      </c>
      <c r="G33" t="s">
        <v>453</v>
      </c>
      <c r="H33" s="71">
        <v>40237</v>
      </c>
      <c r="I33" s="5">
        <v>2203.8000000000002</v>
      </c>
      <c r="J33" t="s">
        <v>453</v>
      </c>
      <c r="K33" s="71">
        <v>40237</v>
      </c>
      <c r="L33" s="48">
        <v>39</v>
      </c>
      <c r="M33" t="s">
        <v>453</v>
      </c>
      <c r="N33" s="71">
        <v>40237</v>
      </c>
      <c r="O33" s="48">
        <v>0</v>
      </c>
      <c r="Q33" s="6">
        <f t="shared" si="0"/>
        <v>-27000</v>
      </c>
      <c r="R33" s="79">
        <f t="shared" si="2"/>
        <v>-29000</v>
      </c>
      <c r="S33" s="72">
        <f t="shared" si="1"/>
        <v>5100.0000000003638</v>
      </c>
      <c r="T33" s="80">
        <f t="shared" si="3"/>
        <v>6266.666666666727</v>
      </c>
      <c r="V33" t="s">
        <v>586</v>
      </c>
      <c r="W33" s="71">
        <v>41820</v>
      </c>
      <c r="X33" s="5">
        <v>228</v>
      </c>
    </row>
    <row r="34" spans="1:24" x14ac:dyDescent="0.25">
      <c r="A34" t="s">
        <v>454</v>
      </c>
      <c r="B34" s="71">
        <v>40268</v>
      </c>
      <c r="C34" s="48">
        <v>5140</v>
      </c>
      <c r="D34" t="s">
        <v>454</v>
      </c>
      <c r="E34" s="71">
        <v>40268</v>
      </c>
      <c r="F34" s="48">
        <v>14455</v>
      </c>
      <c r="G34" t="s">
        <v>454</v>
      </c>
      <c r="H34" s="71">
        <v>40268</v>
      </c>
      <c r="I34" s="5">
        <v>2258.5</v>
      </c>
      <c r="J34" t="s">
        <v>454</v>
      </c>
      <c r="K34" s="71">
        <v>40268</v>
      </c>
      <c r="L34" s="48">
        <v>87</v>
      </c>
      <c r="M34" t="s">
        <v>454</v>
      </c>
      <c r="N34" s="71">
        <v>40268</v>
      </c>
      <c r="O34" s="48">
        <v>0</v>
      </c>
      <c r="Q34" s="6">
        <f t="shared" si="0"/>
        <v>-9000</v>
      </c>
      <c r="R34" s="79">
        <f t="shared" si="2"/>
        <v>-18666.666666666668</v>
      </c>
      <c r="S34" s="72">
        <f t="shared" si="1"/>
        <v>6699.9999999998181</v>
      </c>
      <c r="T34" s="80">
        <f t="shared" si="3"/>
        <v>5433.333333333394</v>
      </c>
      <c r="V34" t="s">
        <v>587</v>
      </c>
      <c r="W34" s="71">
        <v>41912</v>
      </c>
      <c r="X34" s="5">
        <v>228.9</v>
      </c>
    </row>
    <row r="35" spans="1:24" x14ac:dyDescent="0.25">
      <c r="A35" t="s">
        <v>455</v>
      </c>
      <c r="B35" s="71">
        <v>40298</v>
      </c>
      <c r="C35" s="48">
        <v>5136</v>
      </c>
      <c r="D35" t="s">
        <v>455</v>
      </c>
      <c r="E35" s="71">
        <v>40298</v>
      </c>
      <c r="F35" s="48">
        <v>14449</v>
      </c>
      <c r="G35" t="s">
        <v>455</v>
      </c>
      <c r="H35" s="71">
        <v>40298</v>
      </c>
      <c r="I35" s="5">
        <v>2323.3000000000002</v>
      </c>
      <c r="J35" t="s">
        <v>455</v>
      </c>
      <c r="K35" s="71">
        <v>40298</v>
      </c>
      <c r="L35" s="48">
        <v>154</v>
      </c>
      <c r="M35" t="s">
        <v>455</v>
      </c>
      <c r="N35" s="71">
        <v>40298</v>
      </c>
      <c r="O35" s="48">
        <v>0</v>
      </c>
      <c r="Q35" s="6">
        <f t="shared" si="0"/>
        <v>-10000</v>
      </c>
      <c r="R35" s="79">
        <f t="shared" si="2"/>
        <v>-15333.333333333334</v>
      </c>
      <c r="S35" s="72">
        <f t="shared" si="1"/>
        <v>-2199.9999999998181</v>
      </c>
      <c r="T35" s="80">
        <f t="shared" si="3"/>
        <v>3200.0000000001214</v>
      </c>
      <c r="V35" t="s">
        <v>588</v>
      </c>
      <c r="W35" s="71">
        <v>42004</v>
      </c>
      <c r="X35" s="5">
        <v>232.7</v>
      </c>
    </row>
    <row r="36" spans="1:24" x14ac:dyDescent="0.25">
      <c r="A36" t="s">
        <v>456</v>
      </c>
      <c r="B36" s="71">
        <v>40329</v>
      </c>
      <c r="C36" s="48">
        <v>5135</v>
      </c>
      <c r="D36" t="s">
        <v>456</v>
      </c>
      <c r="E36" s="71">
        <v>40329</v>
      </c>
      <c r="F36" s="48">
        <v>14445</v>
      </c>
      <c r="G36" t="s">
        <v>456</v>
      </c>
      <c r="H36" s="71">
        <v>40329</v>
      </c>
      <c r="I36" s="5">
        <v>2757.1</v>
      </c>
      <c r="J36" t="s">
        <v>456</v>
      </c>
      <c r="K36" s="71">
        <v>40329</v>
      </c>
      <c r="L36" s="48">
        <v>564</v>
      </c>
      <c r="M36" t="s">
        <v>456</v>
      </c>
      <c r="N36" s="71">
        <v>40329</v>
      </c>
      <c r="O36" s="48">
        <v>0</v>
      </c>
      <c r="Q36" s="6">
        <f t="shared" si="0"/>
        <v>-5000</v>
      </c>
      <c r="R36" s="79">
        <f t="shared" si="2"/>
        <v>-8000</v>
      </c>
      <c r="S36" s="72">
        <f t="shared" si="1"/>
        <v>23799.999999999727</v>
      </c>
      <c r="T36" s="80">
        <f t="shared" si="3"/>
        <v>9433.333333333243</v>
      </c>
      <c r="V36" t="s">
        <v>589</v>
      </c>
      <c r="W36" s="71">
        <v>42094</v>
      </c>
      <c r="X36" s="5">
        <v>233.6</v>
      </c>
    </row>
    <row r="37" spans="1:24" x14ac:dyDescent="0.25">
      <c r="A37" t="s">
        <v>457</v>
      </c>
      <c r="B37" s="71">
        <v>40359</v>
      </c>
      <c r="C37" s="48">
        <v>5139</v>
      </c>
      <c r="D37" t="s">
        <v>457</v>
      </c>
      <c r="E37" s="71">
        <v>40359</v>
      </c>
      <c r="F37" s="48">
        <v>14408</v>
      </c>
      <c r="G37" t="s">
        <v>457</v>
      </c>
      <c r="H37" s="71">
        <v>40359</v>
      </c>
      <c r="I37" s="5">
        <v>2533.8000000000002</v>
      </c>
      <c r="J37" t="s">
        <v>457</v>
      </c>
      <c r="K37" s="71">
        <v>40359</v>
      </c>
      <c r="L37" s="48">
        <v>339</v>
      </c>
      <c r="M37" t="s">
        <v>457</v>
      </c>
      <c r="N37" s="71">
        <v>40359</v>
      </c>
      <c r="O37" s="48">
        <v>0</v>
      </c>
      <c r="Q37" s="6">
        <f t="shared" si="0"/>
        <v>-33000</v>
      </c>
      <c r="R37" s="79">
        <f t="shared" si="2"/>
        <v>-16000</v>
      </c>
      <c r="S37" s="72">
        <f t="shared" si="1"/>
        <v>1700.0000000002728</v>
      </c>
      <c r="T37" s="80">
        <f t="shared" si="3"/>
        <v>7766.666666666727</v>
      </c>
      <c r="V37" t="s">
        <v>590</v>
      </c>
      <c r="W37" s="71">
        <v>42185</v>
      </c>
      <c r="X37" s="5">
        <v>246.3</v>
      </c>
    </row>
    <row r="38" spans="1:24" x14ac:dyDescent="0.25">
      <c r="A38" t="s">
        <v>458</v>
      </c>
      <c r="B38" s="71">
        <v>40390</v>
      </c>
      <c r="C38" s="48">
        <v>5136</v>
      </c>
      <c r="D38" t="s">
        <v>458</v>
      </c>
      <c r="E38" s="71">
        <v>40390</v>
      </c>
      <c r="F38" s="48">
        <v>14382</v>
      </c>
      <c r="G38" t="s">
        <v>458</v>
      </c>
      <c r="H38" s="71">
        <v>40390</v>
      </c>
      <c r="I38" s="5">
        <v>2396.4</v>
      </c>
      <c r="J38" t="s">
        <v>458</v>
      </c>
      <c r="K38" s="71">
        <v>40390</v>
      </c>
      <c r="L38" s="48">
        <v>196</v>
      </c>
      <c r="M38" t="s">
        <v>458</v>
      </c>
      <c r="N38" s="71">
        <v>40390</v>
      </c>
      <c r="O38" s="48">
        <v>0</v>
      </c>
      <c r="Q38" s="6">
        <f t="shared" si="0"/>
        <v>-29000</v>
      </c>
      <c r="R38" s="79">
        <f t="shared" si="2"/>
        <v>-22333.333333333332</v>
      </c>
      <c r="S38" s="72">
        <f t="shared" si="1"/>
        <v>5599.9999999999091</v>
      </c>
      <c r="T38" s="80">
        <f t="shared" si="3"/>
        <v>10366.666666666637</v>
      </c>
      <c r="V38" t="s">
        <v>591</v>
      </c>
      <c r="W38" s="71">
        <v>42277</v>
      </c>
      <c r="X38" s="5">
        <v>246.9</v>
      </c>
    </row>
    <row r="39" spans="1:24" x14ac:dyDescent="0.25">
      <c r="A39" t="s">
        <v>459</v>
      </c>
      <c r="B39" s="71">
        <v>40421</v>
      </c>
      <c r="C39" s="48">
        <v>5130</v>
      </c>
      <c r="D39" t="s">
        <v>459</v>
      </c>
      <c r="E39" s="71">
        <v>40421</v>
      </c>
      <c r="F39" s="48">
        <v>14345</v>
      </c>
      <c r="G39" t="s">
        <v>459</v>
      </c>
      <c r="H39" s="71">
        <v>40421</v>
      </c>
      <c r="I39" s="5">
        <v>2288.5</v>
      </c>
      <c r="J39" t="s">
        <v>459</v>
      </c>
      <c r="K39" s="71">
        <v>40421</v>
      </c>
      <c r="L39" s="48">
        <v>82</v>
      </c>
      <c r="M39" t="s">
        <v>459</v>
      </c>
      <c r="N39" s="71">
        <v>40421</v>
      </c>
      <c r="O39" s="48">
        <v>0</v>
      </c>
      <c r="Q39" s="6">
        <f t="shared" si="0"/>
        <v>-43000</v>
      </c>
      <c r="R39" s="79">
        <f t="shared" si="2"/>
        <v>-35000</v>
      </c>
      <c r="S39" s="72">
        <f t="shared" si="1"/>
        <v>6099.9999999999091</v>
      </c>
      <c r="T39" s="80">
        <f t="shared" si="3"/>
        <v>4466.666666666697</v>
      </c>
      <c r="V39" t="s">
        <v>592</v>
      </c>
      <c r="W39" s="71">
        <v>42369</v>
      </c>
      <c r="X39" s="5">
        <v>241.8</v>
      </c>
    </row>
    <row r="40" spans="1:24" x14ac:dyDescent="0.25">
      <c r="A40" t="s">
        <v>460</v>
      </c>
      <c r="B40" s="71">
        <v>40451</v>
      </c>
      <c r="C40" s="48">
        <v>5122</v>
      </c>
      <c r="D40" t="s">
        <v>460</v>
      </c>
      <c r="E40" s="71">
        <v>40451</v>
      </c>
      <c r="F40" s="48">
        <v>14256</v>
      </c>
      <c r="G40" t="s">
        <v>460</v>
      </c>
      <c r="H40" s="71">
        <v>40451</v>
      </c>
      <c r="I40" s="5">
        <v>2214.4</v>
      </c>
      <c r="J40" t="s">
        <v>460</v>
      </c>
      <c r="K40" s="71">
        <v>40451</v>
      </c>
      <c r="L40" s="48">
        <v>6</v>
      </c>
      <c r="M40" t="s">
        <v>460</v>
      </c>
      <c r="N40" s="71">
        <v>40451</v>
      </c>
      <c r="O40" s="48">
        <v>0</v>
      </c>
      <c r="Q40" s="6">
        <f t="shared" si="0"/>
        <v>-97000</v>
      </c>
      <c r="R40" s="79">
        <f t="shared" si="2"/>
        <v>-56333.333333333336</v>
      </c>
      <c r="S40" s="72">
        <f t="shared" si="1"/>
        <v>1900.0000000000909</v>
      </c>
      <c r="T40" s="80">
        <f t="shared" si="3"/>
        <v>4533.333333333303</v>
      </c>
      <c r="V40" t="s">
        <v>593</v>
      </c>
      <c r="W40" s="71">
        <v>42460</v>
      </c>
      <c r="X40" s="5">
        <v>253.9</v>
      </c>
    </row>
    <row r="41" spans="1:24" x14ac:dyDescent="0.25">
      <c r="A41" t="s">
        <v>461</v>
      </c>
      <c r="B41" s="71">
        <v>40482</v>
      </c>
      <c r="C41" s="48">
        <v>5139</v>
      </c>
      <c r="D41" t="s">
        <v>461</v>
      </c>
      <c r="E41" s="71">
        <v>40482</v>
      </c>
      <c r="F41" s="48">
        <v>14292</v>
      </c>
      <c r="G41" t="s">
        <v>461</v>
      </c>
      <c r="H41" s="71">
        <v>40482</v>
      </c>
      <c r="I41" s="5">
        <v>2214</v>
      </c>
      <c r="J41" t="s">
        <v>461</v>
      </c>
      <c r="K41" s="71">
        <v>40482</v>
      </c>
      <c r="L41" s="48">
        <v>1</v>
      </c>
      <c r="M41" t="s">
        <v>461</v>
      </c>
      <c r="N41" s="71">
        <v>40482</v>
      </c>
      <c r="O41" s="48">
        <v>0</v>
      </c>
      <c r="Q41" s="6">
        <f t="shared" si="0"/>
        <v>53000</v>
      </c>
      <c r="R41" s="79">
        <f t="shared" si="2"/>
        <v>-29000</v>
      </c>
      <c r="S41" s="72">
        <f t="shared" si="1"/>
        <v>4599.9999999999091</v>
      </c>
      <c r="T41" s="80">
        <f t="shared" si="3"/>
        <v>4199.99999999997</v>
      </c>
      <c r="V41" t="s">
        <v>594</v>
      </c>
      <c r="W41" s="71">
        <v>42551</v>
      </c>
      <c r="X41" s="5">
        <v>239.8</v>
      </c>
    </row>
    <row r="42" spans="1:24" x14ac:dyDescent="0.25">
      <c r="A42" t="s">
        <v>462</v>
      </c>
      <c r="B42" s="71">
        <v>40512</v>
      </c>
      <c r="C42" s="48">
        <v>5139</v>
      </c>
      <c r="D42" t="s">
        <v>462</v>
      </c>
      <c r="E42" s="71">
        <v>40512</v>
      </c>
      <c r="F42" s="48">
        <v>14282</v>
      </c>
      <c r="G42" t="s">
        <v>462</v>
      </c>
      <c r="H42" s="71">
        <v>40512</v>
      </c>
      <c r="I42" s="5">
        <v>2215.5</v>
      </c>
      <c r="J42" t="s">
        <v>462</v>
      </c>
      <c r="K42" s="71">
        <v>40512</v>
      </c>
      <c r="L42" s="48">
        <v>0</v>
      </c>
      <c r="M42" t="s">
        <v>462</v>
      </c>
      <c r="N42" s="71">
        <v>40512</v>
      </c>
      <c r="O42" s="48">
        <v>0</v>
      </c>
      <c r="Q42" s="6">
        <f t="shared" si="0"/>
        <v>-10000</v>
      </c>
      <c r="R42" s="79">
        <f t="shared" si="2"/>
        <v>-18000</v>
      </c>
      <c r="S42" s="72">
        <f t="shared" si="1"/>
        <v>2500</v>
      </c>
      <c r="T42" s="80">
        <f t="shared" si="3"/>
        <v>3000</v>
      </c>
      <c r="V42" t="s">
        <v>595</v>
      </c>
      <c r="W42" s="71">
        <v>42643</v>
      </c>
      <c r="X42" s="5">
        <v>232.4</v>
      </c>
    </row>
    <row r="43" spans="1:24" x14ac:dyDescent="0.25">
      <c r="A43" t="s">
        <v>463</v>
      </c>
      <c r="B43" s="71">
        <v>40543</v>
      </c>
      <c r="C43" s="48">
        <v>5133</v>
      </c>
      <c r="D43" t="s">
        <v>463</v>
      </c>
      <c r="E43" s="71">
        <v>40543</v>
      </c>
      <c r="F43" s="48">
        <v>14263</v>
      </c>
      <c r="G43" t="s">
        <v>463</v>
      </c>
      <c r="H43" s="71">
        <v>40543</v>
      </c>
      <c r="I43" s="5">
        <v>2221</v>
      </c>
      <c r="J43" t="s">
        <v>463</v>
      </c>
      <c r="K43" s="71">
        <v>40543</v>
      </c>
      <c r="L43" s="48">
        <v>0</v>
      </c>
      <c r="M43" t="s">
        <v>463</v>
      </c>
      <c r="N43" s="71">
        <v>40543</v>
      </c>
      <c r="O43" s="48">
        <v>0</v>
      </c>
      <c r="Q43" s="6">
        <f t="shared" si="0"/>
        <v>-25000</v>
      </c>
      <c r="R43" s="79">
        <f t="shared" si="2"/>
        <v>6000</v>
      </c>
      <c r="S43" s="72">
        <f t="shared" si="1"/>
        <v>5500</v>
      </c>
      <c r="T43" s="80">
        <f t="shared" si="3"/>
        <v>4199.99999999997</v>
      </c>
      <c r="V43" t="s">
        <v>596</v>
      </c>
      <c r="W43" s="71">
        <v>42735</v>
      </c>
      <c r="X43" s="5">
        <v>237.8</v>
      </c>
    </row>
    <row r="44" spans="1:24" x14ac:dyDescent="0.25">
      <c r="A44" t="s">
        <v>464</v>
      </c>
      <c r="B44" s="71">
        <v>40574</v>
      </c>
      <c r="C44" s="48">
        <v>5138</v>
      </c>
      <c r="D44" t="s">
        <v>464</v>
      </c>
      <c r="E44" s="71">
        <v>40574</v>
      </c>
      <c r="F44" s="48">
        <v>14246</v>
      </c>
      <c r="G44" t="s">
        <v>464</v>
      </c>
      <c r="H44" s="71">
        <v>40574</v>
      </c>
      <c r="I44" s="5">
        <v>2229.1</v>
      </c>
      <c r="J44" t="s">
        <v>464</v>
      </c>
      <c r="K44" s="71">
        <v>40574</v>
      </c>
      <c r="L44" s="48">
        <v>1</v>
      </c>
      <c r="M44" t="s">
        <v>464</v>
      </c>
      <c r="N44" s="71">
        <v>40574</v>
      </c>
      <c r="O44" s="48">
        <v>0</v>
      </c>
      <c r="Q44" s="6">
        <f t="shared" si="0"/>
        <v>-12000</v>
      </c>
      <c r="R44" s="79">
        <f t="shared" si="2"/>
        <v>-15666.666666666666</v>
      </c>
      <c r="S44" s="72">
        <f t="shared" si="1"/>
        <v>7099.9999999999091</v>
      </c>
      <c r="T44" s="80">
        <f t="shared" si="3"/>
        <v>5033.333333333303</v>
      </c>
      <c r="V44" t="s">
        <v>597</v>
      </c>
      <c r="W44" s="71">
        <v>42825</v>
      </c>
      <c r="X44" s="5">
        <v>233.3</v>
      </c>
    </row>
    <row r="45" spans="1:24" x14ac:dyDescent="0.25">
      <c r="A45" t="s">
        <v>465</v>
      </c>
      <c r="B45" s="71">
        <v>40602</v>
      </c>
      <c r="C45" s="48">
        <v>5106</v>
      </c>
      <c r="D45" t="s">
        <v>465</v>
      </c>
      <c r="E45" s="71">
        <v>40602</v>
      </c>
      <c r="F45" s="48">
        <v>14233</v>
      </c>
      <c r="G45" t="s">
        <v>465</v>
      </c>
      <c r="H45" s="71">
        <v>40602</v>
      </c>
      <c r="I45" s="5">
        <v>2232.6999999999998</v>
      </c>
      <c r="J45" t="s">
        <v>465</v>
      </c>
      <c r="K45" s="71">
        <v>40602</v>
      </c>
      <c r="L45" s="48">
        <v>3</v>
      </c>
      <c r="M45" t="s">
        <v>465</v>
      </c>
      <c r="N45" s="71">
        <v>40602</v>
      </c>
      <c r="O45" s="48">
        <v>0</v>
      </c>
      <c r="Q45" s="6">
        <f t="shared" si="0"/>
        <v>-45000</v>
      </c>
      <c r="R45" s="79">
        <f t="shared" si="2"/>
        <v>-27333.333333333332</v>
      </c>
      <c r="S45" s="72">
        <f t="shared" si="1"/>
        <v>1599.9999999999091</v>
      </c>
      <c r="T45" s="80">
        <f t="shared" si="3"/>
        <v>4733.333333333273</v>
      </c>
    </row>
    <row r="46" spans="1:24" x14ac:dyDescent="0.25">
      <c r="A46" t="s">
        <v>466</v>
      </c>
      <c r="B46" s="71">
        <v>40633</v>
      </c>
      <c r="C46" s="48">
        <v>5096</v>
      </c>
      <c r="D46" t="s">
        <v>466</v>
      </c>
      <c r="E46" s="71">
        <v>40633</v>
      </c>
      <c r="F46" s="48">
        <v>14219</v>
      </c>
      <c r="G46" t="s">
        <v>466</v>
      </c>
      <c r="H46" s="71">
        <v>40633</v>
      </c>
      <c r="I46" s="5">
        <v>2236.8000000000002</v>
      </c>
      <c r="J46" t="s">
        <v>466</v>
      </c>
      <c r="K46" s="71">
        <v>40633</v>
      </c>
      <c r="L46" s="48">
        <v>3</v>
      </c>
      <c r="M46" t="s">
        <v>466</v>
      </c>
      <c r="N46" s="71">
        <v>40633</v>
      </c>
      <c r="O46" s="48">
        <v>0</v>
      </c>
      <c r="Q46" s="6">
        <f t="shared" si="0"/>
        <v>-24000</v>
      </c>
      <c r="R46" s="79">
        <f t="shared" si="2"/>
        <v>-27000</v>
      </c>
      <c r="S46" s="72">
        <f t="shared" si="1"/>
        <v>4100.0000000003638</v>
      </c>
      <c r="T46" s="80">
        <f t="shared" si="3"/>
        <v>4266.666666666727</v>
      </c>
    </row>
    <row r="47" spans="1:24" x14ac:dyDescent="0.25">
      <c r="A47" t="s">
        <v>467</v>
      </c>
      <c r="B47" s="71">
        <v>40663</v>
      </c>
      <c r="C47" s="48">
        <v>5091</v>
      </c>
      <c r="D47" t="s">
        <v>467</v>
      </c>
      <c r="E47" s="71">
        <v>40663</v>
      </c>
      <c r="F47" s="48">
        <v>14223</v>
      </c>
      <c r="G47" t="s">
        <v>467</v>
      </c>
      <c r="H47" s="71">
        <v>40663</v>
      </c>
      <c r="I47" s="5">
        <v>2233.9</v>
      </c>
      <c r="J47" t="s">
        <v>467</v>
      </c>
      <c r="K47" s="71">
        <v>40663</v>
      </c>
      <c r="L47" s="48">
        <v>0</v>
      </c>
      <c r="M47" t="s">
        <v>467</v>
      </c>
      <c r="N47" s="71">
        <v>40663</v>
      </c>
      <c r="O47" s="48">
        <v>0</v>
      </c>
      <c r="Q47" s="6">
        <f t="shared" si="0"/>
        <v>-1000</v>
      </c>
      <c r="R47" s="79">
        <f t="shared" si="2"/>
        <v>-23333.333333333332</v>
      </c>
      <c r="S47" s="72">
        <f t="shared" si="1"/>
        <v>99.999999999909051</v>
      </c>
      <c r="T47" s="80">
        <f t="shared" si="3"/>
        <v>1933.333333333394</v>
      </c>
    </row>
    <row r="48" spans="1:24" x14ac:dyDescent="0.25">
      <c r="A48" t="s">
        <v>468</v>
      </c>
      <c r="B48" s="71">
        <v>40694</v>
      </c>
      <c r="C48" s="48">
        <v>5083</v>
      </c>
      <c r="D48" t="s">
        <v>468</v>
      </c>
      <c r="E48" s="71">
        <v>40694</v>
      </c>
      <c r="F48" s="48">
        <v>14175</v>
      </c>
      <c r="G48" t="s">
        <v>468</v>
      </c>
      <c r="H48" s="71">
        <v>40694</v>
      </c>
      <c r="I48" s="5">
        <v>2235.1</v>
      </c>
      <c r="J48" t="s">
        <v>468</v>
      </c>
      <c r="K48" s="71">
        <v>40694</v>
      </c>
      <c r="L48" s="48">
        <v>0</v>
      </c>
      <c r="M48" t="s">
        <v>468</v>
      </c>
      <c r="N48" s="71">
        <v>40694</v>
      </c>
      <c r="O48" s="48">
        <v>0</v>
      </c>
      <c r="Q48" s="6">
        <f t="shared" si="0"/>
        <v>-56000</v>
      </c>
      <c r="R48" s="79">
        <f t="shared" si="2"/>
        <v>-27000</v>
      </c>
      <c r="S48" s="72">
        <f t="shared" si="1"/>
        <v>1199.9999999998181</v>
      </c>
      <c r="T48" s="80">
        <f t="shared" si="3"/>
        <v>1800.0000000000302</v>
      </c>
    </row>
    <row r="49" spans="1:20" x14ac:dyDescent="0.25">
      <c r="A49" t="s">
        <v>469</v>
      </c>
      <c r="B49" s="71">
        <v>40724</v>
      </c>
      <c r="C49" s="48">
        <v>5079</v>
      </c>
      <c r="D49" t="s">
        <v>469</v>
      </c>
      <c r="E49" s="71">
        <v>40724</v>
      </c>
      <c r="F49" s="48">
        <v>14225</v>
      </c>
      <c r="G49" t="s">
        <v>469</v>
      </c>
      <c r="H49" s="71">
        <v>40724</v>
      </c>
      <c r="I49" s="5">
        <v>2229</v>
      </c>
      <c r="J49" t="s">
        <v>469</v>
      </c>
      <c r="K49" s="71">
        <v>40724</v>
      </c>
      <c r="L49" s="48">
        <v>0</v>
      </c>
      <c r="M49" t="s">
        <v>469</v>
      </c>
      <c r="N49" s="71">
        <v>40724</v>
      </c>
      <c r="O49" s="48">
        <v>0</v>
      </c>
      <c r="Q49" s="6">
        <f t="shared" si="0"/>
        <v>46000</v>
      </c>
      <c r="R49" s="79">
        <f t="shared" si="2"/>
        <v>-3666.6666666666665</v>
      </c>
      <c r="S49" s="72">
        <f t="shared" si="1"/>
        <v>-6099.9999999999091</v>
      </c>
      <c r="T49" s="80">
        <f t="shared" si="3"/>
        <v>-1600.0000000000607</v>
      </c>
    </row>
    <row r="50" spans="1:20" x14ac:dyDescent="0.25">
      <c r="A50" t="s">
        <v>470</v>
      </c>
      <c r="B50" s="71">
        <v>40755</v>
      </c>
      <c r="C50" s="48">
        <v>5058</v>
      </c>
      <c r="D50" t="s">
        <v>470</v>
      </c>
      <c r="E50" s="71">
        <v>40755</v>
      </c>
      <c r="F50" s="48">
        <v>14129</v>
      </c>
      <c r="G50" t="s">
        <v>470</v>
      </c>
      <c r="H50" s="71">
        <v>40755</v>
      </c>
      <c r="I50" s="5">
        <v>2226.3000000000002</v>
      </c>
      <c r="J50" t="s">
        <v>470</v>
      </c>
      <c r="K50" s="71">
        <v>40755</v>
      </c>
      <c r="L50" s="48">
        <v>0</v>
      </c>
      <c r="M50" t="s">
        <v>470</v>
      </c>
      <c r="N50" s="71">
        <v>40755</v>
      </c>
      <c r="O50" s="48">
        <v>0</v>
      </c>
      <c r="Q50" s="6">
        <f t="shared" si="0"/>
        <v>-117000</v>
      </c>
      <c r="R50" s="79">
        <f t="shared" si="2"/>
        <v>-42333.333333333336</v>
      </c>
      <c r="S50" s="72">
        <f t="shared" si="1"/>
        <v>-2699.9999999998181</v>
      </c>
      <c r="T50" s="80">
        <f t="shared" si="3"/>
        <v>-2533.333333333303</v>
      </c>
    </row>
    <row r="51" spans="1:20" x14ac:dyDescent="0.25">
      <c r="A51" t="s">
        <v>471</v>
      </c>
      <c r="B51" s="71">
        <v>40786</v>
      </c>
      <c r="C51" s="48">
        <v>5079</v>
      </c>
      <c r="D51" t="s">
        <v>471</v>
      </c>
      <c r="E51" s="71">
        <v>40786</v>
      </c>
      <c r="F51" s="48">
        <v>14088</v>
      </c>
      <c r="G51" t="s">
        <v>471</v>
      </c>
      <c r="H51" s="71">
        <v>40786</v>
      </c>
      <c r="I51" s="5">
        <v>2222.8000000000002</v>
      </c>
      <c r="J51" t="s">
        <v>471</v>
      </c>
      <c r="K51" s="71">
        <v>40786</v>
      </c>
      <c r="L51" s="48">
        <v>0</v>
      </c>
      <c r="M51" t="s">
        <v>471</v>
      </c>
      <c r="N51" s="71">
        <v>40786</v>
      </c>
      <c r="O51" s="48">
        <v>0</v>
      </c>
      <c r="Q51" s="6">
        <f t="shared" si="0"/>
        <v>-20000</v>
      </c>
      <c r="R51" s="79">
        <f t="shared" si="2"/>
        <v>-30333.333333333332</v>
      </c>
      <c r="S51" s="72">
        <f t="shared" si="1"/>
        <v>-3500</v>
      </c>
      <c r="T51" s="80">
        <f t="shared" si="3"/>
        <v>-4099.9999999999091</v>
      </c>
    </row>
    <row r="52" spans="1:20" x14ac:dyDescent="0.25">
      <c r="A52" t="s">
        <v>472</v>
      </c>
      <c r="B52" s="71">
        <v>40816</v>
      </c>
      <c r="C52" s="48">
        <v>5072</v>
      </c>
      <c r="D52" t="s">
        <v>472</v>
      </c>
      <c r="E52" s="71">
        <v>40816</v>
      </c>
      <c r="F52" s="48">
        <v>14065</v>
      </c>
      <c r="G52" t="s">
        <v>472</v>
      </c>
      <c r="H52" s="71">
        <v>40816</v>
      </c>
      <c r="I52" s="5">
        <v>2223.9</v>
      </c>
      <c r="J52" t="s">
        <v>472</v>
      </c>
      <c r="K52" s="71">
        <v>40816</v>
      </c>
      <c r="L52" s="48">
        <v>0</v>
      </c>
      <c r="M52" t="s">
        <v>472</v>
      </c>
      <c r="N52" s="71">
        <v>40816</v>
      </c>
      <c r="O52" s="48">
        <v>0</v>
      </c>
      <c r="Q52" s="6">
        <f t="shared" si="0"/>
        <v>-30000</v>
      </c>
      <c r="R52" s="79">
        <f t="shared" si="2"/>
        <v>-55666.666666666664</v>
      </c>
      <c r="S52" s="72">
        <f t="shared" si="1"/>
        <v>1099.9999999999091</v>
      </c>
      <c r="T52" s="80">
        <f t="shared" si="3"/>
        <v>-1699.9999999999698</v>
      </c>
    </row>
    <row r="53" spans="1:20" x14ac:dyDescent="0.25">
      <c r="A53" t="s">
        <v>473</v>
      </c>
      <c r="B53" s="71">
        <v>40847</v>
      </c>
      <c r="C53" s="48">
        <v>5056</v>
      </c>
      <c r="D53" t="s">
        <v>473</v>
      </c>
      <c r="E53" s="71">
        <v>40847</v>
      </c>
      <c r="F53" s="48">
        <v>14092</v>
      </c>
      <c r="G53" t="s">
        <v>473</v>
      </c>
      <c r="H53" s="71">
        <v>40847</v>
      </c>
      <c r="I53" s="5">
        <v>2223.6999999999998</v>
      </c>
      <c r="J53" t="s">
        <v>473</v>
      </c>
      <c r="K53" s="71">
        <v>40847</v>
      </c>
      <c r="L53" s="48">
        <v>0</v>
      </c>
      <c r="M53" t="s">
        <v>473</v>
      </c>
      <c r="N53" s="71">
        <v>40847</v>
      </c>
      <c r="O53" s="48">
        <v>0</v>
      </c>
      <c r="Q53" s="6">
        <f t="shared" si="0"/>
        <v>11000</v>
      </c>
      <c r="R53" s="79">
        <f t="shared" si="2"/>
        <v>-13000</v>
      </c>
      <c r="S53" s="72">
        <f t="shared" si="1"/>
        <v>-200.00000000027285</v>
      </c>
      <c r="T53" s="80">
        <f t="shared" si="3"/>
        <v>-866.66666666678793</v>
      </c>
    </row>
    <row r="54" spans="1:20" x14ac:dyDescent="0.25">
      <c r="A54" t="s">
        <v>474</v>
      </c>
      <c r="B54" s="71">
        <v>40877</v>
      </c>
      <c r="C54" s="48">
        <v>5050</v>
      </c>
      <c r="D54" t="s">
        <v>474</v>
      </c>
      <c r="E54" s="71">
        <v>40877</v>
      </c>
      <c r="F54" s="48">
        <v>14079</v>
      </c>
      <c r="G54" t="s">
        <v>474</v>
      </c>
      <c r="H54" s="71">
        <v>40877</v>
      </c>
      <c r="I54" s="5">
        <v>2220.9</v>
      </c>
      <c r="J54" t="s">
        <v>474</v>
      </c>
      <c r="K54" s="71">
        <v>40877</v>
      </c>
      <c r="L54" s="48">
        <v>0</v>
      </c>
      <c r="M54" t="s">
        <v>474</v>
      </c>
      <c r="N54" s="71">
        <v>40877</v>
      </c>
      <c r="O54" s="48">
        <v>0</v>
      </c>
      <c r="Q54" s="6">
        <f t="shared" si="0"/>
        <v>-19000</v>
      </c>
      <c r="R54" s="79">
        <f t="shared" si="2"/>
        <v>-12666.666666666666</v>
      </c>
      <c r="S54" s="72">
        <f t="shared" si="1"/>
        <v>-2799.9999999997272</v>
      </c>
      <c r="T54" s="80">
        <f t="shared" si="3"/>
        <v>-633.33333333336361</v>
      </c>
    </row>
    <row r="55" spans="1:20" x14ac:dyDescent="0.25">
      <c r="A55" t="s">
        <v>475</v>
      </c>
      <c r="B55" s="71">
        <v>40908</v>
      </c>
      <c r="C55" s="48">
        <v>5047</v>
      </c>
      <c r="D55" t="s">
        <v>475</v>
      </c>
      <c r="E55" s="71">
        <v>40908</v>
      </c>
      <c r="F55" s="48">
        <v>14071</v>
      </c>
      <c r="G55" t="s">
        <v>475</v>
      </c>
      <c r="H55" s="71">
        <v>40908</v>
      </c>
      <c r="I55" s="5">
        <v>2218</v>
      </c>
      <c r="J55" t="s">
        <v>475</v>
      </c>
      <c r="K55" s="71">
        <v>40908</v>
      </c>
      <c r="L55" s="48">
        <v>0</v>
      </c>
      <c r="M55" t="s">
        <v>475</v>
      </c>
      <c r="N55" s="71">
        <v>40908</v>
      </c>
      <c r="O55" s="48">
        <v>0</v>
      </c>
      <c r="Q55" s="6">
        <f t="shared" si="0"/>
        <v>-11000</v>
      </c>
      <c r="R55" s="79">
        <f t="shared" si="2"/>
        <v>-6333.333333333333</v>
      </c>
      <c r="S55" s="72">
        <f t="shared" si="1"/>
        <v>-2900.0000000000909</v>
      </c>
      <c r="T55" s="80">
        <f t="shared" si="3"/>
        <v>-1966.666666666697</v>
      </c>
    </row>
    <row r="56" spans="1:20" x14ac:dyDescent="0.25">
      <c r="A56" t="s">
        <v>476</v>
      </c>
      <c r="B56" s="71">
        <v>40939</v>
      </c>
      <c r="C56" s="48">
        <v>5045</v>
      </c>
      <c r="D56" t="s">
        <v>476</v>
      </c>
      <c r="E56" s="71">
        <v>40939</v>
      </c>
      <c r="F56" s="48">
        <v>14068</v>
      </c>
      <c r="G56" t="s">
        <v>476</v>
      </c>
      <c r="H56" s="71">
        <v>40939</v>
      </c>
      <c r="I56" s="5">
        <v>2212.8000000000002</v>
      </c>
      <c r="J56" t="s">
        <v>476</v>
      </c>
      <c r="K56" s="71">
        <v>40939</v>
      </c>
      <c r="L56" s="48">
        <v>0</v>
      </c>
      <c r="M56" t="s">
        <v>476</v>
      </c>
      <c r="N56" s="71">
        <v>40939</v>
      </c>
      <c r="O56" s="48">
        <v>0</v>
      </c>
      <c r="Q56" s="6">
        <f t="shared" si="0"/>
        <v>-5000</v>
      </c>
      <c r="R56" s="79">
        <f t="shared" si="2"/>
        <v>-11666.666666666666</v>
      </c>
      <c r="S56" s="72">
        <f t="shared" si="1"/>
        <v>-5199.9999999998181</v>
      </c>
      <c r="T56" s="80">
        <f t="shared" si="3"/>
        <v>-3633.3333333332121</v>
      </c>
    </row>
    <row r="57" spans="1:20" x14ac:dyDescent="0.25">
      <c r="A57" t="s">
        <v>477</v>
      </c>
      <c r="B57" s="71">
        <v>40968</v>
      </c>
      <c r="C57" s="48">
        <v>5048</v>
      </c>
      <c r="D57" t="s">
        <v>477</v>
      </c>
      <c r="E57" s="71">
        <v>40968</v>
      </c>
      <c r="F57" s="48">
        <v>14071</v>
      </c>
      <c r="G57" t="s">
        <v>477</v>
      </c>
      <c r="H57" s="71">
        <v>40968</v>
      </c>
      <c r="I57" s="5">
        <v>2210.8000000000002</v>
      </c>
      <c r="J57" t="s">
        <v>477</v>
      </c>
      <c r="K57" s="71">
        <v>40968</v>
      </c>
      <c r="L57" s="48">
        <v>0</v>
      </c>
      <c r="M57" t="s">
        <v>477</v>
      </c>
      <c r="N57" s="71">
        <v>40968</v>
      </c>
      <c r="O57" s="48">
        <v>0</v>
      </c>
      <c r="Q57" s="6">
        <f t="shared" si="0"/>
        <v>6000</v>
      </c>
      <c r="R57" s="79">
        <f t="shared" si="2"/>
        <v>-3333.3333333333335</v>
      </c>
      <c r="S57" s="72">
        <f t="shared" si="1"/>
        <v>-2000</v>
      </c>
      <c r="T57" s="80">
        <f t="shared" si="3"/>
        <v>-3366.6666666666365</v>
      </c>
    </row>
    <row r="58" spans="1:20" x14ac:dyDescent="0.25">
      <c r="A58" t="s">
        <v>478</v>
      </c>
      <c r="B58" s="71">
        <v>40999</v>
      </c>
      <c r="C58" s="48">
        <v>5051</v>
      </c>
      <c r="D58" t="s">
        <v>478</v>
      </c>
      <c r="E58" s="71">
        <v>40999</v>
      </c>
      <c r="F58" s="48">
        <v>14064</v>
      </c>
      <c r="G58" t="s">
        <v>478</v>
      </c>
      <c r="H58" s="71">
        <v>40999</v>
      </c>
      <c r="I58" s="5">
        <v>2211.8000000000002</v>
      </c>
      <c r="J58" t="s">
        <v>478</v>
      </c>
      <c r="K58" s="71">
        <v>40999</v>
      </c>
      <c r="L58" s="48">
        <v>0</v>
      </c>
      <c r="M58" t="s">
        <v>478</v>
      </c>
      <c r="N58" s="71">
        <v>40999</v>
      </c>
      <c r="O58" s="48">
        <v>0</v>
      </c>
      <c r="Q58" s="6">
        <f t="shared" si="0"/>
        <v>-4000</v>
      </c>
      <c r="R58" s="79">
        <f t="shared" si="2"/>
        <v>-1000</v>
      </c>
      <c r="S58" s="72">
        <f t="shared" si="1"/>
        <v>1000</v>
      </c>
      <c r="T58" s="80">
        <f t="shared" si="3"/>
        <v>-2066.666666666606</v>
      </c>
    </row>
    <row r="59" spans="1:20" x14ac:dyDescent="0.25">
      <c r="A59" t="s">
        <v>479</v>
      </c>
      <c r="B59" s="71">
        <v>41029</v>
      </c>
      <c r="C59" s="48">
        <v>5055</v>
      </c>
      <c r="D59" t="s">
        <v>479</v>
      </c>
      <c r="E59" s="71">
        <v>41029</v>
      </c>
      <c r="F59" s="48">
        <v>14050</v>
      </c>
      <c r="G59" t="s">
        <v>479</v>
      </c>
      <c r="H59" s="71">
        <v>41029</v>
      </c>
      <c r="I59" s="5">
        <v>2210.3000000000002</v>
      </c>
      <c r="J59" t="s">
        <v>479</v>
      </c>
      <c r="K59" s="71">
        <v>41029</v>
      </c>
      <c r="L59" s="48">
        <v>0</v>
      </c>
      <c r="M59" t="s">
        <v>479</v>
      </c>
      <c r="N59" s="71">
        <v>41029</v>
      </c>
      <c r="O59" s="48">
        <v>0</v>
      </c>
      <c r="Q59" s="6">
        <f t="shared" si="0"/>
        <v>-10000</v>
      </c>
      <c r="R59" s="79">
        <f t="shared" si="2"/>
        <v>-2666.6666666666665</v>
      </c>
      <c r="S59" s="72">
        <f t="shared" si="1"/>
        <v>-1500</v>
      </c>
      <c r="T59" s="80">
        <f t="shared" si="3"/>
        <v>-833.33333333333337</v>
      </c>
    </row>
    <row r="60" spans="1:20" x14ac:dyDescent="0.25">
      <c r="A60" t="s">
        <v>480</v>
      </c>
      <c r="B60" s="71">
        <v>41060</v>
      </c>
      <c r="C60" s="48">
        <v>5052</v>
      </c>
      <c r="D60" t="s">
        <v>480</v>
      </c>
      <c r="E60" s="71">
        <v>41060</v>
      </c>
      <c r="F60" s="48">
        <v>14036</v>
      </c>
      <c r="G60" t="s">
        <v>480</v>
      </c>
      <c r="H60" s="71">
        <v>41060</v>
      </c>
      <c r="I60" s="5">
        <v>2209.1999999999998</v>
      </c>
      <c r="J60" t="s">
        <v>480</v>
      </c>
      <c r="K60" s="71">
        <v>41060</v>
      </c>
      <c r="L60" s="48">
        <v>0</v>
      </c>
      <c r="M60" t="s">
        <v>480</v>
      </c>
      <c r="N60" s="71">
        <v>41060</v>
      </c>
      <c r="O60" s="48">
        <v>0</v>
      </c>
      <c r="Q60" s="6">
        <f t="shared" si="0"/>
        <v>-17000</v>
      </c>
      <c r="R60" s="79">
        <f t="shared" si="2"/>
        <v>-10333.333333333334</v>
      </c>
      <c r="S60" s="72">
        <f t="shared" si="1"/>
        <v>-1100.0000000003638</v>
      </c>
      <c r="T60" s="80">
        <f t="shared" si="3"/>
        <v>-533.33333333345456</v>
      </c>
    </row>
    <row r="61" spans="1:20" x14ac:dyDescent="0.25">
      <c r="A61" t="s">
        <v>481</v>
      </c>
      <c r="B61" s="71">
        <v>41090</v>
      </c>
      <c r="C61" s="48">
        <v>5059</v>
      </c>
      <c r="D61" t="s">
        <v>481</v>
      </c>
      <c r="E61" s="71">
        <v>41090</v>
      </c>
      <c r="F61" s="48">
        <v>14047</v>
      </c>
      <c r="G61" t="s">
        <v>481</v>
      </c>
      <c r="H61" s="71">
        <v>41090</v>
      </c>
      <c r="I61" s="5">
        <v>2210.9</v>
      </c>
      <c r="J61" t="s">
        <v>481</v>
      </c>
      <c r="K61" s="71">
        <v>41090</v>
      </c>
      <c r="L61" s="48">
        <v>0</v>
      </c>
      <c r="M61" t="s">
        <v>481</v>
      </c>
      <c r="N61" s="71">
        <v>41090</v>
      </c>
      <c r="O61" s="48">
        <v>0</v>
      </c>
      <c r="Q61" s="6">
        <f t="shared" si="0"/>
        <v>18000</v>
      </c>
      <c r="R61" s="79">
        <f t="shared" si="2"/>
        <v>-3000</v>
      </c>
      <c r="S61" s="72">
        <f t="shared" si="1"/>
        <v>1700.0000000002728</v>
      </c>
      <c r="T61" s="80">
        <f t="shared" si="3"/>
        <v>-300.0000000000303</v>
      </c>
    </row>
    <row r="62" spans="1:20" x14ac:dyDescent="0.25">
      <c r="A62" t="s">
        <v>482</v>
      </c>
      <c r="B62" s="71">
        <v>41121</v>
      </c>
      <c r="C62" s="48">
        <v>5055</v>
      </c>
      <c r="D62" t="s">
        <v>482</v>
      </c>
      <c r="E62" s="71">
        <v>41121</v>
      </c>
      <c r="F62" s="48">
        <v>14043</v>
      </c>
      <c r="G62" t="s">
        <v>482</v>
      </c>
      <c r="H62" s="71">
        <v>41121</v>
      </c>
      <c r="I62" s="5">
        <v>2202.8000000000002</v>
      </c>
      <c r="J62" t="s">
        <v>482</v>
      </c>
      <c r="K62" s="71">
        <v>41121</v>
      </c>
      <c r="L62" s="48">
        <v>0</v>
      </c>
      <c r="M62" t="s">
        <v>482</v>
      </c>
      <c r="N62" s="71">
        <v>41121</v>
      </c>
      <c r="O62" s="48">
        <v>0</v>
      </c>
      <c r="Q62" s="6">
        <f t="shared" si="0"/>
        <v>-8000</v>
      </c>
      <c r="R62" s="79">
        <f t="shared" si="2"/>
        <v>-2333.3333333333335</v>
      </c>
      <c r="S62" s="72">
        <f t="shared" si="1"/>
        <v>-8099.9999999999091</v>
      </c>
      <c r="T62" s="80">
        <f t="shared" si="3"/>
        <v>-2500</v>
      </c>
    </row>
    <row r="63" spans="1:20" x14ac:dyDescent="0.25">
      <c r="A63" t="s">
        <v>483</v>
      </c>
      <c r="B63" s="71">
        <v>41152</v>
      </c>
      <c r="C63" s="48">
        <v>5063</v>
      </c>
      <c r="D63" t="s">
        <v>483</v>
      </c>
      <c r="E63" s="71">
        <v>41152</v>
      </c>
      <c r="F63" s="48">
        <v>14033</v>
      </c>
      <c r="G63" t="s">
        <v>483</v>
      </c>
      <c r="H63" s="71">
        <v>41152</v>
      </c>
      <c r="I63" s="5">
        <v>2210.6</v>
      </c>
      <c r="J63" t="s">
        <v>483</v>
      </c>
      <c r="K63" s="71">
        <v>41152</v>
      </c>
      <c r="L63" s="48">
        <v>0</v>
      </c>
      <c r="M63" t="s">
        <v>483</v>
      </c>
      <c r="N63" s="71">
        <v>41152</v>
      </c>
      <c r="O63" s="48">
        <v>0</v>
      </c>
      <c r="Q63" s="6">
        <f t="shared" si="0"/>
        <v>-2000</v>
      </c>
      <c r="R63" s="79">
        <f t="shared" si="2"/>
        <v>2666.6666666666665</v>
      </c>
      <c r="S63" s="72">
        <f t="shared" si="1"/>
        <v>7799.9999999997272</v>
      </c>
      <c r="T63" s="80">
        <f t="shared" si="3"/>
        <v>466.66666666669698</v>
      </c>
    </row>
    <row r="64" spans="1:20" x14ac:dyDescent="0.25">
      <c r="A64" t="s">
        <v>484</v>
      </c>
      <c r="B64" s="71">
        <v>41182</v>
      </c>
      <c r="C64" s="48">
        <v>5076</v>
      </c>
      <c r="D64" t="s">
        <v>484</v>
      </c>
      <c r="E64" s="71">
        <v>41182</v>
      </c>
      <c r="F64" s="48">
        <v>14027</v>
      </c>
      <c r="G64" t="s">
        <v>484</v>
      </c>
      <c r="H64" s="71">
        <v>41182</v>
      </c>
      <c r="I64" s="5">
        <v>2216.3000000000002</v>
      </c>
      <c r="J64" t="s">
        <v>484</v>
      </c>
      <c r="K64" s="71">
        <v>41182</v>
      </c>
      <c r="L64" s="48">
        <v>0</v>
      </c>
      <c r="M64" t="s">
        <v>484</v>
      </c>
      <c r="N64" s="71">
        <v>41182</v>
      </c>
      <c r="O64" s="48">
        <v>0</v>
      </c>
      <c r="Q64" s="6">
        <f t="shared" si="0"/>
        <v>7000</v>
      </c>
      <c r="R64" s="79">
        <f t="shared" si="2"/>
        <v>-1000</v>
      </c>
      <c r="S64" s="72">
        <f t="shared" si="1"/>
        <v>5700.0000000002728</v>
      </c>
      <c r="T64" s="80">
        <f t="shared" si="3"/>
        <v>1800.0000000000302</v>
      </c>
    </row>
    <row r="65" spans="1:20" x14ac:dyDescent="0.25">
      <c r="A65" t="s">
        <v>485</v>
      </c>
      <c r="B65" s="71">
        <v>41213</v>
      </c>
      <c r="C65" s="48">
        <v>5055</v>
      </c>
      <c r="D65" t="s">
        <v>485</v>
      </c>
      <c r="E65" s="71">
        <v>41213</v>
      </c>
      <c r="F65" s="48">
        <v>14024</v>
      </c>
      <c r="G65" t="s">
        <v>485</v>
      </c>
      <c r="H65" s="71">
        <v>41213</v>
      </c>
      <c r="I65" s="5">
        <v>2213.6</v>
      </c>
      <c r="J65" t="s">
        <v>485</v>
      </c>
      <c r="K65" s="71">
        <v>41213</v>
      </c>
      <c r="L65" s="48">
        <v>0</v>
      </c>
      <c r="M65" t="s">
        <v>485</v>
      </c>
      <c r="N65" s="71">
        <v>41213</v>
      </c>
      <c r="O65" s="48">
        <v>0</v>
      </c>
      <c r="Q65" s="6">
        <f t="shared" si="0"/>
        <v>-24000</v>
      </c>
      <c r="R65" s="79">
        <f t="shared" si="2"/>
        <v>-6333.333333333333</v>
      </c>
      <c r="S65" s="72">
        <f t="shared" si="1"/>
        <v>-2700.0000000002728</v>
      </c>
      <c r="T65" s="80">
        <f t="shared" si="3"/>
        <v>3599.9999999999091</v>
      </c>
    </row>
    <row r="66" spans="1:20" x14ac:dyDescent="0.25">
      <c r="A66" t="s">
        <v>486</v>
      </c>
      <c r="B66" s="71">
        <v>41243</v>
      </c>
      <c r="C66" s="48">
        <v>5052</v>
      </c>
      <c r="D66" t="s">
        <v>486</v>
      </c>
      <c r="E66" s="71">
        <v>41243</v>
      </c>
      <c r="F66" s="48">
        <v>14022</v>
      </c>
      <c r="G66" t="s">
        <v>486</v>
      </c>
      <c r="H66" s="71">
        <v>41243</v>
      </c>
      <c r="I66" s="5">
        <v>2209.1</v>
      </c>
      <c r="J66" t="s">
        <v>486</v>
      </c>
      <c r="K66" s="71">
        <v>41243</v>
      </c>
      <c r="L66" s="48">
        <v>0</v>
      </c>
      <c r="M66" t="s">
        <v>486</v>
      </c>
      <c r="N66" s="71">
        <v>41243</v>
      </c>
      <c r="O66" s="48">
        <v>0</v>
      </c>
      <c r="Q66" s="6">
        <f t="shared" si="0"/>
        <v>-5000</v>
      </c>
      <c r="R66" s="79">
        <f t="shared" si="2"/>
        <v>-7333.333333333333</v>
      </c>
      <c r="S66" s="72">
        <f t="shared" si="1"/>
        <v>-4500</v>
      </c>
      <c r="T66" s="80">
        <f t="shared" si="3"/>
        <v>-500</v>
      </c>
    </row>
    <row r="67" spans="1:20" x14ac:dyDescent="0.25">
      <c r="A67" t="s">
        <v>487</v>
      </c>
      <c r="B67" s="71">
        <v>41274</v>
      </c>
      <c r="C67" s="48">
        <v>5048</v>
      </c>
      <c r="D67" t="s">
        <v>487</v>
      </c>
      <c r="E67" s="71">
        <v>41274</v>
      </c>
      <c r="F67" s="48">
        <v>14033</v>
      </c>
      <c r="G67" t="s">
        <v>487</v>
      </c>
      <c r="H67" s="71">
        <v>41274</v>
      </c>
      <c r="I67" s="5">
        <v>2207.9</v>
      </c>
      <c r="J67" t="s">
        <v>487</v>
      </c>
      <c r="K67" s="71">
        <v>41274</v>
      </c>
      <c r="L67" s="48">
        <v>0</v>
      </c>
      <c r="M67" t="s">
        <v>487</v>
      </c>
      <c r="N67" s="71">
        <v>41274</v>
      </c>
      <c r="O67" s="48">
        <v>0</v>
      </c>
      <c r="Q67" s="6">
        <f t="shared" si="0"/>
        <v>7000</v>
      </c>
      <c r="R67" s="79">
        <f t="shared" si="2"/>
        <v>-7333.333333333333</v>
      </c>
      <c r="S67" s="72">
        <f t="shared" si="1"/>
        <v>-1199.9999999998181</v>
      </c>
      <c r="T67" s="80">
        <f t="shared" si="3"/>
        <v>-2800.0000000000305</v>
      </c>
    </row>
    <row r="68" spans="1:20" x14ac:dyDescent="0.25">
      <c r="A68" t="s">
        <v>488</v>
      </c>
      <c r="B68" s="71">
        <v>41305</v>
      </c>
      <c r="C68" s="48">
        <v>5030</v>
      </c>
      <c r="D68" t="s">
        <v>488</v>
      </c>
      <c r="E68" s="71">
        <v>41305</v>
      </c>
      <c r="F68" s="48">
        <v>14034</v>
      </c>
      <c r="G68" t="s">
        <v>488</v>
      </c>
      <c r="H68" s="71">
        <v>41305</v>
      </c>
      <c r="I68" s="5">
        <v>2203.8000000000002</v>
      </c>
      <c r="J68" t="s">
        <v>488</v>
      </c>
      <c r="K68" s="71">
        <v>41305</v>
      </c>
      <c r="L68" s="48">
        <v>0</v>
      </c>
      <c r="M68" t="s">
        <v>488</v>
      </c>
      <c r="N68" s="71">
        <v>41305</v>
      </c>
      <c r="O68" s="48">
        <v>0</v>
      </c>
      <c r="Q68" s="6">
        <f t="shared" si="0"/>
        <v>-17000</v>
      </c>
      <c r="R68" s="79">
        <f t="shared" si="2"/>
        <v>-5000</v>
      </c>
      <c r="S68" s="72">
        <f t="shared" si="1"/>
        <v>-4099.9999999999091</v>
      </c>
      <c r="T68" s="80">
        <f t="shared" si="3"/>
        <v>-3266.6666666665756</v>
      </c>
    </row>
    <row r="69" spans="1:20" x14ac:dyDescent="0.25">
      <c r="A69" t="s">
        <v>489</v>
      </c>
      <c r="B69" s="71">
        <v>41333</v>
      </c>
      <c r="C69" s="48">
        <v>5046</v>
      </c>
      <c r="D69" t="s">
        <v>489</v>
      </c>
      <c r="E69" s="71">
        <v>41333</v>
      </c>
      <c r="F69" s="48">
        <v>14034</v>
      </c>
      <c r="G69" t="s">
        <v>489</v>
      </c>
      <c r="H69" s="71">
        <v>41333</v>
      </c>
      <c r="I69" s="5">
        <v>2204.5</v>
      </c>
      <c r="J69" t="s">
        <v>489</v>
      </c>
      <c r="K69" s="71">
        <v>41333</v>
      </c>
      <c r="L69" s="48">
        <v>0</v>
      </c>
      <c r="M69" t="s">
        <v>489</v>
      </c>
      <c r="N69" s="71">
        <v>41333</v>
      </c>
      <c r="O69" s="48">
        <v>0</v>
      </c>
      <c r="Q69" s="6">
        <f t="shared" si="0"/>
        <v>16000</v>
      </c>
      <c r="R69" s="79">
        <f t="shared" si="2"/>
        <v>2000</v>
      </c>
      <c r="S69" s="72">
        <f t="shared" si="1"/>
        <v>699.9999999998181</v>
      </c>
      <c r="T69" s="80">
        <f t="shared" si="3"/>
        <v>-1533.333333333303</v>
      </c>
    </row>
    <row r="70" spans="1:20" x14ac:dyDescent="0.25">
      <c r="A70" t="s">
        <v>490</v>
      </c>
      <c r="B70" s="71">
        <v>41364</v>
      </c>
      <c r="C70" s="48">
        <v>5052</v>
      </c>
      <c r="D70" t="s">
        <v>490</v>
      </c>
      <c r="E70" s="71">
        <v>41364</v>
      </c>
      <c r="F70" s="48">
        <v>14024</v>
      </c>
      <c r="G70" t="s">
        <v>490</v>
      </c>
      <c r="H70" s="71">
        <v>41364</v>
      </c>
      <c r="I70" s="5">
        <v>2201.9</v>
      </c>
      <c r="J70" t="s">
        <v>490</v>
      </c>
      <c r="K70" s="71">
        <v>41364</v>
      </c>
      <c r="L70" s="48">
        <v>0</v>
      </c>
      <c r="M70" t="s">
        <v>490</v>
      </c>
      <c r="N70" s="71">
        <v>41364</v>
      </c>
      <c r="O70" s="48">
        <v>0</v>
      </c>
      <c r="Q70" s="6">
        <f t="shared" si="0"/>
        <v>-4000</v>
      </c>
      <c r="R70" s="79">
        <f t="shared" si="2"/>
        <v>-1666.6666666666667</v>
      </c>
      <c r="S70" s="72">
        <f t="shared" si="1"/>
        <v>-2599.9999999999091</v>
      </c>
      <c r="T70" s="80">
        <f t="shared" si="3"/>
        <v>-2000</v>
      </c>
    </row>
    <row r="71" spans="1:20" x14ac:dyDescent="0.25">
      <c r="A71" t="s">
        <v>491</v>
      </c>
      <c r="B71" s="71">
        <v>41394</v>
      </c>
      <c r="C71" s="48">
        <v>5047</v>
      </c>
      <c r="D71" t="s">
        <v>491</v>
      </c>
      <c r="E71" s="71">
        <v>41394</v>
      </c>
      <c r="F71" s="48">
        <v>14032</v>
      </c>
      <c r="G71" t="s">
        <v>491</v>
      </c>
      <c r="H71" s="71">
        <v>41394</v>
      </c>
      <c r="I71" s="5">
        <v>2192.3000000000002</v>
      </c>
      <c r="J71" t="s">
        <v>491</v>
      </c>
      <c r="K71" s="71">
        <v>41394</v>
      </c>
      <c r="L71" s="48">
        <v>0</v>
      </c>
      <c r="M71" t="s">
        <v>491</v>
      </c>
      <c r="N71" s="71">
        <v>41394</v>
      </c>
      <c r="O71" s="48">
        <v>0</v>
      </c>
      <c r="Q71" s="6">
        <f t="shared" si="0"/>
        <v>3000</v>
      </c>
      <c r="R71" s="79">
        <f t="shared" si="2"/>
        <v>5000</v>
      </c>
      <c r="S71" s="72">
        <f t="shared" si="1"/>
        <v>-9599.9999999999091</v>
      </c>
      <c r="T71" s="80">
        <f t="shared" si="3"/>
        <v>-3833.3333333333335</v>
      </c>
    </row>
    <row r="72" spans="1:20" x14ac:dyDescent="0.25">
      <c r="A72" t="s">
        <v>492</v>
      </c>
      <c r="B72" s="71">
        <v>41425</v>
      </c>
      <c r="C72" s="48">
        <v>5047</v>
      </c>
      <c r="D72" t="s">
        <v>492</v>
      </c>
      <c r="E72" s="71">
        <v>41425</v>
      </c>
      <c r="F72" s="48">
        <v>14033</v>
      </c>
      <c r="G72" t="s">
        <v>492</v>
      </c>
      <c r="H72" s="71">
        <v>41425</v>
      </c>
      <c r="I72" s="5">
        <v>2182.9</v>
      </c>
      <c r="J72" t="s">
        <v>492</v>
      </c>
      <c r="K72" s="71">
        <v>41425</v>
      </c>
      <c r="L72" s="48">
        <v>0</v>
      </c>
      <c r="M72" t="s">
        <v>492</v>
      </c>
      <c r="N72" s="71">
        <v>41425</v>
      </c>
      <c r="O72" s="48">
        <v>0</v>
      </c>
      <c r="Q72" s="6">
        <f t="shared" si="0"/>
        <v>1000</v>
      </c>
      <c r="R72" s="79">
        <f t="shared" si="2"/>
        <v>0</v>
      </c>
      <c r="S72" s="72">
        <f t="shared" si="1"/>
        <v>-9400.0000000000909</v>
      </c>
      <c r="T72" s="80">
        <f t="shared" si="3"/>
        <v>-7199.99999999997</v>
      </c>
    </row>
    <row r="73" spans="1:20" x14ac:dyDescent="0.25">
      <c r="A73" t="s">
        <v>493</v>
      </c>
      <c r="B73" s="71">
        <v>41455</v>
      </c>
      <c r="C73" s="48">
        <v>5038</v>
      </c>
      <c r="D73" t="s">
        <v>493</v>
      </c>
      <c r="E73" s="71">
        <v>41455</v>
      </c>
      <c r="F73" s="48">
        <v>14031</v>
      </c>
      <c r="G73" t="s">
        <v>493</v>
      </c>
      <c r="H73" s="71">
        <v>41455</v>
      </c>
      <c r="I73" s="5">
        <v>2176.1</v>
      </c>
      <c r="J73" t="s">
        <v>493</v>
      </c>
      <c r="K73" s="71">
        <v>41455</v>
      </c>
      <c r="L73" s="48">
        <v>0</v>
      </c>
      <c r="M73" t="s">
        <v>493</v>
      </c>
      <c r="N73" s="71">
        <v>41455</v>
      </c>
      <c r="O73" s="48">
        <v>0</v>
      </c>
      <c r="Q73" s="6">
        <f t="shared" si="0"/>
        <v>-11000</v>
      </c>
      <c r="R73" s="79">
        <f t="shared" si="2"/>
        <v>-2333.3333333333335</v>
      </c>
      <c r="S73" s="72">
        <f t="shared" si="1"/>
        <v>-6800.0000000001819</v>
      </c>
      <c r="T73" s="80">
        <f t="shared" si="3"/>
        <v>-8600.00000000006</v>
      </c>
    </row>
    <row r="74" spans="1:20" x14ac:dyDescent="0.25">
      <c r="A74" t="s">
        <v>494</v>
      </c>
      <c r="B74" s="71">
        <v>41486</v>
      </c>
      <c r="C74" s="48">
        <v>5029</v>
      </c>
      <c r="D74" t="s">
        <v>494</v>
      </c>
      <c r="E74" s="71">
        <v>41486</v>
      </c>
      <c r="F74" s="48">
        <v>14024</v>
      </c>
      <c r="G74" t="s">
        <v>494</v>
      </c>
      <c r="H74" s="71">
        <v>41486</v>
      </c>
      <c r="I74" s="5">
        <v>2168.6</v>
      </c>
      <c r="J74" t="s">
        <v>494</v>
      </c>
      <c r="K74" s="71">
        <v>41486</v>
      </c>
      <c r="L74" s="48">
        <v>0</v>
      </c>
      <c r="M74" t="s">
        <v>494</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495</v>
      </c>
      <c r="B75" s="71">
        <v>41517</v>
      </c>
      <c r="C75" s="48">
        <v>5046</v>
      </c>
      <c r="D75" t="s">
        <v>495</v>
      </c>
      <c r="E75" s="71">
        <v>41517</v>
      </c>
      <c r="F75" s="48">
        <v>14033</v>
      </c>
      <c r="G75" t="s">
        <v>495</v>
      </c>
      <c r="H75" s="71">
        <v>41517</v>
      </c>
      <c r="I75" s="5">
        <v>2161.9</v>
      </c>
      <c r="J75" t="s">
        <v>495</v>
      </c>
      <c r="K75" s="71">
        <v>41517</v>
      </c>
      <c r="L75" s="48">
        <v>0</v>
      </c>
      <c r="M75" t="s">
        <v>495</v>
      </c>
      <c r="N75" s="71">
        <v>41517</v>
      </c>
      <c r="O75" s="48">
        <v>0</v>
      </c>
      <c r="Q75" s="6">
        <f t="shared" si="4"/>
        <v>26000</v>
      </c>
      <c r="R75" s="79">
        <f t="shared" si="2"/>
        <v>-333.33333333333331</v>
      </c>
      <c r="S75" s="72">
        <f t="shared" si="5"/>
        <v>-6699.9999999998181</v>
      </c>
      <c r="T75" s="80">
        <f t="shared" si="3"/>
        <v>-7000</v>
      </c>
    </row>
    <row r="76" spans="1:20" x14ac:dyDescent="0.25">
      <c r="A76" t="s">
        <v>496</v>
      </c>
      <c r="B76" s="71">
        <v>41547</v>
      </c>
      <c r="C76" s="48">
        <v>5049</v>
      </c>
      <c r="D76" t="s">
        <v>496</v>
      </c>
      <c r="E76" s="71">
        <v>41547</v>
      </c>
      <c r="F76" s="48">
        <v>14038</v>
      </c>
      <c r="G76" t="s">
        <v>496</v>
      </c>
      <c r="H76" s="71">
        <v>41547</v>
      </c>
      <c r="I76" s="5">
        <v>2159.1</v>
      </c>
      <c r="J76" t="s">
        <v>496</v>
      </c>
      <c r="K76" s="71">
        <v>41547</v>
      </c>
      <c r="L76" s="48">
        <v>0</v>
      </c>
      <c r="M76" t="s">
        <v>496</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497</v>
      </c>
      <c r="B77" s="71">
        <v>41578</v>
      </c>
      <c r="C77" s="48">
        <v>5056</v>
      </c>
      <c r="D77" t="s">
        <v>497</v>
      </c>
      <c r="E77" s="71">
        <v>41578</v>
      </c>
      <c r="F77" s="48">
        <v>14037</v>
      </c>
      <c r="G77" t="s">
        <v>497</v>
      </c>
      <c r="H77" s="71">
        <v>41578</v>
      </c>
      <c r="I77" s="5">
        <v>2151.6999999999998</v>
      </c>
      <c r="J77" t="s">
        <v>497</v>
      </c>
      <c r="K77" s="71">
        <v>41578</v>
      </c>
      <c r="L77" s="48">
        <v>0</v>
      </c>
      <c r="M77" t="s">
        <v>497</v>
      </c>
      <c r="N77" s="71">
        <v>41578</v>
      </c>
      <c r="O77" s="48">
        <v>0</v>
      </c>
      <c r="Q77" s="6">
        <f t="shared" si="4"/>
        <v>6000</v>
      </c>
      <c r="R77" s="79">
        <f t="shared" si="6"/>
        <v>13333.333333333334</v>
      </c>
      <c r="S77" s="72">
        <f t="shared" si="5"/>
        <v>-7400.0000000000909</v>
      </c>
      <c r="T77" s="80">
        <f t="shared" si="7"/>
        <v>-5633.333333333364</v>
      </c>
    </row>
    <row r="78" spans="1:20" x14ac:dyDescent="0.25">
      <c r="A78" t="s">
        <v>498</v>
      </c>
      <c r="B78" s="71">
        <v>41608</v>
      </c>
      <c r="C78" s="48">
        <v>5059</v>
      </c>
      <c r="D78" t="s">
        <v>498</v>
      </c>
      <c r="E78" s="71">
        <v>41608</v>
      </c>
      <c r="F78" s="48">
        <v>14043</v>
      </c>
      <c r="G78" t="s">
        <v>498</v>
      </c>
      <c r="H78" s="71">
        <v>41608</v>
      </c>
      <c r="I78" s="5">
        <v>2152.6999999999998</v>
      </c>
      <c r="J78" t="s">
        <v>498</v>
      </c>
      <c r="K78" s="71">
        <v>41608</v>
      </c>
      <c r="L78" s="48">
        <v>0</v>
      </c>
      <c r="M78" t="s">
        <v>498</v>
      </c>
      <c r="N78" s="71">
        <v>41608</v>
      </c>
      <c r="O78" s="48">
        <v>0</v>
      </c>
      <c r="Q78" s="6">
        <f t="shared" si="4"/>
        <v>9000</v>
      </c>
      <c r="R78" s="79">
        <f t="shared" si="6"/>
        <v>7666.666666666667</v>
      </c>
      <c r="S78" s="72">
        <f t="shared" si="5"/>
        <v>1000</v>
      </c>
      <c r="T78" s="80">
        <f t="shared" si="7"/>
        <v>-3066.6666666667575</v>
      </c>
    </row>
    <row r="79" spans="1:20" x14ac:dyDescent="0.25">
      <c r="A79" t="s">
        <v>499</v>
      </c>
      <c r="B79" s="71">
        <v>41639</v>
      </c>
      <c r="C79" s="48">
        <v>5053</v>
      </c>
      <c r="D79" t="s">
        <v>499</v>
      </c>
      <c r="E79" s="71">
        <v>41639</v>
      </c>
      <c r="F79" s="48">
        <v>14028</v>
      </c>
      <c r="G79" t="s">
        <v>499</v>
      </c>
      <c r="H79" s="71">
        <v>41639</v>
      </c>
      <c r="I79" s="5">
        <v>2147</v>
      </c>
      <c r="J79" t="s">
        <v>499</v>
      </c>
      <c r="K79" s="71">
        <v>41639</v>
      </c>
      <c r="L79" s="48">
        <v>0</v>
      </c>
      <c r="M79" t="s">
        <v>499</v>
      </c>
      <c r="N79" s="71">
        <v>41639</v>
      </c>
      <c r="O79" s="48">
        <v>0</v>
      </c>
      <c r="Q79" s="6">
        <f t="shared" si="4"/>
        <v>-21000</v>
      </c>
      <c r="R79" s="79">
        <f t="shared" si="6"/>
        <v>-2000</v>
      </c>
      <c r="S79" s="72">
        <f t="shared" si="5"/>
        <v>-5699.9999999998181</v>
      </c>
      <c r="T79" s="80">
        <f t="shared" si="7"/>
        <v>-4033.333333333303</v>
      </c>
    </row>
    <row r="80" spans="1:20" x14ac:dyDescent="0.25">
      <c r="A80" t="s">
        <v>500</v>
      </c>
      <c r="B80" s="71">
        <v>41670</v>
      </c>
      <c r="C80" s="48">
        <v>5047</v>
      </c>
      <c r="D80" t="s">
        <v>500</v>
      </c>
      <c r="E80" s="71">
        <v>41670</v>
      </c>
      <c r="F80" s="48">
        <v>14025</v>
      </c>
      <c r="G80" t="s">
        <v>500</v>
      </c>
      <c r="H80" s="71">
        <v>41670</v>
      </c>
      <c r="I80" s="5">
        <v>2143.5</v>
      </c>
      <c r="J80" t="s">
        <v>500</v>
      </c>
      <c r="K80" s="71">
        <v>41670</v>
      </c>
      <c r="L80" s="48">
        <v>0</v>
      </c>
      <c r="M80" t="s">
        <v>500</v>
      </c>
      <c r="N80" s="71">
        <v>41670</v>
      </c>
      <c r="O80" s="48">
        <v>0</v>
      </c>
      <c r="Q80" s="6">
        <f t="shared" si="4"/>
        <v>-9000</v>
      </c>
      <c r="R80" s="79">
        <f t="shared" si="6"/>
        <v>-7000</v>
      </c>
      <c r="S80" s="72">
        <f t="shared" si="5"/>
        <v>-3500</v>
      </c>
      <c r="T80" s="80">
        <f t="shared" si="7"/>
        <v>-2733.3333333332725</v>
      </c>
    </row>
    <row r="81" spans="1:20" x14ac:dyDescent="0.25">
      <c r="A81" t="s">
        <v>501</v>
      </c>
      <c r="B81" s="71">
        <v>41698</v>
      </c>
      <c r="C81" s="48">
        <v>5058</v>
      </c>
      <c r="D81" t="s">
        <v>501</v>
      </c>
      <c r="E81" s="71">
        <v>41698</v>
      </c>
      <c r="F81" s="48">
        <v>14030</v>
      </c>
      <c r="G81" t="s">
        <v>501</v>
      </c>
      <c r="H81" s="71">
        <v>41698</v>
      </c>
      <c r="I81" s="5">
        <v>2139.5</v>
      </c>
      <c r="J81" t="s">
        <v>501</v>
      </c>
      <c r="K81" s="71">
        <v>41698</v>
      </c>
      <c r="L81" s="48">
        <v>0</v>
      </c>
      <c r="M81" t="s">
        <v>501</v>
      </c>
      <c r="N81" s="71">
        <v>41698</v>
      </c>
      <c r="O81" s="48">
        <v>0</v>
      </c>
      <c r="Q81" s="6">
        <f t="shared" si="4"/>
        <v>16000</v>
      </c>
      <c r="R81" s="79">
        <f t="shared" si="6"/>
        <v>-4666.666666666667</v>
      </c>
      <c r="S81" s="72">
        <f t="shared" si="5"/>
        <v>-4000</v>
      </c>
      <c r="T81" s="80">
        <f t="shared" si="7"/>
        <v>-4399.9999999999391</v>
      </c>
    </row>
    <row r="82" spans="1:20" x14ac:dyDescent="0.25">
      <c r="A82" t="s">
        <v>502</v>
      </c>
      <c r="B82" s="71">
        <v>41729</v>
      </c>
      <c r="C82" s="48">
        <v>5055</v>
      </c>
      <c r="D82" t="s">
        <v>502</v>
      </c>
      <c r="E82" s="71">
        <v>41729</v>
      </c>
      <c r="F82" s="48">
        <v>14045</v>
      </c>
      <c r="G82" t="s">
        <v>502</v>
      </c>
      <c r="H82" s="71">
        <v>41729</v>
      </c>
      <c r="I82" s="5">
        <v>2137.6999999999998</v>
      </c>
      <c r="J82" t="s">
        <v>502</v>
      </c>
      <c r="K82" s="71">
        <v>41729</v>
      </c>
      <c r="L82" s="48">
        <v>0</v>
      </c>
      <c r="M82" t="s">
        <v>502</v>
      </c>
      <c r="N82" s="71">
        <v>41729</v>
      </c>
      <c r="O82" s="48">
        <v>0</v>
      </c>
      <c r="Q82" s="6">
        <f t="shared" si="4"/>
        <v>12000</v>
      </c>
      <c r="R82" s="79">
        <f t="shared" si="6"/>
        <v>6333.333333333333</v>
      </c>
      <c r="S82" s="72">
        <f t="shared" si="5"/>
        <v>-1800.0000000001819</v>
      </c>
      <c r="T82" s="80">
        <f t="shared" si="7"/>
        <v>-3100.0000000000605</v>
      </c>
    </row>
    <row r="83" spans="1:20" x14ac:dyDescent="0.25">
      <c r="A83" t="s">
        <v>503</v>
      </c>
      <c r="B83" s="71">
        <v>41759</v>
      </c>
      <c r="C83" s="48">
        <v>5058</v>
      </c>
      <c r="D83" t="s">
        <v>503</v>
      </c>
      <c r="E83" s="71">
        <v>41759</v>
      </c>
      <c r="F83" s="48">
        <v>14075</v>
      </c>
      <c r="G83" t="s">
        <v>503</v>
      </c>
      <c r="H83" s="71">
        <v>41759</v>
      </c>
      <c r="I83" s="5">
        <v>2134.3000000000002</v>
      </c>
      <c r="J83" t="s">
        <v>503</v>
      </c>
      <c r="K83" s="71">
        <v>41759</v>
      </c>
      <c r="L83" s="48">
        <v>0</v>
      </c>
      <c r="M83" t="s">
        <v>503</v>
      </c>
      <c r="N83" s="71">
        <v>41759</v>
      </c>
      <c r="O83" s="48">
        <v>0</v>
      </c>
      <c r="Q83" s="6">
        <f t="shared" si="4"/>
        <v>33000</v>
      </c>
      <c r="R83" s="79">
        <f t="shared" si="6"/>
        <v>20333.333333333332</v>
      </c>
      <c r="S83" s="72">
        <f t="shared" si="5"/>
        <v>-3399.9999999996362</v>
      </c>
      <c r="T83" s="80">
        <f t="shared" si="7"/>
        <v>-3066.666666666606</v>
      </c>
    </row>
    <row r="84" spans="1:20" x14ac:dyDescent="0.25">
      <c r="A84" t="s">
        <v>504</v>
      </c>
      <c r="B84" s="71">
        <v>41790</v>
      </c>
      <c r="C84" s="48">
        <v>5056</v>
      </c>
      <c r="D84" t="s">
        <v>504</v>
      </c>
      <c r="E84" s="71">
        <v>41790</v>
      </c>
      <c r="F84" s="48">
        <v>14070</v>
      </c>
      <c r="G84" t="s">
        <v>504</v>
      </c>
      <c r="H84" s="71">
        <v>41790</v>
      </c>
      <c r="I84" s="5">
        <v>2134.5</v>
      </c>
      <c r="J84" t="s">
        <v>504</v>
      </c>
      <c r="K84" s="71">
        <v>41790</v>
      </c>
      <c r="L84" s="48">
        <v>0</v>
      </c>
      <c r="M84" t="s">
        <v>504</v>
      </c>
      <c r="N84" s="71">
        <v>41790</v>
      </c>
      <c r="O84" s="48">
        <v>0</v>
      </c>
      <c r="Q84" s="6">
        <f t="shared" si="4"/>
        <v>-7000</v>
      </c>
      <c r="R84" s="79">
        <f t="shared" si="6"/>
        <v>12666.666666666666</v>
      </c>
      <c r="S84" s="72">
        <f t="shared" si="5"/>
        <v>199.9999999998181</v>
      </c>
      <c r="T84" s="80">
        <f t="shared" si="7"/>
        <v>-1666.6666666666667</v>
      </c>
    </row>
    <row r="85" spans="1:20" x14ac:dyDescent="0.25">
      <c r="A85" t="s">
        <v>505</v>
      </c>
      <c r="B85" s="71">
        <v>41820</v>
      </c>
      <c r="C85" s="48">
        <v>5063</v>
      </c>
      <c r="D85" t="s">
        <v>505</v>
      </c>
      <c r="E85" s="71">
        <v>41820</v>
      </c>
      <c r="F85" s="48">
        <v>14106</v>
      </c>
      <c r="G85" t="s">
        <v>505</v>
      </c>
      <c r="H85" s="71">
        <v>41820</v>
      </c>
      <c r="I85" s="5">
        <v>2135.1999999999998</v>
      </c>
      <c r="J85" t="s">
        <v>505</v>
      </c>
      <c r="K85" s="71">
        <v>41820</v>
      </c>
      <c r="L85" s="48">
        <v>0</v>
      </c>
      <c r="M85" t="s">
        <v>505</v>
      </c>
      <c r="N85" s="71">
        <v>41820</v>
      </c>
      <c r="O85" s="48">
        <v>0</v>
      </c>
      <c r="Q85" s="6">
        <f t="shared" si="4"/>
        <v>43000</v>
      </c>
      <c r="R85" s="79">
        <f t="shared" si="6"/>
        <v>23000</v>
      </c>
      <c r="S85" s="72">
        <f t="shared" si="5"/>
        <v>699.9999999998181</v>
      </c>
      <c r="T85" s="80">
        <f t="shared" si="7"/>
        <v>-833.33333333333337</v>
      </c>
    </row>
    <row r="86" spans="1:20" x14ac:dyDescent="0.25">
      <c r="A86" t="s">
        <v>506</v>
      </c>
      <c r="B86" s="71">
        <v>41851</v>
      </c>
      <c r="C86" s="48">
        <v>5028</v>
      </c>
      <c r="D86" t="s">
        <v>506</v>
      </c>
      <c r="E86" s="71">
        <v>41851</v>
      </c>
      <c r="F86" s="48">
        <v>14114</v>
      </c>
      <c r="G86" t="s">
        <v>506</v>
      </c>
      <c r="H86" s="71">
        <v>41851</v>
      </c>
      <c r="I86" s="5">
        <v>2138.6999999999998</v>
      </c>
      <c r="J86" t="s">
        <v>506</v>
      </c>
      <c r="K86" s="71">
        <v>41851</v>
      </c>
      <c r="L86" s="48">
        <v>0</v>
      </c>
      <c r="M86" t="s">
        <v>506</v>
      </c>
      <c r="N86" s="71">
        <v>41851</v>
      </c>
      <c r="O86" s="48">
        <v>0</v>
      </c>
      <c r="Q86" s="6">
        <f t="shared" si="4"/>
        <v>-27000</v>
      </c>
      <c r="R86" s="79">
        <f t="shared" si="6"/>
        <v>3000</v>
      </c>
      <c r="S86" s="72">
        <f t="shared" si="5"/>
        <v>3500</v>
      </c>
      <c r="T86" s="80">
        <f t="shared" si="7"/>
        <v>1466.6666666665453</v>
      </c>
    </row>
    <row r="87" spans="1:20" x14ac:dyDescent="0.25">
      <c r="A87" t="s">
        <v>507</v>
      </c>
      <c r="B87" s="71">
        <v>41882</v>
      </c>
      <c r="C87" s="48">
        <v>5021</v>
      </c>
      <c r="D87" t="s">
        <v>507</v>
      </c>
      <c r="E87" s="71">
        <v>41882</v>
      </c>
      <c r="F87" s="48">
        <v>14109</v>
      </c>
      <c r="G87" t="s">
        <v>507</v>
      </c>
      <c r="H87" s="71">
        <v>41882</v>
      </c>
      <c r="I87" s="5">
        <v>2142.4</v>
      </c>
      <c r="J87" t="s">
        <v>507</v>
      </c>
      <c r="K87" s="71">
        <v>41882</v>
      </c>
      <c r="L87" s="48">
        <v>0</v>
      </c>
      <c r="M87" t="s">
        <v>507</v>
      </c>
      <c r="N87" s="71">
        <v>41882</v>
      </c>
      <c r="O87" s="48">
        <v>0</v>
      </c>
      <c r="Q87" s="6">
        <f t="shared" si="4"/>
        <v>-12000</v>
      </c>
      <c r="R87" s="79">
        <f t="shared" si="6"/>
        <v>1333.3333333333333</v>
      </c>
      <c r="S87" s="72">
        <f t="shared" si="5"/>
        <v>3700.0000000002728</v>
      </c>
      <c r="T87" s="80">
        <f t="shared" si="7"/>
        <v>2633.3333333333635</v>
      </c>
    </row>
    <row r="88" spans="1:20" x14ac:dyDescent="0.25">
      <c r="A88" t="s">
        <v>508</v>
      </c>
      <c r="B88" s="71">
        <v>41912</v>
      </c>
      <c r="C88" s="48">
        <v>5043</v>
      </c>
      <c r="D88" t="s">
        <v>508</v>
      </c>
      <c r="E88" s="71">
        <v>41912</v>
      </c>
      <c r="F88" s="48">
        <v>14129</v>
      </c>
      <c r="G88" t="s">
        <v>508</v>
      </c>
      <c r="H88" s="71">
        <v>41912</v>
      </c>
      <c r="I88" s="5">
        <v>2141.6</v>
      </c>
      <c r="J88" t="s">
        <v>508</v>
      </c>
      <c r="K88" s="71">
        <v>41912</v>
      </c>
      <c r="L88" s="48">
        <v>0</v>
      </c>
      <c r="M88" t="s">
        <v>508</v>
      </c>
      <c r="N88" s="71">
        <v>41912</v>
      </c>
      <c r="O88" s="48">
        <v>0</v>
      </c>
      <c r="Q88" s="6">
        <f t="shared" si="4"/>
        <v>42000</v>
      </c>
      <c r="R88" s="79">
        <f t="shared" si="6"/>
        <v>1000</v>
      </c>
      <c r="S88" s="72">
        <f t="shared" si="5"/>
        <v>-800.0000000001819</v>
      </c>
      <c r="T88" s="80">
        <f t="shared" si="7"/>
        <v>2133.3333333333635</v>
      </c>
    </row>
    <row r="89" spans="1:20" x14ac:dyDescent="0.25">
      <c r="A89" t="s">
        <v>509</v>
      </c>
      <c r="B89" s="71">
        <v>41943</v>
      </c>
      <c r="C89" s="48">
        <v>5050</v>
      </c>
      <c r="D89" t="s">
        <v>509</v>
      </c>
      <c r="E89" s="71">
        <v>41943</v>
      </c>
      <c r="F89" s="48">
        <v>14134</v>
      </c>
      <c r="G89" t="s">
        <v>509</v>
      </c>
      <c r="H89" s="71">
        <v>41943</v>
      </c>
      <c r="I89" s="5">
        <v>2144.4</v>
      </c>
      <c r="J89" t="s">
        <v>509</v>
      </c>
      <c r="K89" s="71">
        <v>41943</v>
      </c>
      <c r="L89" s="48">
        <v>0</v>
      </c>
      <c r="M89" t="s">
        <v>509</v>
      </c>
      <c r="N89" s="71">
        <v>41943</v>
      </c>
      <c r="O89" s="48">
        <v>0</v>
      </c>
      <c r="Q89" s="6">
        <f t="shared" si="4"/>
        <v>12000</v>
      </c>
      <c r="R89" s="79">
        <f t="shared" si="6"/>
        <v>14000</v>
      </c>
      <c r="S89" s="72">
        <f t="shared" si="5"/>
        <v>2800.0000000001819</v>
      </c>
      <c r="T89" s="80">
        <f t="shared" si="7"/>
        <v>1900.0000000000909</v>
      </c>
    </row>
    <row r="90" spans="1:20" x14ac:dyDescent="0.25">
      <c r="A90" t="s">
        <v>510</v>
      </c>
      <c r="B90" s="71">
        <v>41973</v>
      </c>
      <c r="C90" s="48">
        <v>5051</v>
      </c>
      <c r="D90" t="s">
        <v>510</v>
      </c>
      <c r="E90" s="71">
        <v>41973</v>
      </c>
      <c r="F90" s="48">
        <v>14139</v>
      </c>
      <c r="G90" t="s">
        <v>510</v>
      </c>
      <c r="H90" s="71">
        <v>41973</v>
      </c>
      <c r="I90" s="5">
        <v>2145.6</v>
      </c>
      <c r="J90" t="s">
        <v>510</v>
      </c>
      <c r="K90" s="71">
        <v>41973</v>
      </c>
      <c r="L90" s="48">
        <v>0</v>
      </c>
      <c r="M90" t="s">
        <v>510</v>
      </c>
      <c r="N90" s="71">
        <v>41973</v>
      </c>
      <c r="O90" s="48">
        <v>0</v>
      </c>
      <c r="Q90" s="6">
        <f t="shared" si="4"/>
        <v>6000</v>
      </c>
      <c r="R90" s="79">
        <f t="shared" si="6"/>
        <v>20000</v>
      </c>
      <c r="S90" s="72">
        <f t="shared" si="5"/>
        <v>1199.9999999998181</v>
      </c>
      <c r="T90" s="80">
        <f t="shared" si="7"/>
        <v>1066.666666666606</v>
      </c>
    </row>
    <row r="91" spans="1:20" x14ac:dyDescent="0.25">
      <c r="A91" t="s">
        <v>511</v>
      </c>
      <c r="B91" s="71">
        <v>42004</v>
      </c>
      <c r="C91" s="48">
        <v>5058</v>
      </c>
      <c r="D91" t="s">
        <v>511</v>
      </c>
      <c r="E91" s="71">
        <v>42004</v>
      </c>
      <c r="F91" s="48">
        <v>14146</v>
      </c>
      <c r="G91" t="s">
        <v>511</v>
      </c>
      <c r="H91" s="71">
        <v>42004</v>
      </c>
      <c r="I91" s="5">
        <v>2146</v>
      </c>
      <c r="J91" t="s">
        <v>511</v>
      </c>
      <c r="K91" s="71">
        <v>42004</v>
      </c>
      <c r="L91" s="48">
        <v>0</v>
      </c>
      <c r="M91" t="s">
        <v>511</v>
      </c>
      <c r="N91" s="71">
        <v>42004</v>
      </c>
      <c r="O91" s="48">
        <v>0</v>
      </c>
      <c r="Q91" s="6">
        <f t="shared" si="4"/>
        <v>14000</v>
      </c>
      <c r="R91" s="79">
        <f t="shared" si="6"/>
        <v>10666.666666666666</v>
      </c>
      <c r="S91" s="72">
        <f t="shared" si="5"/>
        <v>400.00000000009095</v>
      </c>
      <c r="T91" s="80">
        <f t="shared" si="7"/>
        <v>1466.666666666697</v>
      </c>
    </row>
    <row r="92" spans="1:20" x14ac:dyDescent="0.25">
      <c r="A92" t="s">
        <v>512</v>
      </c>
      <c r="B92" s="71">
        <v>42035</v>
      </c>
      <c r="C92" s="48">
        <v>5062</v>
      </c>
      <c r="D92" t="s">
        <v>512</v>
      </c>
      <c r="E92" s="71">
        <v>42035</v>
      </c>
      <c r="F92" s="48">
        <v>14147</v>
      </c>
      <c r="G92" t="s">
        <v>512</v>
      </c>
      <c r="H92" s="71">
        <v>42035</v>
      </c>
      <c r="I92" s="5">
        <v>2149.9</v>
      </c>
      <c r="J92" t="s">
        <v>512</v>
      </c>
      <c r="K92" s="71">
        <v>42035</v>
      </c>
      <c r="L92" s="48">
        <v>0</v>
      </c>
      <c r="M92" t="s">
        <v>512</v>
      </c>
      <c r="N92" s="71">
        <v>42035</v>
      </c>
      <c r="O92" s="48">
        <v>0</v>
      </c>
      <c r="Q92" s="6">
        <f t="shared" si="4"/>
        <v>5000</v>
      </c>
      <c r="R92" s="79">
        <f t="shared" si="6"/>
        <v>8333.3333333333339</v>
      </c>
      <c r="S92" s="72">
        <f t="shared" si="5"/>
        <v>3900.0000000000909</v>
      </c>
      <c r="T92" s="80">
        <f t="shared" si="7"/>
        <v>1833.3333333333333</v>
      </c>
    </row>
    <row r="93" spans="1:20" x14ac:dyDescent="0.25">
      <c r="A93" t="s">
        <v>513</v>
      </c>
      <c r="B93" s="71">
        <v>42063</v>
      </c>
      <c r="C93" s="48">
        <v>5071</v>
      </c>
      <c r="D93" t="s">
        <v>513</v>
      </c>
      <c r="E93" s="71">
        <v>42063</v>
      </c>
      <c r="F93" s="48">
        <v>14152</v>
      </c>
      <c r="G93" t="s">
        <v>513</v>
      </c>
      <c r="H93" s="71">
        <v>42063</v>
      </c>
      <c r="I93" s="5">
        <v>2151.4</v>
      </c>
      <c r="J93" t="s">
        <v>513</v>
      </c>
      <c r="K93" s="71">
        <v>42063</v>
      </c>
      <c r="L93" s="48">
        <v>0</v>
      </c>
      <c r="M93" t="s">
        <v>513</v>
      </c>
      <c r="N93" s="71">
        <v>42063</v>
      </c>
      <c r="O93" s="48">
        <v>0</v>
      </c>
      <c r="Q93" s="6">
        <f t="shared" si="4"/>
        <v>14000</v>
      </c>
      <c r="R93" s="79">
        <f t="shared" si="6"/>
        <v>11000</v>
      </c>
      <c r="S93" s="72">
        <f t="shared" si="5"/>
        <v>1500</v>
      </c>
      <c r="T93" s="80">
        <f t="shared" si="7"/>
        <v>1933.333333333394</v>
      </c>
    </row>
    <row r="94" spans="1:20" x14ac:dyDescent="0.25">
      <c r="A94" t="s">
        <v>514</v>
      </c>
      <c r="B94" s="71">
        <v>42094</v>
      </c>
      <c r="C94" s="48">
        <v>5064</v>
      </c>
      <c r="D94" t="s">
        <v>514</v>
      </c>
      <c r="E94" s="71">
        <v>42094</v>
      </c>
      <c r="F94" s="48">
        <v>14147</v>
      </c>
      <c r="G94" t="s">
        <v>514</v>
      </c>
      <c r="H94" s="71">
        <v>42094</v>
      </c>
      <c r="I94" s="5">
        <v>2153.1</v>
      </c>
      <c r="J94" t="s">
        <v>514</v>
      </c>
      <c r="K94" s="71">
        <v>42094</v>
      </c>
      <c r="L94" s="48">
        <v>0</v>
      </c>
      <c r="M94" t="s">
        <v>514</v>
      </c>
      <c r="N94" s="71">
        <v>42094</v>
      </c>
      <c r="O94" s="48">
        <v>0</v>
      </c>
      <c r="Q94" s="6">
        <f t="shared" si="4"/>
        <v>-12000</v>
      </c>
      <c r="R94" s="79">
        <f t="shared" si="6"/>
        <v>2333.3333333333335</v>
      </c>
      <c r="S94" s="72">
        <f t="shared" si="5"/>
        <v>1699.9999999998181</v>
      </c>
      <c r="T94" s="80">
        <f t="shared" si="7"/>
        <v>2366.6666666666365</v>
      </c>
    </row>
    <row r="95" spans="1:20" x14ac:dyDescent="0.25">
      <c r="A95" t="s">
        <v>515</v>
      </c>
      <c r="B95" s="71">
        <v>42124</v>
      </c>
      <c r="C95" s="48">
        <v>5067</v>
      </c>
      <c r="D95" t="s">
        <v>515</v>
      </c>
      <c r="E95" s="71">
        <v>42124</v>
      </c>
      <c r="F95" s="48">
        <v>14169</v>
      </c>
      <c r="G95" t="s">
        <v>515</v>
      </c>
      <c r="H95" s="71">
        <v>42124</v>
      </c>
      <c r="I95" s="5">
        <v>2155.1</v>
      </c>
      <c r="J95" t="s">
        <v>515</v>
      </c>
      <c r="K95" s="71">
        <v>42124</v>
      </c>
      <c r="L95" s="48">
        <v>0</v>
      </c>
      <c r="M95" t="s">
        <v>515</v>
      </c>
      <c r="N95" s="71">
        <v>42124</v>
      </c>
      <c r="O95" s="48">
        <v>0</v>
      </c>
      <c r="Q95" s="6">
        <f t="shared" si="4"/>
        <v>25000</v>
      </c>
      <c r="R95" s="79">
        <f t="shared" si="6"/>
        <v>9000</v>
      </c>
      <c r="S95" s="72">
        <f t="shared" si="5"/>
        <v>2000</v>
      </c>
      <c r="T95" s="80">
        <f t="shared" si="7"/>
        <v>1733.3333333332728</v>
      </c>
    </row>
    <row r="96" spans="1:20" x14ac:dyDescent="0.25">
      <c r="A96" t="s">
        <v>516</v>
      </c>
      <c r="B96" s="71">
        <v>42155</v>
      </c>
      <c r="C96" s="48">
        <v>5072</v>
      </c>
      <c r="D96" t="s">
        <v>516</v>
      </c>
      <c r="E96" s="71">
        <v>42155</v>
      </c>
      <c r="F96" s="48">
        <v>14181</v>
      </c>
      <c r="G96" t="s">
        <v>516</v>
      </c>
      <c r="H96" s="71">
        <v>42155</v>
      </c>
      <c r="I96" s="5">
        <v>2157.8000000000002</v>
      </c>
      <c r="J96" t="s">
        <v>516</v>
      </c>
      <c r="K96" s="71">
        <v>42155</v>
      </c>
      <c r="L96" s="48">
        <v>0</v>
      </c>
      <c r="M96" t="s">
        <v>516</v>
      </c>
      <c r="N96" s="71">
        <v>42155</v>
      </c>
      <c r="O96" s="48">
        <v>0</v>
      </c>
      <c r="Q96" s="6">
        <f t="shared" si="4"/>
        <v>17000</v>
      </c>
      <c r="R96" s="79">
        <f t="shared" si="6"/>
        <v>10000</v>
      </c>
      <c r="S96" s="72">
        <f t="shared" si="5"/>
        <v>2700.0000000002728</v>
      </c>
      <c r="T96" s="80">
        <f t="shared" si="7"/>
        <v>2133.3333333333635</v>
      </c>
    </row>
    <row r="97" spans="1:20" x14ac:dyDescent="0.25">
      <c r="A97" t="s">
        <v>517</v>
      </c>
      <c r="B97" s="71">
        <v>42185</v>
      </c>
      <c r="C97" s="48">
        <v>5073</v>
      </c>
      <c r="D97" t="s">
        <v>517</v>
      </c>
      <c r="E97" s="71">
        <v>42185</v>
      </c>
      <c r="F97" s="48">
        <v>14192</v>
      </c>
      <c r="G97" t="s">
        <v>517</v>
      </c>
      <c r="H97" s="71">
        <v>42185</v>
      </c>
      <c r="I97" s="5">
        <v>2156</v>
      </c>
      <c r="J97" t="s">
        <v>517</v>
      </c>
      <c r="K97" s="71">
        <v>42185</v>
      </c>
      <c r="L97" s="48">
        <v>0</v>
      </c>
      <c r="M97" t="s">
        <v>517</v>
      </c>
      <c r="N97" s="71">
        <v>42185</v>
      </c>
      <c r="O97" s="48">
        <v>0</v>
      </c>
      <c r="Q97" s="6">
        <f t="shared" si="4"/>
        <v>12000</v>
      </c>
      <c r="R97" s="79">
        <f t="shared" si="6"/>
        <v>18000</v>
      </c>
      <c r="S97" s="72">
        <f t="shared" si="5"/>
        <v>-1800.0000000001819</v>
      </c>
      <c r="T97" s="80">
        <f t="shared" si="7"/>
        <v>966.66666666669698</v>
      </c>
    </row>
    <row r="98" spans="1:20" x14ac:dyDescent="0.25">
      <c r="A98" t="s">
        <v>518</v>
      </c>
      <c r="B98" s="71">
        <v>42216</v>
      </c>
      <c r="C98" s="48">
        <v>5069</v>
      </c>
      <c r="D98" t="s">
        <v>518</v>
      </c>
      <c r="E98" s="71">
        <v>42216</v>
      </c>
      <c r="F98" s="48">
        <v>14206</v>
      </c>
      <c r="G98" t="s">
        <v>518</v>
      </c>
      <c r="H98" s="71">
        <v>42216</v>
      </c>
      <c r="I98" s="5">
        <v>2159.6</v>
      </c>
      <c r="J98" t="s">
        <v>518</v>
      </c>
      <c r="K98" s="71">
        <v>42216</v>
      </c>
      <c r="L98" s="48">
        <v>0</v>
      </c>
      <c r="M98" t="s">
        <v>518</v>
      </c>
      <c r="N98" s="71">
        <v>42216</v>
      </c>
      <c r="O98" s="48">
        <v>0</v>
      </c>
      <c r="Q98" s="6">
        <f t="shared" si="4"/>
        <v>10000</v>
      </c>
      <c r="R98" s="79">
        <f t="shared" si="6"/>
        <v>13000</v>
      </c>
      <c r="S98" s="72">
        <f t="shared" si="5"/>
        <v>3599.9999999999091</v>
      </c>
      <c r="T98" s="80">
        <f t="shared" si="7"/>
        <v>1500</v>
      </c>
    </row>
    <row r="99" spans="1:20" x14ac:dyDescent="0.25">
      <c r="A99" t="s">
        <v>519</v>
      </c>
      <c r="B99" s="71">
        <v>42247</v>
      </c>
      <c r="C99" s="48">
        <v>5082</v>
      </c>
      <c r="D99" t="s">
        <v>519</v>
      </c>
      <c r="E99" s="71">
        <v>42247</v>
      </c>
      <c r="F99" s="48">
        <v>14231</v>
      </c>
      <c r="G99" t="s">
        <v>519</v>
      </c>
      <c r="H99" s="71">
        <v>42247</v>
      </c>
      <c r="I99" s="5">
        <v>2163.3000000000002</v>
      </c>
      <c r="J99" t="s">
        <v>519</v>
      </c>
      <c r="K99" s="71">
        <v>42247</v>
      </c>
      <c r="L99" s="48">
        <v>0</v>
      </c>
      <c r="M99" t="s">
        <v>519</v>
      </c>
      <c r="N99" s="71">
        <v>42247</v>
      </c>
      <c r="O99" s="48">
        <v>0</v>
      </c>
      <c r="Q99" s="6">
        <f t="shared" si="4"/>
        <v>38000</v>
      </c>
      <c r="R99" s="79">
        <f t="shared" si="6"/>
        <v>20000</v>
      </c>
      <c r="S99" s="72">
        <f t="shared" si="5"/>
        <v>3700.0000000002728</v>
      </c>
      <c r="T99" s="80">
        <f t="shared" si="7"/>
        <v>1833.3333333333333</v>
      </c>
    </row>
    <row r="100" spans="1:20" x14ac:dyDescent="0.25">
      <c r="A100" t="s">
        <v>520</v>
      </c>
      <c r="B100" s="71">
        <v>42277</v>
      </c>
      <c r="C100" s="48">
        <v>5086</v>
      </c>
      <c r="D100" t="s">
        <v>520</v>
      </c>
      <c r="E100" s="71">
        <v>42277</v>
      </c>
      <c r="F100" s="48">
        <v>14210</v>
      </c>
      <c r="G100" t="s">
        <v>520</v>
      </c>
      <c r="H100" s="71">
        <v>42277</v>
      </c>
      <c r="I100" s="5">
        <v>2164.4</v>
      </c>
      <c r="J100" t="s">
        <v>520</v>
      </c>
      <c r="K100" s="71">
        <v>42277</v>
      </c>
      <c r="L100" s="48">
        <v>0</v>
      </c>
      <c r="M100" t="s">
        <v>520</v>
      </c>
      <c r="N100" s="71">
        <v>42277</v>
      </c>
      <c r="O100" s="48">
        <v>0</v>
      </c>
      <c r="Q100" s="6">
        <f t="shared" si="4"/>
        <v>-17000</v>
      </c>
      <c r="R100" s="79">
        <f t="shared" si="6"/>
        <v>10333.333333333334</v>
      </c>
      <c r="S100" s="72">
        <f t="shared" si="5"/>
        <v>1099.9999999999091</v>
      </c>
      <c r="T100" s="80">
        <f t="shared" si="7"/>
        <v>2800.0000000000305</v>
      </c>
    </row>
    <row r="101" spans="1:20" x14ac:dyDescent="0.25">
      <c r="A101" t="s">
        <v>521</v>
      </c>
      <c r="B101" s="71">
        <v>42308</v>
      </c>
      <c r="C101" s="48">
        <v>5088</v>
      </c>
      <c r="D101" t="s">
        <v>521</v>
      </c>
      <c r="E101" s="71">
        <v>42308</v>
      </c>
      <c r="F101" s="48">
        <v>14217</v>
      </c>
      <c r="G101" t="s">
        <v>521</v>
      </c>
      <c r="H101" s="71">
        <v>42308</v>
      </c>
      <c r="I101" s="5">
        <v>2164.1</v>
      </c>
      <c r="J101" t="s">
        <v>521</v>
      </c>
      <c r="K101" s="71">
        <v>42308</v>
      </c>
      <c r="L101" s="48">
        <v>0</v>
      </c>
      <c r="M101" t="s">
        <v>521</v>
      </c>
      <c r="N101" s="71">
        <v>42308</v>
      </c>
      <c r="O101" s="48">
        <v>0</v>
      </c>
      <c r="Q101" s="6">
        <f t="shared" si="4"/>
        <v>9000</v>
      </c>
      <c r="R101" s="79">
        <f t="shared" si="6"/>
        <v>10000</v>
      </c>
      <c r="S101" s="72">
        <f t="shared" si="5"/>
        <v>-300.0000000001819</v>
      </c>
      <c r="T101" s="80">
        <f t="shared" si="7"/>
        <v>1500</v>
      </c>
    </row>
    <row r="102" spans="1:20" x14ac:dyDescent="0.25">
      <c r="A102" t="s">
        <v>522</v>
      </c>
      <c r="B102" s="71">
        <v>42338</v>
      </c>
      <c r="C102" s="48">
        <v>5089</v>
      </c>
      <c r="D102" t="s">
        <v>522</v>
      </c>
      <c r="E102" s="71">
        <v>42338</v>
      </c>
      <c r="F102" s="48">
        <v>14221</v>
      </c>
      <c r="G102" t="s">
        <v>522</v>
      </c>
      <c r="H102" s="71">
        <v>42338</v>
      </c>
      <c r="I102" s="5">
        <v>2166.6</v>
      </c>
      <c r="J102" t="s">
        <v>522</v>
      </c>
      <c r="K102" s="71">
        <v>42338</v>
      </c>
      <c r="L102" s="48">
        <v>0</v>
      </c>
      <c r="M102" t="s">
        <v>522</v>
      </c>
      <c r="N102" s="71">
        <v>42338</v>
      </c>
      <c r="O102" s="48">
        <v>0</v>
      </c>
      <c r="Q102" s="6">
        <f t="shared" si="4"/>
        <v>5000</v>
      </c>
      <c r="R102" s="79">
        <f t="shared" si="6"/>
        <v>-1000</v>
      </c>
      <c r="S102" s="72">
        <f t="shared" si="5"/>
        <v>2500</v>
      </c>
      <c r="T102" s="80">
        <f t="shared" si="7"/>
        <v>1099.9999999999091</v>
      </c>
    </row>
    <row r="103" spans="1:20" x14ac:dyDescent="0.25">
      <c r="A103" t="s">
        <v>523</v>
      </c>
      <c r="B103" s="71">
        <v>42369</v>
      </c>
      <c r="C103" s="48">
        <v>5089</v>
      </c>
      <c r="D103" t="s">
        <v>523</v>
      </c>
      <c r="E103" s="71">
        <v>42369</v>
      </c>
      <c r="F103" s="48">
        <v>14235</v>
      </c>
      <c r="G103" t="s">
        <v>523</v>
      </c>
      <c r="H103" s="71">
        <v>42369</v>
      </c>
      <c r="I103" s="5">
        <v>2169.9</v>
      </c>
      <c r="J103" t="s">
        <v>523</v>
      </c>
      <c r="K103" s="71">
        <v>42369</v>
      </c>
      <c r="L103" s="48">
        <v>0</v>
      </c>
      <c r="M103" t="s">
        <v>523</v>
      </c>
      <c r="N103" s="71">
        <v>42369</v>
      </c>
      <c r="O103" s="48">
        <v>0</v>
      </c>
      <c r="Q103" s="6">
        <f t="shared" si="4"/>
        <v>14000</v>
      </c>
      <c r="R103" s="79">
        <f t="shared" si="6"/>
        <v>9333.3333333333339</v>
      </c>
      <c r="S103" s="72">
        <f t="shared" si="5"/>
        <v>3300.0000000001819</v>
      </c>
      <c r="T103" s="80">
        <f t="shared" si="7"/>
        <v>1833.3333333333333</v>
      </c>
    </row>
    <row r="104" spans="1:20" x14ac:dyDescent="0.25">
      <c r="A104" t="s">
        <v>524</v>
      </c>
      <c r="B104" s="71">
        <v>42400</v>
      </c>
      <c r="C104" s="48">
        <v>5088</v>
      </c>
      <c r="D104" t="s">
        <v>524</v>
      </c>
      <c r="E104" s="71">
        <v>42400</v>
      </c>
      <c r="F104" s="48">
        <v>14255</v>
      </c>
      <c r="G104" t="s">
        <v>524</v>
      </c>
      <c r="H104" s="71">
        <v>42400</v>
      </c>
      <c r="I104" s="5">
        <v>2172.1999999999998</v>
      </c>
      <c r="J104" t="s">
        <v>524</v>
      </c>
      <c r="K104" s="71">
        <v>42400</v>
      </c>
      <c r="L104" s="48">
        <v>0</v>
      </c>
      <c r="M104" t="s">
        <v>524</v>
      </c>
      <c r="N104" s="71">
        <v>42400</v>
      </c>
      <c r="O104" s="48">
        <v>0</v>
      </c>
      <c r="Q104" s="6">
        <f t="shared" si="4"/>
        <v>19000</v>
      </c>
      <c r="R104" s="79">
        <f t="shared" si="6"/>
        <v>12666.666666666666</v>
      </c>
      <c r="S104" s="72">
        <f t="shared" si="5"/>
        <v>2299.9999999997272</v>
      </c>
      <c r="T104" s="80">
        <f t="shared" si="7"/>
        <v>2699.9999999999695</v>
      </c>
    </row>
    <row r="105" spans="1:20" x14ac:dyDescent="0.25">
      <c r="A105" t="s">
        <v>525</v>
      </c>
      <c r="B105" s="71">
        <v>42429</v>
      </c>
      <c r="C105" s="48">
        <v>5084</v>
      </c>
      <c r="D105" t="s">
        <v>525</v>
      </c>
      <c r="E105" s="71">
        <v>42429</v>
      </c>
      <c r="F105" s="48">
        <v>14269</v>
      </c>
      <c r="G105" t="s">
        <v>525</v>
      </c>
      <c r="H105" s="71">
        <v>42429</v>
      </c>
      <c r="I105" s="5">
        <v>2173.5</v>
      </c>
      <c r="J105" t="s">
        <v>525</v>
      </c>
      <c r="K105" s="71">
        <v>42429</v>
      </c>
      <c r="L105" s="48">
        <v>0</v>
      </c>
      <c r="M105" t="s">
        <v>525</v>
      </c>
      <c r="N105" s="71">
        <v>42429</v>
      </c>
      <c r="O105" s="48">
        <v>0</v>
      </c>
      <c r="Q105" s="6">
        <f t="shared" si="4"/>
        <v>10000</v>
      </c>
      <c r="R105" s="79">
        <f t="shared" si="6"/>
        <v>14333.333333333334</v>
      </c>
      <c r="S105" s="72">
        <f t="shared" si="5"/>
        <v>1300.0000000001819</v>
      </c>
      <c r="T105" s="80">
        <f t="shared" si="7"/>
        <v>2300.0000000000305</v>
      </c>
    </row>
    <row r="106" spans="1:20" x14ac:dyDescent="0.25">
      <c r="A106" t="s">
        <v>526</v>
      </c>
      <c r="B106" s="71">
        <v>42460</v>
      </c>
      <c r="C106" s="48">
        <v>5091</v>
      </c>
      <c r="D106" t="s">
        <v>526</v>
      </c>
      <c r="E106" s="71">
        <v>42460</v>
      </c>
      <c r="F106" s="48">
        <v>14294</v>
      </c>
      <c r="G106" t="s">
        <v>526</v>
      </c>
      <c r="H106" s="71">
        <v>42460</v>
      </c>
      <c r="I106" s="5">
        <v>2175.1</v>
      </c>
      <c r="J106" t="s">
        <v>526</v>
      </c>
      <c r="K106" s="71">
        <v>42460</v>
      </c>
      <c r="L106" s="48">
        <v>0</v>
      </c>
      <c r="M106" t="s">
        <v>526</v>
      </c>
      <c r="N106" s="71">
        <v>42460</v>
      </c>
      <c r="O106" s="48">
        <v>0</v>
      </c>
      <c r="Q106" s="6">
        <f t="shared" si="4"/>
        <v>32000</v>
      </c>
      <c r="R106" s="79">
        <f t="shared" si="6"/>
        <v>20333.333333333332</v>
      </c>
      <c r="S106" s="72">
        <f t="shared" si="5"/>
        <v>1599.9999999999091</v>
      </c>
      <c r="T106" s="80">
        <f t="shared" si="7"/>
        <v>1733.3333333332728</v>
      </c>
    </row>
    <row r="107" spans="1:20" x14ac:dyDescent="0.25">
      <c r="A107" t="s">
        <v>527</v>
      </c>
      <c r="B107" s="71">
        <v>42490</v>
      </c>
      <c r="C107" s="48">
        <v>5089</v>
      </c>
      <c r="D107" t="s">
        <v>527</v>
      </c>
      <c r="E107" s="71">
        <v>42490</v>
      </c>
      <c r="F107" s="48">
        <v>14303</v>
      </c>
      <c r="G107" t="s">
        <v>527</v>
      </c>
      <c r="H107" s="71">
        <v>42490</v>
      </c>
      <c r="I107" s="5">
        <v>2178.6</v>
      </c>
      <c r="J107" t="s">
        <v>527</v>
      </c>
      <c r="K107" s="71">
        <v>42490</v>
      </c>
      <c r="L107" s="48">
        <v>0</v>
      </c>
      <c r="M107" t="s">
        <v>527</v>
      </c>
      <c r="N107" s="71">
        <v>42490</v>
      </c>
      <c r="O107" s="48">
        <v>0</v>
      </c>
      <c r="Q107" s="6">
        <f t="shared" si="4"/>
        <v>7000</v>
      </c>
      <c r="R107" s="79">
        <f t="shared" si="6"/>
        <v>16333.333333333334</v>
      </c>
      <c r="S107" s="72">
        <f t="shared" si="5"/>
        <v>3500</v>
      </c>
      <c r="T107" s="80">
        <f t="shared" si="7"/>
        <v>2133.3333333333635</v>
      </c>
    </row>
    <row r="108" spans="1:20" x14ac:dyDescent="0.25">
      <c r="A108" t="s">
        <v>528</v>
      </c>
      <c r="B108" s="71">
        <v>42521</v>
      </c>
      <c r="C108" s="48">
        <v>5079</v>
      </c>
      <c r="D108" t="s">
        <v>528</v>
      </c>
      <c r="E108" s="71">
        <v>42521</v>
      </c>
      <c r="F108" s="48">
        <v>14317</v>
      </c>
      <c r="G108" t="s">
        <v>528</v>
      </c>
      <c r="H108" s="71">
        <v>42521</v>
      </c>
      <c r="I108" s="5">
        <v>2182</v>
      </c>
      <c r="J108" t="s">
        <v>528</v>
      </c>
      <c r="K108" s="71">
        <v>42521</v>
      </c>
      <c r="L108" s="48">
        <v>0</v>
      </c>
      <c r="M108" t="s">
        <v>528</v>
      </c>
      <c r="N108" s="71">
        <v>42521</v>
      </c>
      <c r="O108" s="48">
        <v>0</v>
      </c>
      <c r="Q108" s="6">
        <f t="shared" si="4"/>
        <v>4000</v>
      </c>
      <c r="R108" s="79">
        <f t="shared" si="6"/>
        <v>14333.333333333334</v>
      </c>
      <c r="S108" s="72">
        <f t="shared" si="5"/>
        <v>3400.0000000000909</v>
      </c>
      <c r="T108" s="80">
        <f t="shared" si="7"/>
        <v>2833.3333333333335</v>
      </c>
    </row>
    <row r="109" spans="1:20" x14ac:dyDescent="0.25">
      <c r="A109" t="s">
        <v>529</v>
      </c>
      <c r="B109" s="71">
        <v>42551</v>
      </c>
      <c r="C109" s="48">
        <v>5089</v>
      </c>
      <c r="D109" t="s">
        <v>529</v>
      </c>
      <c r="E109" s="71">
        <v>42551</v>
      </c>
      <c r="F109" s="48">
        <v>14328</v>
      </c>
      <c r="G109" t="s">
        <v>529</v>
      </c>
      <c r="H109" s="71">
        <v>42551</v>
      </c>
      <c r="I109" s="5">
        <v>2187.9</v>
      </c>
      <c r="J109" t="s">
        <v>529</v>
      </c>
      <c r="K109" s="71">
        <v>42551</v>
      </c>
      <c r="L109" s="48">
        <v>0</v>
      </c>
      <c r="M109" t="s">
        <v>529</v>
      </c>
      <c r="N109" s="71">
        <v>42551</v>
      </c>
      <c r="O109" s="48">
        <v>0</v>
      </c>
      <c r="Q109" s="6">
        <f t="shared" si="4"/>
        <v>21000</v>
      </c>
      <c r="R109" s="79">
        <f t="shared" si="6"/>
        <v>10666.666666666666</v>
      </c>
      <c r="S109" s="72">
        <f t="shared" si="5"/>
        <v>5900.0000000000909</v>
      </c>
      <c r="T109" s="80">
        <f t="shared" si="7"/>
        <v>4266.666666666727</v>
      </c>
    </row>
    <row r="110" spans="1:20" x14ac:dyDescent="0.25">
      <c r="A110" t="s">
        <v>530</v>
      </c>
      <c r="B110" s="71">
        <v>42582</v>
      </c>
      <c r="C110" s="48">
        <v>5093</v>
      </c>
      <c r="D110" t="s">
        <v>530</v>
      </c>
      <c r="E110" s="71">
        <v>42582</v>
      </c>
      <c r="F110" s="48">
        <v>14362</v>
      </c>
      <c r="G110" t="s">
        <v>530</v>
      </c>
      <c r="H110" s="71">
        <v>42582</v>
      </c>
      <c r="I110" s="5">
        <v>2190.8000000000002</v>
      </c>
      <c r="J110" t="s">
        <v>530</v>
      </c>
      <c r="K110" s="71">
        <v>42582</v>
      </c>
      <c r="L110" s="48">
        <v>0</v>
      </c>
      <c r="M110" t="s">
        <v>530</v>
      </c>
      <c r="N110" s="71">
        <v>42582</v>
      </c>
      <c r="O110" s="48">
        <v>0</v>
      </c>
      <c r="Q110" s="6">
        <f t="shared" si="4"/>
        <v>38000</v>
      </c>
      <c r="R110" s="79">
        <f t="shared" si="6"/>
        <v>21000</v>
      </c>
      <c r="S110" s="72">
        <f t="shared" si="5"/>
        <v>2900.0000000000909</v>
      </c>
      <c r="T110" s="80">
        <f t="shared" si="7"/>
        <v>4066.6666666667575</v>
      </c>
    </row>
    <row r="111" spans="1:20" x14ac:dyDescent="0.25">
      <c r="A111" t="s">
        <v>531</v>
      </c>
      <c r="B111" s="71">
        <v>42613</v>
      </c>
      <c r="C111" s="48">
        <v>5094</v>
      </c>
      <c r="D111" t="s">
        <v>531</v>
      </c>
      <c r="E111" s="71">
        <v>42613</v>
      </c>
      <c r="F111" s="48">
        <v>14391</v>
      </c>
      <c r="G111" t="s">
        <v>531</v>
      </c>
      <c r="H111" s="71">
        <v>42613</v>
      </c>
      <c r="I111" s="5">
        <v>2191.6</v>
      </c>
      <c r="J111" t="s">
        <v>531</v>
      </c>
      <c r="K111" s="71">
        <v>42613</v>
      </c>
      <c r="L111" s="48">
        <v>0</v>
      </c>
      <c r="M111" t="s">
        <v>531</v>
      </c>
      <c r="N111" s="71">
        <v>42613</v>
      </c>
      <c r="O111" s="48">
        <v>0</v>
      </c>
      <c r="Q111" s="6">
        <f t="shared" si="4"/>
        <v>30000</v>
      </c>
      <c r="R111" s="79">
        <f t="shared" si="6"/>
        <v>29666.666666666668</v>
      </c>
      <c r="S111" s="72">
        <f t="shared" si="5"/>
        <v>799.99999999972715</v>
      </c>
      <c r="T111" s="80">
        <f t="shared" si="7"/>
        <v>3199.9999999999695</v>
      </c>
    </row>
    <row r="112" spans="1:20" x14ac:dyDescent="0.25">
      <c r="A112" t="s">
        <v>532</v>
      </c>
      <c r="B112" s="71">
        <v>42643</v>
      </c>
      <c r="C112" s="48">
        <v>5101</v>
      </c>
      <c r="D112" t="s">
        <v>532</v>
      </c>
      <c r="E112" s="71">
        <v>42643</v>
      </c>
      <c r="F112" s="48">
        <v>14404</v>
      </c>
      <c r="G112" t="s">
        <v>532</v>
      </c>
      <c r="H112" s="71">
        <v>42643</v>
      </c>
      <c r="I112" s="5">
        <v>2196.1</v>
      </c>
      <c r="J112" t="s">
        <v>532</v>
      </c>
      <c r="K112" s="71">
        <v>42643</v>
      </c>
      <c r="L112" s="48">
        <v>0</v>
      </c>
      <c r="M112" t="s">
        <v>532</v>
      </c>
      <c r="N112" s="71">
        <v>42643</v>
      </c>
      <c r="O112" s="48">
        <v>0</v>
      </c>
      <c r="Q112" s="6">
        <f t="shared" si="4"/>
        <v>20000</v>
      </c>
      <c r="R112" s="79">
        <f t="shared" si="6"/>
        <v>29333.333333333332</v>
      </c>
      <c r="S112" s="72">
        <f t="shared" si="5"/>
        <v>4500</v>
      </c>
      <c r="T112" s="80">
        <f t="shared" si="7"/>
        <v>2733.3333333332725</v>
      </c>
    </row>
    <row r="113" spans="1:20" x14ac:dyDescent="0.25">
      <c r="A113" t="s">
        <v>533</v>
      </c>
      <c r="B113" s="71">
        <v>42674</v>
      </c>
      <c r="C113" s="48">
        <v>5092</v>
      </c>
      <c r="D113" t="s">
        <v>533</v>
      </c>
      <c r="E113" s="71">
        <v>42674</v>
      </c>
      <c r="F113" s="48">
        <v>14399</v>
      </c>
      <c r="G113" t="s">
        <v>533</v>
      </c>
      <c r="H113" s="71">
        <v>42674</v>
      </c>
      <c r="I113" s="5">
        <v>2201.6999999999998</v>
      </c>
      <c r="J113" t="s">
        <v>533</v>
      </c>
      <c r="K113" s="71">
        <v>42674</v>
      </c>
      <c r="L113" s="48">
        <v>0</v>
      </c>
      <c r="M113" t="s">
        <v>533</v>
      </c>
      <c r="N113" s="71">
        <v>42674</v>
      </c>
      <c r="O113" s="48">
        <v>0</v>
      </c>
      <c r="Q113" s="6">
        <f t="shared" si="4"/>
        <v>-14000</v>
      </c>
      <c r="R113" s="79">
        <f t="shared" si="6"/>
        <v>12000</v>
      </c>
      <c r="S113" s="72">
        <f t="shared" si="5"/>
        <v>5599.9999999999091</v>
      </c>
      <c r="T113" s="80">
        <f t="shared" si="7"/>
        <v>3633.3333333332121</v>
      </c>
    </row>
    <row r="114" spans="1:20" x14ac:dyDescent="0.25">
      <c r="A114" t="s">
        <v>534</v>
      </c>
      <c r="B114" s="71">
        <v>42704</v>
      </c>
      <c r="C114" s="48">
        <v>5088</v>
      </c>
      <c r="D114" t="s">
        <v>534</v>
      </c>
      <c r="E114" s="71">
        <v>42704</v>
      </c>
      <c r="F114" s="48">
        <v>14395</v>
      </c>
      <c r="G114" t="s">
        <v>534</v>
      </c>
      <c r="H114" s="71">
        <v>42704</v>
      </c>
      <c r="I114" s="5">
        <v>2193.1999999999998</v>
      </c>
      <c r="J114" t="s">
        <v>534</v>
      </c>
      <c r="K114" s="71">
        <v>42704</v>
      </c>
      <c r="L114" s="48">
        <v>0</v>
      </c>
      <c r="M114" t="s">
        <v>534</v>
      </c>
      <c r="N114" s="71">
        <v>42704</v>
      </c>
      <c r="O114" s="48">
        <v>0</v>
      </c>
      <c r="Q114" s="6">
        <f t="shared" si="4"/>
        <v>-8000</v>
      </c>
      <c r="R114" s="79">
        <f t="shared" si="6"/>
        <v>-666.66666666666663</v>
      </c>
      <c r="S114" s="72">
        <f t="shared" si="5"/>
        <v>-8500</v>
      </c>
      <c r="T114" s="80">
        <f t="shared" si="7"/>
        <v>533.33333333330302</v>
      </c>
    </row>
    <row r="115" spans="1:20" x14ac:dyDescent="0.25">
      <c r="A115" t="s">
        <v>535</v>
      </c>
      <c r="B115" s="71">
        <v>42735</v>
      </c>
      <c r="C115" s="48">
        <v>5085</v>
      </c>
      <c r="D115" t="s">
        <v>535</v>
      </c>
      <c r="E115" s="71">
        <v>42735</v>
      </c>
      <c r="F115" s="48">
        <v>14395</v>
      </c>
      <c r="G115" t="s">
        <v>535</v>
      </c>
      <c r="H115" s="71">
        <v>42735</v>
      </c>
      <c r="I115" s="5">
        <v>2199.6999999999998</v>
      </c>
      <c r="J115" t="s">
        <v>535</v>
      </c>
      <c r="K115" s="71">
        <v>42735</v>
      </c>
      <c r="L115" s="48">
        <v>0</v>
      </c>
      <c r="M115" t="s">
        <v>535</v>
      </c>
      <c r="N115" s="71">
        <v>42735</v>
      </c>
      <c r="O115" s="48">
        <v>0</v>
      </c>
      <c r="Q115" s="6">
        <f t="shared" si="4"/>
        <v>-3000</v>
      </c>
      <c r="R115" s="79">
        <f t="shared" si="6"/>
        <v>-8333.3333333333339</v>
      </c>
      <c r="S115" s="72">
        <f t="shared" si="5"/>
        <v>6500</v>
      </c>
      <c r="T115" s="80">
        <f t="shared" si="7"/>
        <v>1199.9999999999698</v>
      </c>
    </row>
    <row r="116" spans="1:20" x14ac:dyDescent="0.25">
      <c r="A116" t="s">
        <v>536</v>
      </c>
      <c r="B116" s="71">
        <v>42766</v>
      </c>
      <c r="C116" s="48">
        <v>5095</v>
      </c>
      <c r="D116" t="s">
        <v>536</v>
      </c>
      <c r="E116" s="71">
        <v>42766</v>
      </c>
      <c r="F116" s="48">
        <v>14399</v>
      </c>
      <c r="G116" t="s">
        <v>536</v>
      </c>
      <c r="H116" s="71">
        <v>42766</v>
      </c>
      <c r="I116" s="5">
        <v>2199.6</v>
      </c>
      <c r="J116" t="s">
        <v>536</v>
      </c>
      <c r="K116" s="71">
        <v>42766</v>
      </c>
      <c r="L116" s="48">
        <v>0</v>
      </c>
      <c r="M116" t="s">
        <v>536</v>
      </c>
      <c r="N116" s="71">
        <v>42766</v>
      </c>
      <c r="O116" s="48">
        <v>0</v>
      </c>
      <c r="Q116" s="6">
        <f t="shared" si="4"/>
        <v>14000</v>
      </c>
      <c r="R116" s="79">
        <f t="shared" si="6"/>
        <v>1000</v>
      </c>
      <c r="S116" s="72">
        <f t="shared" si="5"/>
        <v>-99.999999999909051</v>
      </c>
      <c r="T116" s="80">
        <f t="shared" si="7"/>
        <v>-699.99999999996965</v>
      </c>
    </row>
    <row r="117" spans="1:20" x14ac:dyDescent="0.25">
      <c r="A117" t="s">
        <v>537</v>
      </c>
      <c r="B117" s="71">
        <v>42794</v>
      </c>
      <c r="C117" s="48">
        <v>5093</v>
      </c>
      <c r="D117" t="s">
        <v>537</v>
      </c>
      <c r="E117" s="71">
        <v>42794</v>
      </c>
      <c r="F117" s="48">
        <v>14413</v>
      </c>
      <c r="G117" t="s">
        <v>537</v>
      </c>
      <c r="H117" s="71">
        <v>42794</v>
      </c>
      <c r="I117" s="5">
        <v>2199</v>
      </c>
      <c r="J117" t="s">
        <v>537</v>
      </c>
      <c r="K117" s="71">
        <v>42794</v>
      </c>
      <c r="L117" s="48">
        <v>0</v>
      </c>
      <c r="M117" t="s">
        <v>537</v>
      </c>
      <c r="N117" s="71">
        <v>42794</v>
      </c>
      <c r="O117" s="48">
        <v>0</v>
      </c>
      <c r="Q117" s="6">
        <f t="shared" si="4"/>
        <v>12000</v>
      </c>
      <c r="R117" s="79">
        <f t="shared" si="6"/>
        <v>7666.666666666667</v>
      </c>
      <c r="S117" s="72">
        <f t="shared" si="5"/>
        <v>-599.99999999990905</v>
      </c>
      <c r="T117" s="80">
        <f t="shared" si="7"/>
        <v>1933.333333333394</v>
      </c>
    </row>
    <row r="118" spans="1:20" x14ac:dyDescent="0.25">
      <c r="A118" t="s">
        <v>538</v>
      </c>
      <c r="B118" s="71">
        <v>42825</v>
      </c>
      <c r="C118" s="48">
        <v>5094</v>
      </c>
      <c r="D118" t="s">
        <v>538</v>
      </c>
      <c r="E118" s="71">
        <v>42825</v>
      </c>
      <c r="F118" s="48">
        <v>14405</v>
      </c>
      <c r="G118" t="s">
        <v>538</v>
      </c>
      <c r="H118" s="71">
        <v>42825</v>
      </c>
      <c r="I118" s="5">
        <v>2196</v>
      </c>
      <c r="J118" t="s">
        <v>538</v>
      </c>
      <c r="K118" s="71">
        <v>42825</v>
      </c>
      <c r="L118" s="48">
        <v>0</v>
      </c>
      <c r="M118" t="s">
        <v>538</v>
      </c>
      <c r="N118" s="71">
        <v>42825</v>
      </c>
      <c r="O118" s="48">
        <v>0</v>
      </c>
      <c r="Q118" s="6">
        <f t="shared" si="4"/>
        <v>-7000</v>
      </c>
      <c r="R118" s="79">
        <f t="shared" si="6"/>
        <v>6333.333333333333</v>
      </c>
      <c r="S118" s="72">
        <f t="shared" si="5"/>
        <v>-3000</v>
      </c>
      <c r="T118" s="80">
        <f t="shared" si="7"/>
        <v>-1233.3333333332728</v>
      </c>
    </row>
    <row r="119" spans="1:20" x14ac:dyDescent="0.25">
      <c r="A119" t="s">
        <v>539</v>
      </c>
      <c r="B119" s="71">
        <v>42855</v>
      </c>
      <c r="C119" s="48">
        <v>5091</v>
      </c>
      <c r="D119" t="s">
        <v>539</v>
      </c>
      <c r="E119" s="71">
        <v>42855</v>
      </c>
      <c r="F119" s="48">
        <v>14428</v>
      </c>
      <c r="G119" t="s">
        <v>539</v>
      </c>
      <c r="H119" s="71">
        <v>42855</v>
      </c>
      <c r="I119" s="5">
        <v>2193.9</v>
      </c>
      <c r="J119" t="s">
        <v>539</v>
      </c>
      <c r="K119" s="71">
        <v>42855</v>
      </c>
      <c r="L119" s="48">
        <v>0</v>
      </c>
      <c r="M119" t="s">
        <v>539</v>
      </c>
      <c r="N119" s="71">
        <v>42855</v>
      </c>
      <c r="O119" s="48">
        <v>0</v>
      </c>
      <c r="Q119" s="6">
        <f t="shared" si="4"/>
        <v>20000</v>
      </c>
      <c r="R119" s="79">
        <f t="shared" si="6"/>
        <v>8333.3333333333339</v>
      </c>
      <c r="S119" s="72">
        <f t="shared" si="5"/>
        <v>-2099.9999999999091</v>
      </c>
      <c r="T119" s="80">
        <f t="shared" si="7"/>
        <v>-1899.9999999999393</v>
      </c>
    </row>
    <row r="120" spans="1:20" x14ac:dyDescent="0.25">
      <c r="A120" t="s">
        <v>540</v>
      </c>
      <c r="B120" s="71">
        <v>42886</v>
      </c>
      <c r="C120" s="48">
        <v>5084</v>
      </c>
      <c r="D120" t="s">
        <v>540</v>
      </c>
      <c r="E120" s="71">
        <v>42886</v>
      </c>
      <c r="F120" s="48">
        <v>14420</v>
      </c>
      <c r="G120" t="s">
        <v>540</v>
      </c>
      <c r="H120" s="71">
        <v>42886</v>
      </c>
      <c r="I120" s="5">
        <v>2196.3000000000002</v>
      </c>
      <c r="J120" t="s">
        <v>540</v>
      </c>
      <c r="K120" s="71">
        <v>42886</v>
      </c>
      <c r="L120" s="48">
        <v>0</v>
      </c>
      <c r="M120" t="s">
        <v>540</v>
      </c>
      <c r="N120" s="71">
        <v>42886</v>
      </c>
      <c r="O120" s="48">
        <v>0</v>
      </c>
      <c r="Q120" s="6">
        <f t="shared" si="4"/>
        <v>-15000</v>
      </c>
      <c r="R120" s="79">
        <f t="shared" si="6"/>
        <v>-666.66666666666663</v>
      </c>
      <c r="S120" s="72">
        <f t="shared" si="5"/>
        <v>2400.0000000000909</v>
      </c>
      <c r="T120" s="80">
        <f t="shared" si="7"/>
        <v>-899.9999999999394</v>
      </c>
    </row>
    <row r="121" spans="1:20" x14ac:dyDescent="0.25">
      <c r="A121" t="s">
        <v>541</v>
      </c>
      <c r="B121" s="71">
        <v>42916</v>
      </c>
      <c r="C121" s="48">
        <v>5080</v>
      </c>
      <c r="D121" t="s">
        <v>541</v>
      </c>
      <c r="E121" s="71">
        <v>42916</v>
      </c>
      <c r="F121" s="48">
        <v>14455</v>
      </c>
      <c r="G121" t="s">
        <v>541</v>
      </c>
      <c r="H121" s="71">
        <v>42916</v>
      </c>
      <c r="I121" s="5">
        <v>2199.5</v>
      </c>
      <c r="J121" t="s">
        <v>541</v>
      </c>
      <c r="K121" s="71">
        <v>42916</v>
      </c>
      <c r="L121" s="48">
        <v>0</v>
      </c>
      <c r="M121" t="s">
        <v>541</v>
      </c>
      <c r="N121" s="71">
        <v>42916</v>
      </c>
      <c r="O121" s="48">
        <v>0</v>
      </c>
      <c r="Q121" s="6">
        <f t="shared" si="4"/>
        <v>31000</v>
      </c>
      <c r="R121" s="79">
        <f t="shared" si="6"/>
        <v>12000</v>
      </c>
      <c r="S121" s="72">
        <f t="shared" si="5"/>
        <v>3199.9999999998181</v>
      </c>
      <c r="T121" s="80">
        <f t="shared" si="7"/>
        <v>1166.6666666666667</v>
      </c>
    </row>
    <row r="122" spans="1:20" x14ac:dyDescent="0.25">
      <c r="Q122" s="6" t="str">
        <f t="shared" si="4"/>
        <v/>
      </c>
      <c r="R122" s="79" t="str">
        <f t="shared" si="6"/>
        <v/>
      </c>
      <c r="S122" s="72" t="str">
        <f t="shared" si="5"/>
        <v/>
      </c>
      <c r="T122" s="80" t="str">
        <f t="shared" si="7"/>
        <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CA4811-4A36-460E-923D-67D7E1A0ACC5}"/>
</file>

<file path=customXml/itemProps2.xml><?xml version="1.0" encoding="utf-8"?>
<ds:datastoreItem xmlns:ds="http://schemas.openxmlformats.org/officeDocument/2006/customXml" ds:itemID="{5C58DD9A-89B0-40A0-8E1E-18125BB7EFAA}"/>
</file>

<file path=customXml/itemProps3.xml><?xml version="1.0" encoding="utf-8"?>
<ds:datastoreItem xmlns:ds="http://schemas.openxmlformats.org/officeDocument/2006/customXml" ds:itemID="{799231CF-CF33-45FD-9466-492D85CB253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2017-06-29T12:55:00Z</cp:lastPrinted>
  <dcterms:created xsi:type="dcterms:W3CDTF">2014-09-08T20:08:32Z</dcterms:created>
  <dcterms:modified xsi:type="dcterms:W3CDTF">2017-07-28T14:25:35Z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