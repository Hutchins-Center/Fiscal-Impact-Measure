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4-28-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GI38" i="5" l="1"/>
  <c r="GI39" i="5"/>
  <c r="GI40" i="5"/>
  <c r="GI41" i="5"/>
  <c r="GI45" i="5"/>
  <c r="GI46" i="5"/>
  <c r="GI47" i="5"/>
  <c r="GH38" i="5"/>
  <c r="GH39" i="5"/>
  <c r="GH40" i="5"/>
  <c r="GH41" i="5"/>
  <c r="GH45" i="5"/>
  <c r="GH46" i="5"/>
  <c r="GH47" i="5"/>
  <c r="GI51" i="5"/>
  <c r="GI52" i="5"/>
  <c r="GI58" i="5"/>
  <c r="G70" i="20"/>
  <c r="F70" i="20"/>
  <c r="E70" i="20"/>
  <c r="GI59" i="5"/>
  <c r="D70" i="20"/>
  <c r="C70" i="20"/>
  <c r="GF38" i="5"/>
  <c r="GF39" i="5"/>
  <c r="GF40" i="5"/>
  <c r="GF41" i="5"/>
  <c r="GF45" i="5"/>
  <c r="GF46" i="5"/>
  <c r="GF47" i="5"/>
  <c r="GE38" i="5"/>
  <c r="GE39" i="5"/>
  <c r="GE40" i="5"/>
  <c r="GE41" i="5"/>
  <c r="GE45" i="5"/>
  <c r="GE46" i="5"/>
  <c r="GE47" i="5"/>
  <c r="GF51" i="5"/>
  <c r="GF52" i="5"/>
  <c r="GF58" i="5"/>
  <c r="GF59" i="5"/>
  <c r="GG38" i="5"/>
  <c r="GG39" i="5"/>
  <c r="GG40" i="5"/>
  <c r="GG41" i="5"/>
  <c r="GG45" i="5"/>
  <c r="GG46" i="5"/>
  <c r="GG47" i="5"/>
  <c r="GG51" i="5"/>
  <c r="GG52" i="5"/>
  <c r="GG58" i="5"/>
  <c r="GG59" i="5"/>
  <c r="GH51" i="5"/>
  <c r="GH52" i="5"/>
  <c r="GH58" i="5"/>
  <c r="GH59" i="5"/>
  <c r="GI67" i="5"/>
  <c r="B70" i="20"/>
  <c r="A70" i="20"/>
  <c r="DQ11" i="5"/>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13" i="5"/>
  <c r="GE33" i="5"/>
  <c r="GE14" i="5"/>
  <c r="GE15" i="5"/>
  <c r="GE16" i="5"/>
  <c r="GE34" i="5"/>
  <c r="GE17" i="5"/>
  <c r="GE18" i="5"/>
  <c r="GE35" i="5"/>
  <c r="GE23" i="5"/>
  <c r="GE21" i="5"/>
  <c r="GE51" i="5"/>
  <c r="GE50" i="5"/>
  <c r="GE52" i="5"/>
  <c r="GE22" i="5"/>
  <c r="GE24" i="5"/>
  <c r="GE57" i="5"/>
  <c r="GE58" i="5"/>
  <c r="A66" i="20"/>
  <c r="G66" i="20"/>
  <c r="GF11" i="5"/>
  <c r="GF12" i="5"/>
  <c r="GF32" i="5"/>
  <c r="GF13" i="5"/>
  <c r="GF33" i="5"/>
  <c r="GF14" i="5"/>
  <c r="GF15" i="5"/>
  <c r="GF16" i="5"/>
  <c r="GF34" i="5"/>
  <c r="GF17" i="5"/>
  <c r="GF18" i="5"/>
  <c r="GF35" i="5"/>
  <c r="GF23" i="5"/>
  <c r="GF21" i="5"/>
  <c r="GF50" i="5"/>
  <c r="GF22" i="5"/>
  <c r="GF24" i="5"/>
  <c r="GF57" i="5"/>
  <c r="A67" i="20"/>
  <c r="G67" i="20"/>
  <c r="GG11" i="5"/>
  <c r="GG12" i="5"/>
  <c r="GG32" i="5"/>
  <c r="GG13" i="5"/>
  <c r="GG33" i="5"/>
  <c r="GG14" i="5"/>
  <c r="GG15" i="5"/>
  <c r="GG16" i="5"/>
  <c r="GG34" i="5"/>
  <c r="GG17" i="5"/>
  <c r="GG18" i="5"/>
  <c r="GG35" i="5"/>
  <c r="GG23" i="5"/>
  <c r="GG21" i="5"/>
  <c r="GG50" i="5"/>
  <c r="GG22" i="5"/>
  <c r="GG24" i="5"/>
  <c r="GG57" i="5"/>
  <c r="A68" i="20"/>
  <c r="G68" i="20"/>
  <c r="GH11" i="5"/>
  <c r="GH12" i="5"/>
  <c r="GH32" i="5"/>
  <c r="GH13" i="5"/>
  <c r="GH33" i="5"/>
  <c r="GH14" i="5"/>
  <c r="GH15" i="5"/>
  <c r="GH16" i="5"/>
  <c r="GH34" i="5"/>
  <c r="GH17" i="5"/>
  <c r="GH18" i="5"/>
  <c r="GH35" i="5"/>
  <c r="GH23" i="5"/>
  <c r="GH21" i="5"/>
  <c r="GH50" i="5"/>
  <c r="GH22" i="5"/>
  <c r="GH24" i="5"/>
  <c r="GH57"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D67" i="20"/>
  <c r="GG25" i="5"/>
  <c r="D68" i="20"/>
  <c r="GH25"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J35" i="5"/>
  <c r="GQ41" i="5"/>
  <c r="GP40" i="5"/>
  <c r="GK41" i="5"/>
  <c r="GO38" i="5"/>
  <c r="GN40" i="5"/>
  <c r="GT40" i="5"/>
  <c r="GK38" i="5"/>
  <c r="GT38" i="5"/>
  <c r="GK40" i="5"/>
  <c r="GR41" i="5"/>
  <c r="GS40" i="5"/>
  <c r="GO40" i="5"/>
  <c r="GQ40" i="5"/>
  <c r="GL41" i="5"/>
  <c r="GO41" i="5"/>
  <c r="GR38" i="5"/>
  <c r="GL38" i="5"/>
  <c r="GR40" i="5"/>
  <c r="GP38" i="5"/>
  <c r="GS38" i="5"/>
  <c r="GS41" i="5"/>
  <c r="GP41" i="5"/>
  <c r="GM40" i="5"/>
  <c r="GU40" i="5"/>
  <c r="GT41" i="5"/>
  <c r="GM41" i="5"/>
  <c r="GV40" i="5"/>
  <c r="GN41" i="5"/>
  <c r="GN38" i="5"/>
  <c r="GV38" i="5"/>
  <c r="GU38" i="5"/>
  <c r="GM38" i="5"/>
  <c r="GV41" i="5"/>
  <c r="GQ38"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<sst xmlns="http://schemas.openxmlformats.org/spreadsheetml/2006/main" count="963" uniqueCount="412">
  <si>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</si>
  <si>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</si>
  <si>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</si>
  <si>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</si>
  <si>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</si>
  <si>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</si>
  <si>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</si>
  <si>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</si>
  <si>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</si>
  <si>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</si>
  <si>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</si>
  <si>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</si>
  <si>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</si>
  <si>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</si>
  <si>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</si>
  <si>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</si>
  <si>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</si>
  <si>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</si>
  <si>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</si>
  <si>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</si>
  <si>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</si>
  <si>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</si>
  <si>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</si>
  <si>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</si>
  <si>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</si>
  <si>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</si>
  <si>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</si>
  <si>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</si>
  <si>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</si>
  <si>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</si>
  <si>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</si>
  <si>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</si>
  <si>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</si>
  <si>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</si>
  <si>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</si>
  <si>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</si>
  <si>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</si>
  <si>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</si>
  <si>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</si>
  <si>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</si>
  <si>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</si>
  <si>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</si>
  <si>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</si>
  <si>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</si>
  <si>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</si>
  <si>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</si>
  <si>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</si>
  <si>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</si>
  <si>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</si>
  <si>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</si>
  <si>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</si>
  <si>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</si>
  <si>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</si>
  <si>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</si>
  <si>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</si>
  <si>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</si>
  <si>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</si>
  <si>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</si>
  <si>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</si>
  <si>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</si>
  <si>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</si>
  <si>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</si>
  <si>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</si>
  <si>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</si>
  <si>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</si>
  <si>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</si>
  <si>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</si>
  <si>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</si>
  <si>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</si>
  <si>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</si>
  <si>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</si>
  <si>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</si>
  <si>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</si>
  <si>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</si>
  <si>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</si>
  <si>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</si>
  <si>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</si>
  <si>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</si>
  <si>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</si>
  <si>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</si>
  <si>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</si>
  <si>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</si>
  <si>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</si>
  <si>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</si>
  <si>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</si>
  <si>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</si>
  <si>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</si>
  <si>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</si>
  <si>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</si>
  <si>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</si>
  <si>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</si>
  <si>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</si>
  <si>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</si>
  <si>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</si>
  <si>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</si>
  <si>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</si>
  <si>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</si>
  <si>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</si>
  <si>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</si>
  <si>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</si>
  <si>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</si>
  <si>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</si>
  <si>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</si>
  <si>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</si>
  <si>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</si>
  <si>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</si>
  <si>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</si>
  <si>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</si>
  <si>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</si>
  <si>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</si>
  <si>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</si>
  <si>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</si>
  <si>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</si>
  <si>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</si>
  <si>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</si>
  <si>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</si>
  <si>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</si>
  <si>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</si>
  <si>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</si>
  <si>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</si>
  <si>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</si>
  <si>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</si>
  <si>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</si>
  <si>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</si>
  <si>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</si>
  <si>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</si>
  <si>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</si>
  <si>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</si>
  <si>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</si>
  <si>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</si>
  <si>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</si>
  <si>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</si>
  <si>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</si>
  <si>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</si>
  <si>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</si>
  <si>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</si>
  <si>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</si>
  <si>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</si>
  <si>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</si>
  <si>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</si>
  <si>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</si>
  <si>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</si>
  <si>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</si>
  <si>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</si>
  <si>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</si>
  <si>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</si>
  <si>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</si>
  <si>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</si>
  <si>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</si>
  <si>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</si>
  <si>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</si>
  <si>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</si>
  <si>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</si>
  <si>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</si>
  <si>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</si>
  <si>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</si>
  <si>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</si>
  <si>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</si>
  <si>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</si>
  <si>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</si>
  <si>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</si>
  <si>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</si>
  <si>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</si>
  <si>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</si>
  <si>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</si>
  <si>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</si>
  <si>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</si>
  <si>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</si>
  <si>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</si>
  <si>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</si>
  <si>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</si>
  <si>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</si>
  <si>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</si>
  <si>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</si>
  <si>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</si>
  <si>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</si>
  <si>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</si>
  <si>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</si>
  <si>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</si>
  <si>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</si>
  <si>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</si>
  <si>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</si>
  <si>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</si>
  <si>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</si>
  <si>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</si>
  <si>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</si>
  <si>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</si>
  <si>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</si>
  <si>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</si>
  <si>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</si>
  <si>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</si>
  <si>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</si>
  <si>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</si>
  <si>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</si>
  <si>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</si>
  <si>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</si>
  <si>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</si>
  <si>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</si>
  <si>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</si>
  <si>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</si>
  <si>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</si>
  <si>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</si>
  <si>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</si>
  <si>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</si>
  <si>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</si>
  <si>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</si>
  <si>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</si>
  <si>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</si>
  <si>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</si>
  <si>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</si>
  <si>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</si>
  <si>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</si>
  <si>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</si>
  <si>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</si>
  <si>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</si>
  <si>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</si>
  <si>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</si>
  <si>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</si>
  <si>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</si>
  <si>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</si>
  <si>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</si>
  <si>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</si>
  <si>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</si>
  <si>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</si>
  <si>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</si>
  <si>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</si>
  <si>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</si>
  <si>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</si>
  <si>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</si>
  <si>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</si>
  <si>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</si>
  <si>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</si>
  <si>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</si>
  <si>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</si>
  <si>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</si>
  <si>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</si>
  <si>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</si>
  <si>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</si>
  <si>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</si>
  <si>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</si>
  <si>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</si>
  <si>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</si>
  <si>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</si>
  <si>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</si>
  <si>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</si>
  <si>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</si>
  <si>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</si>
  <si>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</si>
  <si>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</si>
  <si>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</si>
  <si>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</si>
  <si>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</si>
  <si>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</si>
  <si>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</si>
  <si>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</si>
  <si>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</si>
  <si>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</si>
  <si>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</si>
  <si>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</si>
  <si>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</si>
  <si>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</si>
  <si>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</si>
  <si>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</si>
  <si>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</si>
  <si>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</si>
  <si>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</si>
  <si>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</si>
  <si>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</si>
  <si>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</si>
  <si>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</si>
  <si>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</si>
  <si>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</si>
  <si>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</si>
  <si>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</si>
  <si>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</si>
  <si>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</si>
  <si>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</si>
  <si>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</si>
  <si>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</si>
  <si>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</si>
  <si>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</si>
  <si>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</si>
  <si>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</si>
  <si>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</si>
  <si>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</si>
  <si>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</si>
  <si>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</si>
  <si>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</si>
  <si>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</si>
  <si>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</si>
  <si>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</si>
  <si>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</si>
  <si>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</si>
  <si>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</si>
  <si>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</si>
  <si>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</si>
  <si>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</si>
  <si>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</si>
  <si>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</si>
  <si>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</si>
  <si>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</si>
  <si>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</si>
  <si>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</si>
  <si>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</si>
  <si>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</si>
  <si>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</si>
  <si>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</si>
  <si>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</si>
  <si>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</si>
  <si>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</si>
  <si>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</si>
  <si>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</si>
  <si>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</si>
  <si>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</si>
  <si>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</si>
  <si>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</si>
  <si>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</si>
  <si>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</si>
  <si>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</si>
  <si>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</si>
  <si>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</si>
  <si>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</si>
  <si>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</si>
  <si>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</si>
  <si>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</si>
  <si>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</si>
  <si>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</si>
  <si>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</si>
  <si>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</si>
  <si>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</si>
  <si>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</si>
  <si>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</si>
  <si>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</si>
  <si>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</si>
  <si>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</si>
  <si>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</si>
  <si>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</si>
  <si>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</si>
  <si>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</si>
  <si>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</si>
  <si>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</si>
  <si>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</si>
  <si>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</si>
  <si>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</si>
  <si>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</si>
  <si>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</si>
  <si>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</si>
  <si>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</si>
  <si>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</si>
  <si>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</si>
  <si>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</si>
  <si>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</si>
  <si>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</si>
  <si>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</si>
  <si>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</si>
  <si>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</si>
  <si>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</si>
  <si>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</si>
  <si>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</si>
  <si>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</si>
  <si>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</si>
  <si>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</si>
  <si>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</si>
  <si>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</si>
  <si>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</si>
  <si>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</si>
  <si>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</si>
  <si>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</si>
  <si>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</si>
  <si>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</si>
  <si>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</si>
  <si>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</si>
  <si>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</si>
  <si>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</si>
  <si>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</si>
  <si>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</si>
  <si>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</si>
  <si>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</si>
  <si>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</si>
  <si>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</si>
  <si>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</si>
  <si>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</si>
  <si>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</si>
  <si>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</si>
  <si>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</si>
  <si>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</si>
  <si>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</si>
  <si>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</si>
  <si>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</si>
  <si>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</si>
  <si>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</si>
  <si>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</si>
  <si>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</si>
  <si>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</si>
  <si>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</si>
  <si>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</si>
  <si>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</si>
  <si>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</si>
  <si>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</si>
  <si>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</si>
  <si>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</si>
  <si>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</si>
  <si>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</si>
  <si>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</si>
  <si>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</si>
  <si>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</si>
  <si>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</si>
  <si>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</si>
  <si>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</si>
  <si>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Apr-28-2017 08:38</t>
  </si>
  <si>
    <t>Apr-28-2017 08:30</t>
  </si>
  <si>
    <t>Apr-03-2017 08:45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</si>
</sst>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7.4506654141988676E-2</c:v>
                </c:pt>
                <c:pt idx="68" formatCode="0.000">
                  <c:v>-0.24802977876113266</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6.2316743327849144E-2</c:v>
                </c:pt>
                <c:pt idx="68" formatCode="0.000">
                  <c:v>-8.3892347987141153E-2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-0.17</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4.4506654141988677E-2</c:v>
                </c:pt>
                <c:pt idx="68">
                  <c:v>5.1970221238867326E-2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6.2316743327849144E-2</c:v>
                </c:pt>
                <c:pt idx="68" formatCode="0.000">
                  <c:v>-8.3892347987141153E-2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84" activePane="bottomRight" state="frozen"/>
      <selection pane="topRight" activeCell="C1" sqref="C1"/>
      <selection pane="bottomLeft" activeCell="A7" sqref="A7"/>
      <selection pane="bottomRight" activeCell="T6" sqref="T6"/>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409</v>
      </c>
      <c r="D6" t="s">
        <v>409</v>
      </c>
      <c r="E6" t="s">
        <v>409</v>
      </c>
      <c r="F6" t="s">
        <v>409</v>
      </c>
      <c r="G6" t="s">
        <v>409</v>
      </c>
      <c r="H6" t="s">
        <v>409</v>
      </c>
      <c r="I6" t="s">
        <v>409</v>
      </c>
      <c r="J6" t="s">
        <v>409</v>
      </c>
      <c r="K6" t="s">
        <v>410</v>
      </c>
      <c r="L6" t="s">
        <v>410</v>
      </c>
      <c r="M6" t="s">
        <v>410</v>
      </c>
      <c r="N6" t="s">
        <v>409</v>
      </c>
      <c r="O6" t="s">
        <v>410</v>
      </c>
      <c r="P6" t="s">
        <v>410</v>
      </c>
      <c r="Q6" t="s">
        <v>396</v>
      </c>
      <c r="R6" t="s">
        <v>409</v>
      </c>
      <c r="S6" t="s">
        <v>411</v>
      </c>
      <c r="T6" t="s">
        <v>410</v>
      </c>
      <c r="U6" s="58" t="s">
        <v>410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1995.4</v>
      </c>
      <c r="G194" s="5">
        <v>1267.3</v>
      </c>
      <c r="H194" s="5">
        <v>499.9</v>
      </c>
      <c r="I194" s="5">
        <v>67.7</v>
      </c>
      <c r="J194" s="5">
        <v>1273.5</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680.2</v>
      </c>
      <c r="D195" s="5">
        <v>585.9</v>
      </c>
      <c r="E195" s="5">
        <v>2795.7</v>
      </c>
      <c r="F195" s="5">
        <v>2036.3</v>
      </c>
      <c r="G195" s="5">
        <v>1265.3</v>
      </c>
      <c r="H195" s="5" t="e">
        <v>#N/A</v>
      </c>
      <c r="I195" s="5" t="e">
        <v>#N/A</v>
      </c>
      <c r="J195" s="5">
        <v>1300.2</v>
      </c>
      <c r="K195" s="5">
        <v>16842.400000000001</v>
      </c>
      <c r="L195" s="5">
        <v>11679.5</v>
      </c>
      <c r="M195" s="5">
        <v>13096.4</v>
      </c>
      <c r="N195" s="7">
        <v>1.12131</v>
      </c>
      <c r="O195" s="5">
        <v>19007.3</v>
      </c>
      <c r="P195" s="11">
        <v>-0.3</v>
      </c>
      <c r="Q195" s="5">
        <v>17027.2</v>
      </c>
      <c r="R195" s="5">
        <v>3322.7</v>
      </c>
      <c r="S195" s="48">
        <v>0</v>
      </c>
      <c r="T195" s="11">
        <v>-0.13</v>
      </c>
      <c r="U195" s="59">
        <v>-0.17</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680.2</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585.9</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2795.7</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v>
      </c>
      <c r="GI14">
        <f>INDEX(HaverPull!$B:$XZ,MATCH(Calculations!GI$9,HaverPull!$B:$B,0),MATCH(Calculations!$B14,HaverPull!$B$1:$XZ$1,0))</f>
        <v>1300.2</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1995.4</v>
      </c>
      <c r="GI15">
        <f>INDEX(HaverPull!$B:$XZ,MATCH(Calculations!GI$9,HaverPull!$B:$B,0),MATCH(Calculations!$B15,HaverPull!$B$1:$XZ$1,0))</f>
        <v>2036.3</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1265.3</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499.9</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67.7</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16842.400000000001</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11679.5</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13096.4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1.12131</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19007.3</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-0.3</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3322.7</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1266.0999999999999</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1529.6</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4536.2</v>
      </c>
      <c r="GI34">
        <f t="shared" si="18"/>
        <v>4601.8</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432.2</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1119.3975</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1354.0049999999999</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-2669.5499999999997</v>
      </c>
      <c r="GI40">
        <f t="shared" ref="GI40" ca="1" si="40">IF(ISERROR(INDIRECT(ADDRESS(ROW(GI34),COLUMN(GI34)-7))),"n/a",IF(ISNUMBER(INDIRECT(ADDRESS(ROW(GI34),COLUMN(GI34)-7))),$C$5*($D$5*GI34+$E$5*GH34+$F$5*AVERAGE(GB34:GG34)),"n/a"))</f>
        <v>-2691.78</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-164.08666666666667</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-382.42833333333266</v>
      </c>
      <c r="GI45">
        <f t="shared" ca="1" si="60"/>
        <v>-382.46416666666676</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-343.06197204156331</v>
      </c>
      <c r="GI46">
        <f t="shared" ca="1" si="63"/>
        <v>-341.08691322352138</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12012.861972041563</v>
      </c>
      <c r="GI47">
        <f t="shared" ca="1" si="67"/>
        <v>12020.586913223522</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0.33289690451407949</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3.4664333776486478</v>
      </c>
      <c r="GI51">
        <f t="shared" ref="GI51" ca="1" si="89">IFERROR(((GI47/GH47)^4-1)*100, "n/a")</f>
        <v>0.25747055939988606</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6.4556869502174763E-2</v>
      </c>
      <c r="GI52">
        <f t="shared" ca="1" si="109"/>
        <v>7.5426345114193438E-2</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6.9410848401265657E-3</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0.68901948198849916</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4.4506654141988677E-2</v>
      </c>
      <c r="GI58">
        <f t="shared" ca="1" si="128"/>
        <v>5.1970221238867326E-2</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7.4506654141988676E-2</v>
      </c>
      <c r="GI59" s="35">
        <f t="shared" ca="1" si="131"/>
        <v>-0.24802977876113266</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0.17481178284132939</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0.1215482561036928</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6.2316743327849144E-2</v>
      </c>
      <c r="GI67" s="6">
        <f t="shared" ref="GI67" ca="1" si="209">IF(ISTEXT(GF59), "n/a", AVERAGE(GF59:GI59))</f>
        <v>-8.3892347987141153E-2</v>
      </c>
      <c r="GJ67" s="6">
        <f t="shared" ref="GJ67" ca="1" si="210">IF(ISTEXT(GG59), "n/a", AVERAGE(GG59:GJ59))</f>
        <v>-3.0518703623301956E-2</v>
      </c>
      <c r="GK67" s="6">
        <f t="shared" ref="GK67" ca="1" si="211">IF(ISTEXT(GH59), "n/a", AVERAGE(GH59:GK59))</f>
        <v>-8.6761562309571993E-2</v>
      </c>
      <c r="GL67" s="6">
        <f t="shared" ref="GL67" ca="1" si="212">IF(ISTEXT(GI59), "n/a", AVERAGE(GI59:GL59))</f>
        <v>-0.24802977876113266</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-0.2226418682770126</v>
      </c>
      <c r="GI69" s="6">
        <f t="shared" ca="1" si="258"/>
        <v>-0.36439531053650598</v>
      </c>
      <c r="GJ69" s="6">
        <f t="shared" ca="1" si="258"/>
        <v>-0.30921828098464754</v>
      </c>
      <c r="GK69" s="6">
        <f t="shared" ca="1" si="258"/>
        <v>-0.36380495674170743</v>
      </c>
      <c r="GL69" s="6">
        <f t="shared" ca="1" si="258"/>
        <v>-0.5234473552834501</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-0.29142420173843053</v>
      </c>
      <c r="GI70" s="6">
        <f t="shared" ca="1" si="265"/>
        <v>-0.36957803486482543</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5" zoomScale="145" zoomScaleNormal="100" zoomScaleSheetLayoutView="145" zoomScalePageLayoutView="85" workbookViewId="0">
      <selection activeCell="J20" sqref="J20"/>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407</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405</v>
      </c>
      <c r="C47" s="79"/>
      <c r="D47" s="79"/>
      <c r="E47" s="80" t="s">
        <v>406</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topLeftCell="A43" workbookViewId="0">
      <selection activeCell="F1" sqref="F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6.2316743327849144E-2</v>
      </c>
      <c r="C69" s="66">
        <f>INDEX(Calculations!$1:$80, MATCH("RecessionDummy", Calculations!$B:$B, 0), MATCH(fiscal_iFinal!$A69, Calculations!$9:$9, 0))</f>
        <v>0</v>
      </c>
      <c r="D69" s="70">
        <f ca="1">INDEX(Calculations!$1:$80, MATCH("Fiscal_Impact_bars", Calculations!$B:$B, 0), MATCH(fiscal_iFinal!$A69, Calculations!$9:$9, 0))</f>
        <v>7.4506654141988676E-2</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4.4506654141988677E-2</v>
      </c>
    </row>
    <row r="70" spans="1:7" x14ac:dyDescent="0.25">
      <c r="A70" s="64">
        <f>INDEX(Calculations!$9:$9, , ROW()+121)</f>
        <v>42825</v>
      </c>
      <c r="B70" s="70">
        <f ca="1">INDEX(Calculations!$1:$80, MATCH("Fiscal_Impact", Calculations!$B:$B, 0), MATCH(fiscal_iFinal!$A70, Calculations!$9:$9, 0))</f>
        <v>-8.3892347987141153E-2</v>
      </c>
      <c r="C70" s="66">
        <f>INDEX(Calculations!$1:$80, MATCH("RecessionDummy", Calculations!$B:$B, 0), MATCH(fiscal_iFinal!$A70, Calculations!$9:$9, 0))</f>
        <v>0</v>
      </c>
      <c r="D70" s="70">
        <f ca="1">INDEX(Calculations!$1:$80, MATCH("Fiscal_Impact_bars", Calculations!$B:$B, 0), MATCH(fiscal_iFinal!$A70, Calculations!$9:$9, 0))</f>
        <v>-0.24802977876113266</v>
      </c>
      <c r="E70" s="65">
        <f>INDEX(HaverPull!$B:$XZ,MATCH($A70,HaverPull!$B:$B,0),MATCH("Contribution to %Ch in Real GDP from ""Federal G""",HaverPull!$B$1:$XZ$1,0))</f>
        <v>-0.13</v>
      </c>
      <c r="F70" s="65">
        <f>INDEX(HaverPull!$B:$XZ,MATCH($A70,HaverPull!$B:$B,0),MATCH("Contribution to %Ch in Real GDP from ""S+L G""",HaverPull!$B$1:$XZ$1,0))</f>
        <v>-0.17</v>
      </c>
      <c r="G70" s="65">
        <f ca="1">INDEX(Calculations!$A:$GV,MATCH("Contribution of Consumption Growth to Real GDP",Calculations!B$1:B$71,0),MATCH($A70,Calculations!A$9:GV$9))</f>
        <v>5.1970221238867326E-2</v>
      </c>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0A35F6C-015E-418E-BC41-6D986D9331D4}"/>
</file>

<file path=customXml/itemProps2.xml><?xml version="1.0" encoding="utf-8"?>
<ds:datastoreItem xmlns:ds="http://schemas.openxmlformats.org/officeDocument/2006/customXml" ds:itemID="{CE0D42C0-6CC6-42AC-8818-089DA6BCFACE}"/>
</file>

<file path=customXml/itemProps3.xml><?xml version="1.0" encoding="utf-8"?>
<ds:datastoreItem xmlns:ds="http://schemas.openxmlformats.org/officeDocument/2006/customXml" ds:itemID="{AE71DA38-323E-4E2D-A156-0C3F81084A5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Anna  Malinovskaya</cp:lastModifiedBy>
  <cp:lastPrinted>2017-04-28T13:26:13Z</cp:lastPrinted>
  <dcterms:created xsi:type="dcterms:W3CDTF">2014-09-08T20:08:32Z</dcterms:created>
  <dcterms:modified xsi:type="dcterms:W3CDTF">2017-04-28T13:36:27Z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